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82" documentId="13_ncr:1_{10FCACA5-8197-478D-90D3-5F83063FB753}" xr6:coauthVersionLast="47" xr6:coauthVersionMax="47" xr10:uidLastSave="{3405860C-AAF3-47B4-A797-8B8E04E250C6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3" r:id="rId12"/>
    <pivotCache cacheId="8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<sst xmlns="http://schemas.openxmlformats.org/spreadsheetml/2006/main" count="13930" uniqueCount="4533">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</sst>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5"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8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8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8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grandRow="1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6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3"/>
    <tableColumn id="5" xr3:uid="{DF37AD45-FC5C-478A-989D-9143E744CEEA}" name="voornaam" dataDxfId="42">
      <calculatedColumnFormula>VLOOKUP(Tabel2[[#This Row],[nr]],'data hastus'!A:C,3,FALSE)</calculatedColumnFormula>
    </tableColumn>
    <tableColumn id="6" xr3:uid="{4098FAFB-9B09-4A81-8B22-18CC90B5F979}" name="achternaam" dataDxfId="4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7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5"/>
    <tableColumn id="11" xr3:uid="{97ECF1D5-48DC-4487-B3C2-17232CC8E19E}" name="Januari" dataDxfId="34"/>
    <tableColumn id="12" xr3:uid="{7B2FF520-A575-45C0-BB5A-19B87DDB4EA0}" name="Februari" dataDxfId="33"/>
    <tableColumn id="13" xr3:uid="{4E6C30D1-FB72-4AB2-900F-14A3D53F34DE}" name="Maart" dataDxfId="3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1">
      <calculatedColumnFormula>SUM(bron[[#This Row],[Januari]:[December]])</calculatedColumnFormula>
    </tableColumn>
    <tableColumn id="10" xr3:uid="{8D9646BD-38B6-4F4D-9859-B3933369346B}" name="Datum" dataDxfId="3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8">
      <calculatedColumnFormula>YEAR(TODAY()) - YEAR(E2) - (IF(DATE(YEAR(TODAY()), MONTH(E2), DAY(E2)) &gt; TODAY(), 1, 0))</calculatedColumnFormula>
    </tableColumn>
    <tableColumn id="5" xr3:uid="{4C697650-E57C-44EB-9139-9D19E4E44782}" name="aantal schades" dataDxfId="17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4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2"/>
    <tableColumn id="2" xr3:uid="{B74D5419-AF77-4013-9D4D-A27CB821A194}" name="Voornaam" dataDxfId="11"/>
    <tableColumn id="3" xr3:uid="{8AFF5D53-02DB-4104-8133-50DD6E1299B8}" name="Achternaam" dataDxfId="10"/>
    <tableColumn id="4" xr3:uid="{B76D7E71-E174-470B-9D6C-5440B7A4886F}" name="Personeelsnummer" dataDxfId="9"/>
    <tableColumn id="6" xr3:uid="{944F1A33-FEB0-4FC2-8D2C-B7C202DA92D5}" name="Team Coach" dataDxfId="8"/>
    <tableColumn id="7" xr3:uid="{5B917C88-1EEB-48B9-9CA7-608DFC8F40C2}" name="Datum in dienst" dataDxfId="7"/>
    <tableColumn id="10" xr3:uid="{3501E25E-962A-4C61-8F65-B8F428AE63EB}" name="Kolom1" dataDxfId="6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4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1" activePane="bottomLeft" state="frozen"/>
      <selection activeCell="F1" sqref="F1"/>
      <selection pane="bottomLeft" activeCell="AB988" sqref="AB988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3871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3872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3873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3874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4530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4531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4532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21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21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40" priority="5" operator="equal">
      <formula>0</formula>
    </cfRule>
    <cfRule type="cellIs" dxfId="39" priority="7" operator="between">
      <formula>1</formula>
      <formula>4</formula>
    </cfRule>
    <cfRule type="cellIs" dxfId="38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3870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 s="43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 s="43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 s="43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 s="43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 s="43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 s="43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 s="43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 s="43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 s="4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 s="43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 s="43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 s="43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 s="43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 s="43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 s="43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 s="43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 s="43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 s="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 s="43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 s="43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 s="43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 s="43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 s="43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 s="43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 s="43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 s="43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 s="43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 s="43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 s="43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 s="43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 s="43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3876</v>
      </c>
    </row>
    <row r="2" spans="1:4" x14ac:dyDescent="0.25">
      <c r="A2">
        <v>29076</v>
      </c>
      <c r="B2" t="s">
        <v>1324</v>
      </c>
      <c r="C2" s="8" t="s">
        <v>1325</v>
      </c>
      <c r="D2" t="s">
        <v>3875</v>
      </c>
    </row>
    <row r="3" spans="1:4" x14ac:dyDescent="0.25">
      <c r="A3">
        <v>35348</v>
      </c>
      <c r="B3" t="s">
        <v>1326</v>
      </c>
      <c r="C3" s="8" t="s">
        <v>1327</v>
      </c>
      <c r="D3" t="s">
        <v>3877</v>
      </c>
    </row>
    <row r="4" spans="1:4" x14ac:dyDescent="0.25">
      <c r="A4">
        <v>10170</v>
      </c>
      <c r="B4" t="s">
        <v>1328</v>
      </c>
      <c r="C4" s="8" t="s">
        <v>1329</v>
      </c>
      <c r="D4" t="s">
        <v>3877</v>
      </c>
    </row>
    <row r="5" spans="1:4" x14ac:dyDescent="0.25">
      <c r="A5">
        <v>5579</v>
      </c>
      <c r="B5" t="s">
        <v>1330</v>
      </c>
      <c r="C5" s="8" t="s">
        <v>1331</v>
      </c>
      <c r="D5" t="s">
        <v>3877</v>
      </c>
    </row>
    <row r="6" spans="1:4" x14ac:dyDescent="0.25">
      <c r="A6">
        <v>4597</v>
      </c>
      <c r="B6" t="s">
        <v>1332</v>
      </c>
      <c r="C6" s="8" t="s">
        <v>1333</v>
      </c>
      <c r="D6" t="s">
        <v>3877</v>
      </c>
    </row>
    <row r="7" spans="1:4" x14ac:dyDescent="0.25">
      <c r="A7">
        <v>26268</v>
      </c>
      <c r="B7" t="s">
        <v>1334</v>
      </c>
      <c r="C7" s="8" t="s">
        <v>1335</v>
      </c>
      <c r="D7" t="s">
        <v>3877</v>
      </c>
    </row>
    <row r="8" spans="1:4" x14ac:dyDescent="0.25">
      <c r="A8">
        <v>23897</v>
      </c>
      <c r="B8" t="s">
        <v>1336</v>
      </c>
      <c r="C8" s="8" t="s">
        <v>1337</v>
      </c>
      <c r="D8" t="s">
        <v>3877</v>
      </c>
    </row>
    <row r="9" spans="1:4" x14ac:dyDescent="0.25">
      <c r="A9">
        <v>30456</v>
      </c>
      <c r="B9" t="s">
        <v>1338</v>
      </c>
      <c r="C9" s="8" t="s">
        <v>1339</v>
      </c>
      <c r="D9" t="s">
        <v>3877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3877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3877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3877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7" priority="1" operator="equal">
      <formula>0</formula>
    </cfRule>
    <cfRule type="cellIs" dxfId="26" priority="2" operator="between">
      <formula>1</formula>
      <formula>4</formula>
    </cfRule>
    <cfRule type="cellIs" dxfId="2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abSelected="1" topLeftCell="D1" zoomScale="90" zoomScaleNormal="90" workbookViewId="0">
      <selection activeCell="I23" sqref="I23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3878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1.2164179104477613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3879</v>
      </c>
      <c r="B1" t="s">
        <v>1357</v>
      </c>
      <c r="C1" t="s">
        <v>1358</v>
      </c>
      <c r="D1" s="3" t="s">
        <v>1359</v>
      </c>
      <c r="E1" t="s">
        <v>3886</v>
      </c>
      <c r="F1" t="s">
        <v>3887</v>
      </c>
      <c r="G1" t="s">
        <v>3889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3888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3880</v>
      </c>
      <c r="C554" t="s">
        <v>3881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3882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3883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3884</v>
      </c>
      <c r="C557" t="s">
        <v>3885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3890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3876</v>
      </c>
      <c r="H1" t="s">
        <v>3889</v>
      </c>
    </row>
    <row r="2" spans="1:11" x14ac:dyDescent="0.25">
      <c r="A2" s="34" t="s">
        <v>3891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3892</v>
      </c>
      <c r="B3" s="34" t="s">
        <v>1769</v>
      </c>
      <c r="C3" s="34" t="s">
        <v>3893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4529</v>
      </c>
    </row>
    <row r="4" spans="1:11" x14ac:dyDescent="0.25">
      <c r="A4" s="34" t="s">
        <v>3894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3895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3896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3897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3898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3899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3900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3901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3902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3903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3904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3905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3906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3907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3908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3909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3910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3911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3912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3913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3914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3915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3916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3917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3918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3919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3920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3921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3922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3923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3924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3925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3926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3927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3928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3929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3930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3931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3932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1.4397394136807817</v>
      </c>
    </row>
    <row r="43" spans="1:11" x14ac:dyDescent="0.25">
      <c r="A43" s="34" t="s">
        <v>3933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3934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3935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3936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3937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3938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3939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3940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3941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3942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3943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3944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3945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3946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3947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3948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3949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3950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3951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3952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3953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3954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3955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3956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3957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3958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3959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3960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3961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3962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3963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3964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3965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3966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3967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3968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3969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3970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3971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3972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3973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3974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3975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3976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3977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3978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3979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3980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3981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3982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3983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3984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3985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3986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3987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3988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3989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3990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3991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3992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3993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3994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3995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3996</v>
      </c>
      <c r="B106" s="34" t="s">
        <v>2296</v>
      </c>
      <c r="C106" s="34" t="s">
        <v>3997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3998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3999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4000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4001</v>
      </c>
      <c r="B110" s="34" t="s">
        <v>2420</v>
      </c>
      <c r="C110" s="34" t="s">
        <v>4002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4003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4004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4005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4006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4007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4008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4009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4010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4011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4012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4013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4014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4015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4016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4017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4018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4019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4020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4021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4022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4023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4024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4025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4026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4027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4028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4029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4030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4031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4032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4033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4034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4035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4036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4037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4038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4039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4040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4041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4042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4043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4044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4045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4046</v>
      </c>
      <c r="B154" s="34" t="s">
        <v>2531</v>
      </c>
      <c r="C154" s="34" t="s">
        <v>4047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4048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4049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4050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4051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4052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4053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4054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4055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4056</v>
      </c>
      <c r="B163" s="34" t="s">
        <v>4057</v>
      </c>
      <c r="C163" s="34" t="s">
        <v>4058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4059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4060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4061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4062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4063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4064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4065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4066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4067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4068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4069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4070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4071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4072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4073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4074</v>
      </c>
      <c r="B179" s="34" t="s">
        <v>4075</v>
      </c>
      <c r="C179" s="34" t="s">
        <v>4076</v>
      </c>
      <c r="D179" s="43">
        <v>22811</v>
      </c>
      <c r="E179" s="34" t="s">
        <v>4077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4078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4079</v>
      </c>
      <c r="B181" s="34" t="s">
        <v>4080</v>
      </c>
      <c r="C181" s="34" t="s">
        <v>4081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4082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4083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4084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4085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4086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4087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4088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4089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4090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4091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4092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4093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4094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4095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4096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4097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4098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4099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4100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4101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4102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4103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4104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4105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4106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4107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4108</v>
      </c>
      <c r="B208" s="34" t="s">
        <v>2405</v>
      </c>
      <c r="C208" s="34" t="s">
        <v>4109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4110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4111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4112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4113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4114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4115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4116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4117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4118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4119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4120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4121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4122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4123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4124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4125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4126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4127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4128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4129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4130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4131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4132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4133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4134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4135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4136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4137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4138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4139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4140</v>
      </c>
      <c r="B239" s="34" t="s">
        <v>3147</v>
      </c>
      <c r="C239" s="34" t="s">
        <v>4141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4142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4143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4144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4145</v>
      </c>
      <c r="B243" s="34" t="s">
        <v>4146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4147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4148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4149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4150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4151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4152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4153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4154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4155</v>
      </c>
      <c r="B252" s="34" t="s">
        <v>2151</v>
      </c>
      <c r="C252" s="34" t="s">
        <v>4156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4157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4158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4159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4160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4161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4162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4163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4164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4165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4166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4167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4168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4169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4170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4171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4172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4173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4174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4175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4176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4177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4178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4179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4180</v>
      </c>
      <c r="B276" s="34" t="s">
        <v>4181</v>
      </c>
      <c r="C276" s="34" t="s">
        <v>4182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4183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4184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4185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4186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4187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4188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4189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4190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4191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4192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4193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4194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4195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4196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4197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4198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4199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4200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4201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4202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4203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4204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4205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4206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4207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4208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4209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4210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4211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4212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4213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4214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4215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4216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4217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4218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4219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4220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4221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4222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4223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4224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4225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4226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4227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4228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4229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4230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4231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4232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4233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4234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4235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4236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4237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4238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4239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4240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4241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4242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4243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4244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4245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4246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4247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4248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4249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4250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4251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4252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4253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4254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4255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4256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4257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4258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4259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4260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4261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4262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4263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4264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4265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4266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4267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4268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4269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4270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4271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4272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4273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4274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4275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4276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4277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4278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4279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4280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4281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4282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4283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4284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4285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4286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4287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4288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4289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4290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4291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4292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4293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4294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4295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4296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4297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4298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4299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4300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4301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4302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4303</v>
      </c>
      <c r="B397" s="34" t="s">
        <v>4304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4305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4306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4307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4308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4309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4310</v>
      </c>
      <c r="B403" s="34" t="s">
        <v>4311</v>
      </c>
      <c r="C403" s="34" t="s">
        <v>4312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4313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4314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4315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4316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4317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4318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4319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4320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4321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4322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4323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4324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4325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4326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4327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4328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4329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4330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4331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4332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4333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4334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4335</v>
      </c>
      <c r="B426" s="34" t="s">
        <v>2538</v>
      </c>
      <c r="C426" s="34" t="s">
        <v>4336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4337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4338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4339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4340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4341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4342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4343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4344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4345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4346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4347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4348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4349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4350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4351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4352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4353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4354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4355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4356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4357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4358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4359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4360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4361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4362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4363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4364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4365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4366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4367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4368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4369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4370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4371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4372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4373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4374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4375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4376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4377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4378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4379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4380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4381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4382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4383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4384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4385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4386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4387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4388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4389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4390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4391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4392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4393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4394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4395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4396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4397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4398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4399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4400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4401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4402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4403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4404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4405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4406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4407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4408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4409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4410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4411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4412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4413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4414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4415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4416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4417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4418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4419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4420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4421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4422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4423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4424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4425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4426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4427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4428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4429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4430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4431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4432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4433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4434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4435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4436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4437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4438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4439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4440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4441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4442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4443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4444</v>
      </c>
      <c r="B534" s="34" t="s">
        <v>3232</v>
      </c>
      <c r="C534" s="34" t="s">
        <v>4445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4446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4447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4448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4449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4450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4451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4452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4453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4454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4455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4456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4457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4458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4459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4460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4461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4462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4463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4464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4465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4466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4467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4468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4469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4470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4471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4472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4473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4474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4475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4476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4477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4478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4479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4480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4481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4482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4483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4484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4485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4486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4487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4488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4489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4490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4491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4492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4493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4494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4495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4496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4497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4498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4499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4500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4501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4502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4503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4504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4505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4506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4507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4508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4509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4510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4511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4512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4513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4514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4515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4516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4517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4518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4519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4520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4521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4522</v>
      </c>
      <c r="B611" s="34" t="s">
        <v>3881</v>
      </c>
      <c r="C611" s="34" t="s">
        <v>3880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4523</v>
      </c>
      <c r="B612" s="34" t="s">
        <v>1929</v>
      </c>
      <c r="C612" s="34" t="s">
        <v>3882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4524</v>
      </c>
      <c r="B613" s="34" t="s">
        <v>1884</v>
      </c>
      <c r="C613" s="34" t="s">
        <v>3883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4525</v>
      </c>
      <c r="B614" s="34" t="s">
        <v>3885</v>
      </c>
      <c r="C614" s="34" t="s">
        <v>3884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4526</v>
      </c>
      <c r="B615" s="34" t="s">
        <v>4527</v>
      </c>
      <c r="C615" s="34" t="s">
        <v>4528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2025-12-03T10:52:58Z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