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7" documentId="8_{21511603-A870-4D4C-809B-4C28D285AF8F}" xr6:coauthVersionLast="47" xr6:coauthVersionMax="47" xr10:uidLastSave="{E6CC4629-1479-4E0F-844B-95073B6D7A7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<sst xmlns="http://schemas.openxmlformats.org/spreadsheetml/2006/main" count="8441" uniqueCount="3645">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</sst>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383" activePane="bottomLeft" state="frozen"/>
      <selection activeCell="F1" sqref="F1"/>
      <selection pane="bottomLeft" activeCell="A879" sqref="A87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B879" t="e">
        <f>_xlfn.CONCAT(bron[[#This Row],[personeelsnr]]," ",bron[[#This Row],[achternaam]]," ",bron[[#This Row],[voornaam]])</f>
        <v>#N/A</v>
      </c>
      <c r="C879" t="e">
        <f>VLOOKUP(bron[[#This Row],[personeelsnr]],'data hastus'!$A:$C,2,0)</f>
        <v>#N/A</v>
      </c>
      <c r="D879" t="e">
        <f>VLOOKUP(bron[[#This Row],[personeelsnr]],'data hastus'!$A:$C,3,0)</f>
        <v>#N/A</v>
      </c>
      <c r="E879" s="2" t="e">
        <f>VLOOKUP(bron[[#This Row],[personeelsnr]],'data hastus'!A:K,11,FALSE)</f>
        <v>#N/A</v>
      </c>
      <c r="G879" s="39"/>
      <c r="H879" s="39"/>
      <c r="I879" s="39"/>
      <c r="S879" s="36">
        <f>SUM(bron[[#This Row],[Januari]:[December]])</f>
        <v>0</v>
      </c>
      <c r="V879" s="37"/>
      <c r="W879" s="37"/>
    </row>
    <row r="880" spans="1:27" x14ac:dyDescent="0.25">
      <c r="B880" t="e">
        <f>_xlfn.CONCAT(bron[[#This Row],[personeelsnr]]," ",bron[[#This Row],[achternaam]]," ",bron[[#This Row],[voornaam]])</f>
        <v>#N/A</v>
      </c>
      <c r="C880" t="e">
        <f>VLOOKUP(bron[[#This Row],[personeelsnr]],'data hastus'!$A:$C,2,0)</f>
        <v>#N/A</v>
      </c>
      <c r="D880" t="e">
        <f>VLOOKUP(bron[[#This Row],[personeelsnr]],'data hastus'!$A:$C,3,0)</f>
        <v>#N/A</v>
      </c>
      <c r="E880" s="2" t="e">
        <f>VLOOKUP(bron[[#This Row],[personeelsnr]],'data hastus'!A:K,11,FALSE)</f>
        <v>#N/A</v>
      </c>
      <c r="G880" s="39"/>
      <c r="H880" s="39"/>
      <c r="I880" s="39"/>
      <c r="S880" s="36">
        <f>SUM(bron[[#This Row],[Januari]:[December]])</f>
        <v>0</v>
      </c>
      <c r="V880" s="37"/>
      <c r="W880" s="37"/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39"/>
      <c r="H881" s="39"/>
      <c r="I881" s="39"/>
      <c r="S881" s="36">
        <f>SUM(bron[[#This Row],[Januari]:[December]])</f>
        <v>0</v>
      </c>
      <c r="V881" s="37"/>
      <c r="W881" s="37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2025-09-29T07:03:33Z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