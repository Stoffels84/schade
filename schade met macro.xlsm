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8" documentId="8_{E6BCF386-B104-424C-B4A8-F32964540273}" xr6:coauthVersionLast="47" xr6:coauthVersionMax="47" xr10:uidLastSave="{718887E7-D06F-4813-9A66-ACD38E158257}"/>
  <bookViews>
    <workbookView xWindow="-120" yWindow="-120" windowWidth="29040" windowHeight="15720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2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14" i="1" l="1"/>
  <c r="C817" i="1"/>
  <c r="B817" i="1" s="1"/>
  <c r="D817" i="1"/>
  <c r="E817" i="1"/>
  <c r="S817" i="1"/>
  <c r="C816" i="1"/>
  <c r="D816" i="1"/>
  <c r="E816" i="1"/>
  <c r="S816" i="1"/>
  <c r="C815" i="1"/>
  <c r="B815" i="1" s="1"/>
  <c r="D815" i="1"/>
  <c r="E815" i="1"/>
  <c r="S815" i="1"/>
  <c r="S814" i="1"/>
  <c r="C813" i="1"/>
  <c r="B813" i="1" s="1"/>
  <c r="D813" i="1"/>
  <c r="E813" i="1"/>
  <c r="S813" i="1"/>
  <c r="C812" i="1"/>
  <c r="B812" i="1" s="1"/>
  <c r="D812" i="1"/>
  <c r="E812" i="1"/>
  <c r="S812" i="1"/>
  <c r="C811" i="1"/>
  <c r="B811" i="1" s="1"/>
  <c r="D811" i="1"/>
  <c r="E811" i="1"/>
  <c r="S811" i="1"/>
  <c r="C810" i="1"/>
  <c r="D810" i="1"/>
  <c r="E810" i="1"/>
  <c r="S810" i="1"/>
  <c r="C809" i="1"/>
  <c r="D809" i="1"/>
  <c r="E809" i="1"/>
  <c r="S809" i="1"/>
  <c r="C808" i="1"/>
  <c r="D808" i="1"/>
  <c r="E808" i="1"/>
  <c r="S808" i="1"/>
  <c r="C807" i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16" i="1" l="1"/>
  <c r="B810" i="1"/>
  <c r="B809" i="1"/>
  <c r="B808" i="1"/>
  <c r="B807" i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34" i="1"/>
  <c r="S679" i="1"/>
  <c r="S522" i="1"/>
  <c r="S597" i="1"/>
  <c r="S655" i="1"/>
  <c r="S638" i="1"/>
  <c r="S554" i="1"/>
  <c r="S656" i="1"/>
  <c r="S573" i="1"/>
  <c r="S515" i="1"/>
  <c r="S552" i="1"/>
  <c r="S569" i="1"/>
  <c r="S590" i="1"/>
  <c r="S537" i="1"/>
  <c r="S622" i="1"/>
  <c r="S582" i="1"/>
  <c r="S599" i="1"/>
  <c r="S591" i="1"/>
  <c r="S560" i="1"/>
  <c r="S535" i="1"/>
  <c r="S528" i="1"/>
  <c r="S605" i="1"/>
  <c r="S532" i="1"/>
  <c r="S517" i="1"/>
  <c r="S633" i="1"/>
  <c r="S712" i="1"/>
  <c r="S716" i="1"/>
  <c r="S667" i="1"/>
  <c r="S730" i="1"/>
  <c r="S526" i="1"/>
  <c r="S617" i="1"/>
  <c r="S628" i="1"/>
  <c r="S576" i="1"/>
  <c r="S626" i="1"/>
  <c r="S539" i="1"/>
  <c r="S596" i="1"/>
  <c r="S531" i="1"/>
  <c r="S719" i="1"/>
  <c r="S654" i="1"/>
  <c r="S663" i="1"/>
  <c r="S574" i="1"/>
  <c r="S556" i="1"/>
  <c r="S607" i="1"/>
  <c r="S634" i="1"/>
  <c r="S729" i="1"/>
  <c r="S544" i="1"/>
  <c r="S713" i="1"/>
  <c r="S694" i="1"/>
  <c r="S635" i="1"/>
  <c r="S525" i="1"/>
  <c r="S542" i="1"/>
  <c r="S728" i="1"/>
  <c r="S612" i="1"/>
  <c r="S632" i="1"/>
  <c r="S518" i="1"/>
  <c r="S524" i="1"/>
  <c r="S584" i="1"/>
  <c r="S588" i="1"/>
  <c r="S715" i="1"/>
  <c r="S521" i="1"/>
  <c r="S513" i="1"/>
  <c r="S571" i="1"/>
  <c r="S645" i="1"/>
  <c r="S717" i="1"/>
  <c r="S647" i="1"/>
  <c r="S649" i="1"/>
  <c r="S533" i="1"/>
  <c r="S639" i="1"/>
  <c r="S721" i="1"/>
  <c r="S709" i="1"/>
  <c r="S566" i="1"/>
  <c r="S572" i="1"/>
  <c r="S536" i="1"/>
  <c r="S592" i="1"/>
  <c r="S559" i="1"/>
  <c r="S545" i="1"/>
  <c r="S558" i="1"/>
  <c r="S565" i="1"/>
  <c r="S550" i="1"/>
  <c r="S601" i="1"/>
  <c r="S551" i="1"/>
  <c r="S557" i="1"/>
  <c r="S724" i="1"/>
  <c r="S538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49" i="1"/>
  <c r="S603" i="1"/>
  <c r="S623" i="1"/>
  <c r="S651" i="1"/>
  <c r="S621" i="1"/>
  <c r="S615" i="1"/>
  <c r="S543" i="1"/>
  <c r="S594" i="1"/>
  <c r="S711" i="1"/>
  <c r="S547" i="1"/>
  <c r="S514" i="1"/>
  <c r="S631" i="1"/>
  <c r="S529" i="1"/>
  <c r="S520" i="1"/>
  <c r="S546" i="1"/>
  <c r="S553" i="1"/>
  <c r="S555" i="1"/>
  <c r="S714" i="1"/>
  <c r="S718" i="1"/>
  <c r="S616" i="1"/>
  <c r="S627" i="1"/>
  <c r="S636" i="1"/>
  <c r="S614" i="1"/>
  <c r="S630" i="1"/>
  <c r="S540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9" i="1"/>
  <c r="S682" i="1"/>
  <c r="S548" i="1"/>
  <c r="S613" i="1"/>
  <c r="S646" i="1"/>
  <c r="S570" i="1"/>
  <c r="S648" i="1"/>
  <c r="S523" i="1"/>
  <c r="S669" i="1"/>
  <c r="S650" i="1"/>
  <c r="S527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30" i="1"/>
  <c r="S680" i="1"/>
  <c r="S668" i="1"/>
  <c r="S577" i="1"/>
  <c r="S563" i="1"/>
  <c r="S674" i="1"/>
  <c r="S620" i="1"/>
  <c r="S670" i="1"/>
  <c r="S598" i="1"/>
  <c r="S604" i="1"/>
  <c r="S671" i="1"/>
  <c r="S541" i="1"/>
  <c r="S720" i="1"/>
  <c r="S562" i="1"/>
  <c r="S581" i="1"/>
  <c r="S661" i="1"/>
  <c r="S583" i="1"/>
  <c r="S575" i="1"/>
  <c r="S624" i="1"/>
  <c r="S516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50" i="1"/>
  <c r="D550" i="1"/>
  <c r="E550" i="1"/>
  <c r="C725" i="1"/>
  <c r="D725" i="1"/>
  <c r="E725" i="1"/>
  <c r="B725" i="1" l="1"/>
  <c r="B550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53" i="1"/>
  <c r="D553" i="1"/>
  <c r="E553" i="1"/>
  <c r="C551" i="1"/>
  <c r="D551" i="1"/>
  <c r="E551" i="1"/>
  <c r="C548" i="1"/>
  <c r="D548" i="1"/>
  <c r="E548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7" i="1"/>
  <c r="E583" i="1"/>
  <c r="E577" i="1"/>
  <c r="E522" i="1"/>
  <c r="E519" i="1"/>
  <c r="E679" i="1"/>
  <c r="E533" i="1"/>
  <c r="E610" i="1"/>
  <c r="E554" i="1"/>
  <c r="E579" i="1"/>
  <c r="E580" i="1"/>
  <c r="E656" i="1"/>
  <c r="E638" i="1"/>
  <c r="E564" i="1"/>
  <c r="E655" i="1"/>
  <c r="E515" i="1"/>
  <c r="E573" i="1"/>
  <c r="E552" i="1"/>
  <c r="E590" i="1"/>
  <c r="E537" i="1"/>
  <c r="E569" i="1"/>
  <c r="E719" i="1"/>
  <c r="E599" i="1"/>
  <c r="E560" i="1"/>
  <c r="E582" i="1"/>
  <c r="E591" i="1"/>
  <c r="E622" i="1"/>
  <c r="E654" i="1"/>
  <c r="E528" i="1"/>
  <c r="E626" i="1"/>
  <c r="E525" i="1"/>
  <c r="E617" i="1"/>
  <c r="E712" i="1"/>
  <c r="E531" i="1"/>
  <c r="E694" i="1"/>
  <c r="E628" i="1"/>
  <c r="E730" i="1"/>
  <c r="E561" i="1"/>
  <c r="E526" i="1"/>
  <c r="E716" i="1"/>
  <c r="E596" i="1"/>
  <c r="E605" i="1"/>
  <c r="E517" i="1"/>
  <c r="E660" i="1"/>
  <c r="E539" i="1"/>
  <c r="E532" i="1"/>
  <c r="E633" i="1"/>
  <c r="E576" i="1"/>
  <c r="E667" i="1"/>
  <c r="E535" i="1"/>
  <c r="E663" i="1"/>
  <c r="E523" i="1"/>
  <c r="E612" i="1"/>
  <c r="E647" i="1"/>
  <c r="E728" i="1"/>
  <c r="E574" i="1"/>
  <c r="E634" i="1"/>
  <c r="E514" i="1"/>
  <c r="E724" i="1"/>
  <c r="E521" i="1"/>
  <c r="E607" i="1"/>
  <c r="E524" i="1"/>
  <c r="E715" i="1"/>
  <c r="E709" i="1"/>
  <c r="E571" i="1"/>
  <c r="E556" i="1"/>
  <c r="E518" i="1"/>
  <c r="E588" i="1"/>
  <c r="E595" i="1"/>
  <c r="E513" i="1"/>
  <c r="E729" i="1"/>
  <c r="E649" i="1"/>
  <c r="E635" i="1"/>
  <c r="E542" i="1"/>
  <c r="E584" i="1"/>
  <c r="E721" i="1"/>
  <c r="E544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7" i="1"/>
  <c r="E643" i="1"/>
  <c r="E593" i="1"/>
  <c r="E726" i="1"/>
  <c r="E624" i="1"/>
  <c r="E572" i="1"/>
  <c r="E557" i="1"/>
  <c r="E598" i="1"/>
  <c r="E720" i="1"/>
  <c r="E549" i="1"/>
  <c r="E543" i="1"/>
  <c r="E711" i="1"/>
  <c r="E592" i="1"/>
  <c r="E651" i="1"/>
  <c r="E625" i="1"/>
  <c r="E565" i="1"/>
  <c r="E566" i="1"/>
  <c r="E669" i="1"/>
  <c r="E567" i="1"/>
  <c r="E545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38" i="1"/>
  <c r="E575" i="1"/>
  <c r="E630" i="1"/>
  <c r="E568" i="1"/>
  <c r="E680" i="1"/>
  <c r="E623" i="1"/>
  <c r="E594" i="1"/>
  <c r="E536" i="1"/>
  <c r="E578" i="1"/>
  <c r="E657" i="1"/>
  <c r="E621" i="1"/>
  <c r="E615" i="1"/>
  <c r="E547" i="1"/>
  <c r="E606" i="1"/>
  <c r="E520" i="1"/>
  <c r="E661" i="1"/>
  <c r="E722" i="1"/>
  <c r="E648" i="1"/>
  <c r="E629" i="1"/>
  <c r="E641" i="1"/>
  <c r="C523" i="1"/>
  <c r="D523" i="1"/>
  <c r="C514" i="1"/>
  <c r="D514" i="1"/>
  <c r="C519" i="1"/>
  <c r="D519" i="1"/>
  <c r="C610" i="1"/>
  <c r="D610" i="1"/>
  <c r="B585" i="1"/>
  <c r="B516" i="1"/>
  <c r="C533" i="1"/>
  <c r="D533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34" i="1"/>
  <c r="D522" i="1"/>
  <c r="D641" i="1"/>
  <c r="D618" i="1"/>
  <c r="D679" i="1"/>
  <c r="D554" i="1"/>
  <c r="D656" i="1"/>
  <c r="D638" i="1"/>
  <c r="D655" i="1"/>
  <c r="D515" i="1"/>
  <c r="D573" i="1"/>
  <c r="D552" i="1"/>
  <c r="D590" i="1"/>
  <c r="D537" i="1"/>
  <c r="D569" i="1"/>
  <c r="D719" i="1"/>
  <c r="D599" i="1"/>
  <c r="D560" i="1"/>
  <c r="D582" i="1"/>
  <c r="D591" i="1"/>
  <c r="D622" i="1"/>
  <c r="D654" i="1"/>
  <c r="D528" i="1"/>
  <c r="D626" i="1"/>
  <c r="D525" i="1"/>
  <c r="D617" i="1"/>
  <c r="D712" i="1"/>
  <c r="D531" i="1"/>
  <c r="D694" i="1"/>
  <c r="D628" i="1"/>
  <c r="D730" i="1"/>
  <c r="D526" i="1"/>
  <c r="D716" i="1"/>
  <c r="D596" i="1"/>
  <c r="D605" i="1"/>
  <c r="D517" i="1"/>
  <c r="D660" i="1"/>
  <c r="D539" i="1"/>
  <c r="D532" i="1"/>
  <c r="D633" i="1"/>
  <c r="D576" i="1"/>
  <c r="D667" i="1"/>
  <c r="D535" i="1"/>
  <c r="D663" i="1"/>
  <c r="D612" i="1"/>
  <c r="D647" i="1"/>
  <c r="D728" i="1"/>
  <c r="D574" i="1"/>
  <c r="D634" i="1"/>
  <c r="D724" i="1"/>
  <c r="D521" i="1"/>
  <c r="D607" i="1"/>
  <c r="D524" i="1"/>
  <c r="D715" i="1"/>
  <c r="D709" i="1"/>
  <c r="D571" i="1"/>
  <c r="D556" i="1"/>
  <c r="D518" i="1"/>
  <c r="D588" i="1"/>
  <c r="D513" i="1"/>
  <c r="D729" i="1"/>
  <c r="D649" i="1"/>
  <c r="D635" i="1"/>
  <c r="D542" i="1"/>
  <c r="D584" i="1"/>
  <c r="D721" i="1"/>
  <c r="D544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7" i="1"/>
  <c r="D643" i="1"/>
  <c r="D593" i="1"/>
  <c r="D726" i="1"/>
  <c r="D624" i="1"/>
  <c r="D572" i="1"/>
  <c r="D557" i="1"/>
  <c r="D720" i="1"/>
  <c r="D549" i="1"/>
  <c r="D543" i="1"/>
  <c r="D711" i="1"/>
  <c r="D592" i="1"/>
  <c r="D651" i="1"/>
  <c r="D625" i="1"/>
  <c r="D565" i="1"/>
  <c r="D566" i="1"/>
  <c r="D669" i="1"/>
  <c r="D567" i="1"/>
  <c r="D545" i="1"/>
  <c r="D616" i="1"/>
  <c r="D601" i="1"/>
  <c r="D731" i="1"/>
  <c r="D640" i="1"/>
  <c r="D665" i="1"/>
  <c r="D683" i="1"/>
  <c r="D603" i="1"/>
  <c r="D631" i="1"/>
  <c r="D609" i="1"/>
  <c r="D650" i="1"/>
  <c r="D559" i="1"/>
  <c r="D538" i="1"/>
  <c r="D630" i="1"/>
  <c r="D568" i="1"/>
  <c r="D680" i="1"/>
  <c r="D623" i="1"/>
  <c r="D594" i="1"/>
  <c r="D536" i="1"/>
  <c r="D578" i="1"/>
  <c r="D657" i="1"/>
  <c r="D621" i="1"/>
  <c r="D615" i="1"/>
  <c r="D547" i="1"/>
  <c r="D606" i="1"/>
  <c r="D520" i="1"/>
  <c r="D661" i="1"/>
  <c r="D722" i="1"/>
  <c r="D648" i="1"/>
  <c r="D629" i="1"/>
  <c r="C534" i="1"/>
  <c r="C522" i="1"/>
  <c r="C641" i="1"/>
  <c r="C618" i="1"/>
  <c r="C679" i="1"/>
  <c r="C554" i="1"/>
  <c r="C656" i="1"/>
  <c r="C638" i="1"/>
  <c r="C655" i="1"/>
  <c r="C515" i="1"/>
  <c r="C573" i="1"/>
  <c r="C552" i="1"/>
  <c r="C590" i="1"/>
  <c r="C537" i="1"/>
  <c r="C569" i="1"/>
  <c r="C719" i="1"/>
  <c r="C599" i="1"/>
  <c r="C560" i="1"/>
  <c r="C582" i="1"/>
  <c r="C591" i="1"/>
  <c r="C622" i="1"/>
  <c r="C654" i="1"/>
  <c r="C528" i="1"/>
  <c r="C626" i="1"/>
  <c r="C525" i="1"/>
  <c r="C617" i="1"/>
  <c r="C712" i="1"/>
  <c r="C531" i="1"/>
  <c r="C694" i="1"/>
  <c r="C628" i="1"/>
  <c r="C730" i="1"/>
  <c r="C526" i="1"/>
  <c r="C716" i="1"/>
  <c r="C596" i="1"/>
  <c r="C605" i="1"/>
  <c r="C517" i="1"/>
  <c r="C660" i="1"/>
  <c r="C539" i="1"/>
  <c r="C532" i="1"/>
  <c r="C633" i="1"/>
  <c r="C576" i="1"/>
  <c r="C667" i="1"/>
  <c r="C535" i="1"/>
  <c r="C663" i="1"/>
  <c r="C612" i="1"/>
  <c r="C647" i="1"/>
  <c r="C728" i="1"/>
  <c r="C574" i="1"/>
  <c r="C634" i="1"/>
  <c r="C724" i="1"/>
  <c r="C521" i="1"/>
  <c r="C607" i="1"/>
  <c r="C524" i="1"/>
  <c r="C715" i="1"/>
  <c r="C709" i="1"/>
  <c r="C571" i="1"/>
  <c r="C556" i="1"/>
  <c r="C518" i="1"/>
  <c r="C588" i="1"/>
  <c r="C513" i="1"/>
  <c r="C729" i="1"/>
  <c r="C649" i="1"/>
  <c r="C635" i="1"/>
  <c r="C542" i="1"/>
  <c r="C584" i="1"/>
  <c r="C721" i="1"/>
  <c r="C544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7" i="1"/>
  <c r="C643" i="1"/>
  <c r="C593" i="1"/>
  <c r="C726" i="1"/>
  <c r="C624" i="1"/>
  <c r="C572" i="1"/>
  <c r="C557" i="1"/>
  <c r="C720" i="1"/>
  <c r="C549" i="1"/>
  <c r="C543" i="1"/>
  <c r="C711" i="1"/>
  <c r="C592" i="1"/>
  <c r="C651" i="1"/>
  <c r="C625" i="1"/>
  <c r="C565" i="1"/>
  <c r="C566" i="1"/>
  <c r="C669" i="1"/>
  <c r="C567" i="1"/>
  <c r="C545" i="1"/>
  <c r="C616" i="1"/>
  <c r="C601" i="1"/>
  <c r="C731" i="1"/>
  <c r="C640" i="1"/>
  <c r="C665" i="1"/>
  <c r="C683" i="1"/>
  <c r="C603" i="1"/>
  <c r="C631" i="1"/>
  <c r="C609" i="1"/>
  <c r="C650" i="1"/>
  <c r="C559" i="1"/>
  <c r="C538" i="1"/>
  <c r="C630" i="1"/>
  <c r="C568" i="1"/>
  <c r="C680" i="1"/>
  <c r="C623" i="1"/>
  <c r="C594" i="1"/>
  <c r="C536" i="1"/>
  <c r="C578" i="1"/>
  <c r="C657" i="1"/>
  <c r="C621" i="1"/>
  <c r="C615" i="1"/>
  <c r="C547" i="1"/>
  <c r="C606" i="1"/>
  <c r="C520" i="1"/>
  <c r="C661" i="1"/>
  <c r="C722" i="1"/>
  <c r="C648" i="1"/>
  <c r="C629" i="1"/>
  <c r="D597" i="1"/>
  <c r="C597" i="1"/>
  <c r="B563" i="1" l="1"/>
  <c r="B555" i="1"/>
  <c r="B553" i="1"/>
  <c r="B551" i="1"/>
  <c r="B548" i="1"/>
  <c r="B540" i="1"/>
  <c r="B546" i="1"/>
  <c r="B541" i="1"/>
  <c r="B529" i="1"/>
  <c r="B560" i="1"/>
  <c r="B523" i="1"/>
  <c r="B526" i="1"/>
  <c r="B525" i="1"/>
  <c r="B528" i="1"/>
  <c r="B552" i="1"/>
  <c r="B554" i="1"/>
  <c r="B514" i="1"/>
  <c r="B519" i="1"/>
  <c r="B591" i="1"/>
  <c r="B659" i="1"/>
  <c r="B649" i="1"/>
  <c r="B607" i="1"/>
  <c r="B539" i="1"/>
  <c r="B728" i="1"/>
  <c r="B517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22" i="1"/>
  <c r="B543" i="1"/>
  <c r="B538" i="1"/>
  <c r="B676" i="1"/>
  <c r="B588" i="1"/>
  <c r="B709" i="1"/>
  <c r="B715" i="1"/>
  <c r="B634" i="1"/>
  <c r="B647" i="1"/>
  <c r="B729" i="1"/>
  <c r="B599" i="1"/>
  <c r="B655" i="1"/>
  <c r="B694" i="1"/>
  <c r="B626" i="1"/>
  <c r="B537" i="1"/>
  <c r="B641" i="1"/>
  <c r="B663" i="1"/>
  <c r="B633" i="1"/>
  <c r="B596" i="1"/>
  <c r="B654" i="1"/>
  <c r="B622" i="1"/>
  <c r="B680" i="1"/>
  <c r="B631" i="1"/>
  <c r="B601" i="1"/>
  <c r="B557" i="1"/>
  <c r="B544" i="1"/>
  <c r="B567" i="1"/>
  <c r="B576" i="1"/>
  <c r="B547" i="1"/>
  <c r="B632" i="1"/>
  <c r="B584" i="1"/>
  <c r="B521" i="1"/>
  <c r="B661" i="1"/>
  <c r="B606" i="1"/>
  <c r="B657" i="1"/>
  <c r="B594" i="1"/>
  <c r="B603" i="1"/>
  <c r="B683" i="1"/>
  <c r="B616" i="1"/>
  <c r="B711" i="1"/>
  <c r="B572" i="1"/>
  <c r="B681" i="1"/>
  <c r="B542" i="1"/>
  <c r="B571" i="1"/>
  <c r="B724" i="1"/>
  <c r="B730" i="1"/>
  <c r="B656" i="1"/>
  <c r="B534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20" i="1"/>
  <c r="B623" i="1"/>
  <c r="B640" i="1"/>
  <c r="B545" i="1"/>
  <c r="B651" i="1"/>
  <c r="B602" i="1"/>
  <c r="B608" i="1"/>
  <c r="B518" i="1"/>
  <c r="B558" i="1"/>
  <c r="B648" i="1"/>
  <c r="B609" i="1"/>
  <c r="B565" i="1"/>
  <c r="B625" i="1"/>
  <c r="B549" i="1"/>
  <c r="B624" i="1"/>
  <c r="B643" i="1"/>
  <c r="B652" i="1"/>
  <c r="B587" i="1"/>
  <c r="B635" i="1"/>
  <c r="B524" i="1"/>
  <c r="B574" i="1"/>
  <c r="B667" i="1"/>
  <c r="B531" i="1"/>
  <c r="B712" i="1"/>
  <c r="B515" i="1"/>
  <c r="B615" i="1"/>
  <c r="B578" i="1"/>
  <c r="B536" i="1"/>
  <c r="B720" i="1"/>
  <c r="B593" i="1"/>
  <c r="B527" i="1"/>
  <c r="B627" i="1"/>
  <c r="B717" i="1"/>
  <c r="B513" i="1"/>
  <c r="B660" i="1"/>
  <c r="B533" i="1"/>
  <c r="B530" i="1"/>
  <c r="B532" i="1"/>
  <c r="B598" i="1"/>
  <c r="B595" i="1"/>
  <c r="B535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<sst xmlns="http://schemas.openxmlformats.org/spreadsheetml/2006/main" count="7220" uniqueCount="3466">
  <si>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</si>
  <si>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</si>
  <si>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</si>
  <si>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</si>
  <si>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</si>
  <si>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</si>
  <si>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</si>
  <si>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</si>
  <si>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</si>
  <si>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</si>
  <si>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</si>
  <si>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</si>
  <si>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</si>
  <si>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</si>
  <si>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</si>
  <si>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</si>
  <si>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</si>
  <si>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</si>
  <si>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</si>
  <si>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</si>
  <si>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</si>
  <si>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</si>
  <si>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</si>
  <si>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</si>
  <si>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</si>
  <si>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</si>
  <si>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</si>
  <si>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</si>
  <si>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</si>
  <si>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</si>
  <si>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</si>
  <si>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</si>
  <si>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</si>
  <si>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</si>
  <si>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</si>
  <si>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</si>
  <si>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</si>
  <si>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</si>
  <si>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</si>
  <si>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</si>
  <si>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</si>
  <si>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</si>
  <si>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</si>
  <si>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</si>
  <si>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</si>
  <si>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</si>
  <si>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</si>
  <si>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</si>
  <si>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</si>
  <si>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</si>
  <si>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</si>
  <si>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</si>
  <si>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</si>
  <si>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</si>
  <si>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</si>
  <si>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</si>
  <si>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</si>
  <si>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</si>
  <si>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</si>
  <si>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</si>
  <si>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</si>
  <si>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</si>
  <si>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</si>
  <si>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</si>
  <si>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</si>
  <si>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</si>
  <si>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</si>
  <si>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</si>
  <si>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</si>
  <si>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</si>
  <si>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</si>
  <si>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</si>
  <si>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</si>
  <si>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</si>
  <si>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</si>
  <si>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</si>
  <si>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</si>
  <si>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</si>
  <si>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</si>
  <si>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</si>
  <si>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</si>
  <si>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</si>
  <si>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</si>
  <si>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</si>
  <si>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</si>
  <si>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</si>
  <si>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</si>
  <si>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</si>
  <si>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</si>
  <si>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</si>
  <si>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</si>
  <si>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</si>
  <si>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</si>
  <si>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</si>
  <si>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</si>
  <si>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</si>
  <si>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</si>
  <si>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</si>
  <si>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</si>
  <si>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</si>
  <si>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</si>
  <si>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</si>
  <si>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</si>
  <si>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</si>
  <si>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</si>
  <si>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</si>
  <si>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</si>
  <si>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</si>
  <si>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</si>
  <si>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</si>
  <si>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</si>
  <si>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</si>
  <si>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</si>
  <si>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</si>
  <si>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</si>
  <si>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</si>
  <si>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</si>
  <si>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</si>
  <si>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</si>
  <si>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</si>
  <si>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</si>
  <si>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</si>
  <si>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</si>
  <si>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</si>
  <si>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</si>
  <si>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</si>
  <si>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</si>
  <si>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</si>
  <si>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</si>
  <si>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</si>
  <si>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</si>
  <si>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</si>
  <si>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</si>
  <si>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</si>
  <si>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</si>
  <si>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</si>
  <si>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</si>
  <si>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</si>
  <si>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</si>
  <si>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</si>
  <si>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</si>
  <si>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</si>
  <si>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</si>
  <si>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</si>
  <si>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</si>
  <si>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</si>
  <si>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</si>
  <si>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</si>
  <si>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</si>
  <si>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</si>
  <si>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</si>
  <si>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</si>
  <si>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</si>
  <si>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</si>
  <si>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</si>
  <si>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</si>
  <si>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</si>
  <si>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</si>
  <si>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</si>
  <si>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</si>
  <si>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</si>
  <si>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</si>
  <si>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</si>
  <si>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</si>
  <si>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</si>
  <si>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</si>
  <si>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</si>
  <si>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</si>
  <si>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</si>
  <si>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</si>
  <si>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</si>
  <si>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</si>
  <si>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</si>
  <si>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</si>
  <si>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</si>
  <si>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</si>
  <si>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</si>
  <si>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</si>
  <si>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</si>
  <si>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</si>
  <si>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</si>
  <si>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</si>
  <si>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</si>
  <si>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</si>
  <si>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</si>
  <si>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</si>
  <si>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</si>
  <si>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</si>
  <si>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</si>
  <si>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</si>
  <si>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</si>
  <si>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</si>
  <si>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</si>
  <si>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</si>
  <si>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</si>
  <si>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</si>
  <si>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</si>
  <si>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</si>
  <si>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</si>
  <si>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</si>
  <si>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</si>
  <si>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</si>
  <si>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</si>
  <si>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</si>
  <si>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</si>
  <si>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</si>
  <si>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</si>
  <si>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</si>
  <si>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</si>
  <si>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</si>
  <si>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</si>
  <si>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</si>
  <si>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</si>
  <si>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</si>
  <si>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</si>
  <si>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</si>
  <si>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</si>
  <si>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</si>
  <si>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</si>
  <si>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</si>
  <si>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</si>
  <si>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</si>
  <si>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</si>
  <si>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</si>
  <si>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</si>
  <si>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</si>
  <si>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</si>
  <si>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</si>
  <si>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</si>
  <si>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</si>
  <si>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</si>
  <si>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</si>
  <si>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</si>
  <si>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</si>
  <si>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</si>
  <si>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</si>
  <si>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</si>
  <si>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</si>
  <si>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</si>
  <si>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</si>
  <si>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</si>
  <si>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</si>
  <si>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</si>
  <si>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</si>
  <si>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</si>
  <si>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</si>
  <si>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</si>
  <si>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</si>
  <si>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</si>
  <si>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</si>
  <si>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</si>
  <si>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</si>
  <si>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</si>
  <si>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</si>
  <si>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</si>
  <si>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</si>
  <si>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</si>
  <si>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</si>
  <si>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</si>
  <si>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</si>
  <si>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</si>
  <si>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</si>
  <si>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</si>
  <si>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</si>
  <si>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</si>
  <si>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</si>
  <si>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</si>
  <si>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</si>
  <si>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</si>
  <si>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</si>
  <si>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</si>
  <si>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</si>
  <si>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</si>
  <si>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</si>
  <si>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</si>
  <si>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</si>
  <si>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</si>
  <si>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</si>
  <si>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</si>
  <si>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</si>
  <si>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</si>
  <si>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</si>
  <si>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</si>
  <si>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</si>
  <si>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</si>
  <si>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</si>
  <si>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</si>
  <si>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</si>
  <si>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</si>
  <si>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</si>
  <si>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</si>
  <si>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</si>
  <si>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</si>
  <si>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</si>
  <si>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</si>
  <si>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</si>
  <si>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</si>
  <si>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</si>
  <si>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</si>
  <si>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</si>
  <si>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</si>
  <si>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</si>
  <si>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</si>
  <si>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</si>
  <si>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</si>
  <si>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</si>
  <si>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</si>
  <si>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</si>
  <si>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</si>
  <si>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</si>
  <si>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</si>
  <si>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</si>
  <si>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</si>
  <si>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</si>
  <si>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</si>
  <si>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</si>
  <si>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</si>
  <si>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</si>
  <si>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</si>
  <si>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</si>
  <si>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</si>
  <si>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</si>
  <si>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</si>
  <si>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</si>
  <si>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</si>
  <si>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</si>
  <si>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</si>
  <si>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</si>
  <si>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</si>
  <si>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</si>
  <si>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</si>
  <si>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</si>
  <si>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</si>
  <si>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</si>
  <si>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</si>
  <si>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</si>
  <si>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</si>
  <si>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</si>
  <si>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</si>
  <si>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</si>
  <si>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</si>
  <si>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</si>
  <si>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</si>
  <si>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</si>
  <si>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</si>
  <si>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</si>
  <si>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</si>
  <si>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</si>
  <si>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</si>
  <si>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</si>
  <si>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</si>
  <si>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</si>
  <si>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</si>
  <si>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</si>
  <si>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</si>
  <si>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</si>
  <si>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</si>
  <si>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</si>
  <si>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</si>
  <si>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</si>
  <si>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</si>
  <si>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</si>
  <si>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</si>
  <si>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</si>
  <si>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</si>
  <si>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</si>
  <si>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</si>
  <si>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</si>
  <si>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</si>
  <si>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</si>
  <si>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</si>
  <si>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</si>
  <si>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</si>
  <si>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</si>
  <si>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</si>
  <si>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</si>
  <si>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</si>
  <si>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</si>
  <si>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</si>
  <si>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</si>
  <si>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</si>
  <si>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</si>
  <si>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</si>
  <si>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</si>
  <si>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</si>
  <si>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</si>
  <si>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</si>
  <si>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</si>
  <si>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</si>
  <si>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</si>
  <si>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</si>
  <si>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</si>
  <si>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</si>
  <si>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</si>
  <si>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</si>
  <si>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</si>
  <si>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</si>
  <si>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</si>
  <si>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</si>
  <si>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</si>
  <si>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</si>
  <si>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</si>
  <si>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</si>
  <si>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</si>
  <si>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</si>
  <si>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</si>
  <si>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</si>
  <si>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</si>
  <si>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</si>
  <si>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</si>
  <si>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</si>
  <si>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</si>
  <si>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</si>
  <si>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</si>
  <si>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</si>
  <si>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</si>
  <si>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</si>
  <si>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</si>
  <si>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</si>
  <si>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</si>
  <si>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</si>
  <si>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</si>
  <si>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</si>
  <si>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</si>
  <si>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</si>
  <si>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</si>
  <si>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</si>
  <si>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</si>
  <si>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</si>
  <si>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</si>
  <si>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</si>
  <si>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</si>
  <si>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</si>
  <si>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</si>
  <si>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</si>
  <si>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</si>
  <si>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</si>
  <si>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</si>
  <si>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</si>
  <si>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</si>
  <si>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</si>
  <si>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</si>
  <si>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</si>
  <si>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</si>
  <si>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</si>
  <si>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</si>
  <si>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</si>
  <si>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</si>
  <si>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</si>
  <si>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</si>
  <si>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</si>
  <si>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</si>
  <si>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</si>
  <si>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</si>
  <si>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</si>
  <si>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</si>
  <si>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</si>
  <si>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</si>
  <si>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</si>
  <si>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</si>
  <si>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</si>
  <si>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</si>
  <si>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</si>
  <si>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</si>
  <si>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</si>
  <si>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</si>
  <si>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</si>
  <si>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</si>
  <si>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</si>
  <si>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</si>
  <si>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</si>
  <si>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</si>
  <si>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</si>
  <si>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</si>
  <si>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</si>
  <si>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</si>
  <si>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</si>
  <si>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</si>
  <si>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</si>
  <si>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</si>
  <si>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</si>
  <si>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</si>
  <si>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</si>
  <si>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</si>
  <si>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</si>
  <si>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</si>
  <si>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</si>
  <si>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</si>
  <si>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</si>
  <si>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</si>
  <si>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</si>
  <si>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</si>
  <si>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</si>
  <si>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</si>
  <si>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</si>
  <si>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</si>
  <si>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</si>
  <si>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</si>
  <si>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</si>
  <si>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</si>
  <si>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</si>
  <si>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</si>
  <si>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</si>
  <si>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</si>
  <si>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</si>
  <si>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</si>
  <si>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</si>
  <si>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</si>
  <si>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</si>
  <si>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</si>
  <si>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</si>
  <si>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</si>
  <si>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</si>
  <si>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</si>
  <si>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</si>
  <si>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</si>
  <si>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</si>
  <si>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</si>
  <si>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</si>
  <si>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</si>
  <si>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</si>
  <si>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</si>
  <si>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</si>
  <si>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</si>
  <si>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</si>
  <si>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</si>
  <si>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</si>
  <si>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</si>
  <si>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</si>
  <si>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</si>
  <si>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</si>
  <si>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</si>
  <si>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</si>
  <si>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</si>
  <si>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</si>
  <si>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</si>
  <si>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</si>
  <si>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</si>
  <si>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</si>
  <si>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</si>
  <si>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</si>
  <si>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</si>
  <si>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</si>
  <si>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</si>
  <si>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</si>
  <si>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</si>
  <si>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</si>
  <si>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</si>
  <si>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</si>
  <si>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</si>
  <si>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</si>
  <si>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</si>
  <si>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</si>
  <si>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</si>
  <si>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</si>
  <si>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</si>
  <si>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</si>
  <si>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</si>
  <si>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</si>
  <si>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</si>
  <si>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</si>
  <si>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</si>
  <si>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</si>
  <si>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</si>
  <si>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</si>
  <si>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</si>
  <si>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</si>
  <si>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</si>
  <si>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</si>
  <si>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</si>
  <si>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</si>
  <si>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</si>
  <si>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</si>
  <si>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</si>
  <si>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</si>
  <si>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</si>
  <si>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</si>
  <si>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</si>
  <si>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</si>
  <si>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</si>
  <si>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</si>
  <si>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</si>
  <si>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</si>
  <si>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</si>
  <si>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</si>
  <si>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</si>
  <si>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</si>
  <si>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</si>
  <si>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</si>
  <si>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</si>
  <si>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</si>
  <si>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</si>
  <si>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</si>
  <si>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</si>
  <si>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</si>
  <si>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</si>
  <si>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</si>
  <si>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</si>
  <si>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</si>
  <si>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</si>
  <si>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</si>
  <si>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</si>
  <si>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</si>
  <si>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</si>
  <si>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</si>
  <si>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</si>
  <si>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</si>
  <si>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</si>
  <si>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</si>
  <si>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</si>
  <si>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</si>
  <si>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</si>
  <si>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</si>
  <si>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</si>
  <si>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</si>
  <si>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</si>
  <si>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</si>
  <si>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</si>
  <si>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</si>
  <si>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</si>
  <si>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</si>
  <si>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</si>
  <si>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</si>
  <si>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</si>
  <si>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</si>
  <si>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</si>
  <si>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</si>
  <si>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</si>
  <si>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</si>
  <si>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</si>
  <si>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</si>
  <si>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</si>
  <si>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</si>
  <si>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</si>
  <si>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</si>
  <si>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</si>
  <si>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</si>
  <si>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</si>
  <si>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</si>
  <si>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</si>
  <si>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</si>
  <si>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</si>
  <si>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</si>
  <si>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</si>
  <si>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</si>
  <si>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</si>
  <si>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</si>
  <si>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</si>
  <si>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</si>
  <si>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</si>
  <si>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</si>
  <si>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</si>
  <si>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</si>
  <si>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</si>
  <si>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</si>
  <si>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</si>
  <si>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</si>
  <si>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</si>
  <si>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</si>
  <si>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</si>
  <si>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</si>
  <si>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</si>
  <si>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</si>
  <si>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</si>
  <si>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</si>
  <si>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</si>
  <si>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</si>
  <si>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</si>
  <si>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</si>
  <si>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</si>
  <si>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</si>
  <si>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</si>
  <si>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</si>
  <si>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</si>
  <si>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</si>
  <si>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</si>
  <si>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</si>
  <si>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</si>
  <si>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</si>
  <si>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</si>
  <si>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</si>
  <si>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</si>
  <si>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</si>
  <si>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</si>
  <si>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</si>
  <si>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</si>
  <si>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</si>
  <si>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</si>
  <si>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</si>
  <si>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</si>
  <si>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</si>
  <si>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</si>
  <si>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</si>
  <si>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</si>
  <si>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</si>
  <si>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</si>
  <si>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</si>
  <si>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</si>
  <si>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</si>
  <si>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</si>
  <si>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</si>
  <si>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</si>
  <si>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</si>
  <si>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</si>
  <si>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</si>
  <si>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</si>
  <si>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</si>
  <si>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</si>
  <si>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</si>
  <si>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</si>
  <si>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</si>
  <si>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</si>
  <si>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</si>
  <si>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</si>
  <si>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</si>
  <si>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</si>
  <si>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</si>
  <si>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</si>
  <si>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</si>
  <si>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</si>
  <si>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</si>
  <si>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</si>
  <si>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</si>
  <si>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</si>
  <si>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</si>
  <si>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</si>
  <si>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</si>
  <si>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</si>
  <si>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</si>
  <si>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</si>
  <si>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</si>
  <si>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</si>
  <si>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</si>
  <si>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</si>
  <si>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</si>
  <si>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</si>
  <si>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</si>
  <si>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</si>
  <si>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</si>
  <si>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</si>
  <si>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</si>
  <si>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</si>
  <si>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</si>
  <si>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</si>
  <si>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</si>
  <si>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</si>
  <si>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</si>
  <si>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</si>
  <si>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</si>
  <si>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</si>
  <si>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</si>
  <si>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</si>
  <si>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</si>
  <si>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</si>
  <si>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</si>
  <si>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</si>
  <si>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</si>
  <si>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</si>
  <si>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</si>
  <si>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</si>
  <si>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</si>
  <si>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</si>
  <si>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</si>
  <si>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</si>
  <si>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</si>
  <si>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</si>
  <si>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</si>
  <si>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</si>
  <si>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</si>
  <si>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</si>
  <si>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</si>
  <si>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</si>
  <si>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</si>
  <si>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</si>
  <si>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</si>
  <si>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</si>
  <si>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</si>
  <si>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</si>
  <si>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</si>
  <si>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</si>
  <si>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</si>
  <si>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</si>
  <si>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</si>
  <si>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</si>
  <si>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</si>
  <si>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</si>
  <si>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</si>
  <si>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</si>
  <si>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</si>
  <si>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</si>
  <si>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</si>
  <si>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</si>
  <si>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</si>
  <si>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</si>
  <si>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</si>
  <si>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</si>
  <si>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</si>
  <si>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</si>
  <si>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</si>
  <si>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</si>
  <si>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</si>
  <si>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</si>
  <si>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</si>
  <si>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</si>
  <si>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</si>
  <si>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</si>
  <si>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</si>
  <si>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</si>
  <si>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</si>
  <si>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</si>
  <si>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</si>
  <si>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</si>
  <si>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</si>
  <si>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</si>
  <si>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</si>
  <si>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</si>
  <si>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</si>
  <si>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</si>
  <si>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</si>
  <si>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</si>
  <si>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</si>
  <si>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</si>
  <si>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</si>
  <si>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</si>
  <si>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</si>
  <si>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</si>
  <si>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</si>
  <si>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</si>
  <si>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</si>
  <si>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</si>
  <si>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</si>
  <si>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</si>
  <si>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</si>
  <si>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</si>
  <si>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</si>
  <si>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</si>
  <si>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</si>
  <si>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</si>
  <si>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</si>
  <si>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</si>
  <si>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</si>
  <si>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</si>
  <si>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</si>
  <si>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</si>
  <si>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</si>
  <si>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</si>
  <si>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</si>
  <si>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</si>
  <si>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</si>
  <si>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</si>
  <si>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</si>
  <si>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</si>
  <si>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</si>
  <si>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</si>
  <si>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</si>
  <si>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</si>
  <si>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</si>
  <si>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</si>
  <si>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</si>
  <si>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</si>
  <si>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</si>
  <si>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</si>
  <si>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</si>
  <si>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</si>
  <si>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</si>
  <si>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</si>
  <si>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</si>
  <si>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</si>
  <si>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</si>
  <si>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</si>
  <si>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</si>
  <si>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</si>
  <si>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</si>
  <si>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</si>
  <si>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</si>
  <si>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</si>
  <si>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</si>
  <si>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</si>
  <si>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</si>
  <si>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</si>
  <si>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</si>
  <si>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</si>
  <si>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</si>
  <si>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</si>
  <si>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</si>
  <si>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</si>
  <si>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</si>
  <si>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</si>
  <si>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</si>
  <si>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</si>
  <si>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</si>
  <si>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</si>
  <si>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</si>
  <si>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</si>
  <si>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</si>
  <si>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</si>
  <si>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</si>
  <si>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</si>
  <si>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</si>
  <si>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</si>
  <si>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</si>
  <si>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</si>
  <si>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</si>
  <si>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</si>
  <si>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</si>
  <si>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</si>
  <si>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</si>
  <si>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</si>
  <si>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</si>
  <si>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</si>
  <si>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</si>
  <si>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</si>
  <si>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</si>
  <si>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</si>
  <si>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</si>
  <si>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</si>
  <si>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</si>
  <si>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</si>
  <si>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</si>
  <si>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</si>
  <si>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</si>
  <si>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</si>
  <si>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</si>
  <si>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</si>
  <si>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</si>
  <si>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</si>
  <si>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</si>
  <si>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</si>
  <si>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</si>
  <si>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</si>
  <si>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</si>
  <si>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</si>
  <si>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</si>
  <si>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</si>
  <si>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</si>
  <si>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</si>
  <si>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</si>
  <si>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</si>
  <si>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</si>
  <si>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</si>
  <si>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</si>
  <si>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</si>
  <si>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</si>
  <si>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</si>
  <si>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</si>
  <si>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</si>
  <si>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</si>
  <si>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5328 Gent - E17 12012025 Abdi Shane Rashid.pdf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</si>
  <si>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</si>
  <si>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</si>
  <si>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</si>
  <si>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</si>
  <si>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</si>
  <si>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</si>
  <si>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</si>
  <si>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</si>
  <si>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6327 Gent 20012025.pdf</t>
  </si>
  <si>
    <t>EAF 5922 Sanderuustraat 21012025 Henri Steurbaut.pdf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</si>
  <si>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</si>
  <si>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</si>
  <si>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</si>
  <si>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</si>
  <si>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</si>
  <si>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</si>
  <si>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</si>
  <si>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</si>
  <si>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</si>
  <si>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</si>
  <si>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</si>
  <si>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</si>
  <si>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</si>
  <si>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</si>
  <si>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</si>
  <si>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</si>
  <si>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</si>
  <si>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</si>
  <si>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</si>
  <si>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</si>
  <si>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</si>
  <si>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</si>
  <si>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</si>
  <si>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</si>
  <si>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</si>
  <si>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</si>
  <si>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</si>
  <si>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</si>
  <si>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</si>
  <si>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</si>
  <si>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</si>
  <si>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</si>
  <si>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</si>
  <si>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</si>
  <si>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</si>
  <si>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</si>
  <si>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</si>
  <si>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</si>
  <si>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</si>
  <si>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</si>
  <si>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</si>
  <si>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</si>
  <si>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</si>
  <si>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</si>
  <si>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</si>
  <si>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</si>
  <si>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</si>
  <si>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</si>
  <si>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</si>
  <si>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</si>
  <si>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</si>
  <si>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</si>
  <si>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</si>
  <si>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</si>
  <si>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</si>
  <si>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</si>
  <si>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</si>
  <si>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</si>
  <si>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</si>
  <si>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</si>
  <si>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</si>
  <si>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</si>
  <si>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</si>
  <si>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</si>
  <si>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</si>
  <si>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</si>
  <si>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</si>
  <si>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</si>
  <si>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</si>
  <si>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</si>
  <si>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</si>
  <si>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</si>
  <si>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</si>
  <si>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</si>
  <si>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</si>
  <si>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</si>
  <si>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</si>
  <si>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</si>
  <si>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</si>
  <si>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</si>
  <si>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</si>
  <si>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</si>
  <si>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</si>
  <si>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</si>
  <si>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</si>
  <si>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</si>
  <si>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</si>
  <si>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</si>
  <si>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</si>
  <si>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</si>
  <si>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</si>
  <si>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</si>
  <si>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</si>
  <si>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</si>
  <si>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</si>
  <si>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</si>
  <si>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</si>
  <si>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</si>
  <si>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</si>
  <si>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</si>
  <si>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</si>
  <si>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</si>
  <si>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</si>
  <si>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</si>
  <si>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</si>
  <si>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</si>
  <si>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</si>
  <si>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</si>
  <si>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</si>
  <si>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</si>
  <si>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</si>
  <si>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</si>
  <si>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</si>
  <si>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</si>
  <si>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</si>
  <si>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</si>
  <si>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</si>
  <si>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</si>
  <si>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</si>
  <si>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</si>
  <si>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</si>
  <si>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</si>
  <si>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</si>
  <si>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</si>
  <si>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</si>
  <si>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</si>
  <si>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</si>
  <si>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</si>
  <si>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</si>
  <si>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</si>
  <si>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</si>
  <si>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</si>
  <si>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</si>
  <si>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</si>
  <si>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</si>
  <si>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</si>
  <si>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</si>
  <si>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</si>
  <si>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</si>
  <si>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</si>
  <si>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</si>
  <si>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</si>
  <si>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</si>
  <si>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</si>
  <si>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</si>
  <si>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</si>
  <si>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</si>
  <si>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</si>
  <si>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</si>
  <si>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</si>
  <si>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</si>
  <si>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</si>
  <si>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</si>
  <si>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</si>
  <si>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</si>
  <si>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</si>
  <si>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</si>
  <si>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</si>
  <si>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</si>
  <si>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</si>
  <si>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</si>
  <si>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</si>
  <si>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</si>
  <si>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</si>
  <si>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</si>
  <si>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</si>
  <si>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</si>
  <si>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</si>
  <si>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</si>
  <si>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</si>
  <si>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</si>
  <si>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</si>
  <si>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</si>
  <si>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</si>
  <si>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</si>
  <si>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</si>
  <si>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</si>
  <si>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</si>
  <si>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</si>
  <si>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</si>
  <si>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</si>
  <si>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</si>
  <si>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</si>
  <si>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</si>
  <si>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</si>
  <si>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</si>
  <si>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</si>
  <si>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</si>
  <si>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</si>
  <si>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</si>
  <si>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</si>
  <si>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</si>
  <si>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</si>
  <si>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</si>
  <si>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</si>
  <si>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</si>
  <si>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</si>
  <si>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</si>
  <si>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</si>
  <si>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</si>
  <si>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</si>
  <si>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</si>
  <si>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</si>
  <si>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</si>
  <si>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</si>
  <si>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</si>
  <si>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</si>
  <si>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</si>
  <si>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</si>
  <si>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</si>
  <si>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</si>
  <si>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</si>
  <si>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</si>
  <si>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</si>
  <si>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</si>
  <si>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</si>
  <si>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</si>
  <si>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</si>
  <si>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</si>
  <si>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</si>
  <si>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</si>
  <si>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</si>
  <si>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</si>
  <si>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</si>
  <si>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</si>
  <si>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</si>
  <si>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</si>
  <si>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</si>
  <si>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</si>
  <si>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</si>
  <si>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</si>
  <si>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</si>
  <si>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</si>
  <si>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</si>
  <si>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</si>
  <si>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</si>
  <si>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</si>
  <si>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</si>
  <si>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</si>
  <si>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</si>
  <si>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</si>
  <si>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</si>
  <si>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</si>
  <si>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</si>
  <si>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</si>
  <si>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</si>
  <si>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</si>
  <si>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</si>
  <si>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</si>
  <si>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</si>
  <si>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</si>
  <si>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</si>
  <si>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</si>
  <si>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</si>
  <si>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</si>
  <si>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</si>
  <si>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</si>
  <si>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</si>
  <si>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</si>
  <si>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</si>
  <si>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</si>
  <si>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</si>
  <si>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</si>
  <si>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</si>
  <si>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</si>
  <si>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</si>
  <si>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</si>
  <si>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</si>
  <si>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</si>
  <si>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</si>
  <si>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</si>
  <si>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</si>
  <si>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</si>
  <si>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</si>
  <si>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</si>
  <si>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</si>
  <si>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</si>
  <si>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</si>
  <si>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</si>
  <si>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</si>
  <si>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</si>
  <si>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</si>
  <si>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</si>
  <si>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</si>
  <si>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</si>
  <si>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</si>
  <si>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</si>
  <si>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</si>
  <si>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</si>
  <si>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</si>
  <si>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</si>
  <si>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</si>
  <si>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</si>
  <si>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</si>
  <si>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</si>
  <si>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</si>
  <si>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</si>
  <si>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</si>
  <si>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</si>
  <si>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</si>
  <si>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</si>
  <si>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</si>
  <si>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</si>
  <si>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</si>
  <si>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</si>
  <si>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</si>
  <si>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</si>
  <si>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</si>
  <si>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</si>
  <si>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</si>
  <si>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</si>
  <si>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</si>
  <si>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</si>
  <si>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</si>
  <si>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</si>
  <si>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</si>
  <si>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</si>
  <si>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</si>
  <si>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</si>
  <si>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</si>
  <si>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</si>
  <si>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</si>
  <si>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</si>
  <si>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</si>
  <si>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</si>
  <si>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</si>
  <si>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</si>
  <si>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</si>
  <si>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</si>
  <si>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</si>
  <si>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</si>
  <si>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</si>
  <si>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</si>
  <si>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</si>
  <si>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</si>
  <si>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</si>
  <si>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</si>
  <si>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</si>
  <si>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</si>
  <si>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</si>
  <si>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</si>
  <si>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</si>
  <si>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</si>
  <si>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</si>
  <si>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</si>
  <si>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</si>
  <si>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</si>
  <si>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</si>
  <si>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</si>
  <si>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</si>
  <si>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</si>
  <si>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</si>
  <si>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</si>
  <si>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</si>
  <si>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</si>
  <si>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</si>
  <si>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</si>
  <si>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</si>
  <si>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</si>
  <si>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</si>
  <si>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</si>
  <si>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</si>
  <si>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</si>
  <si>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</si>
  <si>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</si>
  <si>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</si>
  <si>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</si>
  <si>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</si>
  <si>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</si>
  <si>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</si>
  <si>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</si>
  <si>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</si>
  <si>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</si>
  <si>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</si>
  <si>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</si>
  <si>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</si>
  <si>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</si>
  <si>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</si>
  <si>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</si>
  <si>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</si>
  <si>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</si>
  <si>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</si>
  <si>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</si>
  <si>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</si>
  <si>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</si>
  <si>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</si>
  <si>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</si>
  <si>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</si>
  <si>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</si>
  <si>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</si>
  <si>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</si>
  <si>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</si>
  <si>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</si>
  <si>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</si>
  <si>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</si>
  <si>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</si>
  <si>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</si>
  <si>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</si>
  <si>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</si>
  <si>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</si>
  <si>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</si>
  <si>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</si>
  <si>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</si>
  <si>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</si>
  <si>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</si>
  <si>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</si>
  <si>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</si>
  <si>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</si>
  <si>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</si>
  <si>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</si>
  <si>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</si>
  <si>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</si>
  <si>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</si>
  <si>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</si>
  <si>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</si>
  <si>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</si>
  <si>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</si>
  <si>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</si>
  <si>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</si>
  <si>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</si>
  <si>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</si>
  <si>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</si>
  <si>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</si>
  <si>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</si>
  <si>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</si>
  <si>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</si>
  <si>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</si>
  <si>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</si>
  <si>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</si>
  <si>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</si>
  <si>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</si>
  <si>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</si>
  <si>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</si>
  <si>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</si>
  <si>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</si>
  <si>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</si>
  <si>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</si>
  <si>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</si>
  <si>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</si>
  <si>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</si>
  <si>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</si>
  <si>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</si>
  <si>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</si>
  <si>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</si>
  <si>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</si>
  <si>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</si>
  <si>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</si>
  <si>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</si>
  <si>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</si>
  <si>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</si>
  <si>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</si>
  <si>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</si>
  <si>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</si>
  <si>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</si>
  <si>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</si>
  <si>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</si>
  <si>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</si>
  <si>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</si>
  <si>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</si>
  <si>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</si>
  <si>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</si>
  <si>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</si>
  <si>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</si>
  <si>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</si>
  <si>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</si>
  <si>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</si>
  <si>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</si>
  <si>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</si>
  <si>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</si>
  <si>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</si>
  <si>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</si>
  <si>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</si>
  <si>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</si>
  <si>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</si>
  <si>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</si>
  <si>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</si>
  <si>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</si>
  <si>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</si>
  <si>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</si>
  <si>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</si>
  <si>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</si>
  <si>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</si>
  <si>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</si>
  <si>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</si>
  <si>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</si>
  <si>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</si>
  <si>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</si>
  <si>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</si>
  <si>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</si>
  <si>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</si>
  <si>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</si>
  <si>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</si>
  <si>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</si>
  <si>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</si>
  <si>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</si>
  <si>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</si>
  <si>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</si>
  <si>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</si>
  <si>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</si>
  <si>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</si>
  <si>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</si>
  <si>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</si>
  <si>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</si>
  <si>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</si>
  <si>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</si>
  <si>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</si>
  <si>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</si>
  <si>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</si>
  <si>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</si>
  <si>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</si>
  <si>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</si>
  <si>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</si>
  <si>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</si>
  <si>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</si>
  <si>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</si>
  <si>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</si>
  <si>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</si>
  <si>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</si>
  <si>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</si>
  <si>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</si>
  <si>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</si>
  <si>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</si>
  <si>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</si>
  <si>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</si>
  <si>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</si>
  <si>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</si>
  <si>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</si>
  <si>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</si>
  <si>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</si>
  <si>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</si>
  <si>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</si>
  <si>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</si>
  <si>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</si>
  <si>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</si>
  <si>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</si>
  <si>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</si>
  <si>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</si>
  <si>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</si>
  <si>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</si>
  <si>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</si>
  <si>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</si>
  <si>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</si>
  <si>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</si>
  <si>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</si>
  <si>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</si>
  <si>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</si>
  <si>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</si>
  <si>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</si>
  <si>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</si>
  <si>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</si>
  <si>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</si>
  <si>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</si>
  <si>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</si>
  <si>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</si>
  <si>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</si>
  <si>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</si>
  <si>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</si>
  <si>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</si>
  <si>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</si>
  <si>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</si>
  <si>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</si>
  <si>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</si>
  <si>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</si>
  <si>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</si>
  <si>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</si>
  <si>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</si>
  <si>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</si>
  <si>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</si>
  <si>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</si>
  <si>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</si>
  <si>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</si>
  <si>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</si>
  <si>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</si>
  <si>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</si>
  <si>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</si>
  <si>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</si>
  <si>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</si>
  <si>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</si>
  <si>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</si>
  <si>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</si>
  <si>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</si>
  <si>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</si>
  <si>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</si>
  <si>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</si>
  <si>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</si>
  <si>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</si>
  <si>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</si>
  <si>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</si>
  <si>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</si>
  <si>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</si>
  <si>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</si>
  <si>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</si>
  <si>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</si>
  <si>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</si>
  <si>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</si>
  <si>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</si>
  <si>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</si>
  <si>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</si>
  <si>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</si>
  <si>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</si>
  <si>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</si>
  <si>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</si>
  <si>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</si>
  <si>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</si>
  <si>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</si>
  <si>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</si>
  <si>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</si>
  <si>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</si>
  <si>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</si>
  <si>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</si>
  <si>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</si>
  <si>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</si>
  <si>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</si>
  <si>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</si>
  <si>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</si>
  <si>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</si>
  <si>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</si>
  <si>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</si>
  <si>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</si>
  <si>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</si>
  <si>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</si>
  <si>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</si>
  <si>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</si>
  <si>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</si>
  <si>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</si>
  <si>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</si>
  <si>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</si>
  <si>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</si>
  <si>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</si>
  <si>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</si>
  <si>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</si>
  <si>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</si>
  <si>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</si>
  <si>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</si>
  <si>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</si>
  <si>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</si>
  <si>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</si>
  <si>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</si>
  <si>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</si>
  <si>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</si>
  <si>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</si>
  <si>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</si>
  <si>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</si>
  <si>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</si>
  <si>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</si>
  <si>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</si>
  <si>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</si>
  <si>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</si>
  <si>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</si>
  <si>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</si>
  <si>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</si>
  <si>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</si>
  <si>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</si>
  <si>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</si>
  <si>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</si>
  <si>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</si>
  <si>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</si>
  <si>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</si>
  <si>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</si>
  <si>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</si>
  <si>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</si>
  <si>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</si>
  <si>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</si>
  <si>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</si>
  <si>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</si>
  <si>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</si>
  <si>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</si>
  <si>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</si>
  <si>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</si>
  <si>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</si>
  <si>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</si>
  <si>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</si>
  <si>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</si>
  <si>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</si>
  <si>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</si>
  <si>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</si>
  <si>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</si>
  <si>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</si>
  <si>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</si>
  <si>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</si>
  <si>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</si>
  <si>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</si>
  <si>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</si>
  <si>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</si>
  <si>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</si>
  <si>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</si>
  <si>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</si>
  <si>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</si>
  <si>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</si>
  <si>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</si>
  <si>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</si>
  <si>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</si>
  <si>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</si>
  <si>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</si>
  <si>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</si>
  <si>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</si>
  <si>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</si>
  <si>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</si>
  <si>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</si>
  <si>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</si>
  <si>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</si>
  <si>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</si>
  <si>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</si>
  <si>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</si>
  <si>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</si>
  <si>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</si>
  <si>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</si>
  <si>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</si>
  <si>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</si>
  <si>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</si>
  <si>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</si>
  <si>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</si>
  <si>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</si>
  <si>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</si>
  <si>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</si>
  <si>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</si>
  <si>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</si>
  <si>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</si>
  <si>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</si>
  <si>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</si>
  <si>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</si>
  <si>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</si>
  <si>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</si>
  <si>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</si>
  <si>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</si>
  <si>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</si>
  <si>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</si>
  <si>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</si>
  <si>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</si>
  <si>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</si>
  <si>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</si>
  <si>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</si>
  <si>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</si>
  <si>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</si>
  <si>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</si>
  <si>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</si>
  <si>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</si>
  <si>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</si>
  <si>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</si>
  <si>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</si>
  <si>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</si>
  <si>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</si>
  <si>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</si>
  <si>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</si>
  <si>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</si>
  <si>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</si>
  <si>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</si>
  <si>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</si>
  <si>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</si>
  <si>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</si>
  <si>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</si>
  <si>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</si>
  <si>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</si>
  <si>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</si>
  <si>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</si>
  <si>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</si>
  <si>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</si>
  <si>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</si>
  <si>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</si>
  <si>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</si>
  <si>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</si>
  <si>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</si>
  <si>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</si>
  <si>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</si>
  <si>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</si>
  <si>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</si>
  <si>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</si>
  <si>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</si>
  <si>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</si>
  <si>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</si>
  <si>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</si>
  <si>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</si>
  <si>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</si>
  <si>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</si>
  <si>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</si>
  <si>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</si>
  <si>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</si>
  <si>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</si>
  <si>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</si>
  <si>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</si>
  <si>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</si>
  <si>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</si>
  <si>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</si>
  <si>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</si>
  <si>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</si>
  <si>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</si>
  <si>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</si>
  <si>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</si>
  <si>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</si>
  <si>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</si>
  <si>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</si>
  <si>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</si>
  <si>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</si>
  <si>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</si>
  <si>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</si>
  <si>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</si>
  <si>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</si>
  <si>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</si>
  <si>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</si>
  <si>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</si>
  <si>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</si>
  <si>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</si>
  <si>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</si>
  <si>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</si>
  <si>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</si>
  <si>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</si>
  <si>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</si>
  <si>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</si>
  <si>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</si>
  <si>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</si>
  <si>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</si>
  <si>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</si>
  <si>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</si>
  <si>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</si>
  <si>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</si>
  <si>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</si>
  <si>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</si>
  <si>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</si>
  <si>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</si>
  <si>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</si>
  <si>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</si>
  <si>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</si>
  <si>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</si>
  <si>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</si>
  <si>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</si>
  <si>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</si>
  <si>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</si>
  <si>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</si>
  <si>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</si>
  <si>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</si>
  <si>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</si>
  <si>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</si>
  <si>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</si>
  <si>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</si>
  <si>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</si>
  <si>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</si>
  <si>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</si>
  <si>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</si>
  <si>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</si>
  <si>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</si>
  <si>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</si>
  <si>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</si>
  <si>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</si>
  <si>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</si>
  <si>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</si>
  <si>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</si>
  <si>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</si>
  <si>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</si>
  <si>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</si>
  <si>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</si>
  <si>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</si>
  <si>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</si>
  <si>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</si>
  <si>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</si>
  <si>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</si>
  <si>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</si>
  <si>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</si>
  <si>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</si>
  <si>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</si>
  <si>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</si>
  <si>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</si>
  <si>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</si>
  <si>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</si>
  <si>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</si>
  <si>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</si>
  <si>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</si>
  <si>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</si>
  <si>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</si>
  <si>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</si>
  <si>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</si>
  <si>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</si>
  <si>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</si>
  <si>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</si>
  <si>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</si>
  <si>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</si>
  <si>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</si>
  <si>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</si>
  <si>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</si>
  <si>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</si>
  <si>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</si>
  <si>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</si>
  <si>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</si>
  <si>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</si>
  <si>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</si>
  <si>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</si>
  <si>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</si>
  <si>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</si>
  <si>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</si>
  <si>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</si>
  <si>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</si>
  <si>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</si>
  <si>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</si>
  <si>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</si>
  <si>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</si>
  <si>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</si>
  <si>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</si>
  <si>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</si>
  <si>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</si>
  <si>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</si>
  <si>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</si>
  <si>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</si>
  <si>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</si>
  <si>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</si>
  <si>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</si>
  <si>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</si>
  <si>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</si>
  <si>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</si>
  <si>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</si>
  <si>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</si>
  <si>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</si>
  <si>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</si>
  <si>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</si>
  <si>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</si>
  <si>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</si>
  <si>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</si>
  <si>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</si>
  <si>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</si>
  <si>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</si>
  <si>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</si>
  <si>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</si>
  <si>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</si>
  <si>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</si>
  <si>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</si>
  <si>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</si>
  <si>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</si>
  <si>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</si>
  <si>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</si>
  <si>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</si>
  <si>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</si>
  <si>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</si>
  <si>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</si>
  <si>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</si>
  <si>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</si>
  <si>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</si>
  <si>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</si>
  <si>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</si>
  <si>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</si>
  <si>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</si>
  <si>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</si>
  <si>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</si>
  <si>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</si>
  <si>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</si>
  <si>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</si>
  <si>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</si>
  <si>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</si>
  <si>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</si>
  <si>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</si>
  <si>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</si>
  <si>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</si>
  <si>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</si>
  <si>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</si>
  <si>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</si>
  <si>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</si>
  <si>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</si>
  <si>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</si>
  <si>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</si>
  <si>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</si>
  <si>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</si>
  <si>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</si>
  <si>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</si>
  <si>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</si>
  <si>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</si>
  <si>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</si>
  <si>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</si>
  <si>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</si>
  <si>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</si>
  <si>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</si>
  <si>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</si>
  <si>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</si>
  <si>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</si>
  <si>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</si>
  <si>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</si>
  <si>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</si>
  <si>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</si>
  <si>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</si>
  <si>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</si>
  <si>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</si>
  <si>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</si>
  <si>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</si>
  <si>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</si>
  <si>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</si>
  <si>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</si>
  <si>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</si>
  <si>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</si>
  <si>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</si>
  <si>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</si>
  <si>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</si>
  <si>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</si>
  <si>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</si>
  <si>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</si>
  <si>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</si>
  <si>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</si>
  <si>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</si>
  <si>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</si>
  <si>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</si>
  <si>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</si>
  <si>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</si>
  <si>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</si>
  <si>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</si>
  <si>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</si>
  <si>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</si>
  <si>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</si>
  <si>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</si>
  <si>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</si>
  <si>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</si>
  <si>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</si>
  <si>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</si>
  <si>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</si>
  <si>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</si>
  <si>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</si>
  <si>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</si>
  <si>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</si>
  <si>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</si>
  <si>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</si>
  <si>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</si>
  <si>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</si>
  <si>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</si>
  <si>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</si>
  <si>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</si>
  <si>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</si>
  <si>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</si>
  <si>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</si>
  <si>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</si>
  <si>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</si>
  <si>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</si>
  <si>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</si>
  <si>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</si>
  <si>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</si>
  <si>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</si>
  <si>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</si>
  <si>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</si>
  <si>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</si>
  <si>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</si>
  <si>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</si>
  <si>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</si>
  <si>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</si>
  <si>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</si>
  <si>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</si>
  <si>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</si>
  <si>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</si>
  <si>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</si>
  <si>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</si>
  <si>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</si>
  <si>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</si>
  <si>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</si>
  <si>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</si>
  <si>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</si>
  <si>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</si>
  <si>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</si>
  <si>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</si>
  <si>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</si>
  <si>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</si>
  <si>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</si>
  <si>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</si>
  <si>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</si>
  <si>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</si>
  <si>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</si>
  <si>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</si>
  <si>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</si>
  <si>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</si>
  <si>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</si>
  <si>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</si>
  <si>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</si>
  <si>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</si>
  <si>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</si>
  <si>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</si>
  <si>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</si>
  <si>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</si>
  <si>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</si>
  <si>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</si>
  <si>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</si>
  <si>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</si>
  <si>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</si>
  <si>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</si>
  <si>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</si>
  <si>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</si>
  <si>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</si>
  <si>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</si>
  <si>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</si>
  <si>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</si>
  <si>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</si>
  <si>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</si>
  <si>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</si>
  <si>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</si>
  <si>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</si>
  <si>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</si>
  <si>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</si>
  <si>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</si>
  <si>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</si>
  <si>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</si>
  <si>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</si>
  <si>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</si>
  <si>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</si>
  <si>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</si>
  <si>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</si>
  <si>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</si>
  <si>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</si>
  <si>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</si>
  <si>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</si>
  <si>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</si>
  <si>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</si>
  <si>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</si>
  <si>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</si>
  <si>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</si>
  <si>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</si>
  <si>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</si>
  <si>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</si>
  <si>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</si>
  <si>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</si>
  <si>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</si>
  <si>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</si>
  <si>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</si>
  <si>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</si>
  <si>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</si>
  <si>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</si>
  <si>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</si>
  <si>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</si>
  <si>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</si>
  <si>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</si>
  <si>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</si>
  <si>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</si>
  <si>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</si>
  <si>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</si>
  <si>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</si>
  <si>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</si>
  <si>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</si>
  <si>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</si>
  <si>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</si>
  <si>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</si>
  <si>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</si>
  <si>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</si>
  <si>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</si>
  <si>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</si>
  <si>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</si>
  <si>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</si>
  <si>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</si>
  <si>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</si>
  <si>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</si>
  <si>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</si>
  <si>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</si>
  <si>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</si>
  <si>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</si>
  <si>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</si>
  <si>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</si>
  <si>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</si>
  <si>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</si>
  <si>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</si>
  <si>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</si>
  <si>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</si>
  <si>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</si>
  <si>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</si>
  <si>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</si>
  <si>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</si>
  <si>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</si>
  <si>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</si>
  <si>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</si>
  <si>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</si>
  <si>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</si>
  <si>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</si>
  <si>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</si>
  <si>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</si>
  <si>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</si>
  <si>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</si>
  <si>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</si>
  <si>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</si>
  <si>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</si>
  <si>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</si>
  <si>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</si>
  <si>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</si>
  <si>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</si>
  <si>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</si>
  <si>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</si>
  <si>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</si>
  <si>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</si>
  <si>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</si>
  <si>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</si>
  <si>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</si>
  <si>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</si>
  <si>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</si>
  <si>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</si>
  <si>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</si>
  <si>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</si>
  <si>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</si>
  <si>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</si>
  <si>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</si>
  <si>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</si>
  <si>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</si>
  <si>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</si>
  <si>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</si>
  <si>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</si>
  <si>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</si>
  <si>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</si>
  <si>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</si>
  <si>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</si>
  <si>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</si>
  <si>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</si>
  <si>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</si>
  <si>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</si>
  <si>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</si>
  <si>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</si>
  <si>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</si>
  <si>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</si>
  <si>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</si>
  <si>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</si>
  <si>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</si>
  <si>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</si>
  <si>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</si>
  <si>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</si>
  <si>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</si>
  <si>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</si>
  <si>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</si>
  <si>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</si>
  <si>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</si>
  <si>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</si>
  <si>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</si>
  <si>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</si>
  <si>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</si>
  <si>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</si>
  <si>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</si>
  <si>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</si>
  <si>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</si>
  <si>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</si>
  <si>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</si>
  <si>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</si>
  <si>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</si>
  <si>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</si>
  <si>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</si>
  <si>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</si>
  <si>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</si>
  <si>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</si>
  <si>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</si>
  <si>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</si>
  <si>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</si>
  <si>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</si>
  <si>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</si>
  <si>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</si>
  <si>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</si>
  <si>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</si>
  <si>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</si>
  <si>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</si>
  <si>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</si>
  <si>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</si>
  <si>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</si>
  <si>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</si>
  <si>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</si>
  <si>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</si>
  <si>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</si>
  <si>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</si>
  <si>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</si>
  <si>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</si>
  <si>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</si>
  <si>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</si>
  <si>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</si>
  <si>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</si>
  <si>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</si>
  <si>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</si>
  <si>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</si>
  <si>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</si>
  <si>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</si>
  <si>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</si>
  <si>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</si>
  <si>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</si>
  <si>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</si>
  <si>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</si>
  <si>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</si>
  <si>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</si>
  <si>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</si>
  <si>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</si>
  <si>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</si>
  <si>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</si>
  <si>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</si>
  <si>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</si>
  <si>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</si>
  <si>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</si>
  <si>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</si>
  <si>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</si>
  <si>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</si>
  <si>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</si>
  <si>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</si>
  <si>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</si>
  <si>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</si>
  <si>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</si>
  <si>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</si>
  <si>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</si>
  <si>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</si>
  <si>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</si>
  <si>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</si>
  <si>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</si>
  <si>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</si>
  <si>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</si>
  <si>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</si>
  <si>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</si>
  <si>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</si>
  <si>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</si>
  <si>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</si>
  <si>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</si>
  <si>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</si>
  <si>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</si>
  <si>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</si>
  <si>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</si>
  <si>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</si>
  <si>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</si>
  <si>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</si>
  <si>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</si>
  <si>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</si>
  <si>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</si>
  <si>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</si>
  <si>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</si>
  <si>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</si>
  <si>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</si>
  <si>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</si>
  <si>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</si>
  <si>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</si>
  <si>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</si>
  <si>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</si>
  <si>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</si>
  <si>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</si>
  <si>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</si>
  <si>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</si>
  <si>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</si>
  <si>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</si>
  <si>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</si>
  <si>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</si>
  <si>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</si>
  <si>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</si>
  <si>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</si>
  <si>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</si>
  <si>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</si>
  <si>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</si>
  <si>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</si>
  <si>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</si>
  <si>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</si>
  <si>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</si>
  <si>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</si>
  <si>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</si>
  <si>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</si>
  <si>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</si>
  <si>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</si>
  <si>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</si>
  <si>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</si>
  <si>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</si>
  <si>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</si>
  <si>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</si>
  <si>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</si>
  <si>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</si>
  <si>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</si>
  <si>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</si>
  <si>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</si>
  <si>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</si>
  <si>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</si>
  <si>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</si>
  <si>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</si>
  <si>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</si>
  <si>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</si>
  <si>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</si>
  <si>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</si>
  <si>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</si>
  <si>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</si>
  <si>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</si>
  <si>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</si>
  <si>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</si>
  <si>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</si>
  <si>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</si>
  <si>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</si>
  <si>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</si>
  <si>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</si>
  <si>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</si>
  <si>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</si>
  <si>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</si>
  <si>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</si>
  <si>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</si>
  <si>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</si>
  <si>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</si>
  <si>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</si>
  <si>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</si>
  <si>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</si>
  <si>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</si>
  <si>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</si>
  <si>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</si>
  <si>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</si>
  <si>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</si>
  <si>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</si>
  <si>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</si>
  <si>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</si>
  <si>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</si>
  <si>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</si>
  <si>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</si>
  <si>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</si>
  <si>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</si>
  <si>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</si>
  <si>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</si>
  <si>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</si>
  <si>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</si>
  <si>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</si>
  <si>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</si>
  <si>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</si>
  <si>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</si>
  <si>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</si>
  <si>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</si>
  <si>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</si>
  <si>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</si>
  <si>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</si>
  <si>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</si>
  <si>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</si>
  <si>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</si>
  <si>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</si>
  <si>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</si>
  <si>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</si>
  <si>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</si>
  <si>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</si>
  <si>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</si>
  <si>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</si>
  <si>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</si>
  <si>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</si>
  <si>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</si>
  <si>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</si>
  <si>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</si>
  <si>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</si>
  <si>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</si>
  <si>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</si>
  <si>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</si>
  <si>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</si>
  <si>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</si>
  <si>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</si>
  <si>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</si>
  <si>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</si>
  <si>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</si>
  <si>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</si>
  <si>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</si>
  <si>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</si>
  <si>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</si>
  <si>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</si>
  <si>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</si>
  <si>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</si>
  <si>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</si>
  <si>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</si>
  <si>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</si>
  <si>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</si>
  <si>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</si>
  <si>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</si>
  <si>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</si>
  <si>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</si>
  <si>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</si>
  <si>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</si>
  <si>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</si>
  <si>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</si>
  <si>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</si>
  <si>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</si>
  <si>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</si>
  <si>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</si>
  <si>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</si>
  <si>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</si>
  <si>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</si>
  <si>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</si>
  <si>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</si>
  <si>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</si>
  <si>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</si>
  <si>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</si>
  <si>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</si>
  <si>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</si>
  <si>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</si>
  <si>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</si>
  <si>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</si>
  <si>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</si>
  <si>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</si>
  <si>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</si>
  <si>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</si>
  <si>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</si>
  <si>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</si>
  <si>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</si>
  <si>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</si>
  <si>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</si>
  <si>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</si>
  <si>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</si>
  <si>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</si>
  <si>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</si>
  <si>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</si>
  <si>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</si>
  <si>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</si>
  <si>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</si>
  <si>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</si>
  <si>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</si>
  <si>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</si>
  <si>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</si>
  <si>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</si>
  <si>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</si>
  <si>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</si>
  <si>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</si>
  <si>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</si>
  <si>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</si>
  <si>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</si>
  <si>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</si>
  <si>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</si>
  <si>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</si>
  <si>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</si>
  <si>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</si>
  <si>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</si>
  <si>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</si>
  <si>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</si>
  <si>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</si>
  <si>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</si>
  <si>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</si>
  <si>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</si>
  <si>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</si>
  <si>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</si>
  <si>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</si>
  <si>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</si>
  <si>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</si>
  <si>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</si>
  <si>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</si>
  <si>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</si>
  <si>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</si>
  <si>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</si>
  <si>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</si>
  <si>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</si>
  <si>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</si>
  <si>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</si>
  <si>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</si>
  <si>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</si>
  <si>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</si>
  <si>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</si>
  <si>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</si>
  <si>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</si>
  <si>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</si>
  <si>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</si>
  <si>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</si>
  <si>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</si>
  <si>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</si>
  <si>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</si>
  <si>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</si>
  <si>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</si>
  <si>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</si>
  <si>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</si>
  <si>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</si>
  <si>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</si>
  <si>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</si>
  <si>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</si>
  <si>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</si>
  <si>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</si>
  <si>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</si>
  <si>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</si>
  <si>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</si>
  <si>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</si>
  <si>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</si>
  <si>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</si>
  <si>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</si>
  <si>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</si>
  <si>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</si>
  <si>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</si>
  <si>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</si>
  <si>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</si>
  <si>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</si>
  <si>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</si>
  <si>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</si>
  <si>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</si>
  <si>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</si>
  <si>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</si>
  <si>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</si>
  <si>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</si>
  <si>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</si>
  <si>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</si>
  <si>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</si>
  <si>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</si>
  <si>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</si>
  <si>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</si>
  <si>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</si>
  <si>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</si>
  <si>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</si>
  <si>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</si>
  <si>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</si>
  <si>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</si>
  <si>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</si>
  <si>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</si>
  <si>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</si>
  <si>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</si>
  <si>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</si>
  <si>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</si>
  <si>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</si>
  <si>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</si>
  <si>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</si>
  <si>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</si>
  <si>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</si>
  <si>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</si>
  <si>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</si>
  <si>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</si>
  <si>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</si>
  <si>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</si>
  <si>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</si>
  <si>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</si>
  <si>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</si>
  <si>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</si>
  <si>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</si>
  <si>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</si>
  <si>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</si>
  <si>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</si>
  <si>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</si>
  <si>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</si>
  <si>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</si>
  <si>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</si>
  <si>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</si>
  <si>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</si>
  <si>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</si>
  <si>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</si>
  <si>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</si>
  <si>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</si>
  <si>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</si>
  <si>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</si>
  <si>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</si>
  <si>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</si>
  <si>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</si>
  <si>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</si>
  <si>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</si>
  <si>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</si>
  <si>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</si>
  <si>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</si>
  <si>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</si>
  <si>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</si>
  <si>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</si>
  <si>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</si>
  <si>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</si>
  <si>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</si>
  <si>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</si>
  <si>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</si>
  <si>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</si>
  <si>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</si>
  <si>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</si>
  <si>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</si>
  <si>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</si>
  <si>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</si>
  <si>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</si>
  <si>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</si>
  <si>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</si>
  <si>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</si>
  <si>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</si>
  <si>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</si>
  <si>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</si>
  <si>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</si>
  <si>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</si>
  <si>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</si>
  <si>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</si>
  <si>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</si>
  <si>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</si>
  <si>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</si>
  <si>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</si>
  <si>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</si>
  <si>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</si>
  <si>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</si>
  <si>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</si>
  <si>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</si>
  <si>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</si>
  <si>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</si>
  <si>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</si>
  <si>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</si>
  <si>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</si>
  <si>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</si>
  <si>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</si>
  <si>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</si>
  <si>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</si>
  <si>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</si>
  <si>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</si>
  <si>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</si>
  <si>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</si>
  <si>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</si>
  <si>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</si>
  <si>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</si>
  <si>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</si>
  <si>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</si>
  <si>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</si>
  <si>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</si>
  <si>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</si>
  <si>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</si>
  <si>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</si>
  <si>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</si>
  <si>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</si>
  <si>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</si>
  <si>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</si>
  <si>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</si>
  <si>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</si>
  <si>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</si>
  <si>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</si>
  <si>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</si>
  <si>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</si>
  <si>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</si>
  <si>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</si>
  <si>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</si>
  <si>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</si>
  <si>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</si>
  <si>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</si>
  <si>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</si>
  <si>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</si>
  <si>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</si>
  <si>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</si>
  <si>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</si>
  <si>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</si>
  <si>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</si>
  <si>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</si>
  <si>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</si>
  <si>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</si>
  <si>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</si>
  <si>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</si>
  <si>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</si>
  <si>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</si>
  <si>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</si>
  <si>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</si>
  <si>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</si>
  <si>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</si>
  <si>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</si>
  <si>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</si>
  <si>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</si>
  <si>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</si>
  <si>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</si>
  <si>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</si>
  <si>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</si>
  <si>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</si>
  <si>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</si>
  <si>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</si>
  <si>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</si>
  <si>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</si>
  <si>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</si>
  <si>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</si>
  <si>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</si>
  <si>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</si>
  <si>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</si>
  <si>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</si>
  <si>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</si>
  <si>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</si>
  <si>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</si>
  <si>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</si>
  <si>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</si>
  <si>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</si>
  <si>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</si>
  <si>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</si>
  <si>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</si>
  <si>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</si>
  <si>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</si>
  <si>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</si>
  <si>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</si>
  <si>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</si>
  <si>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</si>
  <si>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</si>
  <si>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</si>
  <si>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</si>
  <si>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</si>
  <si>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</si>
  <si>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</si>
  <si>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</si>
  <si>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</si>
  <si>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</si>
  <si>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</si>
  <si>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</si>
  <si>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</si>
  <si>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</si>
  <si>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</si>
  <si>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</si>
  <si>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</si>
  <si>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</si>
  <si>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</si>
  <si>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</si>
  <si>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</si>
  <si>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</si>
  <si>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</si>
  <si>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</si>
  <si>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</si>
  <si>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</si>
  <si>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</si>
  <si>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</si>
  <si>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</si>
  <si>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</si>
  <si>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</si>
  <si>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</si>
  <si>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</si>
  <si>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</si>
  <si>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</si>
  <si>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</si>
  <si>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</si>
  <si>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</si>
  <si>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</si>
  <si>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</si>
  <si>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</si>
  <si>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</si>
  <si>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</si>
  <si>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</si>
  <si>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</si>
  <si>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</si>
  <si>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</si>
  <si>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</si>
  <si>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</si>
  <si>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</si>
  <si>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</si>
  <si>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</si>
  <si>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</si>
  <si>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</si>
  <si>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</si>
  <si>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</si>
  <si>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</si>
  <si>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</si>
  <si>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</si>
  <si>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</si>
  <si>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</si>
  <si>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</si>
  <si>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</si>
  <si>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</si>
  <si>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</si>
  <si>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</si>
  <si>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</si>
  <si>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</si>
  <si>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</si>
  <si>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</si>
  <si>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</si>
  <si>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</si>
  <si>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</si>
  <si>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</si>
  <si>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</si>
  <si>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</si>
  <si>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</si>
  <si>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</si>
  <si>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</si>
  <si>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</si>
  <si>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</si>
  <si>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</si>
  <si>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</si>
  <si>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</si>
  <si>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</si>
  <si>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</si>
  <si>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</si>
  <si>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</si>
  <si>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</si>
  <si>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</si>
  <si>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</si>
  <si>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</si>
  <si>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</si>
  <si>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</si>
  <si>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</si>
  <si>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</si>
  <si>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</si>
  <si>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</si>
  <si>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</si>
  <si>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</si>
  <si>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</si>
  <si>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</si>
  <si>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</si>
  <si>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</si>
  <si>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</si>
  <si>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</si>
  <si>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</si>
  <si>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</si>
  <si>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</si>
  <si>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</si>
  <si>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</si>
  <si>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</si>
  <si>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</si>
  <si>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</si>
  <si>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</si>
  <si>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</si>
  <si>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</si>
  <si>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</si>
  <si>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</si>
  <si>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</si>
  <si>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</si>
  <si>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</si>
  <si>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</si>
  <si>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</si>
  <si>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</si>
  <si>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</si>
  <si>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</si>
  <si>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</si>
  <si>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</si>
  <si>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</si>
  <si>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</si>
  <si>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</si>
  <si>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</si>
  <si>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</si>
  <si>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</si>
  <si>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</si>
  <si>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</si>
  <si>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</si>
  <si>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</si>
  <si>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</si>
  <si>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</si>
  <si>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</si>
  <si>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</si>
  <si>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</si>
  <si>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</si>
  <si>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</si>
  <si>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</si>
  <si>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</si>
  <si>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</si>
  <si>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</si>
  <si>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</si>
  <si>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</si>
  <si>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</si>
  <si>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</si>
  <si>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</si>
  <si>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</si>
  <si>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</si>
  <si>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</si>
  <si>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</si>
  <si>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</si>
  <si>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</si>
  <si>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</si>
  <si>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</si>
  <si>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</si>
  <si>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</si>
  <si>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</si>
  <si>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</si>
  <si>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</si>
  <si>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</si>
  <si>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</si>
  <si>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</si>
  <si>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</si>
  <si>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</si>
  <si>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</si>
  <si>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</si>
  <si>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</si>
  <si>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</si>
  <si>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</si>
  <si>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</si>
  <si>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</si>
  <si>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</si>
  <si>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</si>
  <si>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</si>
  <si>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</si>
  <si>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</si>
  <si>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</si>
  <si>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</si>
  <si>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</si>
  <si>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</si>
  <si>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</si>
  <si>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</si>
  <si>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</si>
  <si>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</si>
  <si>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</si>
  <si>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</si>
  <si>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</si>
  <si>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</si>
  <si>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</si>
  <si>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</si>
  <si>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</si>
  <si>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</si>
  <si>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</si>
  <si>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</si>
  <si>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</si>
  <si>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</si>
  <si>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</si>
  <si>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</si>
  <si>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</si>
  <si>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</si>
  <si>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</si>
  <si>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</si>
  <si>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</si>
  <si>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</si>
  <si>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</si>
  <si>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</si>
  <si>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</si>
  <si>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</si>
  <si>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</si>
  <si>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</si>
  <si>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</si>
  <si>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</si>
  <si>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</si>
  <si>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</si>
  <si>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</si>
  <si>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</si>
  <si>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</si>
  <si>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</si>
  <si>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</si>
  <si>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</si>
  <si>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</si>
  <si>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</si>
  <si>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</si>
  <si>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</si>
  <si>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</si>
  <si>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</si>
  <si>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</si>
  <si>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</si>
  <si>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</si>
  <si>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</si>
  <si>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</si>
  <si>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</si>
  <si>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</si>
  <si>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</si>
  <si>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</si>
  <si>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</si>
  <si>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</si>
  <si>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</si>
  <si>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</si>
  <si>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</si>
  <si>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</si>
  <si>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</si>
  <si>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</si>
  <si>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</si>
  <si>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</si>
  <si>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</si>
  <si>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</si>
  <si>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</si>
  <si>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</si>
  <si>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</si>
  <si>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</si>
  <si>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</si>
  <si>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</si>
  <si>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</si>
  <si>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</si>
  <si>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</si>
  <si>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</si>
  <si>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</si>
  <si>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</si>
  <si>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</si>
  <si>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</si>
  <si>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</si>
  <si>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</si>
  <si>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</si>
  <si>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</si>
  <si>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</si>
  <si>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</si>
  <si>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</si>
  <si>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</si>
  <si>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</si>
  <si>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</si>
  <si>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</si>
  <si>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</si>
  <si>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</si>
  <si>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</si>
  <si>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</si>
  <si>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</si>
  <si>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</si>
  <si>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</si>
  <si>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</si>
  <si>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</si>
  <si>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</si>
  <si>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</si>
  <si>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</si>
  <si>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</si>
  <si>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</si>
  <si>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</si>
  <si>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</si>
  <si>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</si>
  <si>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</si>
  <si>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</si>
  <si>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</si>
  <si>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</si>
  <si>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</si>
  <si>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</si>
  <si>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</si>
  <si>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</si>
  <si>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</si>
  <si>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</si>
  <si>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</si>
  <si>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</si>
  <si>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</si>
  <si>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</si>
  <si>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</si>
  <si>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</si>
  <si>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</si>
  <si>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</si>
  <si>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</si>
  <si>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</si>
  <si>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</si>
  <si>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</si>
  <si>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</si>
  <si>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</si>
  <si>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</si>
  <si>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</si>
  <si>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</si>
  <si>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</si>
  <si>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</si>
  <si>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</si>
  <si>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</si>
  <si>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</si>
  <si>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</si>
  <si>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</si>
  <si>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</si>
  <si>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</si>
  <si>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</si>
  <si>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</si>
  <si>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</si>
  <si>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</si>
  <si>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</si>
  <si>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</si>
  <si>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</si>
  <si>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</si>
  <si>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</si>
  <si>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</si>
  <si>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</si>
  <si>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</si>
  <si>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</si>
  <si>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</si>
  <si>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</si>
  <si>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</si>
  <si>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</si>
  <si>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</si>
  <si>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</si>
  <si>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</si>
  <si>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</si>
  <si>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</si>
  <si>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</si>
  <si>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</si>
  <si>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</si>
  <si>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</si>
  <si>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</si>
  <si>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</si>
  <si>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</si>
  <si>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</si>
  <si>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</si>
  <si>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</si>
  <si>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</si>
  <si>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</si>
  <si>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</si>
  <si>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</si>
  <si>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</si>
  <si>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</si>
  <si>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</si>
  <si>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</si>
  <si>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</si>
  <si>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</si>
  <si>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</si>
  <si>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</si>
  <si>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</si>
  <si>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</si>
  <si>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</si>
  <si>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</si>
  <si>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</si>
  <si>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</si>
  <si>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</si>
  <si>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</si>
  <si>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</si>
  <si>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</si>
  <si>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</si>
  <si>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</si>
  <si>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</si>
  <si>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</si>
  <si>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</si>
  <si>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</si>
  <si>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</si>
  <si>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</si>
  <si>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</si>
  <si>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</si>
  <si>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</si>
  <si>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</si>
  <si>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</si>
  <si>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</si>
  <si>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</si>
  <si>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</si>
  <si>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</si>
  <si>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</si>
  <si>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</si>
  <si>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</si>
  <si>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</si>
  <si>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</si>
  <si>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</si>
  <si>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</si>
  <si>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</si>
  <si>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</si>
  <si>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</si>
  <si>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</si>
  <si>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</si>
  <si>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</si>
  <si>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</si>
  <si>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</si>
  <si>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</si>
  <si>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</si>
  <si>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</si>
  <si>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</si>
  <si>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</si>
  <si>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</si>
  <si>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</si>
  <si>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</si>
  <si>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</si>
  <si>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</si>
  <si>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</si>
  <si>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</si>
  <si>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</si>
  <si>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</si>
  <si>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</si>
  <si>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</si>
  <si>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</si>
  <si>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</si>
  <si>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</si>
  <si>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</si>
  <si>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</si>
  <si>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</si>
  <si>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</si>
  <si>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</si>
  <si>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</si>
  <si>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</si>
  <si>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</si>
  <si>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</si>
  <si>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</si>
  <si>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</si>
  <si>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</si>
  <si>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</si>
  <si>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</si>
  <si>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</si>
  <si>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</si>
  <si>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</si>
  <si>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</si>
  <si>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</si>
  <si>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</si>
  <si>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</si>
  <si>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</si>
  <si>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</si>
  <si>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</si>
  <si>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</si>
  <si>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</si>
  <si>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</si>
  <si>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</si>
  <si>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</si>
  <si>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</si>
  <si>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</si>
  <si>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</si>
  <si>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</si>
  <si>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</si>
  <si>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</si>
  <si>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</si>
  <si>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</si>
  <si>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</si>
  <si>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</si>
  <si>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</si>
  <si>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</si>
  <si>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</si>
  <si>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</si>
  <si>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</si>
  <si>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</si>
  <si>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</si>
  <si>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</si>
  <si>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</si>
  <si>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</si>
  <si>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</si>
  <si>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</si>
  <si>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</si>
  <si>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</si>
  <si>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</si>
  <si>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</si>
  <si>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</si>
  <si>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</si>
  <si>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</si>
  <si>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</si>
  <si>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</si>
  <si>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</si>
  <si>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</si>
  <si>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</si>
  <si>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</si>
  <si>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</si>
  <si>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</si>
  <si>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</si>
  <si>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</si>
  <si>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</si>
  <si>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</si>
  <si>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</si>
  <si>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</si>
  <si>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</si>
  <si>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</si>
  <si>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</si>
  <si>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</si>
  <si>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</si>
  <si>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</si>
  <si>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</si>
  <si>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</si>
  <si>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</si>
  <si>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</si>
  <si>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</si>
  <si>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</si>
  <si>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</si>
  <si>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</si>
  <si>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</si>
  <si>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</si>
  <si>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</si>
  <si>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</si>
  <si>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</si>
  <si>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</si>
  <si>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</si>
  <si>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</si>
  <si>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</si>
  <si>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</si>
  <si>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</si>
  <si>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</si>
  <si>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</si>
  <si>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</si>
  <si>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</si>
  <si>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</si>
  <si>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</si>
  <si>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</si>
  <si>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</si>
  <si>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</si>
  <si>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</si>
  <si>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</si>
  <si>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</si>
  <si>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</si>
  <si>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</si>
  <si>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</si>
  <si>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</si>
  <si>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</si>
  <si>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</si>
  <si>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</si>
  <si>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</si>
  <si>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</si>
  <si>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</si>
  <si>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</si>
  <si>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</si>
  <si>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</si>
  <si>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</si>
  <si>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</si>
  <si>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</si>
  <si>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</si>
  <si>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</si>
  <si>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</si>
  <si>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</si>
  <si>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</si>
  <si>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</si>
  <si>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</si>
  <si>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</si>
  <si>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</si>
  <si>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</si>
  <si>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</si>
  <si>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</si>
  <si>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</si>
  <si>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</si>
  <si>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</si>
  <si>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</si>
  <si>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</si>
  <si>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</si>
  <si>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</si>
  <si>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</si>
  <si>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</si>
  <si>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</si>
  <si>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</si>
  <si>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</si>
  <si>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</si>
  <si>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</si>
  <si>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</si>
  <si>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</si>
  <si>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</si>
  <si>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</si>
  <si>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</si>
  <si>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</si>
  <si>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</si>
  <si>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</si>
  <si>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</si>
  <si>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</si>
  <si>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</si>
  <si>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</si>
  <si>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</si>
  <si>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</si>
  <si>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</si>
  <si>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</si>
  <si>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</si>
  <si>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</si>
  <si>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</si>
  <si>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</si>
  <si>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</si>
  <si>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</si>
  <si>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</si>
  <si>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</si>
  <si>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</si>
  <si>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</si>
  <si>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</si>
  <si>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</si>
  <si>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</si>
  <si>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</si>
  <si>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</si>
  <si>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</si>
  <si>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</si>
  <si>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</si>
  <si>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</si>
  <si>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</si>
  <si>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</si>
  <si>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</si>
  <si>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</si>
  <si>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</si>
  <si>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</si>
  <si>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</si>
  <si>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</si>
  <si>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</si>
  <si>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</si>
  <si>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</si>
  <si>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</si>
  <si>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</si>
  <si>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</si>
  <si>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</si>
  <si>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</si>
  <si>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</si>
  <si>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</si>
  <si>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</si>
  <si>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</si>
  <si>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</si>
  <si>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</si>
  <si>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</si>
  <si>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</si>
  <si>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</si>
  <si>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</si>
  <si>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</si>
  <si>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</si>
  <si>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</si>
  <si>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</si>
  <si>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</si>
  <si>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</si>
  <si>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</si>
  <si>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</si>
  <si>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</si>
  <si>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</si>
  <si>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</si>
  <si>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</si>
  <si>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</si>
  <si>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</si>
  <si>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</si>
  <si>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</si>
  <si>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</si>
  <si>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</si>
  <si>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</si>
  <si>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</si>
  <si>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</si>
  <si>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</si>
  <si>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</si>
  <si>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</si>
  <si>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</si>
  <si>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</si>
  <si>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</si>
  <si>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</si>
  <si>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</si>
  <si>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</si>
  <si>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</si>
  <si>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</si>
  <si>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</si>
  <si>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</si>
  <si>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</si>
  <si>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</si>
  <si>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#N/B</t>
  </si>
  <si>
    <t>41296 Abulehia Oday</t>
  </si>
  <si>
    <t>37254 Coulon Rayan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</si>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</sst>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28</c:v>
                </c:pt>
                <c:pt idx="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  <c:pt idx="10">
                  <c:v>#N/B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48</c:v>
                </c:pt>
                <c:pt idx="1">
                  <c:v>41</c:v>
                </c:pt>
                <c:pt idx="2">
                  <c:v>38</c:v>
                </c:pt>
                <c:pt idx="3">
                  <c:v>32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23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732367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10</v>
          </cell>
          <cell r="B3" t="str">
            <v>Bart Van der Beken</v>
          </cell>
          <cell r="D3">
            <v>17</v>
          </cell>
        </row>
        <row r="4">
          <cell r="A4">
            <v>4</v>
          </cell>
          <cell r="B4" t="str">
            <v>Els Dewulf</v>
          </cell>
          <cell r="D4">
            <v>17</v>
          </cell>
        </row>
        <row r="5">
          <cell r="A5">
            <v>10</v>
          </cell>
          <cell r="B5" t="str">
            <v>Els Vanhoe</v>
          </cell>
          <cell r="D5">
            <v>15</v>
          </cell>
        </row>
        <row r="6">
          <cell r="A6">
            <v>12</v>
          </cell>
          <cell r="B6" t="str">
            <v>Dominique De Clercq</v>
          </cell>
          <cell r="D6">
            <v>22</v>
          </cell>
        </row>
        <row r="7">
          <cell r="A7">
            <v>8</v>
          </cell>
          <cell r="B7" t="str">
            <v>Steven Storm</v>
          </cell>
          <cell r="D7">
            <v>9</v>
          </cell>
        </row>
        <row r="8">
          <cell r="A8">
            <v>10</v>
          </cell>
          <cell r="B8" t="str">
            <v>Lucie Vande Velde</v>
          </cell>
          <cell r="D8">
            <v>15</v>
          </cell>
        </row>
        <row r="9">
          <cell r="A9">
            <v>13</v>
          </cell>
          <cell r="B9" t="str">
            <v>Kenneth De Rick</v>
          </cell>
          <cell r="D9">
            <v>13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0.36911550926" createdVersion="8" refreshedVersion="8" minRefreshableVersion="3" recordCount="814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9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e v="#N/A"/>
        <s v="41007 Sogut Cagri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0T00:00:00" count="414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4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n v="41162"/>
    <x v="267"/>
    <s v="Hoeckman"/>
    <s v="Jeroen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6021"/>
    <x v="362"/>
    <s v="Boelaert"/>
    <s v="Frederik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1092"/>
    <x v="241"/>
    <s v="De Keyser"/>
    <s v="Dorien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n v="41874"/>
    <x v="363"/>
    <e v="#N/A"/>
    <e v="#N/A"/>
    <x v="10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37254"/>
    <x v="244"/>
    <s v="Coulon"/>
    <s v="Rayan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007"/>
    <x v="364"/>
    <s v="Sogut"/>
    <s v="Cagri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296"/>
    <x v="253"/>
    <s v="Abulehia"/>
    <s v="Oday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>
      <x v="15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3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1">
    <i>
      <x v="25"/>
    </i>
    <i>
      <x v="62"/>
    </i>
    <i>
      <x v="190"/>
    </i>
    <i>
      <x v="189"/>
    </i>
    <i>
      <x v="63"/>
    </i>
    <i>
      <x v="168"/>
    </i>
    <i>
      <x v="43"/>
    </i>
    <i>
      <x v="188"/>
    </i>
    <i>
      <x v="146"/>
    </i>
    <i>
      <x v="37"/>
    </i>
    <i>
      <x v="223"/>
    </i>
    <i>
      <x v="91"/>
    </i>
    <i>
      <x v="134"/>
    </i>
    <i>
      <x v="42"/>
    </i>
    <i>
      <x v="209"/>
    </i>
    <i>
      <x v="35"/>
    </i>
    <i>
      <x v="196"/>
    </i>
    <i>
      <x v="3"/>
    </i>
    <i>
      <x v="66"/>
    </i>
    <i>
      <x v="144"/>
    </i>
    <i>
      <x v="187"/>
    </i>
    <i>
      <x v="218"/>
    </i>
    <i>
      <x v="30"/>
    </i>
    <i>
      <x v="90"/>
    </i>
    <i>
      <x v="119"/>
    </i>
    <i>
      <x v="6"/>
    </i>
    <i>
      <x v="133"/>
    </i>
    <i>
      <x v="222"/>
    </i>
    <i>
      <x v="47"/>
    </i>
    <i>
      <x v="26"/>
    </i>
    <i>
      <x v="50"/>
    </i>
    <i>
      <x v="183"/>
    </i>
    <i>
      <x v="54"/>
    </i>
    <i>
      <x v="129"/>
    </i>
    <i>
      <x v="15"/>
    </i>
    <i>
      <x v="45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224"/>
    </i>
    <i>
      <x v="127"/>
    </i>
    <i>
      <x v="137"/>
    </i>
    <i>
      <x v="9"/>
    </i>
    <i>
      <x v="173"/>
    </i>
    <i>
      <x v="82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227"/>
    </i>
    <i>
      <x v="99"/>
    </i>
    <i>
      <x v="169"/>
    </i>
    <i>
      <x v="100"/>
    </i>
    <i>
      <x v="176"/>
    </i>
    <i>
      <x v="101"/>
    </i>
    <i>
      <x v="79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28"/>
    </i>
    <i>
      <x v="84"/>
    </i>
    <i>
      <x v="2"/>
    </i>
    <i>
      <x v="162"/>
    </i>
    <i>
      <x v="123"/>
    </i>
    <i>
      <x v="49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8"/>
    </i>
    <i>
      <x v="131"/>
    </i>
    <i>
      <x v="81"/>
    </i>
    <i>
      <x v="132"/>
    </i>
    <i>
      <x v="33"/>
    </i>
    <i>
      <x v="19"/>
    </i>
    <i>
      <x v="7"/>
    </i>
    <i>
      <x v="5"/>
    </i>
    <i>
      <x v="193"/>
    </i>
    <i>
      <x v="135"/>
    </i>
    <i>
      <x v="195"/>
    </i>
    <i>
      <x v="136"/>
    </i>
    <i>
      <x v="198"/>
    </i>
    <i>
      <x v="67"/>
    </i>
    <i>
      <x v="200"/>
    </i>
    <i>
      <x v="142"/>
    </i>
    <i>
      <x v="202"/>
    </i>
    <i>
      <x v="68"/>
    </i>
    <i>
      <x v="205"/>
    </i>
    <i>
      <x v="29"/>
    </i>
    <i>
      <x v="41"/>
    </i>
    <i>
      <x v="74"/>
    </i>
    <i>
      <x v="212"/>
    </i>
    <i>
      <x v="148"/>
    </i>
    <i>
      <x v="215"/>
    </i>
    <i>
      <x v="151"/>
    </i>
    <i>
      <x v="12"/>
    </i>
    <i>
      <x v="155"/>
    </i>
    <i>
      <x v="14"/>
    </i>
    <i>
      <x v="157"/>
    </i>
    <i>
      <x v="226"/>
    </i>
    <i>
      <x v="158"/>
    </i>
    <i>
      <x v="86"/>
    </i>
    <i>
      <x v="160"/>
    </i>
    <i>
      <x v="121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0" firstHeaderRow="1" firstDataRow="1" firstDataCol="1"/>
  <pivotFields count="28">
    <pivotField showAll="0"/>
    <pivotField axis="axisRow" showAll="0" sortType="descending">
      <items count="580">
        <item m="1" x="563"/>
        <item m="1" x="578"/>
        <item m="1" x="411"/>
        <item x="140"/>
        <item x="45"/>
        <item m="1" x="497"/>
        <item x="359"/>
        <item m="1" x="429"/>
        <item m="1" x="454"/>
        <item x="335"/>
        <item x="356"/>
        <item x="63"/>
        <item x="143"/>
        <item x="119"/>
        <item m="1" x="450"/>
        <item x="100"/>
        <item x="224"/>
        <item x="272"/>
        <item x="242"/>
        <item x="357"/>
        <item m="1" x="418"/>
        <item x="181"/>
        <item x="135"/>
        <item m="1" x="481"/>
        <item m="1" x="437"/>
        <item x="54"/>
        <item x="268"/>
        <item m="1" x="413"/>
        <item m="1" x="419"/>
        <item m="1" x="430"/>
        <item m="1" x="546"/>
        <item m="1" x="514"/>
        <item x="161"/>
        <item m="1" x="498"/>
        <item x="361"/>
        <item x="163"/>
        <item m="1" x="547"/>
        <item x="132"/>
        <item m="1" x="455"/>
        <item m="1" x="392"/>
        <item m="1" x="557"/>
        <item x="11"/>
        <item x="88"/>
        <item x="326"/>
        <item m="1" x="423"/>
        <item x="26"/>
        <item x="233"/>
        <item m="1" x="499"/>
        <item x="131"/>
        <item m="1" x="387"/>
        <item m="1" x="474"/>
        <item m="1" x="456"/>
        <item m="1" x="558"/>
        <item m="1" x="515"/>
        <item x="97"/>
        <item x="230"/>
        <item x="261"/>
        <item m="1" x="526"/>
        <item x="234"/>
        <item x="251"/>
        <item m="1" x="460"/>
        <item m="1" x="500"/>
        <item m="1" x="501"/>
        <item m="1" x="502"/>
        <item x="248"/>
        <item x="9"/>
        <item x="148"/>
        <item x="274"/>
        <item m="1" x="451"/>
        <item x="360"/>
        <item m="1" x="503"/>
        <item m="1" x="446"/>
        <item x="252"/>
        <item m="1" x="393"/>
        <item x="43"/>
        <item m="1" x="527"/>
        <item m="1" x="431"/>
        <item x="147"/>
        <item x="82"/>
        <item m="1" x="482"/>
        <item x="34"/>
        <item x="152"/>
        <item m="1" x="461"/>
        <item x="289"/>
        <item m="1" x="439"/>
        <item m="1" x="462"/>
        <item m="1" x="401"/>
        <item m="1" x="394"/>
        <item m="1" x="405"/>
        <item x="103"/>
        <item x="12"/>
        <item x="180"/>
        <item m="1" x="432"/>
        <item x="229"/>
        <item m="1" x="548"/>
        <item x="23"/>
        <item m="1" x="438"/>
        <item m="1" x="549"/>
        <item m="1" x="440"/>
        <item m="1" x="382"/>
        <item m="1" x="574"/>
        <item x="67"/>
        <item m="1" x="457"/>
        <item m="1" x="528"/>
        <item m="1" x="529"/>
        <item m="1" x="550"/>
        <item x="173"/>
        <item x="120"/>
        <item m="1" x="463"/>
        <item m="1" x="483"/>
        <item x="95"/>
        <item m="1" x="568"/>
        <item x="271"/>
        <item m="1" x="530"/>
        <item m="1" x="464"/>
        <item m="1" x="516"/>
        <item m="1" x="465"/>
        <item m="1" x="441"/>
        <item x="65"/>
        <item x="171"/>
        <item x="52"/>
        <item m="1" x="551"/>
        <item m="1" x="417"/>
        <item x="85"/>
        <item x="258"/>
        <item m="1" x="466"/>
        <item x="223"/>
        <item m="1" x="467"/>
        <item x="333"/>
        <item m="1" x="572"/>
        <item m="1" x="383"/>
        <item x="79"/>
        <item x="165"/>
        <item m="1" x="373"/>
        <item x="347"/>
        <item x="121"/>
        <item x="249"/>
        <item m="1" x="433"/>
        <item x="352"/>
        <item m="1" x="416"/>
        <item m="1" x="504"/>
        <item m="1" x="484"/>
        <item m="1" x="517"/>
        <item x="149"/>
        <item x="195"/>
        <item m="1" x="559"/>
        <item m="1" x="426"/>
        <item x="86"/>
        <item x="217"/>
        <item m="1" x="485"/>
        <item x="314"/>
        <item m="1" x="421"/>
        <item x="62"/>
        <item x="196"/>
        <item m="1" x="442"/>
        <item m="1" x="486"/>
        <item x="137"/>
        <item x="277"/>
        <item m="1" x="443"/>
        <item x="306"/>
        <item m="1" x="384"/>
        <item m="1" x="388"/>
        <item m="1" x="531"/>
        <item x="84"/>
        <item x="55"/>
        <item x="228"/>
        <item m="1" x="434"/>
        <item x="183"/>
        <item m="1" x="447"/>
        <item x="81"/>
        <item x="282"/>
        <item m="1" x="422"/>
        <item x="213"/>
        <item x="87"/>
        <item m="1" x="532"/>
        <item x="33"/>
        <item m="1" x="533"/>
        <item m="1" x="425"/>
        <item m="1" x="427"/>
        <item m="1" x="444"/>
        <item x="342"/>
        <item m="1" x="518"/>
        <item x="256"/>
        <item m="1" x="560"/>
        <item x="93"/>
        <item x="32"/>
        <item x="70"/>
        <item m="1" x="505"/>
        <item x="40"/>
        <item m="1" x="487"/>
        <item m="1" x="475"/>
        <item x="206"/>
        <item x="319"/>
        <item m="1" x="380"/>
        <item m="1" x="488"/>
        <item x="58"/>
        <item m="1" x="569"/>
        <item m="1" x="542"/>
        <item m="1" x="543"/>
        <item m="1" x="406"/>
        <item m="1" x="534"/>
        <item x="111"/>
        <item x="276"/>
        <item x="176"/>
        <item m="1" x="395"/>
        <item x="174"/>
        <item m="1" x="489"/>
        <item x="294"/>
        <item x="106"/>
        <item m="1" x="396"/>
        <item m="1" x="407"/>
        <item m="1" x="506"/>
        <item x="250"/>
        <item x="155"/>
        <item m="1" x="576"/>
        <item x="226"/>
        <item m="1" x="448"/>
        <item x="346"/>
        <item x="292"/>
        <item x="321"/>
        <item m="1" x="476"/>
        <item m="1" x="537"/>
        <item x="237"/>
        <item x="231"/>
        <item x="28"/>
        <item x="355"/>
        <item m="1" x="538"/>
        <item x="126"/>
        <item m="1" x="561"/>
        <item x="190"/>
        <item x="221"/>
        <item x="125"/>
        <item x="238"/>
        <item m="1" x="381"/>
        <item x="30"/>
        <item x="4"/>
        <item x="301"/>
        <item x="341"/>
        <item x="189"/>
        <item x="89"/>
        <item x="193"/>
        <item m="1" x="535"/>
        <item m="1" x="539"/>
        <item x="262"/>
        <item m="1" x="540"/>
        <item x="102"/>
        <item m="1" x="541"/>
        <item m="1" x="536"/>
        <item x="204"/>
        <item m="1" x="507"/>
        <item x="20"/>
        <item x="156"/>
        <item x="24"/>
        <item x="27"/>
        <item x="350"/>
        <item x="337"/>
        <item x="293"/>
        <item m="1" x="508"/>
        <item x="199"/>
        <item m="1" x="468"/>
        <item x="310"/>
        <item x="57"/>
        <item x="178"/>
        <item m="1" x="552"/>
        <item x="83"/>
        <item x="166"/>
        <item x="299"/>
        <item x="108"/>
        <item x="75"/>
        <item m="1" x="573"/>
        <item x="313"/>
        <item x="99"/>
        <item x="94"/>
        <item x="227"/>
        <item x="127"/>
        <item m="1" x="477"/>
        <item m="1" x="400"/>
        <item x="270"/>
        <item m="1" x="469"/>
        <item m="1" x="385"/>
        <item x="73"/>
        <item m="1" x="408"/>
        <item x="160"/>
        <item x="291"/>
        <item x="118"/>
        <item x="42"/>
        <item x="96"/>
        <item m="1" x="577"/>
        <item x="53"/>
        <item x="1"/>
        <item x="117"/>
        <item x="107"/>
        <item x="22"/>
        <item m="1" x="435"/>
        <item m="1" x="397"/>
        <item m="1" x="398"/>
        <item x="167"/>
        <item m="1" x="386"/>
        <item m="1" x="519"/>
        <item x="49"/>
        <item x="91"/>
        <item x="60"/>
        <item x="145"/>
        <item x="297"/>
        <item m="1" x="520"/>
        <item x="139"/>
        <item m="1" x="570"/>
        <item x="245"/>
        <item x="164"/>
        <item x="288"/>
        <item m="1" x="470"/>
        <item m="1" x="521"/>
        <item x="235"/>
        <item x="202"/>
        <item x="116"/>
        <item x="36"/>
        <item x="330"/>
        <item x="269"/>
        <item x="162"/>
        <item m="1" x="402"/>
        <item x="336"/>
        <item x="201"/>
        <item x="218"/>
        <item x="302"/>
        <item m="1" x="509"/>
        <item x="232"/>
        <item x="64"/>
        <item m="1" x="553"/>
        <item m="1" x="458"/>
        <item x="362"/>
        <item x="329"/>
        <item x="236"/>
        <item x="50"/>
        <item x="46"/>
        <item m="1" x="522"/>
        <item x="179"/>
        <item m="1" x="403"/>
        <item m="1" x="366"/>
        <item x="259"/>
        <item m="1" x="452"/>
        <item m="1" x="376"/>
        <item x="263"/>
        <item x="184"/>
        <item x="113"/>
        <item x="243"/>
        <item x="144"/>
        <item m="1" x="420"/>
        <item m="1" x="436"/>
        <item x="185"/>
        <item x="254"/>
        <item x="207"/>
        <item x="56"/>
        <item x="354"/>
        <item x="151"/>
        <item m="1" x="389"/>
        <item x="13"/>
        <item x="19"/>
        <item x="48"/>
        <item x="264"/>
        <item x="305"/>
        <item m="1" x="415"/>
        <item x="154"/>
        <item x="312"/>
        <item x="172"/>
        <item x="338"/>
        <item x="105"/>
        <item m="1" x="523"/>
        <item m="1" x="409"/>
        <item x="244"/>
        <item m="1" x="40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4"/>
        <item x="315"/>
        <item x="153"/>
        <item x="133"/>
        <item x="124"/>
        <item x="31"/>
        <item x="303"/>
        <item m="1" x="490"/>
        <item m="1" x="374"/>
        <item m="1" x="471"/>
        <item x="3"/>
        <item x="59"/>
        <item x="104"/>
        <item x="38"/>
        <item m="1" x="491"/>
        <item x="214"/>
        <item m="1" x="555"/>
        <item x="16"/>
        <item x="300"/>
        <item x="194"/>
        <item x="10"/>
        <item x="72"/>
        <item x="138"/>
        <item m="1" x="554"/>
        <item x="317"/>
        <item x="334"/>
        <item x="110"/>
        <item x="37"/>
        <item x="15"/>
        <item x="29"/>
        <item x="66"/>
        <item x="68"/>
        <item x="17"/>
        <item m="1" x="492"/>
        <item m="1" x="375"/>
        <item x="8"/>
        <item x="35"/>
        <item x="7"/>
        <item x="61"/>
        <item m="1" x="410"/>
        <item m="1" x="424"/>
        <item x="278"/>
        <item x="41"/>
        <item x="170"/>
        <item x="146"/>
        <item x="169"/>
        <item x="168"/>
        <item x="77"/>
        <item m="1" x="377"/>
        <item x="2"/>
        <item x="175"/>
        <item x="71"/>
        <item x="200"/>
        <item x="98"/>
        <item x="78"/>
        <item m="1" x="412"/>
        <item x="18"/>
        <item x="331"/>
        <item x="74"/>
        <item m="1" x="562"/>
        <item x="205"/>
        <item x="47"/>
        <item m="1" x="566"/>
        <item x="114"/>
        <item x="332"/>
        <item x="349"/>
        <item x="320"/>
        <item x="192"/>
        <item x="14"/>
        <item x="187"/>
        <item x="123"/>
        <item m="1" x="390"/>
        <item x="150"/>
        <item x="122"/>
        <item x="69"/>
        <item x="112"/>
        <item x="286"/>
        <item m="1" x="391"/>
        <item m="1" x="571"/>
        <item x="255"/>
        <item x="209"/>
        <item x="159"/>
        <item m="1" x="565"/>
        <item x="275"/>
        <item x="134"/>
        <item x="130"/>
        <item x="240"/>
        <item x="239"/>
        <item m="1" x="493"/>
        <item x="80"/>
        <item m="1" x="545"/>
        <item x="136"/>
        <item x="90"/>
        <item m="1" x="494"/>
        <item x="197"/>
        <item x="225"/>
        <item x="247"/>
        <item x="345"/>
        <item x="322"/>
        <item m="1" x="428"/>
        <item x="182"/>
        <item x="257"/>
        <item x="307"/>
        <item x="265"/>
        <item x="177"/>
        <item x="208"/>
        <item x="157"/>
        <item m="1" x="510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4"/>
        <item x="281"/>
        <item x="241"/>
        <item x="267"/>
        <item x="309"/>
        <item x="285"/>
        <item x="253"/>
        <item x="280"/>
        <item x="328"/>
        <item x="325"/>
        <item m="1" x="567"/>
        <item x="298"/>
        <item x="311"/>
        <item m="1" x="414"/>
        <item x="327"/>
        <item x="324"/>
        <item x="344"/>
        <item x="323"/>
        <item x="343"/>
        <item x="351"/>
        <item x="358"/>
        <item m="1" x="495"/>
        <item x="260"/>
        <item m="1" x="445"/>
        <item x="316"/>
        <item x="353"/>
        <item m="1" x="399"/>
        <item m="1" x="575"/>
        <item m="1" x="459"/>
        <item m="1" x="478"/>
        <item x="21"/>
        <item m="1" x="511"/>
        <item m="1" x="556"/>
        <item x="92"/>
        <item x="115"/>
        <item x="215"/>
        <item x="44"/>
        <item m="1" x="453"/>
        <item m="1" x="524"/>
        <item m="1" x="472"/>
        <item x="279"/>
        <item m="1" x="378"/>
        <item x="141"/>
        <item m="1" x="512"/>
        <item x="340"/>
        <item m="1" x="525"/>
        <item x="188"/>
        <item m="1" x="496"/>
        <item x="210"/>
        <item m="1" x="473"/>
        <item x="76"/>
        <item x="109"/>
        <item m="1" x="513"/>
        <item m="1" x="379"/>
        <item m="1" x="479"/>
        <item x="128"/>
        <item x="304"/>
        <item m="1" x="480"/>
        <item x="287"/>
        <item m="1" x="449"/>
        <item h="1" m="1" x="365"/>
        <item h="1" m="1" x="368"/>
        <item h="1" m="1" x="367"/>
        <item h="1" m="1" x="371"/>
        <item h="1" m="1" x="370"/>
        <item h="1" m="1" x="369"/>
        <item h="1" m="1" x="372"/>
        <item h="1" x="363"/>
        <item h="1" x="0"/>
        <item h="1" x="3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8">
    <i>
      <x v="511"/>
    </i>
    <i>
      <x v="473"/>
    </i>
    <i>
      <x v="512"/>
    </i>
    <i>
      <x v="507"/>
    </i>
    <i>
      <x v="497"/>
    </i>
    <i>
      <x v="351"/>
    </i>
    <i>
      <x v="501"/>
    </i>
    <i>
      <x v="504"/>
    </i>
    <i>
      <x v="342"/>
    </i>
    <i>
      <x v="90"/>
    </i>
    <i>
      <x v="280"/>
    </i>
    <i>
      <x v="478"/>
    </i>
    <i>
      <x v="358"/>
    </i>
    <i>
      <x v="506"/>
    </i>
    <i>
      <x v="480"/>
    </i>
    <i>
      <x v="432"/>
    </i>
    <i>
      <x v="112"/>
    </i>
    <i>
      <x v="494"/>
    </i>
    <i>
      <x v="148"/>
    </i>
    <i>
      <x v="520"/>
    </i>
    <i>
      <x v="156"/>
    </i>
    <i>
      <x v="440"/>
    </i>
    <i>
      <x v="157"/>
    </i>
    <i>
      <x v="483"/>
    </i>
    <i>
      <x v="202"/>
    </i>
    <i>
      <x v="43"/>
    </i>
    <i>
      <x v="232"/>
    </i>
    <i>
      <x v="513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98"/>
    </i>
    <i>
      <x v="355"/>
    </i>
    <i>
      <x v="502"/>
    </i>
    <i>
      <x v="374"/>
    </i>
    <i>
      <x v="508"/>
    </i>
    <i>
      <x v="380"/>
    </i>
    <i>
      <x v="514"/>
    </i>
    <i>
      <x v="397"/>
    </i>
    <i>
      <x v="407"/>
    </i>
    <i>
      <x v="531"/>
    </i>
    <i>
      <x v="526"/>
    </i>
    <i>
      <x v="218"/>
    </i>
    <i>
      <x v="447"/>
    </i>
    <i>
      <x v="254"/>
    </i>
    <i>
      <x v="59"/>
    </i>
    <i>
      <x v="255"/>
    </i>
    <i>
      <x v="427"/>
    </i>
    <i>
      <x v="256"/>
    </i>
    <i>
      <x v="467"/>
    </i>
    <i>
      <x v="260"/>
    </i>
    <i>
      <x v="225"/>
    </i>
    <i>
      <x v="262"/>
    </i>
    <i>
      <x v="516"/>
    </i>
    <i>
      <x v="264"/>
    </i>
    <i>
      <x v="413"/>
    </i>
    <i>
      <x v="266"/>
    </i>
    <i>
      <x v="438"/>
    </i>
    <i>
      <x v="267"/>
    </i>
    <i>
      <x v="459"/>
    </i>
    <i>
      <x v="268"/>
    </i>
    <i>
      <x v="26"/>
    </i>
    <i>
      <x v="270"/>
    </i>
    <i>
      <x v="219"/>
    </i>
    <i>
      <x v="277"/>
    </i>
    <i>
      <x v="503"/>
    </i>
    <i>
      <x v="17"/>
    </i>
    <i>
      <x v="67"/>
    </i>
    <i>
      <x v="282"/>
    </i>
    <i>
      <x v="521"/>
    </i>
    <i>
      <x v="283"/>
    </i>
    <i>
      <x v="410"/>
    </i>
    <i>
      <x v="288"/>
    </i>
    <i>
      <x v="415"/>
    </i>
    <i>
      <x v="290"/>
    </i>
    <i>
      <x v="180"/>
    </i>
    <i>
      <x v="292"/>
    </i>
    <i>
      <x v="192"/>
    </i>
    <i>
      <x v="303"/>
    </i>
    <i>
      <x v="451"/>
    </i>
    <i>
      <x v="305"/>
    </i>
    <i>
      <x v="462"/>
    </i>
    <i>
      <x v="307"/>
    </i>
    <i>
      <x v="471"/>
    </i>
    <i>
      <x v="308"/>
    </i>
    <i>
      <x v="118"/>
    </i>
    <i>
      <x v="131"/>
    </i>
    <i>
      <x v="488"/>
    </i>
    <i>
      <x v="314"/>
    </i>
    <i>
      <x v="496"/>
    </i>
    <i>
      <x v="317"/>
    </i>
    <i>
      <x v="119"/>
    </i>
    <i>
      <x v="323"/>
    </i>
    <i>
      <x v="505"/>
    </i>
    <i>
      <x v="134"/>
    </i>
    <i>
      <x v="510"/>
    </i>
    <i>
      <x v="330"/>
    </i>
    <i>
      <x v="240"/>
    </i>
    <i>
      <x v="333"/>
    </i>
    <i>
      <x v="518"/>
    </i>
    <i>
      <x v="338"/>
    </i>
    <i>
      <x v="524"/>
    </i>
    <i>
      <x v="138"/>
    </i>
    <i>
      <x v="120"/>
    </i>
    <i>
      <x v="83"/>
    </i>
    <i>
      <x v="412"/>
    </i>
    <i>
      <x v="344"/>
    </i>
    <i>
      <x v="414"/>
    </i>
    <i>
      <x v="150"/>
    </i>
    <i>
      <x v="417"/>
    </i>
    <i>
      <x v="350"/>
    </i>
    <i>
      <x v="173"/>
    </i>
    <i>
      <x v="19"/>
    </i>
    <i>
      <x v="182"/>
    </i>
    <i>
      <x v="352"/>
    </i>
    <i>
      <x v="184"/>
    </i>
    <i>
      <x v="353"/>
    </i>
    <i>
      <x v="444"/>
    </i>
    <i>
      <x v="11"/>
    </i>
    <i>
      <x v="449"/>
    </i>
    <i>
      <x v="356"/>
    </i>
    <i>
      <x v="452"/>
    </i>
    <i>
      <x v="357"/>
    </i>
    <i>
      <x v="460"/>
    </i>
    <i>
      <x v="549"/>
    </i>
    <i>
      <x v="465"/>
    </i>
    <i>
      <x v="553"/>
    </i>
    <i>
      <x v="469"/>
    </i>
    <i>
      <x v="565"/>
    </i>
    <i>
      <x v="472"/>
    </i>
    <i>
      <x v="10"/>
    </i>
    <i>
      <x v="37"/>
    </i>
    <i>
      <x v="364"/>
    </i>
    <i>
      <x v="207"/>
    </i>
    <i>
      <x v="528"/>
    </i>
    <i>
      <x v="484"/>
    </i>
    <i>
      <x v="533"/>
    </i>
    <i>
      <x v="489"/>
    </i>
    <i>
      <x v="74"/>
    </i>
    <i>
      <x v="224"/>
    </i>
    <i>
      <x v="81"/>
    </i>
    <i>
      <x v="41"/>
    </i>
    <i>
      <x v="375"/>
    </i>
    <i>
      <x v="499"/>
    </i>
    <i>
      <x v="376"/>
    </i>
    <i>
      <x v="236"/>
    </i>
    <i>
      <x v="159"/>
    </i>
    <i>
      <x v="55"/>
    </i>
    <i>
      <x v="382"/>
    </i>
    <i>
      <x v="237"/>
    </i>
    <i>
      <x v="385"/>
    </i>
    <i>
      <x v="238"/>
    </i>
    <i>
      <x v="387"/>
    </i>
    <i>
      <x v="65"/>
    </i>
    <i>
      <x v="388"/>
    </i>
    <i>
      <x v="239"/>
    </i>
    <i>
      <x v="389"/>
    </i>
    <i>
      <x v="515"/>
    </i>
    <i>
      <x v="392"/>
    </i>
    <i>
      <x v="517"/>
    </i>
    <i>
      <x v="167"/>
    </i>
    <i>
      <x v="243"/>
    </i>
    <i>
      <x v="398"/>
    </i>
    <i>
      <x v="523"/>
    </i>
    <i>
      <x v="404"/>
    </i>
    <i>
      <x v="525"/>
    </i>
    <i>
      <x v="405"/>
    </i>
    <i>
      <x v="527"/>
    </i>
    <i>
      <x v="406"/>
    </i>
    <i>
      <x v="170"/>
    </i>
    <i>
      <x v="368"/>
    </i>
    <i>
      <x v="534"/>
    </i>
    <i>
      <x v="372"/>
    </i>
    <i>
      <x v="373"/>
    </i>
    <i>
      <x v="559"/>
    </i>
    <i>
      <x v="359"/>
    </i>
    <i>
      <x v="567"/>
    </i>
    <i>
      <x v="362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0" s="1"/>
        <i x="16" s="1" nd="1"/>
        <i x="12" s="1" nd="1"/>
        <i x="13" s="1" nd="1"/>
        <i x="15" s="1" nd="1"/>
        <i x="14" s="1" nd="1"/>
        <i x="1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17" totalsRowShown="0" headerRowDxfId="10">
  <autoFilter ref="A1:Y817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671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769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324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31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629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7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268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75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682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28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35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42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181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02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79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86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693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707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139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46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53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60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50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192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06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413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595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816" Type="http://schemas.openxmlformats.org/officeDocument/2006/relationships/table" Target="../tables/table1.xml"/><Relationship Id="rId248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55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97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620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62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718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15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7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522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61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217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399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564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771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259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24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66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631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73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29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119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270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326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33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30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68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75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740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782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172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228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35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77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60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42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84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281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337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502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14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79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544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86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751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793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807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183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239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390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04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446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611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53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250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292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06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488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695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09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348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13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55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97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720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762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152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194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08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15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57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622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261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99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664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317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9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24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66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73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773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12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163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219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370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426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633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230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68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675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272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328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35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77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00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42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32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174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81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02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78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241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37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9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644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86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283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39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490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04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46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711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75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14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185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350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406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588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795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809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210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39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48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13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55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97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252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294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308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15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722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15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61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57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9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764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196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417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59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24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66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21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263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319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470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526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23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30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68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33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775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165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72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428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35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77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800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232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274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81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702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34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537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9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744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786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7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341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83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39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590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604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646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811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201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43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85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450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506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688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310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492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48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1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75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797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45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187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352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94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08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15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212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254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657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99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1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296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461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517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9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2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766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15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198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321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63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419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570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26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23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30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68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265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472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528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3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25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16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332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374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81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77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234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637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79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802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76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441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83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39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690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04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74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136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178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301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43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50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88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203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385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592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06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48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813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245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287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410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452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94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08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15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147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312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54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757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799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189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396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561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617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59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14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256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298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21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63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519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670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116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15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323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30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26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768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365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572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628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25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67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432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74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127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681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37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169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34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76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41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83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639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790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804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180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36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278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401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43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0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303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485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692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06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48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38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45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87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510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52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94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08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815" Type="http://schemas.openxmlformats.org/officeDocument/2006/relationships/drawing" Target="../drawings/drawing2.xml"/><Relationship Id="rId191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205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247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412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289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54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96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661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17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759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149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14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56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8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521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63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619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770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16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16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423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58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465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630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72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28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18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5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67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532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74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171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227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781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269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34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76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641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83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739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12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280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36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501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543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40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82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78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3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585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750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792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806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38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445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87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610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52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94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08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291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05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47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12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51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89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54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96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61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193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07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49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14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56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8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621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63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60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16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23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19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12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358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565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30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772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16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218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25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67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32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71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674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31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27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69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34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576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741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783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173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229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380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36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60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643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40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478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685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282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38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503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45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87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710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752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808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142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8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391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05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47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12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94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251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89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54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96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93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07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49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14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56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721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63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153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195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09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360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416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598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220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458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623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65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262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318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25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67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32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2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64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71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774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427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69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34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76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231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73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329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8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536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701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33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75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40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578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743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785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00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382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38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03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45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87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810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242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284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91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05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71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144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547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89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54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96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6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51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93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07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449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14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56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11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253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295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09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460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516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698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20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58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23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65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155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197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62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18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25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222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64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71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67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24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527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69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3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76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66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31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73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29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580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636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801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40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78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275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0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482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38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03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45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135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177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342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84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91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05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78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812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202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44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647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89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286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51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93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07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9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14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56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146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188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311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53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95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09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560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98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213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20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16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58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55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297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462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18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25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115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157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22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64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767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199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571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627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69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224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66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431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73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529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680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736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126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168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33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40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375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82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38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803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5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277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400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42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84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705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137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02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44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691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74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789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79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386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551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93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07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49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814" Type="http://schemas.openxmlformats.org/officeDocument/2006/relationships/printerSettings" Target="../printerSettings/printerSettings2.bin"/><Relationship Id="rId190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204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46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288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411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53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9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660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13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495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716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758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148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55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7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520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62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618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215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57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422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64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299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72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15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366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573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80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226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33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40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738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377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500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84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805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237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79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444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51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74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290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04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388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11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609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D25" sqref="D25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3352</v>
      </c>
      <c r="D12" t="s">
        <v>166</v>
      </c>
      <c r="F12" s="1" t="s">
        <v>3351</v>
      </c>
      <c r="G12" t="s">
        <v>166</v>
      </c>
      <c r="I12"/>
      <c r="J12" s="1" t="s">
        <v>203</v>
      </c>
      <c r="K12"/>
    </row>
    <row r="13" spans="3:19" x14ac:dyDescent="0.25">
      <c r="C13" s="2" t="s">
        <v>142</v>
      </c>
      <c r="D13" s="35">
        <v>7</v>
      </c>
      <c r="F13" s="2" t="s">
        <v>168</v>
      </c>
      <c r="G13" s="35">
        <v>13</v>
      </c>
      <c r="I13" s="1" t="s">
        <v>205</v>
      </c>
      <c r="J13" t="s">
        <v>206</v>
      </c>
      <c r="K13" t="s">
        <v>207</v>
      </c>
    </row>
    <row r="14" spans="3:19" x14ac:dyDescent="0.25">
      <c r="C14" s="2" t="s">
        <v>124</v>
      </c>
      <c r="D14" s="35">
        <v>6</v>
      </c>
      <c r="F14" s="2" t="s">
        <v>167</v>
      </c>
      <c r="G14" s="35">
        <v>13</v>
      </c>
      <c r="I14" s="2" t="s">
        <v>3342</v>
      </c>
      <c r="J14" s="35">
        <v>29</v>
      </c>
      <c r="K14" s="35">
        <v>12</v>
      </c>
    </row>
    <row r="15" spans="3:19" x14ac:dyDescent="0.25">
      <c r="C15" s="2" t="s">
        <v>143</v>
      </c>
      <c r="D15" s="35">
        <v>5</v>
      </c>
      <c r="F15" s="2" t="s">
        <v>178</v>
      </c>
      <c r="G15" s="35">
        <v>9</v>
      </c>
      <c r="I15" s="2" t="s">
        <v>3343</v>
      </c>
      <c r="J15" s="35">
        <v>37</v>
      </c>
      <c r="K15" s="35">
        <v>8</v>
      </c>
    </row>
    <row r="16" spans="3:19" x14ac:dyDescent="0.25">
      <c r="C16" s="2" t="s">
        <v>140</v>
      </c>
      <c r="D16" s="35">
        <v>4</v>
      </c>
      <c r="F16" s="2" t="s">
        <v>170</v>
      </c>
      <c r="G16" s="35">
        <v>9</v>
      </c>
      <c r="I16" s="2" t="s">
        <v>3344</v>
      </c>
      <c r="J16" s="35">
        <v>31</v>
      </c>
      <c r="K16" s="35">
        <v>4</v>
      </c>
    </row>
    <row r="17" spans="2:11" x14ac:dyDescent="0.25">
      <c r="C17" s="2" t="s">
        <v>133</v>
      </c>
      <c r="D17" s="35">
        <v>3</v>
      </c>
      <c r="F17" s="2" t="s">
        <v>177</v>
      </c>
      <c r="G17" s="35">
        <v>8</v>
      </c>
      <c r="I17" s="2" t="s">
        <v>212</v>
      </c>
      <c r="J17" s="35">
        <v>27</v>
      </c>
      <c r="K17" s="35">
        <v>12</v>
      </c>
    </row>
    <row r="18" spans="2:11" x14ac:dyDescent="0.25">
      <c r="C18" s="2" t="s">
        <v>75</v>
      </c>
      <c r="D18" s="35">
        <v>3</v>
      </c>
      <c r="F18" s="2" t="s">
        <v>173</v>
      </c>
      <c r="G18" s="35">
        <v>7</v>
      </c>
      <c r="I18" s="2" t="s">
        <v>214</v>
      </c>
      <c r="J18" s="35">
        <v>19</v>
      </c>
      <c r="K18" s="35">
        <v>7</v>
      </c>
    </row>
    <row r="19" spans="2:11" x14ac:dyDescent="0.25">
      <c r="C19" s="2" t="s">
        <v>135</v>
      </c>
      <c r="D19" s="35">
        <v>3</v>
      </c>
      <c r="F19" s="2" t="s">
        <v>190</v>
      </c>
      <c r="G19" s="35">
        <v>6</v>
      </c>
      <c r="I19" s="2" t="s">
        <v>216</v>
      </c>
      <c r="J19" s="35">
        <v>26</v>
      </c>
      <c r="K19" s="35">
        <v>7</v>
      </c>
    </row>
    <row r="20" spans="2:11" x14ac:dyDescent="0.25">
      <c r="C20" s="2" t="s">
        <v>137</v>
      </c>
      <c r="D20" s="35">
        <v>3</v>
      </c>
      <c r="F20" s="2" t="s">
        <v>179</v>
      </c>
      <c r="G20" s="35">
        <v>6</v>
      </c>
      <c r="I20" s="2" t="s">
        <v>218</v>
      </c>
      <c r="J20" s="35">
        <v>28</v>
      </c>
      <c r="K20" s="35">
        <v>8</v>
      </c>
    </row>
    <row r="21" spans="2:11" x14ac:dyDescent="0.25">
      <c r="C21" s="2" t="s">
        <v>71</v>
      </c>
      <c r="D21" s="35">
        <v>3</v>
      </c>
      <c r="F21" s="2" t="s">
        <v>175</v>
      </c>
      <c r="G21" s="35">
        <v>6</v>
      </c>
      <c r="I21" s="2" t="s">
        <v>220</v>
      </c>
      <c r="J21" s="35">
        <v>7</v>
      </c>
      <c r="K21" s="35"/>
    </row>
    <row r="22" spans="2:11" x14ac:dyDescent="0.25">
      <c r="C22" s="2" t="s">
        <v>14</v>
      </c>
      <c r="D22" s="35">
        <v>3</v>
      </c>
      <c r="F22" s="2" t="s">
        <v>169</v>
      </c>
      <c r="G22" s="35">
        <v>6</v>
      </c>
      <c r="I22" s="2" t="s">
        <v>222</v>
      </c>
      <c r="J22" s="35"/>
      <c r="K22" s="35"/>
    </row>
    <row r="23" spans="2:11" x14ac:dyDescent="0.25">
      <c r="C23" s="2" t="s">
        <v>52</v>
      </c>
      <c r="D23" s="35">
        <v>3</v>
      </c>
      <c r="F23" s="2" t="s">
        <v>174</v>
      </c>
      <c r="G23" s="35">
        <v>6</v>
      </c>
      <c r="I23" s="2" t="s">
        <v>224</v>
      </c>
      <c r="J23" s="35"/>
      <c r="K23" s="35"/>
    </row>
    <row r="24" spans="2:11" x14ac:dyDescent="0.25">
      <c r="C24" s="2" t="s">
        <v>125</v>
      </c>
      <c r="D24" s="35">
        <v>3</v>
      </c>
      <c r="F24" s="2" t="s">
        <v>201</v>
      </c>
      <c r="G24" s="35">
        <v>5</v>
      </c>
      <c r="I24" s="2" t="s">
        <v>226</v>
      </c>
      <c r="J24" s="35"/>
      <c r="K24" s="35"/>
    </row>
    <row r="25" spans="2:11" x14ac:dyDescent="0.25">
      <c r="C25" s="2" t="s">
        <v>80</v>
      </c>
      <c r="D25" s="35">
        <v>3</v>
      </c>
      <c r="F25" s="2" t="s">
        <v>202</v>
      </c>
      <c r="G25" s="35">
        <v>5</v>
      </c>
      <c r="I25" s="2" t="s">
        <v>228</v>
      </c>
      <c r="J25" s="35"/>
      <c r="K25" s="35"/>
    </row>
    <row r="26" spans="2:11" x14ac:dyDescent="0.25">
      <c r="C26" s="2" t="s">
        <v>139</v>
      </c>
      <c r="D26" s="35">
        <v>2</v>
      </c>
      <c r="F26" s="2" t="s">
        <v>194</v>
      </c>
      <c r="G26" s="35">
        <v>5</v>
      </c>
    </row>
    <row r="27" spans="2:11" x14ac:dyDescent="0.25">
      <c r="C27" s="2" t="s">
        <v>126</v>
      </c>
      <c r="D27" s="35">
        <v>2</v>
      </c>
      <c r="F27" s="2" t="s">
        <v>210</v>
      </c>
      <c r="G27" s="35">
        <v>4</v>
      </c>
      <c r="I27" s="1" t="s">
        <v>3353</v>
      </c>
      <c r="J27" t="s">
        <v>166</v>
      </c>
    </row>
    <row r="28" spans="2:11" x14ac:dyDescent="0.25">
      <c r="C28" s="2" t="s">
        <v>108</v>
      </c>
      <c r="D28" s="35">
        <v>2</v>
      </c>
      <c r="F28" s="2" t="s">
        <v>246</v>
      </c>
      <c r="G28" s="35">
        <v>3</v>
      </c>
      <c r="I28" s="2" t="s">
        <v>185</v>
      </c>
      <c r="J28" s="35">
        <v>48</v>
      </c>
    </row>
    <row r="29" spans="2:11" x14ac:dyDescent="0.25">
      <c r="C29" s="2" t="s">
        <v>15</v>
      </c>
      <c r="D29" s="35">
        <v>2</v>
      </c>
      <c r="F29" s="2" t="s">
        <v>171</v>
      </c>
      <c r="G29" s="35">
        <v>3</v>
      </c>
      <c r="I29" s="2" t="s">
        <v>187</v>
      </c>
      <c r="J29" s="35">
        <v>41</v>
      </c>
    </row>
    <row r="30" spans="2:11" x14ac:dyDescent="0.25">
      <c r="C30" s="2" t="s">
        <v>132</v>
      </c>
      <c r="D30" s="35">
        <v>2</v>
      </c>
      <c r="F30" s="2" t="s">
        <v>237</v>
      </c>
      <c r="G30" s="35">
        <v>3</v>
      </c>
      <c r="I30" s="2" t="s">
        <v>191</v>
      </c>
      <c r="J30" s="35">
        <v>38</v>
      </c>
    </row>
    <row r="31" spans="2:11" x14ac:dyDescent="0.25">
      <c r="B31" s="34">
        <f>AVERAGE(D13:D275)</f>
        <v>2.7553191489361701</v>
      </c>
      <c r="C31" s="2" t="s">
        <v>20</v>
      </c>
      <c r="D31" s="35">
        <v>2</v>
      </c>
      <c r="F31" s="2" t="s">
        <v>192</v>
      </c>
      <c r="G31" s="35">
        <v>3</v>
      </c>
      <c r="I31" s="2" t="s">
        <v>189</v>
      </c>
      <c r="J31" s="35">
        <v>32</v>
      </c>
    </row>
    <row r="32" spans="2:11" x14ac:dyDescent="0.25">
      <c r="C32" s="2" t="s">
        <v>153</v>
      </c>
      <c r="D32" s="35">
        <v>2</v>
      </c>
      <c r="F32" s="2" t="s">
        <v>252</v>
      </c>
      <c r="G32" s="35">
        <v>3</v>
      </c>
      <c r="I32" s="2" t="s">
        <v>195</v>
      </c>
      <c r="J32" s="35">
        <v>27</v>
      </c>
    </row>
    <row r="33" spans="3:15" x14ac:dyDescent="0.25">
      <c r="C33" s="2" t="s">
        <v>22</v>
      </c>
      <c r="D33" s="35">
        <v>2</v>
      </c>
      <c r="F33" s="2" t="s">
        <v>290</v>
      </c>
      <c r="G33" s="35">
        <v>3</v>
      </c>
      <c r="I33" s="2" t="s">
        <v>199</v>
      </c>
      <c r="J33" s="35">
        <v>25</v>
      </c>
    </row>
    <row r="34" spans="3:15" x14ac:dyDescent="0.25">
      <c r="C34" s="2" t="s">
        <v>160</v>
      </c>
      <c r="D34" s="35">
        <v>2</v>
      </c>
      <c r="F34" s="2" t="s">
        <v>242</v>
      </c>
      <c r="G34" s="35">
        <v>3</v>
      </c>
      <c r="I34" s="2" t="s">
        <v>193</v>
      </c>
      <c r="J34" s="35">
        <v>23</v>
      </c>
    </row>
    <row r="35" spans="3:15" x14ac:dyDescent="0.25">
      <c r="C35" s="2" t="s">
        <v>23</v>
      </c>
      <c r="D35" s="35">
        <v>2</v>
      </c>
      <c r="F35" s="2" t="s">
        <v>219</v>
      </c>
      <c r="G35" s="35">
        <v>3</v>
      </c>
      <c r="I35" s="2" t="s">
        <v>197</v>
      </c>
      <c r="J35" s="35">
        <v>23</v>
      </c>
    </row>
    <row r="36" spans="3:15" x14ac:dyDescent="0.25">
      <c r="C36" s="2" t="s">
        <v>3266</v>
      </c>
      <c r="D36" s="35">
        <v>2</v>
      </c>
      <c r="F36" s="2" t="s">
        <v>176</v>
      </c>
      <c r="G36" s="35">
        <v>3</v>
      </c>
      <c r="I36" s="2" t="s">
        <v>1150</v>
      </c>
      <c r="J36" s="35">
        <v>4</v>
      </c>
    </row>
    <row r="37" spans="3:15" x14ac:dyDescent="0.25">
      <c r="C37" s="2" t="s">
        <v>31</v>
      </c>
      <c r="D37" s="35">
        <v>2</v>
      </c>
      <c r="F37" s="2" t="s">
        <v>183</v>
      </c>
      <c r="G37" s="35">
        <v>3</v>
      </c>
      <c r="I37" s="2" t="s">
        <v>3359</v>
      </c>
      <c r="J37" s="35">
        <v>3</v>
      </c>
    </row>
    <row r="38" spans="3:15" x14ac:dyDescent="0.25">
      <c r="C38" s="2" t="s">
        <v>6</v>
      </c>
      <c r="D38" s="35">
        <v>2</v>
      </c>
      <c r="F38" s="2" t="s">
        <v>328</v>
      </c>
      <c r="G38" s="35">
        <v>2</v>
      </c>
      <c r="I38" s="2" t="s">
        <v>3383</v>
      </c>
      <c r="J38" s="35">
        <v>1</v>
      </c>
    </row>
    <row r="39" spans="3:15" x14ac:dyDescent="0.25">
      <c r="C39" s="2" t="s">
        <v>36</v>
      </c>
      <c r="D39" s="35">
        <v>2</v>
      </c>
      <c r="F39" s="2" t="s">
        <v>260</v>
      </c>
      <c r="G39" s="35">
        <v>2</v>
      </c>
      <c r="I39" s="2" t="s">
        <v>165</v>
      </c>
      <c r="J39" s="35">
        <v>265</v>
      </c>
    </row>
    <row r="40" spans="3:15" x14ac:dyDescent="0.25">
      <c r="C40" s="2" t="s">
        <v>154</v>
      </c>
      <c r="D40" s="35">
        <v>2</v>
      </c>
      <c r="F40" s="2" t="s">
        <v>236</v>
      </c>
      <c r="G40" s="35">
        <v>2</v>
      </c>
    </row>
    <row r="41" spans="3:15" x14ac:dyDescent="0.25">
      <c r="C41" s="2" t="s">
        <v>41</v>
      </c>
      <c r="D41" s="35">
        <v>2</v>
      </c>
      <c r="F41" s="2" t="s">
        <v>254</v>
      </c>
      <c r="G41" s="35">
        <v>2</v>
      </c>
      <c r="I41" s="37" t="s">
        <v>3346</v>
      </c>
      <c r="J41" s="37"/>
      <c r="K41" s="37"/>
      <c r="L41" s="25"/>
      <c r="M41" s="37" t="s">
        <v>3345</v>
      </c>
      <c r="N41" s="37"/>
      <c r="O41" s="37"/>
    </row>
    <row r="42" spans="3:15" x14ac:dyDescent="0.25">
      <c r="C42" s="2" t="s">
        <v>107</v>
      </c>
      <c r="D42" s="35">
        <v>2</v>
      </c>
      <c r="F42" s="2" t="s">
        <v>265</v>
      </c>
      <c r="G42" s="35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62</v>
      </c>
      <c r="D43" s="35">
        <v>2</v>
      </c>
      <c r="F43" s="2" t="s">
        <v>213</v>
      </c>
      <c r="G43" s="35">
        <v>2</v>
      </c>
      <c r="I43" s="13">
        <f>'[1]Ingeplande per TC'!$A$3</f>
        <v>10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25">
      <c r="C44" s="2" t="s">
        <v>109</v>
      </c>
      <c r="D44" s="35">
        <v>2</v>
      </c>
      <c r="F44" s="2" t="s">
        <v>257</v>
      </c>
      <c r="G44" s="35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17</v>
      </c>
      <c r="N44" s="13" t="str">
        <f>'[1]Ingeplande per TC'!$B$4</f>
        <v>Els Dewulf</v>
      </c>
      <c r="O44" s="13"/>
    </row>
    <row r="45" spans="3:15" x14ac:dyDescent="0.25">
      <c r="C45" s="2" t="s">
        <v>66</v>
      </c>
      <c r="D45" s="35">
        <v>2</v>
      </c>
      <c r="F45" s="2" t="s">
        <v>263</v>
      </c>
      <c r="G45" s="35">
        <v>2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25">
      <c r="C46" s="2" t="s">
        <v>111</v>
      </c>
      <c r="D46" s="35">
        <v>2</v>
      </c>
      <c r="F46" s="2" t="s">
        <v>3243</v>
      </c>
      <c r="G46" s="35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25">
      <c r="C47" s="2" t="s">
        <v>70</v>
      </c>
      <c r="D47" s="35">
        <v>2</v>
      </c>
      <c r="F47" s="2" t="s">
        <v>211</v>
      </c>
      <c r="G47" s="35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9</v>
      </c>
      <c r="N47" s="13" t="str">
        <f>'[1]Ingeplande per TC'!$B$7</f>
        <v>Steven Storm</v>
      </c>
      <c r="O47" s="13"/>
    </row>
    <row r="48" spans="3:15" x14ac:dyDescent="0.25">
      <c r="C48" s="2" t="s">
        <v>127</v>
      </c>
      <c r="D48" s="35">
        <v>2</v>
      </c>
      <c r="F48" s="2" t="s">
        <v>245</v>
      </c>
      <c r="G48" s="35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25">
      <c r="C49" s="2" t="s">
        <v>2</v>
      </c>
      <c r="D49" s="35">
        <v>2</v>
      </c>
      <c r="F49" s="2" t="s">
        <v>292</v>
      </c>
      <c r="G49" s="35">
        <v>2</v>
      </c>
      <c r="I49" s="13">
        <f>'[1]Ingeplande per TC'!$A$9</f>
        <v>13</v>
      </c>
      <c r="J49" s="13" t="str">
        <f>'[1]Ingeplande per TC'!$B$9</f>
        <v>Kenneth De Rick</v>
      </c>
      <c r="K49" s="13"/>
      <c r="L49" s="25"/>
      <c r="M49" s="13">
        <f>'[1]Ingeplande per TC'!$D$9</f>
        <v>13</v>
      </c>
      <c r="N49" s="13" t="str">
        <f>'[1]Ingeplande per TC'!$B$9</f>
        <v>Kenneth De Rick</v>
      </c>
      <c r="O49" s="13"/>
    </row>
    <row r="50" spans="3:15" x14ac:dyDescent="0.25">
      <c r="C50" s="2" t="s">
        <v>131</v>
      </c>
      <c r="D50" s="35">
        <v>2</v>
      </c>
      <c r="F50" s="2" t="s">
        <v>372</v>
      </c>
      <c r="G50" s="35">
        <v>2</v>
      </c>
      <c r="I50" s="14">
        <f>SUM(I42:I49)</f>
        <v>73</v>
      </c>
      <c r="J50" s="14" t="s">
        <v>398</v>
      </c>
      <c r="K50" s="14"/>
      <c r="L50" s="25"/>
      <c r="M50" s="14">
        <f>SUM(M42:M49)</f>
        <v>131</v>
      </c>
      <c r="N50" s="14" t="s">
        <v>398</v>
      </c>
      <c r="O50" s="14"/>
    </row>
    <row r="51" spans="3:15" x14ac:dyDescent="0.25">
      <c r="C51" s="2" t="s">
        <v>73</v>
      </c>
      <c r="D51" s="35">
        <v>2</v>
      </c>
      <c r="F51" s="2" t="s">
        <v>200</v>
      </c>
      <c r="G51" s="35">
        <v>2</v>
      </c>
    </row>
    <row r="52" spans="3:15" x14ac:dyDescent="0.25">
      <c r="C52" s="2" t="s">
        <v>134</v>
      </c>
      <c r="D52" s="35">
        <v>2</v>
      </c>
      <c r="F52" s="2" t="s">
        <v>217</v>
      </c>
      <c r="G52" s="35">
        <v>2</v>
      </c>
    </row>
    <row r="53" spans="3:15" x14ac:dyDescent="0.25">
      <c r="C53" s="2" t="s">
        <v>77</v>
      </c>
      <c r="D53" s="35">
        <v>2</v>
      </c>
      <c r="F53" s="2" t="s">
        <v>188</v>
      </c>
      <c r="G53" s="35">
        <v>2</v>
      </c>
    </row>
    <row r="54" spans="3:15" x14ac:dyDescent="0.25">
      <c r="C54" s="2" t="s">
        <v>136</v>
      </c>
      <c r="D54" s="35">
        <v>2</v>
      </c>
      <c r="F54" s="2" t="s">
        <v>288</v>
      </c>
      <c r="G54" s="35">
        <v>2</v>
      </c>
    </row>
    <row r="55" spans="3:15" x14ac:dyDescent="0.25">
      <c r="C55" s="2" t="s">
        <v>85</v>
      </c>
      <c r="D55" s="35">
        <v>2</v>
      </c>
      <c r="F55" s="2" t="s">
        <v>244</v>
      </c>
      <c r="G55" s="35">
        <v>2</v>
      </c>
    </row>
    <row r="56" spans="3:15" x14ac:dyDescent="0.25">
      <c r="C56" s="2" t="s">
        <v>152</v>
      </c>
      <c r="D56" s="35">
        <v>2</v>
      </c>
      <c r="F56" s="2" t="s">
        <v>284</v>
      </c>
      <c r="G56" s="35">
        <v>2</v>
      </c>
    </row>
    <row r="57" spans="3:15" x14ac:dyDescent="0.25">
      <c r="C57" s="2" t="s">
        <v>88</v>
      </c>
      <c r="D57" s="35">
        <v>2</v>
      </c>
      <c r="F57" s="2" t="s">
        <v>279</v>
      </c>
      <c r="G57" s="35">
        <v>2</v>
      </c>
    </row>
    <row r="58" spans="3:15" x14ac:dyDescent="0.25">
      <c r="C58" s="2" t="s">
        <v>144</v>
      </c>
      <c r="D58" s="35">
        <v>2</v>
      </c>
      <c r="F58" s="2" t="s">
        <v>238</v>
      </c>
      <c r="G58" s="35">
        <v>2</v>
      </c>
    </row>
    <row r="59" spans="3:15" x14ac:dyDescent="0.25">
      <c r="C59" s="2" t="s">
        <v>95</v>
      </c>
      <c r="D59" s="35">
        <v>2</v>
      </c>
      <c r="F59" s="2" t="s">
        <v>3271</v>
      </c>
      <c r="G59" s="35">
        <v>1</v>
      </c>
    </row>
    <row r="60" spans="3:15" x14ac:dyDescent="0.25">
      <c r="C60" s="2" t="s">
        <v>100</v>
      </c>
      <c r="D60" s="35">
        <v>2</v>
      </c>
      <c r="F60" s="2" t="s">
        <v>329</v>
      </c>
      <c r="G60" s="35">
        <v>1</v>
      </c>
    </row>
    <row r="61" spans="3:15" x14ac:dyDescent="0.25">
      <c r="C61" s="2" t="s">
        <v>146</v>
      </c>
      <c r="D61" s="35">
        <v>2</v>
      </c>
      <c r="F61" s="2" t="s">
        <v>307</v>
      </c>
      <c r="G61" s="35">
        <v>1</v>
      </c>
    </row>
    <row r="62" spans="3:15" x14ac:dyDescent="0.25">
      <c r="C62" s="2" t="s">
        <v>158</v>
      </c>
      <c r="D62" s="35">
        <v>1</v>
      </c>
      <c r="F62" s="2" t="s">
        <v>393</v>
      </c>
      <c r="G62" s="35">
        <v>1</v>
      </c>
    </row>
    <row r="63" spans="3:15" x14ac:dyDescent="0.25">
      <c r="C63" s="2" t="s">
        <v>33</v>
      </c>
      <c r="D63" s="35">
        <v>1</v>
      </c>
      <c r="F63" s="2" t="s">
        <v>362</v>
      </c>
      <c r="G63" s="35">
        <v>1</v>
      </c>
    </row>
    <row r="64" spans="3:15" x14ac:dyDescent="0.25">
      <c r="C64" s="2" t="s">
        <v>113</v>
      </c>
      <c r="D64" s="35">
        <v>1</v>
      </c>
      <c r="F64" s="2" t="s">
        <v>262</v>
      </c>
      <c r="G64" s="35">
        <v>1</v>
      </c>
    </row>
    <row r="65" spans="3:7" x14ac:dyDescent="0.25">
      <c r="C65" s="2" t="s">
        <v>3295</v>
      </c>
      <c r="D65" s="35">
        <v>1</v>
      </c>
      <c r="F65" s="2" t="s">
        <v>3338</v>
      </c>
      <c r="G65" s="35">
        <v>1</v>
      </c>
    </row>
    <row r="66" spans="3:7" x14ac:dyDescent="0.25">
      <c r="C66" s="2" t="s">
        <v>8</v>
      </c>
      <c r="D66" s="35">
        <v>1</v>
      </c>
      <c r="F66" s="2" t="s">
        <v>306</v>
      </c>
      <c r="G66" s="35">
        <v>1</v>
      </c>
    </row>
    <row r="67" spans="3:7" x14ac:dyDescent="0.25">
      <c r="C67" s="2" t="s">
        <v>42</v>
      </c>
      <c r="D67" s="35">
        <v>1</v>
      </c>
      <c r="F67" s="2" t="s">
        <v>359</v>
      </c>
      <c r="G67" s="35">
        <v>1</v>
      </c>
    </row>
    <row r="68" spans="3:7" x14ac:dyDescent="0.25">
      <c r="C68" s="2" t="s">
        <v>106</v>
      </c>
      <c r="D68" s="35">
        <v>1</v>
      </c>
      <c r="F68" s="2" t="s">
        <v>184</v>
      </c>
      <c r="G68" s="35">
        <v>1</v>
      </c>
    </row>
    <row r="69" spans="3:7" x14ac:dyDescent="0.25">
      <c r="C69" s="2" t="s">
        <v>43</v>
      </c>
      <c r="D69" s="35">
        <v>1</v>
      </c>
      <c r="F69" s="2" t="s">
        <v>304</v>
      </c>
      <c r="G69" s="35">
        <v>1</v>
      </c>
    </row>
    <row r="70" spans="3:7" x14ac:dyDescent="0.25">
      <c r="C70" s="2" t="s">
        <v>120</v>
      </c>
      <c r="D70" s="35">
        <v>1</v>
      </c>
      <c r="F70" s="2" t="s">
        <v>320</v>
      </c>
      <c r="G70" s="35">
        <v>1</v>
      </c>
    </row>
    <row r="71" spans="3:7" x14ac:dyDescent="0.25">
      <c r="C71" s="2" t="s">
        <v>44</v>
      </c>
      <c r="D71" s="35">
        <v>1</v>
      </c>
      <c r="F71" s="2" t="s">
        <v>255</v>
      </c>
      <c r="G71" s="35">
        <v>1</v>
      </c>
    </row>
    <row r="72" spans="3:7" x14ac:dyDescent="0.25">
      <c r="C72" s="2" t="s">
        <v>3325</v>
      </c>
      <c r="D72" s="35">
        <v>1</v>
      </c>
      <c r="F72" s="2" t="s">
        <v>312</v>
      </c>
      <c r="G72" s="35">
        <v>1</v>
      </c>
    </row>
    <row r="73" spans="3:7" x14ac:dyDescent="0.25">
      <c r="C73" s="2" t="s">
        <v>45</v>
      </c>
      <c r="D73" s="35">
        <v>1</v>
      </c>
      <c r="F73" s="2" t="s">
        <v>251</v>
      </c>
      <c r="G73" s="35">
        <v>1</v>
      </c>
    </row>
    <row r="74" spans="3:7" x14ac:dyDescent="0.25">
      <c r="C74" s="2" t="s">
        <v>145</v>
      </c>
      <c r="D74" s="35">
        <v>1</v>
      </c>
      <c r="F74" s="2" t="s">
        <v>235</v>
      </c>
      <c r="G74" s="35">
        <v>1</v>
      </c>
    </row>
    <row r="75" spans="3:7" x14ac:dyDescent="0.25">
      <c r="C75" s="2" t="s">
        <v>46</v>
      </c>
      <c r="D75" s="35">
        <v>1</v>
      </c>
      <c r="F75" s="2" t="s">
        <v>299</v>
      </c>
      <c r="G75" s="35">
        <v>1</v>
      </c>
    </row>
    <row r="76" spans="3:7" x14ac:dyDescent="0.25">
      <c r="C76" s="2" t="s">
        <v>102</v>
      </c>
      <c r="D76" s="35">
        <v>1</v>
      </c>
      <c r="F76" s="2" t="s">
        <v>209</v>
      </c>
      <c r="G76" s="35">
        <v>1</v>
      </c>
    </row>
    <row r="77" spans="3:7" x14ac:dyDescent="0.25">
      <c r="C77" s="2" t="s">
        <v>47</v>
      </c>
      <c r="D77" s="35">
        <v>1</v>
      </c>
      <c r="F77" s="2" t="s">
        <v>3375</v>
      </c>
      <c r="G77" s="35">
        <v>1</v>
      </c>
    </row>
    <row r="78" spans="3:7" x14ac:dyDescent="0.25">
      <c r="C78" s="2" t="s">
        <v>110</v>
      </c>
      <c r="D78" s="35">
        <v>1</v>
      </c>
      <c r="F78" s="2" t="s">
        <v>293</v>
      </c>
      <c r="G78" s="35">
        <v>1</v>
      </c>
    </row>
    <row r="79" spans="3:7" x14ac:dyDescent="0.25">
      <c r="C79" s="2" t="s">
        <v>48</v>
      </c>
      <c r="D79" s="35">
        <v>1</v>
      </c>
      <c r="F79" s="2" t="s">
        <v>365</v>
      </c>
      <c r="G79" s="35">
        <v>1</v>
      </c>
    </row>
    <row r="80" spans="3:7" x14ac:dyDescent="0.25">
      <c r="C80" s="2" t="s">
        <v>116</v>
      </c>
      <c r="D80" s="35">
        <v>1</v>
      </c>
      <c r="F80" s="2" t="s">
        <v>337</v>
      </c>
      <c r="G80" s="35">
        <v>1</v>
      </c>
    </row>
    <row r="81" spans="3:7" x14ac:dyDescent="0.25">
      <c r="C81" s="2" t="s">
        <v>49</v>
      </c>
      <c r="D81" s="35">
        <v>1</v>
      </c>
      <c r="F81" s="2" t="s">
        <v>379</v>
      </c>
      <c r="G81" s="35">
        <v>1</v>
      </c>
    </row>
    <row r="82" spans="3:7" x14ac:dyDescent="0.25">
      <c r="C82" s="2" t="s">
        <v>3</v>
      </c>
      <c r="D82" s="35">
        <v>1</v>
      </c>
      <c r="F82" s="2" t="s">
        <v>225</v>
      </c>
      <c r="G82" s="35">
        <v>1</v>
      </c>
    </row>
    <row r="83" spans="3:7" x14ac:dyDescent="0.25">
      <c r="C83" s="2" t="s">
        <v>50</v>
      </c>
      <c r="D83" s="35">
        <v>1</v>
      </c>
      <c r="F83" s="2" t="s">
        <v>240</v>
      </c>
      <c r="G83" s="35">
        <v>1</v>
      </c>
    </row>
    <row r="84" spans="3:7" x14ac:dyDescent="0.25">
      <c r="C84" s="2" t="s">
        <v>34</v>
      </c>
      <c r="D84" s="35">
        <v>1</v>
      </c>
      <c r="F84" s="2" t="s">
        <v>323</v>
      </c>
      <c r="G84" s="35">
        <v>1</v>
      </c>
    </row>
    <row r="85" spans="3:7" x14ac:dyDescent="0.25">
      <c r="C85" s="2" t="s">
        <v>51</v>
      </c>
      <c r="D85" s="35">
        <v>1</v>
      </c>
      <c r="F85" s="2" t="s">
        <v>316</v>
      </c>
      <c r="G85" s="35">
        <v>1</v>
      </c>
    </row>
    <row r="86" spans="3:7" x14ac:dyDescent="0.25">
      <c r="C86" s="2" t="s">
        <v>157</v>
      </c>
      <c r="D86" s="35">
        <v>1</v>
      </c>
      <c r="F86" s="2" t="s">
        <v>301</v>
      </c>
      <c r="G86" s="35">
        <v>1</v>
      </c>
    </row>
    <row r="87" spans="3:7" x14ac:dyDescent="0.25">
      <c r="C87" s="2" t="s">
        <v>1</v>
      </c>
      <c r="D87" s="35">
        <v>1</v>
      </c>
      <c r="F87" s="2" t="s">
        <v>336</v>
      </c>
      <c r="G87" s="35">
        <v>1</v>
      </c>
    </row>
    <row r="88" spans="3:7" x14ac:dyDescent="0.25">
      <c r="C88" s="2" t="s">
        <v>10</v>
      </c>
      <c r="D88" s="35">
        <v>1</v>
      </c>
      <c r="F88" s="2" t="s">
        <v>180</v>
      </c>
      <c r="G88" s="35">
        <v>1</v>
      </c>
    </row>
    <row r="89" spans="3:7" x14ac:dyDescent="0.25">
      <c r="C89" s="2" t="s">
        <v>53</v>
      </c>
      <c r="D89" s="35">
        <v>1</v>
      </c>
      <c r="F89" s="2" t="s">
        <v>277</v>
      </c>
      <c r="G89" s="35">
        <v>1</v>
      </c>
    </row>
    <row r="90" spans="3:7" x14ac:dyDescent="0.25">
      <c r="C90" s="2" t="s">
        <v>155</v>
      </c>
      <c r="D90" s="35">
        <v>1</v>
      </c>
      <c r="F90" s="2" t="s">
        <v>339</v>
      </c>
      <c r="G90" s="35">
        <v>1</v>
      </c>
    </row>
    <row r="91" spans="3:7" x14ac:dyDescent="0.25">
      <c r="C91" s="2" t="s">
        <v>54</v>
      </c>
      <c r="D91" s="35">
        <v>1</v>
      </c>
      <c r="F91" s="2" t="s">
        <v>384</v>
      </c>
      <c r="G91" s="35">
        <v>1</v>
      </c>
    </row>
    <row r="92" spans="3:7" x14ac:dyDescent="0.25">
      <c r="C92" s="2" t="s">
        <v>156</v>
      </c>
      <c r="D92" s="35">
        <v>1</v>
      </c>
      <c r="F92" s="2" t="s">
        <v>261</v>
      </c>
      <c r="G92" s="35">
        <v>1</v>
      </c>
    </row>
    <row r="93" spans="3:7" x14ac:dyDescent="0.25">
      <c r="C93" s="2" t="s">
        <v>55</v>
      </c>
      <c r="D93" s="35">
        <v>1</v>
      </c>
      <c r="F93" s="2" t="s">
        <v>347</v>
      </c>
      <c r="G93" s="35">
        <v>1</v>
      </c>
    </row>
    <row r="94" spans="3:7" x14ac:dyDescent="0.25">
      <c r="C94" s="2" t="s">
        <v>104</v>
      </c>
      <c r="D94" s="35">
        <v>1</v>
      </c>
      <c r="F94" s="2" t="s">
        <v>310</v>
      </c>
      <c r="G94" s="35">
        <v>1</v>
      </c>
    </row>
    <row r="95" spans="3:7" x14ac:dyDescent="0.25">
      <c r="C95" s="2" t="s">
        <v>56</v>
      </c>
      <c r="D95" s="35">
        <v>1</v>
      </c>
      <c r="F95" s="2" t="s">
        <v>215</v>
      </c>
      <c r="G95" s="35">
        <v>1</v>
      </c>
    </row>
    <row r="96" spans="3:7" x14ac:dyDescent="0.25">
      <c r="C96" s="2" t="s">
        <v>3249</v>
      </c>
      <c r="D96" s="35">
        <v>1</v>
      </c>
      <c r="F96" s="2" t="s">
        <v>3382</v>
      </c>
      <c r="G96" s="35">
        <v>1</v>
      </c>
    </row>
    <row r="97" spans="3:7" x14ac:dyDescent="0.25">
      <c r="C97" s="2" t="s">
        <v>57</v>
      </c>
      <c r="D97" s="35">
        <v>1</v>
      </c>
      <c r="F97" s="2" t="s">
        <v>300</v>
      </c>
      <c r="G97" s="35">
        <v>1</v>
      </c>
    </row>
    <row r="98" spans="3:7" x14ac:dyDescent="0.25">
      <c r="C98" s="2" t="s">
        <v>30</v>
      </c>
      <c r="D98" s="35">
        <v>1</v>
      </c>
      <c r="F98" s="2" t="s">
        <v>395</v>
      </c>
      <c r="G98" s="35">
        <v>1</v>
      </c>
    </row>
    <row r="99" spans="3:7" x14ac:dyDescent="0.25">
      <c r="C99" s="2" t="s">
        <v>58</v>
      </c>
      <c r="D99" s="35">
        <v>1</v>
      </c>
      <c r="F99" s="2" t="s">
        <v>243</v>
      </c>
      <c r="G99" s="35">
        <v>1</v>
      </c>
    </row>
    <row r="100" spans="3:7" x14ac:dyDescent="0.25">
      <c r="C100" s="2" t="s">
        <v>3291</v>
      </c>
      <c r="D100" s="35">
        <v>1</v>
      </c>
      <c r="F100" s="2" t="s">
        <v>298</v>
      </c>
      <c r="G100" s="35">
        <v>1</v>
      </c>
    </row>
    <row r="101" spans="3:7" x14ac:dyDescent="0.25">
      <c r="C101" s="2" t="s">
        <v>59</v>
      </c>
      <c r="D101" s="35">
        <v>1</v>
      </c>
      <c r="F101" s="2" t="s">
        <v>208</v>
      </c>
      <c r="G101" s="35">
        <v>1</v>
      </c>
    </row>
    <row r="102" spans="3:7" x14ac:dyDescent="0.25">
      <c r="C102" s="2" t="s">
        <v>118</v>
      </c>
      <c r="D102" s="35">
        <v>1</v>
      </c>
      <c r="F102" s="2" t="s">
        <v>223</v>
      </c>
      <c r="G102" s="35">
        <v>1</v>
      </c>
    </row>
    <row r="103" spans="3:7" x14ac:dyDescent="0.25">
      <c r="C103" s="2" t="s">
        <v>60</v>
      </c>
      <c r="D103" s="35">
        <v>1</v>
      </c>
      <c r="F103" s="2" t="s">
        <v>308</v>
      </c>
      <c r="G103" s="35">
        <v>1</v>
      </c>
    </row>
    <row r="104" spans="3:7" x14ac:dyDescent="0.25">
      <c r="C104" s="2" t="s">
        <v>122</v>
      </c>
      <c r="D104" s="35">
        <v>1</v>
      </c>
      <c r="F104" s="2" t="s">
        <v>396</v>
      </c>
      <c r="G104" s="35">
        <v>1</v>
      </c>
    </row>
    <row r="105" spans="3:7" x14ac:dyDescent="0.25">
      <c r="C105" s="2" t="s">
        <v>61</v>
      </c>
      <c r="D105" s="35">
        <v>1</v>
      </c>
      <c r="F105" s="2" t="s">
        <v>331</v>
      </c>
      <c r="G105" s="35">
        <v>1</v>
      </c>
    </row>
    <row r="106" spans="3:7" x14ac:dyDescent="0.25">
      <c r="C106" s="2" t="s">
        <v>16</v>
      </c>
      <c r="D106" s="35">
        <v>1</v>
      </c>
      <c r="F106" s="2" t="s">
        <v>283</v>
      </c>
      <c r="G106" s="35">
        <v>1</v>
      </c>
    </row>
    <row r="107" spans="3:7" x14ac:dyDescent="0.25">
      <c r="C107" s="2" t="s">
        <v>19</v>
      </c>
      <c r="D107" s="35">
        <v>1</v>
      </c>
      <c r="F107" s="2" t="s">
        <v>204</v>
      </c>
      <c r="G107" s="35">
        <v>1</v>
      </c>
    </row>
    <row r="108" spans="3:7" x14ac:dyDescent="0.25">
      <c r="C108" s="2" t="s">
        <v>129</v>
      </c>
      <c r="D108" s="35">
        <v>1</v>
      </c>
      <c r="F108" s="2" t="s">
        <v>281</v>
      </c>
      <c r="G108" s="35">
        <v>1</v>
      </c>
    </row>
    <row r="109" spans="3:7" x14ac:dyDescent="0.25">
      <c r="C109" s="2" t="s">
        <v>63</v>
      </c>
      <c r="D109" s="35">
        <v>1</v>
      </c>
      <c r="F109" s="2" t="s">
        <v>3323</v>
      </c>
      <c r="G109" s="35">
        <v>1</v>
      </c>
    </row>
    <row r="110" spans="3:7" x14ac:dyDescent="0.25">
      <c r="C110" s="2" t="s">
        <v>3240</v>
      </c>
      <c r="D110" s="35">
        <v>1</v>
      </c>
      <c r="F110" s="2" t="s">
        <v>324</v>
      </c>
      <c r="G110" s="35">
        <v>1</v>
      </c>
    </row>
    <row r="111" spans="3:7" x14ac:dyDescent="0.25">
      <c r="C111" s="2" t="s">
        <v>64</v>
      </c>
      <c r="D111" s="35">
        <v>1</v>
      </c>
      <c r="F111" s="2" t="s">
        <v>305</v>
      </c>
      <c r="G111" s="35">
        <v>1</v>
      </c>
    </row>
    <row r="112" spans="3:7" x14ac:dyDescent="0.25">
      <c r="C112" s="2" t="s">
        <v>17</v>
      </c>
      <c r="D112" s="35">
        <v>1</v>
      </c>
      <c r="F112" s="2" t="s">
        <v>230</v>
      </c>
      <c r="G112" s="35">
        <v>1</v>
      </c>
    </row>
    <row r="113" spans="3:7" x14ac:dyDescent="0.25">
      <c r="C113" s="2" t="s">
        <v>65</v>
      </c>
      <c r="D113" s="35">
        <v>1</v>
      </c>
      <c r="F113" s="2" t="s">
        <v>3336</v>
      </c>
      <c r="G113" s="35">
        <v>1</v>
      </c>
    </row>
    <row r="114" spans="3:7" x14ac:dyDescent="0.25">
      <c r="C114" s="2" t="s">
        <v>138</v>
      </c>
      <c r="D114" s="35">
        <v>1</v>
      </c>
      <c r="F114" s="2" t="s">
        <v>3301</v>
      </c>
      <c r="G114" s="35">
        <v>1</v>
      </c>
    </row>
    <row r="115" spans="3:7" x14ac:dyDescent="0.25">
      <c r="C115" s="2" t="s">
        <v>3281</v>
      </c>
      <c r="D115" s="35">
        <v>1</v>
      </c>
      <c r="F115" s="2" t="s">
        <v>3320</v>
      </c>
      <c r="G115" s="35">
        <v>1</v>
      </c>
    </row>
    <row r="116" spans="3:7" x14ac:dyDescent="0.25">
      <c r="C116" s="2" t="s">
        <v>141</v>
      </c>
      <c r="D116" s="35">
        <v>1</v>
      </c>
      <c r="F116" s="2" t="s">
        <v>3275</v>
      </c>
      <c r="G116" s="35">
        <v>1</v>
      </c>
    </row>
    <row r="117" spans="3:7" x14ac:dyDescent="0.25">
      <c r="C117" s="2" t="s">
        <v>67</v>
      </c>
      <c r="D117" s="35">
        <v>1</v>
      </c>
      <c r="F117" s="2" t="s">
        <v>332</v>
      </c>
      <c r="G117" s="35">
        <v>1</v>
      </c>
    </row>
    <row r="118" spans="3:7" x14ac:dyDescent="0.25">
      <c r="C118" s="2" t="s">
        <v>40</v>
      </c>
      <c r="D118" s="35">
        <v>1</v>
      </c>
      <c r="F118" s="2" t="s">
        <v>3280</v>
      </c>
      <c r="G118" s="35">
        <v>1</v>
      </c>
    </row>
    <row r="119" spans="3:7" x14ac:dyDescent="0.25">
      <c r="C119" s="2" t="s">
        <v>68</v>
      </c>
      <c r="D119" s="35">
        <v>1</v>
      </c>
      <c r="F119" s="2" t="s">
        <v>271</v>
      </c>
      <c r="G119" s="35">
        <v>1</v>
      </c>
    </row>
    <row r="120" spans="3:7" x14ac:dyDescent="0.25">
      <c r="C120" s="2" t="s">
        <v>159</v>
      </c>
      <c r="D120" s="35">
        <v>1</v>
      </c>
      <c r="F120" s="2" t="s">
        <v>330</v>
      </c>
      <c r="G120" s="35">
        <v>1</v>
      </c>
    </row>
    <row r="121" spans="3:7" x14ac:dyDescent="0.25">
      <c r="C121" s="2" t="s">
        <v>69</v>
      </c>
      <c r="D121" s="35">
        <v>1</v>
      </c>
      <c r="F121" s="2" t="s">
        <v>196</v>
      </c>
      <c r="G121" s="35">
        <v>1</v>
      </c>
    </row>
    <row r="122" spans="3:7" x14ac:dyDescent="0.25">
      <c r="C122" s="2" t="s">
        <v>161</v>
      </c>
      <c r="D122" s="35">
        <v>1</v>
      </c>
      <c r="F122" s="2" t="s">
        <v>385</v>
      </c>
      <c r="G122" s="35">
        <v>1</v>
      </c>
    </row>
    <row r="123" spans="3:7" x14ac:dyDescent="0.25">
      <c r="C123" s="2" t="s">
        <v>3308</v>
      </c>
      <c r="D123" s="35">
        <v>1</v>
      </c>
      <c r="F123" s="2" t="s">
        <v>368</v>
      </c>
      <c r="G123" s="35">
        <v>1</v>
      </c>
    </row>
    <row r="124" spans="3:7" x14ac:dyDescent="0.25">
      <c r="C124" s="2" t="s">
        <v>18</v>
      </c>
      <c r="D124" s="35">
        <v>1</v>
      </c>
      <c r="F124" s="2" t="s">
        <v>3253</v>
      </c>
      <c r="G124" s="35">
        <v>1</v>
      </c>
    </row>
    <row r="125" spans="3:7" x14ac:dyDescent="0.25">
      <c r="C125" s="2" t="s">
        <v>13</v>
      </c>
      <c r="D125" s="35">
        <v>1</v>
      </c>
      <c r="F125" s="2" t="s">
        <v>378</v>
      </c>
      <c r="G125" s="35">
        <v>1</v>
      </c>
    </row>
    <row r="126" spans="3:7" x14ac:dyDescent="0.25">
      <c r="C126" s="2" t="s">
        <v>101</v>
      </c>
      <c r="D126" s="35">
        <v>1</v>
      </c>
      <c r="F126" s="2" t="s">
        <v>311</v>
      </c>
      <c r="G126" s="35">
        <v>1</v>
      </c>
    </row>
    <row r="127" spans="3:7" x14ac:dyDescent="0.25">
      <c r="C127" s="2" t="s">
        <v>72</v>
      </c>
      <c r="D127" s="35">
        <v>1</v>
      </c>
      <c r="F127" s="2" t="s">
        <v>241</v>
      </c>
      <c r="G127" s="35">
        <v>1</v>
      </c>
    </row>
    <row r="128" spans="3:7" x14ac:dyDescent="0.25">
      <c r="C128" s="2" t="s">
        <v>103</v>
      </c>
      <c r="D128" s="35">
        <v>1</v>
      </c>
      <c r="F128" s="2" t="s">
        <v>348</v>
      </c>
      <c r="G128" s="35">
        <v>1</v>
      </c>
    </row>
    <row r="129" spans="3:7" x14ac:dyDescent="0.25">
      <c r="C129" s="2" t="s">
        <v>21</v>
      </c>
      <c r="D129" s="35">
        <v>1</v>
      </c>
      <c r="F129" s="2" t="s">
        <v>186</v>
      </c>
      <c r="G129" s="35">
        <v>1</v>
      </c>
    </row>
    <row r="130" spans="3:7" x14ac:dyDescent="0.25">
      <c r="C130" s="2" t="s">
        <v>105</v>
      </c>
      <c r="D130" s="35">
        <v>1</v>
      </c>
      <c r="F130" s="2" t="s">
        <v>3329</v>
      </c>
      <c r="G130" s="35">
        <v>1</v>
      </c>
    </row>
    <row r="131" spans="3:7" x14ac:dyDescent="0.25">
      <c r="C131" s="2" t="s">
        <v>74</v>
      </c>
      <c r="D131" s="35">
        <v>1</v>
      </c>
      <c r="F131" s="2" t="s">
        <v>3312</v>
      </c>
      <c r="G131" s="35">
        <v>1</v>
      </c>
    </row>
    <row r="132" spans="3:7" x14ac:dyDescent="0.25">
      <c r="C132" s="2" t="s">
        <v>27</v>
      </c>
      <c r="D132" s="35">
        <v>1</v>
      </c>
      <c r="F132" s="2" t="s">
        <v>343</v>
      </c>
      <c r="G132" s="35">
        <v>1</v>
      </c>
    </row>
    <row r="133" spans="3:7" x14ac:dyDescent="0.25">
      <c r="C133" s="2" t="s">
        <v>3330</v>
      </c>
      <c r="D133" s="35">
        <v>1</v>
      </c>
      <c r="F133" s="2" t="s">
        <v>349</v>
      </c>
      <c r="G133" s="35">
        <v>1</v>
      </c>
    </row>
    <row r="134" spans="3:7" x14ac:dyDescent="0.25">
      <c r="C134" s="2" t="s">
        <v>28</v>
      </c>
      <c r="D134" s="35">
        <v>1</v>
      </c>
      <c r="F134" s="2" t="s">
        <v>289</v>
      </c>
      <c r="G134" s="35">
        <v>1</v>
      </c>
    </row>
    <row r="135" spans="3:7" x14ac:dyDescent="0.25">
      <c r="C135" s="2" t="s">
        <v>3315</v>
      </c>
      <c r="D135" s="35">
        <v>1</v>
      </c>
      <c r="F135" s="2" t="s">
        <v>287</v>
      </c>
      <c r="G135" s="35">
        <v>1</v>
      </c>
    </row>
    <row r="136" spans="3:7" x14ac:dyDescent="0.25">
      <c r="C136" s="2" t="s">
        <v>29</v>
      </c>
      <c r="D136" s="35">
        <v>1</v>
      </c>
      <c r="F136" s="2" t="s">
        <v>319</v>
      </c>
      <c r="G136" s="35">
        <v>1</v>
      </c>
    </row>
    <row r="137" spans="3:7" x14ac:dyDescent="0.25">
      <c r="C137" s="2" t="s">
        <v>76</v>
      </c>
      <c r="D137" s="35">
        <v>1</v>
      </c>
      <c r="F137" s="2" t="s">
        <v>356</v>
      </c>
      <c r="G137" s="35">
        <v>1</v>
      </c>
    </row>
    <row r="138" spans="3:7" x14ac:dyDescent="0.25">
      <c r="C138" s="2" t="s">
        <v>112</v>
      </c>
      <c r="D138" s="35">
        <v>1</v>
      </c>
      <c r="F138" s="2" t="s">
        <v>351</v>
      </c>
      <c r="G138" s="35">
        <v>1</v>
      </c>
    </row>
    <row r="139" spans="3:7" x14ac:dyDescent="0.25">
      <c r="C139" s="2" t="s">
        <v>0</v>
      </c>
      <c r="D139" s="35">
        <v>1</v>
      </c>
      <c r="F139" s="2" t="s">
        <v>3354</v>
      </c>
      <c r="G139" s="35">
        <v>1</v>
      </c>
    </row>
    <row r="140" spans="3:7" x14ac:dyDescent="0.25">
      <c r="C140" s="2" t="s">
        <v>114</v>
      </c>
      <c r="D140" s="35">
        <v>1</v>
      </c>
      <c r="F140" s="2" t="s">
        <v>273</v>
      </c>
      <c r="G140" s="35">
        <v>1</v>
      </c>
    </row>
    <row r="141" spans="3:7" x14ac:dyDescent="0.25">
      <c r="C141" s="2" t="s">
        <v>78</v>
      </c>
      <c r="D141" s="35">
        <v>1</v>
      </c>
      <c r="F141" s="2" t="s">
        <v>259</v>
      </c>
      <c r="G141" s="35">
        <v>1</v>
      </c>
    </row>
    <row r="142" spans="3:7" x14ac:dyDescent="0.25">
      <c r="C142" s="2" t="s">
        <v>115</v>
      </c>
      <c r="D142" s="35">
        <v>1</v>
      </c>
      <c r="F142" s="2" t="s">
        <v>383</v>
      </c>
      <c r="G142" s="35">
        <v>1</v>
      </c>
    </row>
    <row r="143" spans="3:7" x14ac:dyDescent="0.25">
      <c r="C143" s="2" t="s">
        <v>79</v>
      </c>
      <c r="D143" s="35">
        <v>1</v>
      </c>
      <c r="F143" s="2" t="s">
        <v>3307</v>
      </c>
      <c r="G143" s="35">
        <v>1</v>
      </c>
    </row>
    <row r="144" spans="3:7" x14ac:dyDescent="0.25">
      <c r="C144" s="2" t="s">
        <v>117</v>
      </c>
      <c r="D144" s="35">
        <v>1</v>
      </c>
      <c r="F144"/>
      <c r="G144"/>
    </row>
    <row r="145" spans="3:7" x14ac:dyDescent="0.25">
      <c r="C145" s="2" t="s">
        <v>148</v>
      </c>
      <c r="D145" s="35">
        <v>1</v>
      </c>
      <c r="F145"/>
      <c r="G145"/>
    </row>
    <row r="146" spans="3:7" x14ac:dyDescent="0.25">
      <c r="C146" s="2" t="s">
        <v>119</v>
      </c>
      <c r="D146" s="35">
        <v>1</v>
      </c>
      <c r="F146"/>
      <c r="G146"/>
    </row>
    <row r="147" spans="3:7" x14ac:dyDescent="0.25">
      <c r="C147" s="2" t="s">
        <v>3244</v>
      </c>
      <c r="D147" s="35">
        <v>1</v>
      </c>
      <c r="F147"/>
      <c r="G147"/>
    </row>
    <row r="148" spans="3:7" x14ac:dyDescent="0.25">
      <c r="C148" s="2" t="s">
        <v>121</v>
      </c>
      <c r="D148" s="35">
        <v>1</v>
      </c>
      <c r="F148"/>
      <c r="G148"/>
    </row>
    <row r="149" spans="3:7" x14ac:dyDescent="0.25">
      <c r="C149" s="2" t="s">
        <v>150</v>
      </c>
      <c r="D149" s="35">
        <v>1</v>
      </c>
      <c r="F149"/>
      <c r="G149"/>
    </row>
    <row r="150" spans="3:7" x14ac:dyDescent="0.25">
      <c r="C150" s="2" t="s">
        <v>123</v>
      </c>
      <c r="D150" s="35">
        <v>1</v>
      </c>
      <c r="F150"/>
      <c r="G150"/>
    </row>
    <row r="151" spans="3:7" x14ac:dyDescent="0.25">
      <c r="C151" s="2" t="s">
        <v>3324</v>
      </c>
      <c r="D151" s="35">
        <v>1</v>
      </c>
      <c r="F151"/>
      <c r="G151"/>
    </row>
    <row r="152" spans="3:7" x14ac:dyDescent="0.25">
      <c r="C152" s="2" t="s">
        <v>4</v>
      </c>
      <c r="D152" s="35">
        <v>1</v>
      </c>
      <c r="F152"/>
      <c r="G152"/>
    </row>
    <row r="153" spans="3:7" x14ac:dyDescent="0.25">
      <c r="C153" s="2" t="s">
        <v>3239</v>
      </c>
      <c r="D153" s="35">
        <v>1</v>
      </c>
      <c r="F153"/>
      <c r="G153"/>
    </row>
    <row r="154" spans="3:7" x14ac:dyDescent="0.25">
      <c r="C154" s="2" t="s">
        <v>32</v>
      </c>
      <c r="D154" s="35">
        <v>1</v>
      </c>
      <c r="F154"/>
      <c r="G154"/>
    </row>
    <row r="155" spans="3:7" x14ac:dyDescent="0.25">
      <c r="C155" s="2" t="s">
        <v>3299</v>
      </c>
      <c r="D155" s="35">
        <v>1</v>
      </c>
      <c r="F155"/>
      <c r="G155"/>
    </row>
    <row r="156" spans="3:7" x14ac:dyDescent="0.25">
      <c r="C156" s="2" t="s">
        <v>128</v>
      </c>
      <c r="D156" s="35">
        <v>1</v>
      </c>
      <c r="F156"/>
      <c r="G156"/>
    </row>
    <row r="157" spans="3:7" x14ac:dyDescent="0.25">
      <c r="C157" s="2" t="s">
        <v>147</v>
      </c>
      <c r="D157" s="35">
        <v>1</v>
      </c>
      <c r="F157"/>
      <c r="G157"/>
    </row>
    <row r="158" spans="3:7" x14ac:dyDescent="0.25">
      <c r="C158" s="2" t="s">
        <v>130</v>
      </c>
      <c r="D158" s="35">
        <v>1</v>
      </c>
      <c r="F158"/>
      <c r="G158"/>
    </row>
    <row r="159" spans="3:7" x14ac:dyDescent="0.25">
      <c r="C159" s="2" t="s">
        <v>11</v>
      </c>
      <c r="D159" s="35">
        <v>1</v>
      </c>
      <c r="F159"/>
      <c r="G159"/>
    </row>
    <row r="160" spans="3:7" x14ac:dyDescent="0.25">
      <c r="C160" s="2" t="s">
        <v>35</v>
      </c>
      <c r="D160" s="35">
        <v>1</v>
      </c>
      <c r="F160"/>
      <c r="G160"/>
    </row>
    <row r="161" spans="3:7" x14ac:dyDescent="0.25">
      <c r="C161" s="2" t="s">
        <v>12</v>
      </c>
      <c r="D161" s="35">
        <v>1</v>
      </c>
      <c r="F161"/>
      <c r="G161"/>
    </row>
    <row r="162" spans="3:7" x14ac:dyDescent="0.25">
      <c r="C162" s="2" t="s">
        <v>5</v>
      </c>
      <c r="D162" s="35">
        <v>1</v>
      </c>
      <c r="F162"/>
      <c r="G162"/>
    </row>
    <row r="163" spans="3:7" x14ac:dyDescent="0.25">
      <c r="C163" s="2" t="s">
        <v>86</v>
      </c>
      <c r="D163" s="35">
        <v>1</v>
      </c>
      <c r="F163"/>
      <c r="G163"/>
    </row>
    <row r="164" spans="3:7" x14ac:dyDescent="0.25">
      <c r="C164" s="2" t="s">
        <v>3288</v>
      </c>
      <c r="D164" s="35">
        <v>1</v>
      </c>
      <c r="F164"/>
      <c r="G164"/>
    </row>
    <row r="165" spans="3:7" x14ac:dyDescent="0.25">
      <c r="C165" s="2" t="s">
        <v>87</v>
      </c>
      <c r="D165" s="35">
        <v>1</v>
      </c>
      <c r="F165"/>
      <c r="G165"/>
    </row>
    <row r="166" spans="3:7" x14ac:dyDescent="0.25">
      <c r="C166" s="2" t="s">
        <v>37</v>
      </c>
      <c r="D166" s="35">
        <v>1</v>
      </c>
      <c r="F166"/>
      <c r="G166"/>
    </row>
    <row r="167" spans="3:7" x14ac:dyDescent="0.25">
      <c r="C167" s="2" t="s">
        <v>24</v>
      </c>
      <c r="D167" s="35">
        <v>1</v>
      </c>
      <c r="F167"/>
      <c r="G167"/>
    </row>
    <row r="168" spans="3:7" x14ac:dyDescent="0.25">
      <c r="C168" s="2" t="s">
        <v>7</v>
      </c>
      <c r="D168" s="35">
        <v>1</v>
      </c>
      <c r="F168"/>
      <c r="G168"/>
    </row>
    <row r="169" spans="3:7" x14ac:dyDescent="0.25">
      <c r="C169" s="2" t="s">
        <v>89</v>
      </c>
      <c r="D169" s="35">
        <v>1</v>
      </c>
      <c r="F169"/>
      <c r="G169"/>
    </row>
    <row r="170" spans="3:7" x14ac:dyDescent="0.25">
      <c r="C170" s="2" t="s">
        <v>3246</v>
      </c>
      <c r="D170" s="35">
        <v>1</v>
      </c>
      <c r="F170"/>
      <c r="G170"/>
    </row>
    <row r="171" spans="3:7" x14ac:dyDescent="0.25">
      <c r="C171" s="2" t="s">
        <v>90</v>
      </c>
      <c r="D171" s="35">
        <v>1</v>
      </c>
      <c r="F171"/>
      <c r="G171"/>
    </row>
    <row r="172" spans="3:7" x14ac:dyDescent="0.25">
      <c r="C172" s="2" t="s">
        <v>38</v>
      </c>
      <c r="D172" s="35">
        <v>1</v>
      </c>
      <c r="F172"/>
      <c r="G172"/>
    </row>
    <row r="173" spans="3:7" x14ac:dyDescent="0.25">
      <c r="C173" s="2" t="s">
        <v>91</v>
      </c>
      <c r="D173" s="35">
        <v>1</v>
      </c>
      <c r="F173"/>
      <c r="G173"/>
    </row>
    <row r="174" spans="3:7" x14ac:dyDescent="0.25">
      <c r="C174" s="2" t="s">
        <v>9</v>
      </c>
      <c r="D174" s="35">
        <v>1</v>
      </c>
      <c r="F174"/>
      <c r="G174"/>
    </row>
    <row r="175" spans="3:7" x14ac:dyDescent="0.25">
      <c r="C175" s="2" t="s">
        <v>92</v>
      </c>
      <c r="D175" s="35">
        <v>1</v>
      </c>
      <c r="F175"/>
      <c r="G175"/>
    </row>
    <row r="176" spans="3:7" x14ac:dyDescent="0.25">
      <c r="C176" s="2" t="s">
        <v>39</v>
      </c>
      <c r="D176" s="35">
        <v>1</v>
      </c>
      <c r="F176"/>
      <c r="G176"/>
    </row>
    <row r="177" spans="3:7" x14ac:dyDescent="0.25">
      <c r="C177" s="2" t="s">
        <v>93</v>
      </c>
      <c r="D177" s="35">
        <v>1</v>
      </c>
      <c r="F177"/>
      <c r="G177"/>
    </row>
    <row r="178" spans="3:7" x14ac:dyDescent="0.25">
      <c r="C178" s="2" t="s">
        <v>3384</v>
      </c>
      <c r="D178" s="35">
        <v>1</v>
      </c>
      <c r="F178"/>
      <c r="G178"/>
    </row>
    <row r="179" spans="3:7" x14ac:dyDescent="0.25">
      <c r="C179" s="2" t="s">
        <v>94</v>
      </c>
      <c r="D179" s="35">
        <v>1</v>
      </c>
      <c r="F179"/>
      <c r="G179"/>
    </row>
    <row r="180" spans="3:7" x14ac:dyDescent="0.25">
      <c r="C180" s="2" t="s">
        <v>163</v>
      </c>
      <c r="D180" s="35">
        <v>1</v>
      </c>
      <c r="F180"/>
      <c r="G180"/>
    </row>
    <row r="181" spans="3:7" x14ac:dyDescent="0.25">
      <c r="C181" s="2" t="s">
        <v>25</v>
      </c>
      <c r="D181" s="35">
        <v>1</v>
      </c>
      <c r="F181"/>
      <c r="G181"/>
    </row>
    <row r="182" spans="3:7" x14ac:dyDescent="0.25">
      <c r="C182" s="2" t="s">
        <v>162</v>
      </c>
      <c r="D182" s="35">
        <v>1</v>
      </c>
      <c r="F182"/>
      <c r="G182"/>
    </row>
    <row r="183" spans="3:7" x14ac:dyDescent="0.25">
      <c r="C183" s="2" t="s">
        <v>96</v>
      </c>
      <c r="D183" s="35">
        <v>1</v>
      </c>
      <c r="F183"/>
      <c r="G183"/>
    </row>
    <row r="184" spans="3:7" x14ac:dyDescent="0.25">
      <c r="C184" s="2" t="s">
        <v>164</v>
      </c>
      <c r="D184" s="35">
        <v>1</v>
      </c>
      <c r="F184"/>
      <c r="G184"/>
    </row>
    <row r="185" spans="3:7" x14ac:dyDescent="0.25">
      <c r="C185" s="2" t="s">
        <v>97</v>
      </c>
      <c r="D185" s="35">
        <v>1</v>
      </c>
      <c r="F185"/>
      <c r="G185"/>
    </row>
    <row r="186" spans="3:7" x14ac:dyDescent="0.25">
      <c r="C186" s="2" t="s">
        <v>3260</v>
      </c>
      <c r="D186" s="35">
        <v>1</v>
      </c>
      <c r="F186"/>
      <c r="G186"/>
    </row>
    <row r="187" spans="3:7" x14ac:dyDescent="0.25">
      <c r="C187" s="2" t="s">
        <v>98</v>
      </c>
      <c r="D187" s="35">
        <v>1</v>
      </c>
      <c r="F187"/>
      <c r="G187"/>
    </row>
    <row r="188" spans="3:7" x14ac:dyDescent="0.25">
      <c r="C188" s="2" t="s">
        <v>3257</v>
      </c>
      <c r="D188" s="35">
        <v>1</v>
      </c>
      <c r="F188"/>
      <c r="G188"/>
    </row>
    <row r="189" spans="3:7" x14ac:dyDescent="0.25">
      <c r="C189" s="2" t="s">
        <v>99</v>
      </c>
      <c r="D189" s="35">
        <v>1</v>
      </c>
      <c r="F189"/>
      <c r="G189"/>
    </row>
    <row r="190" spans="3:7" x14ac:dyDescent="0.25">
      <c r="C190" s="2" t="s">
        <v>26</v>
      </c>
      <c r="D190" s="35">
        <v>1</v>
      </c>
      <c r="F190"/>
      <c r="G190"/>
    </row>
    <row r="191" spans="3:7" x14ac:dyDescent="0.25">
      <c r="C191" s="2" t="s">
        <v>3385</v>
      </c>
      <c r="D191" s="35">
        <v>1</v>
      </c>
      <c r="F191"/>
      <c r="G191"/>
    </row>
    <row r="192" spans="3:7" x14ac:dyDescent="0.25">
      <c r="C192" s="2" t="s">
        <v>3309</v>
      </c>
      <c r="D192" s="35">
        <v>1</v>
      </c>
      <c r="F192"/>
      <c r="G192"/>
    </row>
    <row r="193" spans="3:7" x14ac:dyDescent="0.25">
      <c r="C193" s="2" t="s">
        <v>3386</v>
      </c>
      <c r="D193" s="35">
        <v>1</v>
      </c>
      <c r="F193"/>
      <c r="G193"/>
    </row>
    <row r="194" spans="3:7" x14ac:dyDescent="0.25">
      <c r="C194" s="2" t="s">
        <v>84</v>
      </c>
      <c r="D194" s="35">
        <v>1</v>
      </c>
      <c r="F194"/>
      <c r="G194"/>
    </row>
    <row r="195" spans="3:7" x14ac:dyDescent="0.25">
      <c r="C195" s="2" t="s">
        <v>149</v>
      </c>
      <c r="D195" s="35">
        <v>1</v>
      </c>
      <c r="F195"/>
      <c r="G195"/>
    </row>
    <row r="196" spans="3:7" x14ac:dyDescent="0.25">
      <c r="C196" s="2" t="s">
        <v>81</v>
      </c>
      <c r="D196" s="35">
        <v>1</v>
      </c>
      <c r="F196"/>
      <c r="G196"/>
    </row>
    <row r="197" spans="3:7" x14ac:dyDescent="0.25">
      <c r="C197" s="2" t="s">
        <v>151</v>
      </c>
      <c r="D197" s="35">
        <v>1</v>
      </c>
      <c r="F197"/>
      <c r="G197"/>
    </row>
    <row r="198" spans="3:7" x14ac:dyDescent="0.25">
      <c r="C198" s="2" t="s">
        <v>82</v>
      </c>
      <c r="D198" s="35">
        <v>1</v>
      </c>
      <c r="F198"/>
      <c r="G198"/>
    </row>
    <row r="199" spans="3:7" x14ac:dyDescent="0.25">
      <c r="C199" s="2" t="s">
        <v>83</v>
      </c>
      <c r="D199" s="35">
        <v>1</v>
      </c>
      <c r="F199"/>
      <c r="G199"/>
    </row>
    <row r="200" spans="3:7" x14ac:dyDescent="0.25">
      <c r="C200" s="2" t="s">
        <v>165</v>
      </c>
      <c r="D200" s="35">
        <v>259</v>
      </c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7"/>
  <sheetViews>
    <sheetView tabSelected="1" zoomScale="93" zoomScaleNormal="93" workbookViewId="0">
      <pane ySplit="1" topLeftCell="A787" activePane="bottomLeft" state="frozen"/>
      <selection pane="bottomLeft" activeCell="U818" sqref="U818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70.85546875" style="5" bestFit="1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25">
      <c r="A2">
        <v>9999</v>
      </c>
      <c r="B2" t="str">
        <f>_xlfn.CONCAT(Tabel1[[#This Row],[personeelsnr]]," ",C2," ",D2)</f>
        <v>9999 - -</v>
      </c>
      <c r="C2" t="s">
        <v>3347</v>
      </c>
      <c r="D2" t="s">
        <v>3347</v>
      </c>
      <c r="E2" t="s">
        <v>1150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25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25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25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25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25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25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25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25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25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25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25">
      <c r="A14">
        <v>9999</v>
      </c>
      <c r="B14" t="str">
        <f>_xlfn.CONCAT(Tabel1[[#This Row],[personeelsnr]]," ",C14," ",D14)</f>
        <v>9999 - -</v>
      </c>
      <c r="C14" t="s">
        <v>3347</v>
      </c>
      <c r="D14" t="s">
        <v>3347</v>
      </c>
      <c r="E14" t="s">
        <v>1150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x14ac:dyDescent="0.25">
      <c r="A15">
        <v>9999</v>
      </c>
      <c r="B15" t="str">
        <f>_xlfn.CONCAT(Tabel1[[#This Row],[personeelsnr]]," ",C15," ",D15)</f>
        <v>9999 - -</v>
      </c>
      <c r="C15" t="s">
        <v>3347</v>
      </c>
      <c r="D15" t="s">
        <v>3347</v>
      </c>
      <c r="E15" t="s">
        <v>1150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x14ac:dyDescent="0.25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x14ac:dyDescent="0.25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x14ac:dyDescent="0.25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x14ac:dyDescent="0.25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x14ac:dyDescent="0.25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x14ac:dyDescent="0.25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x14ac:dyDescent="0.25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x14ac:dyDescent="0.25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x14ac:dyDescent="0.25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x14ac:dyDescent="0.25">
      <c r="A25">
        <v>9999</v>
      </c>
      <c r="B25" t="str">
        <f>_xlfn.CONCAT(Tabel1[[#This Row],[personeelsnr]]," ",C25," ",D25)</f>
        <v>9999 - -</v>
      </c>
      <c r="C25" t="s">
        <v>3347</v>
      </c>
      <c r="D25" t="s">
        <v>3347</v>
      </c>
      <c r="E25" t="s">
        <v>1150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x14ac:dyDescent="0.25">
      <c r="A26">
        <v>9999</v>
      </c>
      <c r="B26" t="str">
        <f>_xlfn.CONCAT(Tabel1[[#This Row],[personeelsnr]]," ",C26," ",D26)</f>
        <v>9999 - -</v>
      </c>
      <c r="C26" t="s">
        <v>3347</v>
      </c>
      <c r="D26" t="s">
        <v>3347</v>
      </c>
      <c r="E26" t="s">
        <v>1150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x14ac:dyDescent="0.25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x14ac:dyDescent="0.25">
      <c r="A28">
        <v>9999</v>
      </c>
      <c r="B28" t="str">
        <f>_xlfn.CONCAT(Tabel1[[#This Row],[personeelsnr]]," ",C28," ",D28)</f>
        <v>9999 - -</v>
      </c>
      <c r="C28" t="s">
        <v>3347</v>
      </c>
      <c r="D28" t="s">
        <v>3347</v>
      </c>
      <c r="E28" t="s">
        <v>1150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x14ac:dyDescent="0.25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x14ac:dyDescent="0.25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x14ac:dyDescent="0.25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x14ac:dyDescent="0.25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x14ac:dyDescent="0.25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x14ac:dyDescent="0.25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x14ac:dyDescent="0.25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x14ac:dyDescent="0.25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x14ac:dyDescent="0.25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x14ac:dyDescent="0.25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x14ac:dyDescent="0.25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x14ac:dyDescent="0.25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x14ac:dyDescent="0.25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x14ac:dyDescent="0.25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x14ac:dyDescent="0.25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x14ac:dyDescent="0.25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x14ac:dyDescent="0.25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x14ac:dyDescent="0.25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x14ac:dyDescent="0.25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x14ac:dyDescent="0.25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x14ac:dyDescent="0.25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x14ac:dyDescent="0.25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x14ac:dyDescent="0.25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x14ac:dyDescent="0.25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x14ac:dyDescent="0.25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x14ac:dyDescent="0.25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x14ac:dyDescent="0.25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x14ac:dyDescent="0.25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x14ac:dyDescent="0.25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x14ac:dyDescent="0.25">
      <c r="A59">
        <v>9999</v>
      </c>
      <c r="B59" t="str">
        <f>_xlfn.CONCAT(Tabel1[[#This Row],[personeelsnr]]," ",C59," ",D59)</f>
        <v>9999 - -</v>
      </c>
      <c r="C59" t="s">
        <v>3347</v>
      </c>
      <c r="D59" t="s">
        <v>3347</v>
      </c>
      <c r="E59" t="s">
        <v>1150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x14ac:dyDescent="0.25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x14ac:dyDescent="0.25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x14ac:dyDescent="0.25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x14ac:dyDescent="0.25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x14ac:dyDescent="0.25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x14ac:dyDescent="0.25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x14ac:dyDescent="0.25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x14ac:dyDescent="0.25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x14ac:dyDescent="0.25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x14ac:dyDescent="0.25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x14ac:dyDescent="0.25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x14ac:dyDescent="0.25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x14ac:dyDescent="0.25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x14ac:dyDescent="0.25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x14ac:dyDescent="0.25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x14ac:dyDescent="0.25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x14ac:dyDescent="0.25">
      <c r="A76">
        <v>9999</v>
      </c>
      <c r="B76" t="str">
        <f>_xlfn.CONCAT(Tabel1[[#This Row],[personeelsnr]]," ",C76," ",D76)</f>
        <v>9999 - -</v>
      </c>
      <c r="C76" t="s">
        <v>3347</v>
      </c>
      <c r="D76" t="s">
        <v>3347</v>
      </c>
      <c r="E76" t="s">
        <v>1150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x14ac:dyDescent="0.25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x14ac:dyDescent="0.25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x14ac:dyDescent="0.25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x14ac:dyDescent="0.25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x14ac:dyDescent="0.25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x14ac:dyDescent="0.25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x14ac:dyDescent="0.25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x14ac:dyDescent="0.25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x14ac:dyDescent="0.25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x14ac:dyDescent="0.25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x14ac:dyDescent="0.25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25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x14ac:dyDescent="0.25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x14ac:dyDescent="0.25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x14ac:dyDescent="0.25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x14ac:dyDescent="0.25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x14ac:dyDescent="0.25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x14ac:dyDescent="0.25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x14ac:dyDescent="0.25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x14ac:dyDescent="0.25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x14ac:dyDescent="0.25">
      <c r="A97">
        <v>9999</v>
      </c>
      <c r="B97" t="str">
        <f>_xlfn.CONCAT(Tabel1[[#This Row],[personeelsnr]]," ",C97," ",D97)</f>
        <v>9999 - -</v>
      </c>
      <c r="C97" t="s">
        <v>3347</v>
      </c>
      <c r="D97" t="s">
        <v>3347</v>
      </c>
      <c r="E97" t="s">
        <v>1150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x14ac:dyDescent="0.25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x14ac:dyDescent="0.25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x14ac:dyDescent="0.25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x14ac:dyDescent="0.25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x14ac:dyDescent="0.25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x14ac:dyDescent="0.25">
      <c r="A103">
        <v>9999</v>
      </c>
      <c r="B103" t="str">
        <f>_xlfn.CONCAT(Tabel1[[#This Row],[personeelsnr]]," ",C103," ",D103)</f>
        <v>9999 - -</v>
      </c>
      <c r="C103" t="s">
        <v>3347</v>
      </c>
      <c r="D103" t="s">
        <v>3347</v>
      </c>
      <c r="E103" t="s">
        <v>1150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x14ac:dyDescent="0.25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x14ac:dyDescent="0.25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x14ac:dyDescent="0.25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x14ac:dyDescent="0.25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x14ac:dyDescent="0.25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x14ac:dyDescent="0.25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x14ac:dyDescent="0.25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x14ac:dyDescent="0.25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x14ac:dyDescent="0.25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x14ac:dyDescent="0.25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x14ac:dyDescent="0.25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x14ac:dyDescent="0.25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x14ac:dyDescent="0.25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x14ac:dyDescent="0.25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x14ac:dyDescent="0.25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x14ac:dyDescent="0.25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x14ac:dyDescent="0.25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x14ac:dyDescent="0.25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x14ac:dyDescent="0.25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x14ac:dyDescent="0.25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x14ac:dyDescent="0.25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x14ac:dyDescent="0.25">
      <c r="A125">
        <v>9999</v>
      </c>
      <c r="B125" t="str">
        <f>_xlfn.CONCAT(Tabel1[[#This Row],[personeelsnr]]," ",C125," ",D125)</f>
        <v>9999 - -</v>
      </c>
      <c r="C125" t="s">
        <v>3347</v>
      </c>
      <c r="D125" t="s">
        <v>3347</v>
      </c>
      <c r="E125" t="s">
        <v>1150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x14ac:dyDescent="0.25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x14ac:dyDescent="0.25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x14ac:dyDescent="0.25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x14ac:dyDescent="0.25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x14ac:dyDescent="0.25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x14ac:dyDescent="0.25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x14ac:dyDescent="0.25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x14ac:dyDescent="0.25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x14ac:dyDescent="0.25">
      <c r="A134">
        <v>9999</v>
      </c>
      <c r="B134" t="str">
        <f>_xlfn.CONCAT(Tabel1[[#This Row],[personeelsnr]]," ",C134," ",D134)</f>
        <v>9999 - -</v>
      </c>
      <c r="C134" t="s">
        <v>3347</v>
      </c>
      <c r="D134" t="s">
        <v>3347</v>
      </c>
      <c r="E134" t="s">
        <v>1150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x14ac:dyDescent="0.25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x14ac:dyDescent="0.25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x14ac:dyDescent="0.25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x14ac:dyDescent="0.25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x14ac:dyDescent="0.25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x14ac:dyDescent="0.25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x14ac:dyDescent="0.25">
      <c r="A141">
        <v>9999</v>
      </c>
      <c r="B141" t="str">
        <f>_xlfn.CONCAT(Tabel1[[#This Row],[personeelsnr]]," ",C141," ",D141)</f>
        <v>9999 - -</v>
      </c>
      <c r="C141" t="s">
        <v>3347</v>
      </c>
      <c r="D141" t="s">
        <v>3347</v>
      </c>
      <c r="E141" t="s">
        <v>1150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x14ac:dyDescent="0.25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x14ac:dyDescent="0.25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x14ac:dyDescent="0.25">
      <c r="A144">
        <v>9999</v>
      </c>
      <c r="B144" t="str">
        <f>_xlfn.CONCAT(Tabel1[[#This Row],[personeelsnr]]," ",C144," ",D144)</f>
        <v>9999 - -</v>
      </c>
      <c r="C144" t="s">
        <v>3347</v>
      </c>
      <c r="D144" t="s">
        <v>3347</v>
      </c>
      <c r="E144" t="s">
        <v>1150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x14ac:dyDescent="0.25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x14ac:dyDescent="0.25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3359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x14ac:dyDescent="0.25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x14ac:dyDescent="0.25">
      <c r="A148">
        <v>9999</v>
      </c>
      <c r="B148" t="str">
        <f>_xlfn.CONCAT(Tabel1[[#This Row],[personeelsnr]]," ",C148," ",D148)</f>
        <v>9999 - -</v>
      </c>
      <c r="C148" t="s">
        <v>3347</v>
      </c>
      <c r="D148" t="s">
        <v>3347</v>
      </c>
      <c r="E148" t="s">
        <v>1150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x14ac:dyDescent="0.25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x14ac:dyDescent="0.25">
      <c r="A150">
        <v>9999</v>
      </c>
      <c r="B150" t="str">
        <f>_xlfn.CONCAT(Tabel1[[#This Row],[personeelsnr]]," ",C150," ",D150)</f>
        <v>9999 - -</v>
      </c>
      <c r="C150" t="s">
        <v>3347</v>
      </c>
      <c r="D150" t="s">
        <v>3347</v>
      </c>
      <c r="E150" t="s">
        <v>1150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x14ac:dyDescent="0.25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x14ac:dyDescent="0.25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x14ac:dyDescent="0.25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x14ac:dyDescent="0.25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x14ac:dyDescent="0.25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x14ac:dyDescent="0.25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x14ac:dyDescent="0.25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x14ac:dyDescent="0.25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x14ac:dyDescent="0.25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x14ac:dyDescent="0.25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x14ac:dyDescent="0.25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x14ac:dyDescent="0.25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25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x14ac:dyDescent="0.25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x14ac:dyDescent="0.25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x14ac:dyDescent="0.25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x14ac:dyDescent="0.25">
      <c r="A167">
        <v>9999</v>
      </c>
      <c r="B167" t="str">
        <f>_xlfn.CONCAT(Tabel1[[#This Row],[personeelsnr]]," ",C167," ",D167)</f>
        <v>9999 - -</v>
      </c>
      <c r="C167" t="s">
        <v>3347</v>
      </c>
      <c r="D167" t="s">
        <v>3347</v>
      </c>
      <c r="E167" t="s">
        <v>1150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x14ac:dyDescent="0.25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x14ac:dyDescent="0.25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x14ac:dyDescent="0.25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x14ac:dyDescent="0.25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x14ac:dyDescent="0.25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x14ac:dyDescent="0.25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x14ac:dyDescent="0.25">
      <c r="A174">
        <v>9999</v>
      </c>
      <c r="B174" t="str">
        <f>_xlfn.CONCAT(Tabel1[[#This Row],[personeelsnr]]," ",C174," ",D174)</f>
        <v>9999 - -</v>
      </c>
      <c r="C174" t="s">
        <v>3347</v>
      </c>
      <c r="D174" t="s">
        <v>3347</v>
      </c>
      <c r="E174" t="s">
        <v>1150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x14ac:dyDescent="0.25">
      <c r="A175">
        <v>9999</v>
      </c>
      <c r="B175" t="str">
        <f>_xlfn.CONCAT(Tabel1[[#This Row],[personeelsnr]]," ",C175," ",D175)</f>
        <v>9999 - -</v>
      </c>
      <c r="C175" t="s">
        <v>3347</v>
      </c>
      <c r="D175" t="s">
        <v>3347</v>
      </c>
      <c r="E175" t="s">
        <v>1150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x14ac:dyDescent="0.25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x14ac:dyDescent="0.25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x14ac:dyDescent="0.25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x14ac:dyDescent="0.25">
      <c r="A179">
        <v>9999</v>
      </c>
      <c r="B179" t="str">
        <f>_xlfn.CONCAT(Tabel1[[#This Row],[personeelsnr]]," ",C179," ",D179)</f>
        <v>9999 - -</v>
      </c>
      <c r="C179" t="s">
        <v>3347</v>
      </c>
      <c r="D179" t="s">
        <v>3347</v>
      </c>
      <c r="E179" t="s">
        <v>1150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x14ac:dyDescent="0.25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x14ac:dyDescent="0.25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x14ac:dyDescent="0.25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x14ac:dyDescent="0.25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x14ac:dyDescent="0.25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x14ac:dyDescent="0.25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x14ac:dyDescent="0.25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x14ac:dyDescent="0.25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x14ac:dyDescent="0.25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x14ac:dyDescent="0.25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/>
      <c r="W189" s="8">
        <v>1</v>
      </c>
      <c r="X189" t="s">
        <v>207</v>
      </c>
      <c r="Y189" t="s">
        <v>201</v>
      </c>
    </row>
    <row r="190" spans="1:25" x14ac:dyDescent="0.25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613</v>
      </c>
      <c r="V190" s="8">
        <v>1</v>
      </c>
      <c r="W190" s="8"/>
      <c r="X190" t="s">
        <v>206</v>
      </c>
      <c r="Y190" t="s">
        <v>539</v>
      </c>
    </row>
    <row r="191" spans="1:25" x14ac:dyDescent="0.25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/>
      <c r="W191" s="8">
        <v>1</v>
      </c>
      <c r="X191" t="s">
        <v>207</v>
      </c>
      <c r="Y191" t="s">
        <v>286</v>
      </c>
    </row>
    <row r="192" spans="1:25" x14ac:dyDescent="0.25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615</v>
      </c>
      <c r="V192" s="8">
        <v>1</v>
      </c>
      <c r="W192" s="8"/>
      <c r="X192" t="s">
        <v>206</v>
      </c>
      <c r="Y192" t="s">
        <v>355</v>
      </c>
    </row>
    <row r="193" spans="1:25" x14ac:dyDescent="0.25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190</v>
      </c>
    </row>
    <row r="194" spans="1:25" x14ac:dyDescent="0.25">
      <c r="A194">
        <v>9999</v>
      </c>
      <c r="B194" t="str">
        <f>_xlfn.CONCAT(Tabel1[[#This Row],[personeelsnr]]," ",C194," ",D194)</f>
        <v>9999 - -</v>
      </c>
      <c r="C194" t="s">
        <v>3347</v>
      </c>
      <c r="D194" t="s">
        <v>3347</v>
      </c>
      <c r="E194" t="s">
        <v>1150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617</v>
      </c>
      <c r="V194" s="8">
        <v>1</v>
      </c>
      <c r="W194" s="8"/>
      <c r="X194" t="s">
        <v>206</v>
      </c>
      <c r="Y194" t="s">
        <v>184</v>
      </c>
    </row>
    <row r="195" spans="1:25" x14ac:dyDescent="0.25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366</v>
      </c>
    </row>
    <row r="196" spans="1:25" x14ac:dyDescent="0.25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619</v>
      </c>
      <c r="V196" s="8">
        <v>1</v>
      </c>
      <c r="W196" s="8"/>
      <c r="X196" t="s">
        <v>206</v>
      </c>
      <c r="Y196" t="s">
        <v>184</v>
      </c>
    </row>
    <row r="197" spans="1:25" x14ac:dyDescent="0.25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620</v>
      </c>
      <c r="V197" s="8">
        <v>1</v>
      </c>
      <c r="W197" s="8"/>
      <c r="X197" t="s">
        <v>206</v>
      </c>
      <c r="Y197" t="s">
        <v>169</v>
      </c>
    </row>
    <row r="198" spans="1:25" x14ac:dyDescent="0.25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/>
      <c r="W198" s="8">
        <v>1</v>
      </c>
      <c r="X198" t="s">
        <v>207</v>
      </c>
      <c r="Y198" t="s">
        <v>168</v>
      </c>
    </row>
    <row r="199" spans="1:25" x14ac:dyDescent="0.25">
      <c r="A199">
        <v>9999</v>
      </c>
      <c r="B199" t="str">
        <f>_xlfn.CONCAT(Tabel1[[#This Row],[personeelsnr]]," ",C199," ",D199)</f>
        <v>9999 - -</v>
      </c>
      <c r="C199" t="s">
        <v>3347</v>
      </c>
      <c r="D199" t="s">
        <v>3347</v>
      </c>
      <c r="E199" t="s">
        <v>1150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622</v>
      </c>
      <c r="V199" s="8">
        <v>1</v>
      </c>
      <c r="W199" s="8"/>
      <c r="X199" t="s">
        <v>206</v>
      </c>
      <c r="Y199" t="s">
        <v>178</v>
      </c>
    </row>
    <row r="200" spans="1:25" x14ac:dyDescent="0.25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/>
      <c r="W200" s="8">
        <v>1</v>
      </c>
      <c r="X200" t="s">
        <v>207</v>
      </c>
      <c r="Y200" t="s">
        <v>167</v>
      </c>
    </row>
    <row r="201" spans="1:25" x14ac:dyDescent="0.25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624</v>
      </c>
      <c r="V201" s="8">
        <v>1</v>
      </c>
      <c r="W201" s="8"/>
      <c r="X201" t="s">
        <v>206</v>
      </c>
      <c r="Y201" t="s">
        <v>167</v>
      </c>
    </row>
    <row r="202" spans="1:25" x14ac:dyDescent="0.25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x14ac:dyDescent="0.25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626</v>
      </c>
      <c r="V203" s="8">
        <v>1</v>
      </c>
      <c r="W203" s="8"/>
      <c r="X203" t="s">
        <v>206</v>
      </c>
      <c r="Y203" t="s">
        <v>173</v>
      </c>
    </row>
    <row r="204" spans="1:25" x14ac:dyDescent="0.25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627</v>
      </c>
      <c r="V204" s="8">
        <v>1</v>
      </c>
      <c r="W204" s="8"/>
      <c r="X204" t="s">
        <v>206</v>
      </c>
      <c r="Y204" t="s">
        <v>221</v>
      </c>
    </row>
    <row r="205" spans="1:25" x14ac:dyDescent="0.25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377</v>
      </c>
    </row>
    <row r="206" spans="1:25" x14ac:dyDescent="0.25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629</v>
      </c>
      <c r="V206" s="8">
        <v>1</v>
      </c>
      <c r="W206" s="8"/>
      <c r="X206" t="s">
        <v>206</v>
      </c>
      <c r="Y206" t="s">
        <v>180</v>
      </c>
    </row>
    <row r="207" spans="1:25" x14ac:dyDescent="0.25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630</v>
      </c>
      <c r="V207" s="8">
        <v>1</v>
      </c>
      <c r="W207" s="8"/>
      <c r="X207" t="s">
        <v>206</v>
      </c>
      <c r="Y207" t="s">
        <v>184</v>
      </c>
    </row>
    <row r="208" spans="1:25" x14ac:dyDescent="0.25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167</v>
      </c>
    </row>
    <row r="209" spans="1:25" x14ac:dyDescent="0.25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235</v>
      </c>
    </row>
    <row r="210" spans="1:25" x14ac:dyDescent="0.25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633</v>
      </c>
      <c r="V210" s="8"/>
      <c r="W210" s="8">
        <v>1</v>
      </c>
      <c r="X210" t="s">
        <v>207</v>
      </c>
      <c r="Y210" t="s">
        <v>168</v>
      </c>
    </row>
    <row r="211" spans="1:25" x14ac:dyDescent="0.25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>
        <v>1</v>
      </c>
      <c r="W211" s="8"/>
      <c r="X211" t="s">
        <v>206</v>
      </c>
      <c r="Y211" t="s">
        <v>171</v>
      </c>
    </row>
    <row r="212" spans="1:25" x14ac:dyDescent="0.25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635</v>
      </c>
      <c r="V212" s="8">
        <v>1</v>
      </c>
      <c r="W212" s="8"/>
      <c r="X212" t="s">
        <v>206</v>
      </c>
      <c r="Y212" t="s">
        <v>305</v>
      </c>
    </row>
    <row r="213" spans="1:25" x14ac:dyDescent="0.25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171</v>
      </c>
    </row>
    <row r="214" spans="1:25" x14ac:dyDescent="0.25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637</v>
      </c>
      <c r="V214" s="8">
        <v>1</v>
      </c>
      <c r="W214" s="8"/>
      <c r="X214" t="s">
        <v>206</v>
      </c>
      <c r="Y214" t="s">
        <v>344</v>
      </c>
    </row>
    <row r="215" spans="1:25" x14ac:dyDescent="0.25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234</v>
      </c>
    </row>
    <row r="216" spans="1:25" x14ac:dyDescent="0.25">
      <c r="A216">
        <v>9999</v>
      </c>
      <c r="B216" t="str">
        <f>_xlfn.CONCAT(Tabel1[[#This Row],[personeelsnr]]," ",C216," ",D216)</f>
        <v>9999 - -</v>
      </c>
      <c r="C216" t="s">
        <v>3347</v>
      </c>
      <c r="D216" t="s">
        <v>3347</v>
      </c>
      <c r="E216" t="s">
        <v>1150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208</v>
      </c>
    </row>
    <row r="217" spans="1:25" x14ac:dyDescent="0.25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640</v>
      </c>
      <c r="V217" s="8"/>
      <c r="W217" s="8">
        <v>1</v>
      </c>
      <c r="X217" t="s">
        <v>207</v>
      </c>
      <c r="Y217" t="s">
        <v>176</v>
      </c>
    </row>
    <row r="218" spans="1:25" x14ac:dyDescent="0.25">
      <c r="A218">
        <v>9999</v>
      </c>
      <c r="B218" t="str">
        <f>_xlfn.CONCAT(Tabel1[[#This Row],[personeelsnr]]," ",C218," ",D218)</f>
        <v>9999 - -</v>
      </c>
      <c r="C218" t="s">
        <v>3347</v>
      </c>
      <c r="D218" t="s">
        <v>3347</v>
      </c>
      <c r="E218" t="s">
        <v>1150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641</v>
      </c>
      <c r="V218" s="8">
        <v>1</v>
      </c>
      <c r="W218" s="8"/>
      <c r="X218" t="s">
        <v>206</v>
      </c>
      <c r="Y218" t="s">
        <v>204</v>
      </c>
    </row>
    <row r="219" spans="1:25" x14ac:dyDescent="0.25">
      <c r="A219">
        <v>9999</v>
      </c>
      <c r="B219" t="str">
        <f>_xlfn.CONCAT(Tabel1[[#This Row],[personeelsnr]]," ",C219," ",D219)</f>
        <v>9999 - -</v>
      </c>
      <c r="C219" t="s">
        <v>3347</v>
      </c>
      <c r="D219" t="s">
        <v>3347</v>
      </c>
      <c r="E219" t="s">
        <v>1150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/>
      <c r="W219" s="8">
        <v>1</v>
      </c>
      <c r="X219" t="s">
        <v>207</v>
      </c>
      <c r="Y219" t="s">
        <v>227</v>
      </c>
    </row>
    <row r="220" spans="1:25" x14ac:dyDescent="0.25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180</v>
      </c>
    </row>
    <row r="221" spans="1:25" x14ac:dyDescent="0.25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644</v>
      </c>
      <c r="V221" s="8">
        <v>1</v>
      </c>
      <c r="W221" s="8"/>
      <c r="X221" t="s">
        <v>206</v>
      </c>
      <c r="Y221" t="s">
        <v>178</v>
      </c>
    </row>
    <row r="222" spans="1:25" x14ac:dyDescent="0.25">
      <c r="A222">
        <v>9999</v>
      </c>
      <c r="B222" t="str">
        <f>_xlfn.CONCAT(Tabel1[[#This Row],[personeelsnr]]," ",C222," ",D222)</f>
        <v>9999 - -</v>
      </c>
      <c r="C222" t="s">
        <v>3347</v>
      </c>
      <c r="D222" t="s">
        <v>3347</v>
      </c>
      <c r="E222" t="s">
        <v>1150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/>
      <c r="W222" s="8">
        <v>1</v>
      </c>
      <c r="X222" t="s">
        <v>207</v>
      </c>
      <c r="Y222" t="s">
        <v>168</v>
      </c>
    </row>
    <row r="223" spans="1:25" x14ac:dyDescent="0.25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646</v>
      </c>
      <c r="V223" s="8">
        <v>1</v>
      </c>
      <c r="W223" s="8"/>
      <c r="X223" t="s">
        <v>206</v>
      </c>
      <c r="Y223" t="s">
        <v>173</v>
      </c>
    </row>
    <row r="224" spans="1:25" x14ac:dyDescent="0.25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167</v>
      </c>
    </row>
    <row r="225" spans="1:25" x14ac:dyDescent="0.25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648</v>
      </c>
      <c r="V225" s="8">
        <v>1</v>
      </c>
      <c r="W225" s="8"/>
      <c r="X225" t="s">
        <v>206</v>
      </c>
      <c r="Y225" t="s">
        <v>281</v>
      </c>
    </row>
    <row r="226" spans="1:25" x14ac:dyDescent="0.25">
      <c r="A226">
        <v>9999</v>
      </c>
      <c r="B226" t="str">
        <f>_xlfn.CONCAT(Tabel1[[#This Row],[personeelsnr]]," ",C226," ",D226)</f>
        <v>9999 - -</v>
      </c>
      <c r="C226" t="s">
        <v>3347</v>
      </c>
      <c r="D226" t="s">
        <v>3347</v>
      </c>
      <c r="E226" t="s">
        <v>1150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370</v>
      </c>
    </row>
    <row r="227" spans="1:25" x14ac:dyDescent="0.25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650</v>
      </c>
      <c r="V227" s="8"/>
      <c r="W227" s="8">
        <v>1</v>
      </c>
      <c r="X227" t="s">
        <v>207</v>
      </c>
      <c r="Y227" t="s">
        <v>225</v>
      </c>
    </row>
    <row r="228" spans="1:25" x14ac:dyDescent="0.25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276</v>
      </c>
    </row>
    <row r="229" spans="1:25" x14ac:dyDescent="0.25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225</v>
      </c>
    </row>
    <row r="230" spans="1:25" x14ac:dyDescent="0.25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206</v>
      </c>
      <c r="Y230" t="s">
        <v>233</v>
      </c>
    </row>
    <row r="231" spans="1:25" x14ac:dyDescent="0.25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248</v>
      </c>
    </row>
    <row r="232" spans="1:25" x14ac:dyDescent="0.25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207</v>
      </c>
      <c r="Y232" t="s">
        <v>267</v>
      </c>
    </row>
    <row r="233" spans="1:25" x14ac:dyDescent="0.25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656</v>
      </c>
      <c r="V233" s="8">
        <v>1</v>
      </c>
      <c r="W233" s="8"/>
      <c r="X233" t="s">
        <v>206</v>
      </c>
      <c r="Y233" t="s">
        <v>173</v>
      </c>
    </row>
    <row r="234" spans="1:25" x14ac:dyDescent="0.25">
      <c r="A234">
        <v>9999</v>
      </c>
      <c r="B234" t="str">
        <f>_xlfn.CONCAT(Tabel1[[#This Row],[personeelsnr]]," ",C234," ",D234)</f>
        <v>9999 - -</v>
      </c>
      <c r="C234" t="s">
        <v>3347</v>
      </c>
      <c r="D234" t="s">
        <v>3347</v>
      </c>
      <c r="E234" t="s">
        <v>1150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174</v>
      </c>
    </row>
    <row r="235" spans="1:25" x14ac:dyDescent="0.25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658</v>
      </c>
      <c r="V235" s="8">
        <v>1</v>
      </c>
      <c r="W235" s="8"/>
      <c r="X235" t="s">
        <v>206</v>
      </c>
      <c r="Y235" t="s">
        <v>392</v>
      </c>
    </row>
    <row r="236" spans="1:25" x14ac:dyDescent="0.25">
      <c r="A236">
        <v>9999</v>
      </c>
      <c r="B236" t="str">
        <f>_xlfn.CONCAT(Tabel1[[#This Row],[personeelsnr]]," ",C236," ",D236)</f>
        <v>9999 - -</v>
      </c>
      <c r="C236" t="s">
        <v>3347</v>
      </c>
      <c r="D236" t="s">
        <v>3347</v>
      </c>
      <c r="E236" t="s">
        <v>1150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659</v>
      </c>
      <c r="V236" s="8">
        <v>1</v>
      </c>
      <c r="W236" s="8"/>
      <c r="X236" t="s">
        <v>206</v>
      </c>
      <c r="Y236" t="s">
        <v>171</v>
      </c>
    </row>
    <row r="237" spans="1:25" x14ac:dyDescent="0.25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167</v>
      </c>
    </row>
    <row r="238" spans="1:25" x14ac:dyDescent="0.25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169</v>
      </c>
    </row>
    <row r="239" spans="1:25" x14ac:dyDescent="0.25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388</v>
      </c>
    </row>
    <row r="240" spans="1:25" x14ac:dyDescent="0.25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167</v>
      </c>
    </row>
    <row r="241" spans="1:25" x14ac:dyDescent="0.25">
      <c r="A241">
        <v>9999</v>
      </c>
      <c r="B241" t="str">
        <f>_xlfn.CONCAT(Tabel1[[#This Row],[personeelsnr]]," ",C241," ",D241)</f>
        <v>9999 - -</v>
      </c>
      <c r="C241" t="s">
        <v>3347</v>
      </c>
      <c r="D241" t="s">
        <v>3347</v>
      </c>
      <c r="E241" t="s">
        <v>1150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171</v>
      </c>
    </row>
    <row r="242" spans="1:25" x14ac:dyDescent="0.25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206</v>
      </c>
      <c r="Y242" t="s">
        <v>358</v>
      </c>
    </row>
    <row r="243" spans="1:25" x14ac:dyDescent="0.25">
      <c r="A243">
        <v>9999</v>
      </c>
      <c r="B243" t="str">
        <f>_xlfn.CONCAT(Tabel1[[#This Row],[personeelsnr]]," ",C243," ",D243)</f>
        <v>9999 - -</v>
      </c>
      <c r="C243" t="s">
        <v>3347</v>
      </c>
      <c r="D243" t="s">
        <v>3347</v>
      </c>
      <c r="E243" t="s">
        <v>1150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387</v>
      </c>
    </row>
    <row r="244" spans="1:25" x14ac:dyDescent="0.25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667</v>
      </c>
      <c r="V244" s="8">
        <v>1</v>
      </c>
      <c r="W244" s="8"/>
      <c r="X244" t="s">
        <v>206</v>
      </c>
      <c r="Y244" t="s">
        <v>167</v>
      </c>
    </row>
    <row r="245" spans="1:25" x14ac:dyDescent="0.25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242</v>
      </c>
    </row>
    <row r="246" spans="1:25" x14ac:dyDescent="0.25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539</v>
      </c>
    </row>
    <row r="247" spans="1:25" x14ac:dyDescent="0.25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670</v>
      </c>
      <c r="V247" s="8">
        <v>1</v>
      </c>
      <c r="W247" s="8"/>
      <c r="X247" t="s">
        <v>206</v>
      </c>
      <c r="Y247" t="s">
        <v>221</v>
      </c>
    </row>
    <row r="248" spans="1:25" x14ac:dyDescent="0.25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171</v>
      </c>
    </row>
    <row r="249" spans="1:25" x14ac:dyDescent="0.25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x14ac:dyDescent="0.25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673</v>
      </c>
      <c r="V250" s="8">
        <v>1</v>
      </c>
      <c r="W250" s="8"/>
      <c r="X250" t="s">
        <v>206</v>
      </c>
      <c r="Y250" t="s">
        <v>186</v>
      </c>
    </row>
    <row r="251" spans="1:25" x14ac:dyDescent="0.25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674</v>
      </c>
      <c r="V251" s="8">
        <v>1</v>
      </c>
      <c r="W251" s="8"/>
      <c r="X251" t="s">
        <v>206</v>
      </c>
      <c r="Y251" t="s">
        <v>179</v>
      </c>
    </row>
    <row r="252" spans="1:25" x14ac:dyDescent="0.25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171</v>
      </c>
    </row>
    <row r="253" spans="1:25" x14ac:dyDescent="0.25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x14ac:dyDescent="0.25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677</v>
      </c>
      <c r="V254" s="8"/>
      <c r="W254" s="8">
        <v>1</v>
      </c>
      <c r="X254" t="s">
        <v>207</v>
      </c>
      <c r="Y254" t="s">
        <v>168</v>
      </c>
    </row>
    <row r="255" spans="1:25" x14ac:dyDescent="0.25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678</v>
      </c>
      <c r="V255" s="8"/>
      <c r="W255" s="8">
        <v>1</v>
      </c>
      <c r="X255" t="s">
        <v>207</v>
      </c>
      <c r="Y255" t="s">
        <v>253</v>
      </c>
    </row>
    <row r="256" spans="1:25" x14ac:dyDescent="0.25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x14ac:dyDescent="0.25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680</v>
      </c>
      <c r="V257" s="8">
        <v>1</v>
      </c>
      <c r="W257" s="8"/>
      <c r="X257" t="s">
        <v>206</v>
      </c>
      <c r="Y257" t="s">
        <v>291</v>
      </c>
    </row>
    <row r="258" spans="1:25" x14ac:dyDescent="0.25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681</v>
      </c>
      <c r="V258" s="8">
        <v>1</v>
      </c>
      <c r="W258" s="8"/>
      <c r="X258" t="s">
        <v>206</v>
      </c>
      <c r="Y258" t="s">
        <v>283</v>
      </c>
    </row>
    <row r="259" spans="1:25" x14ac:dyDescent="0.25">
      <c r="A259">
        <v>9999</v>
      </c>
      <c r="B259" t="str">
        <f>_xlfn.CONCAT(Tabel1[[#This Row],[personeelsnr]]," ",C259," ",D259)</f>
        <v>9999 - -</v>
      </c>
      <c r="C259" t="s">
        <v>3347</v>
      </c>
      <c r="D259" t="s">
        <v>3347</v>
      </c>
      <c r="E259" t="s">
        <v>1150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682</v>
      </c>
      <c r="V259" s="8">
        <v>1</v>
      </c>
      <c r="W259" s="8"/>
      <c r="X259" t="s">
        <v>206</v>
      </c>
      <c r="Y259" t="s">
        <v>177</v>
      </c>
    </row>
    <row r="260" spans="1:25" x14ac:dyDescent="0.25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683</v>
      </c>
      <c r="V260" s="8">
        <v>1</v>
      </c>
      <c r="W260" s="8"/>
      <c r="X260" t="s">
        <v>206</v>
      </c>
      <c r="Y260" t="s">
        <v>192</v>
      </c>
    </row>
    <row r="261" spans="1:25" x14ac:dyDescent="0.25">
      <c r="A261">
        <v>9999</v>
      </c>
      <c r="B261" t="str">
        <f>_xlfn.CONCAT(Tabel1[[#This Row],[personeelsnr]]," ",C261," ",D261)</f>
        <v>9999 - -</v>
      </c>
      <c r="C261" t="s">
        <v>3347</v>
      </c>
      <c r="D261" t="s">
        <v>3347</v>
      </c>
      <c r="E261" t="s">
        <v>1150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684</v>
      </c>
      <c r="V261" s="8">
        <v>1</v>
      </c>
      <c r="W261" s="8"/>
      <c r="X261" t="s">
        <v>206</v>
      </c>
      <c r="Y261" t="s">
        <v>342</v>
      </c>
    </row>
    <row r="262" spans="1:25" x14ac:dyDescent="0.25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685</v>
      </c>
      <c r="V262" s="8">
        <v>1</v>
      </c>
      <c r="W262" s="8"/>
      <c r="X262" t="s">
        <v>206</v>
      </c>
      <c r="Y262" t="s">
        <v>250</v>
      </c>
    </row>
    <row r="263" spans="1:25" x14ac:dyDescent="0.25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/>
      <c r="W263" s="8">
        <v>1</v>
      </c>
      <c r="X263" t="s">
        <v>207</v>
      </c>
      <c r="Y263" t="s">
        <v>217</v>
      </c>
    </row>
    <row r="264" spans="1:25" x14ac:dyDescent="0.25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687</v>
      </c>
      <c r="V264" s="8">
        <v>1</v>
      </c>
      <c r="W264" s="8"/>
      <c r="X264" t="s">
        <v>206</v>
      </c>
      <c r="Y264" t="s">
        <v>171</v>
      </c>
    </row>
    <row r="265" spans="1:25" x14ac:dyDescent="0.25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239</v>
      </c>
    </row>
    <row r="266" spans="1:25" x14ac:dyDescent="0.25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178</v>
      </c>
    </row>
    <row r="267" spans="1:25" x14ac:dyDescent="0.25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690</v>
      </c>
      <c r="V267" s="8"/>
      <c r="W267" s="8">
        <v>1</v>
      </c>
      <c r="X267" t="s">
        <v>207</v>
      </c>
      <c r="Y267" t="s">
        <v>367</v>
      </c>
    </row>
    <row r="268" spans="1:25" x14ac:dyDescent="0.25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691</v>
      </c>
      <c r="V268" s="8">
        <v>1</v>
      </c>
      <c r="W268" s="8"/>
      <c r="X268" t="s">
        <v>206</v>
      </c>
      <c r="Y268" t="s">
        <v>179</v>
      </c>
    </row>
    <row r="269" spans="1:25" x14ac:dyDescent="0.25">
      <c r="A269">
        <v>9999</v>
      </c>
      <c r="B269" t="str">
        <f>_xlfn.CONCAT(Tabel1[[#This Row],[personeelsnr]]," ",C269," ",D269)</f>
        <v>9999 - -</v>
      </c>
      <c r="C269" t="s">
        <v>3347</v>
      </c>
      <c r="D269" t="s">
        <v>3347</v>
      </c>
      <c r="E269" t="s">
        <v>1150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692</v>
      </c>
      <c r="V269" s="8">
        <v>1</v>
      </c>
      <c r="W269" s="8"/>
      <c r="X269" t="s">
        <v>206</v>
      </c>
      <c r="Y269" t="s">
        <v>215</v>
      </c>
    </row>
    <row r="270" spans="1:25" x14ac:dyDescent="0.25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169</v>
      </c>
    </row>
    <row r="271" spans="1:25" x14ac:dyDescent="0.25">
      <c r="A271">
        <v>9999</v>
      </c>
      <c r="B271" t="str">
        <f>_xlfn.CONCAT(Tabel1[[#This Row],[personeelsnr]]," ",C271," ",D271)</f>
        <v>9999 - -</v>
      </c>
      <c r="C271" t="s">
        <v>3347</v>
      </c>
      <c r="D271" t="s">
        <v>3347</v>
      </c>
      <c r="E271" t="s">
        <v>1150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694</v>
      </c>
      <c r="V271" s="8">
        <v>1</v>
      </c>
      <c r="W271" s="8"/>
      <c r="X271" t="s">
        <v>206</v>
      </c>
      <c r="Y271" t="s">
        <v>382</v>
      </c>
    </row>
    <row r="272" spans="1:25" x14ac:dyDescent="0.25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248</v>
      </c>
    </row>
    <row r="273" spans="1:25" x14ac:dyDescent="0.25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696</v>
      </c>
      <c r="V273" s="8">
        <v>1</v>
      </c>
      <c r="W273" s="8"/>
      <c r="X273" t="s">
        <v>206</v>
      </c>
      <c r="Y273" t="s">
        <v>177</v>
      </c>
    </row>
    <row r="274" spans="1:25" x14ac:dyDescent="0.25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281</v>
      </c>
    </row>
    <row r="275" spans="1:25" x14ac:dyDescent="0.25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698</v>
      </c>
      <c r="V275" s="8">
        <v>1</v>
      </c>
      <c r="W275" s="8"/>
      <c r="X275" t="s">
        <v>206</v>
      </c>
      <c r="Y275" t="s">
        <v>168</v>
      </c>
    </row>
    <row r="276" spans="1:25" x14ac:dyDescent="0.25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179</v>
      </c>
    </row>
    <row r="277" spans="1:25" x14ac:dyDescent="0.25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/>
      <c r="W277" s="8">
        <v>1</v>
      </c>
      <c r="X277" t="s">
        <v>207</v>
      </c>
      <c r="Y277" t="s">
        <v>335</v>
      </c>
    </row>
    <row r="278" spans="1:25" x14ac:dyDescent="0.25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701</v>
      </c>
      <c r="V278" s="8">
        <v>1</v>
      </c>
      <c r="W278" s="8"/>
      <c r="X278" t="s">
        <v>206</v>
      </c>
      <c r="Y278" t="s">
        <v>264</v>
      </c>
    </row>
    <row r="279" spans="1:25" x14ac:dyDescent="0.25">
      <c r="A279">
        <v>9999</v>
      </c>
      <c r="B279" t="str">
        <f>_xlfn.CONCAT(Tabel1[[#This Row],[personeelsnr]]," ",C279," ",D279)</f>
        <v>9999 - -</v>
      </c>
      <c r="C279" t="s">
        <v>3347</v>
      </c>
      <c r="D279" t="s">
        <v>3347</v>
      </c>
      <c r="E279" t="s">
        <v>1150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296</v>
      </c>
    </row>
    <row r="280" spans="1:25" x14ac:dyDescent="0.25">
      <c r="A280">
        <v>9999</v>
      </c>
      <c r="B280" t="str">
        <f>_xlfn.CONCAT(Tabel1[[#This Row],[personeelsnr]]," ",C280," ",D280)</f>
        <v>9999 - -</v>
      </c>
      <c r="C280" t="s">
        <v>3347</v>
      </c>
      <c r="D280" t="s">
        <v>3347</v>
      </c>
      <c r="E280" t="s">
        <v>1150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703</v>
      </c>
      <c r="V280" s="8">
        <v>1</v>
      </c>
      <c r="W280" s="8"/>
      <c r="X280" t="s">
        <v>206</v>
      </c>
      <c r="Y280" t="s">
        <v>325</v>
      </c>
    </row>
    <row r="281" spans="1:25" x14ac:dyDescent="0.25">
      <c r="A281">
        <v>9999</v>
      </c>
      <c r="B281" t="str">
        <f>_xlfn.CONCAT(Tabel1[[#This Row],[personeelsnr]]," ",C281," ",D281)</f>
        <v>9999 - -</v>
      </c>
      <c r="C281" t="s">
        <v>3347</v>
      </c>
      <c r="D281" t="s">
        <v>3347</v>
      </c>
      <c r="E281" t="s">
        <v>1150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704</v>
      </c>
      <c r="V281" s="8">
        <v>1</v>
      </c>
      <c r="W281" s="8"/>
      <c r="X281" t="s">
        <v>206</v>
      </c>
      <c r="Y281" t="s">
        <v>200</v>
      </c>
    </row>
    <row r="282" spans="1:25" x14ac:dyDescent="0.25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705</v>
      </c>
      <c r="V282" s="8">
        <v>1</v>
      </c>
      <c r="W282" s="8"/>
      <c r="X282" t="s">
        <v>206</v>
      </c>
      <c r="Y282" t="s">
        <v>196</v>
      </c>
    </row>
    <row r="283" spans="1:25" x14ac:dyDescent="0.25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/>
      <c r="W283" s="8">
        <v>1</v>
      </c>
      <c r="X283" t="s">
        <v>207</v>
      </c>
      <c r="Y283" t="s">
        <v>168</v>
      </c>
    </row>
    <row r="284" spans="1:25" x14ac:dyDescent="0.25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272</v>
      </c>
    </row>
    <row r="285" spans="1:25" x14ac:dyDescent="0.25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>
        <v>1</v>
      </c>
      <c r="W285" s="8"/>
      <c r="X285" t="s">
        <v>206</v>
      </c>
      <c r="Y285" t="s">
        <v>171</v>
      </c>
    </row>
    <row r="286" spans="1:25" x14ac:dyDescent="0.25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709</v>
      </c>
      <c r="V286" s="8">
        <v>1</v>
      </c>
      <c r="W286" s="8"/>
      <c r="X286" t="s">
        <v>206</v>
      </c>
      <c r="Y286" t="s">
        <v>186</v>
      </c>
    </row>
    <row r="287" spans="1:25" x14ac:dyDescent="0.25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/>
      <c r="W287" s="8">
        <v>1</v>
      </c>
      <c r="X287" t="s">
        <v>207</v>
      </c>
      <c r="Y287" t="s">
        <v>251</v>
      </c>
    </row>
    <row r="288" spans="1:25" x14ac:dyDescent="0.25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711</v>
      </c>
      <c r="V288" s="8">
        <v>1</v>
      </c>
      <c r="W288" s="8"/>
      <c r="X288" t="s">
        <v>206</v>
      </c>
      <c r="Y288" t="s">
        <v>235</v>
      </c>
    </row>
    <row r="289" spans="1:25" x14ac:dyDescent="0.25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712</v>
      </c>
      <c r="V289" s="8">
        <v>1</v>
      </c>
      <c r="W289" s="8"/>
      <c r="X289" t="s">
        <v>206</v>
      </c>
      <c r="Y289" t="s">
        <v>167</v>
      </c>
    </row>
    <row r="290" spans="1:25" x14ac:dyDescent="0.25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713</v>
      </c>
      <c r="V290" s="8"/>
      <c r="W290" s="8">
        <v>1</v>
      </c>
      <c r="X290" t="s">
        <v>207</v>
      </c>
      <c r="Y290" t="s">
        <v>167</v>
      </c>
    </row>
    <row r="291" spans="1:25" x14ac:dyDescent="0.25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714</v>
      </c>
      <c r="V291" s="8">
        <v>1</v>
      </c>
      <c r="W291" s="8"/>
      <c r="X291" t="s">
        <v>206</v>
      </c>
      <c r="Y291" t="s">
        <v>380</v>
      </c>
    </row>
    <row r="292" spans="1:25" x14ac:dyDescent="0.25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182</v>
      </c>
    </row>
    <row r="293" spans="1:25" x14ac:dyDescent="0.25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716</v>
      </c>
      <c r="V293" s="8"/>
      <c r="W293" s="8">
        <v>1</v>
      </c>
      <c r="X293" t="s">
        <v>207</v>
      </c>
      <c r="Y293" t="s">
        <v>249</v>
      </c>
    </row>
    <row r="294" spans="1:25" x14ac:dyDescent="0.25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223</v>
      </c>
    </row>
    <row r="295" spans="1:25" x14ac:dyDescent="0.25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176</v>
      </c>
    </row>
    <row r="296" spans="1:25" x14ac:dyDescent="0.25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719</v>
      </c>
      <c r="V296" s="8"/>
      <c r="W296" s="8">
        <v>1</v>
      </c>
      <c r="X296" t="s">
        <v>207</v>
      </c>
      <c r="Y296" t="s">
        <v>183</v>
      </c>
    </row>
    <row r="297" spans="1:25" x14ac:dyDescent="0.25">
      <c r="A297">
        <v>9999</v>
      </c>
      <c r="B297" t="str">
        <f>_xlfn.CONCAT(Tabel1[[#This Row],[personeelsnr]]," ",C297," ",D297)</f>
        <v>9999 - -</v>
      </c>
      <c r="C297" t="s">
        <v>3347</v>
      </c>
      <c r="D297" t="s">
        <v>3347</v>
      </c>
      <c r="E297" t="s">
        <v>1150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720</v>
      </c>
      <c r="V297" s="8">
        <v>1</v>
      </c>
      <c r="W297" s="8"/>
      <c r="X297" t="s">
        <v>206</v>
      </c>
      <c r="Y297" t="s">
        <v>178</v>
      </c>
    </row>
    <row r="298" spans="1:25" x14ac:dyDescent="0.25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721</v>
      </c>
      <c r="V298" s="8">
        <v>1</v>
      </c>
      <c r="W298" s="8"/>
      <c r="X298" t="s">
        <v>206</v>
      </c>
      <c r="Y298" t="s">
        <v>175</v>
      </c>
    </row>
    <row r="299" spans="1:25" x14ac:dyDescent="0.25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722</v>
      </c>
      <c r="V299" s="8">
        <v>1</v>
      </c>
      <c r="W299" s="8"/>
      <c r="X299" t="s">
        <v>206</v>
      </c>
      <c r="Y299" t="s">
        <v>167</v>
      </c>
    </row>
    <row r="300" spans="1:25" x14ac:dyDescent="0.25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x14ac:dyDescent="0.25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211</v>
      </c>
    </row>
    <row r="302" spans="1:25" x14ac:dyDescent="0.25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725</v>
      </c>
      <c r="V302" s="8">
        <v>1</v>
      </c>
      <c r="W302" s="8"/>
      <c r="X302" t="s">
        <v>206</v>
      </c>
      <c r="Y302" t="s">
        <v>167</v>
      </c>
    </row>
    <row r="303" spans="1:25" x14ac:dyDescent="0.25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539</v>
      </c>
    </row>
    <row r="304" spans="1:25" x14ac:dyDescent="0.25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/>
      <c r="W304" s="8">
        <v>1</v>
      </c>
      <c r="X304" t="s">
        <v>207</v>
      </c>
      <c r="Y304" t="s">
        <v>167</v>
      </c>
    </row>
    <row r="305" spans="1:25" x14ac:dyDescent="0.25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728</v>
      </c>
      <c r="V305" s="8">
        <v>1</v>
      </c>
      <c r="W305" s="8"/>
      <c r="X305" t="s">
        <v>206</v>
      </c>
      <c r="Y305" t="s">
        <v>277</v>
      </c>
    </row>
    <row r="306" spans="1:25" x14ac:dyDescent="0.25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729</v>
      </c>
      <c r="V306" s="8">
        <v>1</v>
      </c>
      <c r="W306" s="8"/>
      <c r="X306" t="s">
        <v>206</v>
      </c>
      <c r="Y306" t="s">
        <v>172</v>
      </c>
    </row>
    <row r="307" spans="1:25" x14ac:dyDescent="0.25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/>
      <c r="W307" s="8">
        <v>1</v>
      </c>
      <c r="X307" t="s">
        <v>207</v>
      </c>
      <c r="Y307" t="s">
        <v>167</v>
      </c>
    </row>
    <row r="308" spans="1:25" x14ac:dyDescent="0.25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249</v>
      </c>
    </row>
    <row r="309" spans="1:25" x14ac:dyDescent="0.25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168</v>
      </c>
    </row>
    <row r="310" spans="1:25" x14ac:dyDescent="0.25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733</v>
      </c>
      <c r="V310" s="8">
        <v>1</v>
      </c>
      <c r="W310" s="8"/>
      <c r="X310" t="s">
        <v>206</v>
      </c>
      <c r="Y310" t="s">
        <v>202</v>
      </c>
    </row>
    <row r="311" spans="1:25" x14ac:dyDescent="0.25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/>
      <c r="W311" s="8">
        <v>1</v>
      </c>
      <c r="X311" t="s">
        <v>207</v>
      </c>
      <c r="Y311" t="s">
        <v>168</v>
      </c>
    </row>
    <row r="312" spans="1:25" x14ac:dyDescent="0.25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735</v>
      </c>
      <c r="V312" s="8">
        <v>1</v>
      </c>
      <c r="W312" s="8"/>
      <c r="X312" t="s">
        <v>206</v>
      </c>
      <c r="Y312" t="s">
        <v>167</v>
      </c>
    </row>
    <row r="313" spans="1:25" x14ac:dyDescent="0.25">
      <c r="A313">
        <v>9999</v>
      </c>
      <c r="B313" t="str">
        <f>_xlfn.CONCAT(Tabel1[[#This Row],[personeelsnr]]," ",C313," ",D313)</f>
        <v>9999 - -</v>
      </c>
      <c r="C313" t="s">
        <v>3347</v>
      </c>
      <c r="D313" t="s">
        <v>3347</v>
      </c>
      <c r="E313" t="s">
        <v>1150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736</v>
      </c>
      <c r="V313" s="8">
        <v>1</v>
      </c>
      <c r="W313" s="8"/>
      <c r="X313" t="s">
        <v>206</v>
      </c>
      <c r="Y313" t="s">
        <v>178</v>
      </c>
    </row>
    <row r="314" spans="1:25" x14ac:dyDescent="0.25">
      <c r="A314">
        <v>9999</v>
      </c>
      <c r="B314" t="str">
        <f>_xlfn.CONCAT(Tabel1[[#This Row],[personeelsnr]]," ",C314," ",D314)</f>
        <v>9999 - -</v>
      </c>
      <c r="C314" t="s">
        <v>3347</v>
      </c>
      <c r="D314" t="s">
        <v>3347</v>
      </c>
      <c r="E314" t="s">
        <v>1150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539</v>
      </c>
    </row>
    <row r="315" spans="1:25" x14ac:dyDescent="0.25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738</v>
      </c>
      <c r="V315" s="8">
        <v>1</v>
      </c>
      <c r="W315" s="8"/>
      <c r="X315" t="s">
        <v>206</v>
      </c>
      <c r="Y315" t="s">
        <v>211</v>
      </c>
    </row>
    <row r="316" spans="1:25" x14ac:dyDescent="0.25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221</v>
      </c>
    </row>
    <row r="317" spans="1:25" x14ac:dyDescent="0.25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740</v>
      </c>
      <c r="V317" s="8">
        <v>1</v>
      </c>
      <c r="W317" s="8"/>
      <c r="X317" t="s">
        <v>206</v>
      </c>
      <c r="Y317" t="s">
        <v>168</v>
      </c>
    </row>
    <row r="318" spans="1:25" x14ac:dyDescent="0.25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741</v>
      </c>
      <c r="V318" s="8">
        <v>1</v>
      </c>
      <c r="W318" s="8"/>
      <c r="X318" t="s">
        <v>206</v>
      </c>
      <c r="Y318" t="s">
        <v>167</v>
      </c>
    </row>
    <row r="319" spans="1:25" x14ac:dyDescent="0.25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742</v>
      </c>
      <c r="V319" s="8"/>
      <c r="W319" s="8">
        <v>1</v>
      </c>
      <c r="X319" t="s">
        <v>207</v>
      </c>
      <c r="Y319" t="s">
        <v>168</v>
      </c>
    </row>
    <row r="320" spans="1:25" x14ac:dyDescent="0.25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743</v>
      </c>
      <c r="V320" s="8"/>
      <c r="W320" s="8">
        <v>1</v>
      </c>
      <c r="X320" t="s">
        <v>207</v>
      </c>
      <c r="Y320" t="s">
        <v>217</v>
      </c>
    </row>
    <row r="321" spans="1:25" x14ac:dyDescent="0.25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744</v>
      </c>
      <c r="V321" s="8">
        <v>1</v>
      </c>
      <c r="W321" s="8"/>
      <c r="X321" t="s">
        <v>206</v>
      </c>
      <c r="Y321" t="s">
        <v>196</v>
      </c>
    </row>
    <row r="322" spans="1:25" x14ac:dyDescent="0.25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745</v>
      </c>
      <c r="V322" s="8">
        <v>1</v>
      </c>
      <c r="W322" s="8"/>
      <c r="X322" t="s">
        <v>206</v>
      </c>
      <c r="Y322" t="s">
        <v>169</v>
      </c>
    </row>
    <row r="323" spans="1:25" x14ac:dyDescent="0.25">
      <c r="A323">
        <v>9999</v>
      </c>
      <c r="B323" t="str">
        <f>_xlfn.CONCAT(Tabel1[[#This Row],[personeelsnr]]," ",C323," ",D323)</f>
        <v>9999 - -</v>
      </c>
      <c r="C323" t="s">
        <v>3347</v>
      </c>
      <c r="D323" t="s">
        <v>3347</v>
      </c>
      <c r="E323" t="s">
        <v>1150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238</v>
      </c>
    </row>
    <row r="324" spans="1:25" x14ac:dyDescent="0.25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/>
      <c r="W324" s="8">
        <v>1</v>
      </c>
      <c r="X324" t="s">
        <v>207</v>
      </c>
      <c r="Y324" t="s">
        <v>333</v>
      </c>
    </row>
    <row r="325" spans="1:25" x14ac:dyDescent="0.25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748</v>
      </c>
      <c r="V325" s="8">
        <v>1</v>
      </c>
      <c r="W325" s="8"/>
      <c r="X325" t="s">
        <v>206</v>
      </c>
      <c r="Y325" t="s">
        <v>168</v>
      </c>
    </row>
    <row r="326" spans="1:25" x14ac:dyDescent="0.25">
      <c r="A326">
        <v>9999</v>
      </c>
      <c r="B326" t="str">
        <f>_xlfn.CONCAT(Tabel1[[#This Row],[personeelsnr]]," ",C326," ",D326)</f>
        <v>9999 - -</v>
      </c>
      <c r="C326" t="s">
        <v>3347</v>
      </c>
      <c r="D326" t="s">
        <v>3347</v>
      </c>
      <c r="E326" t="s">
        <v>1150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170</v>
      </c>
    </row>
    <row r="327" spans="1:25" x14ac:dyDescent="0.25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750</v>
      </c>
      <c r="V327" s="8">
        <v>1</v>
      </c>
      <c r="W327" s="8"/>
      <c r="X327" t="s">
        <v>206</v>
      </c>
      <c r="Y327" t="s">
        <v>179</v>
      </c>
    </row>
    <row r="328" spans="1:25" x14ac:dyDescent="0.25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751</v>
      </c>
      <c r="V328" s="8">
        <v>1</v>
      </c>
      <c r="W328" s="8"/>
      <c r="X328" t="s">
        <v>206</v>
      </c>
      <c r="Y328" t="s">
        <v>175</v>
      </c>
    </row>
    <row r="329" spans="1:25" x14ac:dyDescent="0.25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752</v>
      </c>
      <c r="V329" s="8">
        <v>1</v>
      </c>
      <c r="W329" s="8"/>
      <c r="X329" t="s">
        <v>206</v>
      </c>
      <c r="Y329" t="s">
        <v>293</v>
      </c>
    </row>
    <row r="330" spans="1:25" x14ac:dyDescent="0.25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/>
      <c r="W330" s="8">
        <v>1</v>
      </c>
      <c r="X330" t="s">
        <v>207</v>
      </c>
      <c r="Y330" t="s">
        <v>209</v>
      </c>
    </row>
    <row r="331" spans="1:25" x14ac:dyDescent="0.25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754</v>
      </c>
      <c r="V331" s="8">
        <v>1</v>
      </c>
      <c r="W331" s="8"/>
      <c r="X331" t="s">
        <v>206</v>
      </c>
      <c r="Y331" t="s">
        <v>215</v>
      </c>
    </row>
    <row r="332" spans="1:25" x14ac:dyDescent="0.25">
      <c r="A332">
        <v>9999</v>
      </c>
      <c r="B332" t="str">
        <f>_xlfn.CONCAT(Tabel1[[#This Row],[personeelsnr]]," ",C332," ",D332)</f>
        <v>9999 - -</v>
      </c>
      <c r="C332" t="s">
        <v>3347</v>
      </c>
      <c r="D332" t="s">
        <v>3347</v>
      </c>
      <c r="E332" t="s">
        <v>1150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/>
      <c r="W332" s="8">
        <v>1</v>
      </c>
      <c r="X332" t="s">
        <v>207</v>
      </c>
      <c r="Y332" t="s">
        <v>174</v>
      </c>
    </row>
    <row r="333" spans="1:25" x14ac:dyDescent="0.25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756</v>
      </c>
      <c r="V333" s="8">
        <v>1</v>
      </c>
      <c r="W333" s="8"/>
      <c r="X333" t="s">
        <v>206</v>
      </c>
      <c r="Y333" t="s">
        <v>221</v>
      </c>
    </row>
    <row r="334" spans="1:25" x14ac:dyDescent="0.25">
      <c r="A334">
        <v>9999</v>
      </c>
      <c r="B334" t="str">
        <f>_xlfn.CONCAT(Tabel1[[#This Row],[personeelsnr]]," ",C334," ",D334)</f>
        <v>9999 - -</v>
      </c>
      <c r="C334" t="s">
        <v>3347</v>
      </c>
      <c r="D334" t="s">
        <v>3347</v>
      </c>
      <c r="E334" t="s">
        <v>1150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757</v>
      </c>
      <c r="V334" s="8">
        <v>1</v>
      </c>
      <c r="W334" s="8"/>
      <c r="X334" t="s">
        <v>206</v>
      </c>
      <c r="Y334" t="s">
        <v>260</v>
      </c>
    </row>
    <row r="335" spans="1:25" x14ac:dyDescent="0.25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758</v>
      </c>
      <c r="V335" s="8">
        <v>1</v>
      </c>
      <c r="W335" s="8"/>
      <c r="X335" t="s">
        <v>206</v>
      </c>
      <c r="Y335" t="s">
        <v>198</v>
      </c>
    </row>
    <row r="336" spans="1:25" x14ac:dyDescent="0.25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167</v>
      </c>
    </row>
    <row r="337" spans="1:25" x14ac:dyDescent="0.25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760</v>
      </c>
      <c r="V337" s="8">
        <v>1</v>
      </c>
      <c r="W337" s="8"/>
      <c r="X337" t="s">
        <v>206</v>
      </c>
      <c r="Y337" t="s">
        <v>269</v>
      </c>
    </row>
    <row r="338" spans="1:25" x14ac:dyDescent="0.25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761</v>
      </c>
      <c r="V338" s="8"/>
      <c r="W338" s="8">
        <v>1</v>
      </c>
      <c r="X338" t="s">
        <v>207</v>
      </c>
      <c r="Y338" t="s">
        <v>303</v>
      </c>
    </row>
    <row r="339" spans="1:25" x14ac:dyDescent="0.25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762</v>
      </c>
      <c r="V339" s="8">
        <v>1</v>
      </c>
      <c r="W339" s="8"/>
      <c r="X339" t="s">
        <v>206</v>
      </c>
      <c r="Y339" t="s">
        <v>350</v>
      </c>
    </row>
    <row r="340" spans="1:25" x14ac:dyDescent="0.25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167</v>
      </c>
    </row>
    <row r="341" spans="1:25" x14ac:dyDescent="0.25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360</v>
      </c>
    </row>
    <row r="342" spans="1:25" x14ac:dyDescent="0.25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167</v>
      </c>
    </row>
    <row r="343" spans="1:25" x14ac:dyDescent="0.25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394</v>
      </c>
    </row>
    <row r="344" spans="1:25" x14ac:dyDescent="0.25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266</v>
      </c>
    </row>
    <row r="345" spans="1:25" x14ac:dyDescent="0.25">
      <c r="A345">
        <v>9999</v>
      </c>
      <c r="B345" t="str">
        <f>_xlfn.CONCAT(Tabel1[[#This Row],[personeelsnr]]," ",C345," ",D345)</f>
        <v>9999 - -</v>
      </c>
      <c r="C345" t="s">
        <v>3347</v>
      </c>
      <c r="D345" t="s">
        <v>3347</v>
      </c>
      <c r="E345" t="s">
        <v>1150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167</v>
      </c>
    </row>
    <row r="346" spans="1:25" x14ac:dyDescent="0.25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769</v>
      </c>
      <c r="V346" s="8">
        <v>1</v>
      </c>
      <c r="W346" s="8"/>
      <c r="X346" t="s">
        <v>206</v>
      </c>
      <c r="Y346" t="s">
        <v>183</v>
      </c>
    </row>
    <row r="347" spans="1:25" x14ac:dyDescent="0.25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770</v>
      </c>
      <c r="V347" s="8">
        <v>1</v>
      </c>
      <c r="W347" s="8"/>
      <c r="X347" t="s">
        <v>206</v>
      </c>
      <c r="Y347" t="s">
        <v>200</v>
      </c>
    </row>
    <row r="348" spans="1:25" x14ac:dyDescent="0.25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x14ac:dyDescent="0.25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192</v>
      </c>
    </row>
    <row r="350" spans="1:25" x14ac:dyDescent="0.25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773</v>
      </c>
      <c r="V350" s="8">
        <v>1</v>
      </c>
      <c r="W350" s="8"/>
      <c r="X350" t="s">
        <v>206</v>
      </c>
      <c r="Y350" t="s">
        <v>208</v>
      </c>
    </row>
    <row r="351" spans="1:25" x14ac:dyDescent="0.25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236</v>
      </c>
    </row>
    <row r="352" spans="1:25" x14ac:dyDescent="0.25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/>
      <c r="W352" s="8">
        <v>1</v>
      </c>
      <c r="X352" t="s">
        <v>207</v>
      </c>
      <c r="Y352" t="s">
        <v>297</v>
      </c>
    </row>
    <row r="353" spans="1:25" x14ac:dyDescent="0.25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>
        <v>1</v>
      </c>
      <c r="W353" s="8"/>
      <c r="X353" t="s">
        <v>206</v>
      </c>
      <c r="Y353" t="s">
        <v>167</v>
      </c>
    </row>
    <row r="354" spans="1:25" x14ac:dyDescent="0.25">
      <c r="A354">
        <v>9999</v>
      </c>
      <c r="B354" t="str">
        <f>_xlfn.CONCAT(Tabel1[[#This Row],[personeelsnr]]," ",C354," ",D354)</f>
        <v>9999 - -</v>
      </c>
      <c r="C354" t="s">
        <v>3347</v>
      </c>
      <c r="D354" t="s">
        <v>3347</v>
      </c>
      <c r="E354" t="s">
        <v>1150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777</v>
      </c>
      <c r="V354" s="8">
        <v>1</v>
      </c>
      <c r="W354" s="8"/>
      <c r="X354" t="s">
        <v>206</v>
      </c>
      <c r="Y354" t="s">
        <v>231</v>
      </c>
    </row>
    <row r="355" spans="1:25" x14ac:dyDescent="0.25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778</v>
      </c>
      <c r="V355" s="8">
        <v>1</v>
      </c>
      <c r="W355" s="8"/>
      <c r="X355" t="s">
        <v>206</v>
      </c>
      <c r="Y355" t="s">
        <v>204</v>
      </c>
    </row>
    <row r="356" spans="1:25" x14ac:dyDescent="0.25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168</v>
      </c>
    </row>
    <row r="357" spans="1:25" x14ac:dyDescent="0.25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780</v>
      </c>
      <c r="V357" s="8">
        <v>1</v>
      </c>
      <c r="W357" s="8"/>
      <c r="X357" t="s">
        <v>206</v>
      </c>
      <c r="Y357" t="s">
        <v>167</v>
      </c>
    </row>
    <row r="358" spans="1:25" x14ac:dyDescent="0.25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781</v>
      </c>
      <c r="V358" s="8">
        <v>1</v>
      </c>
      <c r="W358" s="8"/>
      <c r="X358" t="s">
        <v>206</v>
      </c>
      <c r="Y358" t="s">
        <v>243</v>
      </c>
    </row>
    <row r="359" spans="1:25" x14ac:dyDescent="0.25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/>
      <c r="W359" s="8">
        <v>1</v>
      </c>
      <c r="X359" t="s">
        <v>207</v>
      </c>
      <c r="Y359" t="s">
        <v>286</v>
      </c>
    </row>
    <row r="360" spans="1:25" x14ac:dyDescent="0.25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167</v>
      </c>
    </row>
    <row r="361" spans="1:25" x14ac:dyDescent="0.25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784</v>
      </c>
      <c r="V361" s="8">
        <v>1</v>
      </c>
      <c r="W361" s="8"/>
      <c r="X361" t="s">
        <v>206</v>
      </c>
      <c r="Y361" t="s">
        <v>178</v>
      </c>
    </row>
    <row r="362" spans="1:25" x14ac:dyDescent="0.25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785</v>
      </c>
      <c r="V362" s="8">
        <v>1</v>
      </c>
      <c r="W362" s="8"/>
      <c r="X362" t="s">
        <v>206</v>
      </c>
      <c r="Y362" t="s">
        <v>188</v>
      </c>
    </row>
    <row r="363" spans="1:25" x14ac:dyDescent="0.25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786</v>
      </c>
      <c r="V363" s="8">
        <v>1</v>
      </c>
      <c r="W363" s="8"/>
      <c r="X363" t="s">
        <v>206</v>
      </c>
      <c r="Y363" t="s">
        <v>258</v>
      </c>
    </row>
    <row r="364" spans="1:25" x14ac:dyDescent="0.25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223</v>
      </c>
    </row>
    <row r="365" spans="1:25" x14ac:dyDescent="0.25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327</v>
      </c>
    </row>
    <row r="366" spans="1:25" x14ac:dyDescent="0.25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789</v>
      </c>
      <c r="V366" s="8">
        <v>1</v>
      </c>
      <c r="W366" s="8"/>
      <c r="X366" t="s">
        <v>206</v>
      </c>
      <c r="Y366" t="s">
        <v>175</v>
      </c>
    </row>
    <row r="367" spans="1:25" x14ac:dyDescent="0.25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790</v>
      </c>
      <c r="V367" s="8">
        <v>1</v>
      </c>
      <c r="W367" s="8"/>
      <c r="X367" t="s">
        <v>206</v>
      </c>
      <c r="Y367" t="s">
        <v>255</v>
      </c>
    </row>
    <row r="368" spans="1:25" x14ac:dyDescent="0.25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213</v>
      </c>
    </row>
    <row r="369" spans="1:25" x14ac:dyDescent="0.25">
      <c r="A369">
        <v>9999</v>
      </c>
      <c r="B369" t="str">
        <f>_xlfn.CONCAT(Tabel1[[#This Row],[personeelsnr]]," ",C369," ",D369)</f>
        <v>9999 - -</v>
      </c>
      <c r="C369" t="s">
        <v>3347</v>
      </c>
      <c r="D369" t="s">
        <v>3347</v>
      </c>
      <c r="E369" t="s">
        <v>1150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200</v>
      </c>
    </row>
    <row r="370" spans="1:25" x14ac:dyDescent="0.25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/>
      <c r="W370" s="8">
        <v>1</v>
      </c>
      <c r="X370" t="s">
        <v>207</v>
      </c>
      <c r="Y370" t="s">
        <v>168</v>
      </c>
    </row>
    <row r="371" spans="1:25" x14ac:dyDescent="0.25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794</v>
      </c>
      <c r="V371" s="8">
        <v>1</v>
      </c>
      <c r="W371" s="8"/>
      <c r="X371" t="s">
        <v>206</v>
      </c>
      <c r="Y371" t="s">
        <v>167</v>
      </c>
    </row>
    <row r="372" spans="1:25" x14ac:dyDescent="0.25">
      <c r="A372">
        <v>9999</v>
      </c>
      <c r="B372" t="str">
        <f>_xlfn.CONCAT(Tabel1[[#This Row],[personeelsnr]]," ",C372," ",D372)</f>
        <v>9999 - -</v>
      </c>
      <c r="C372" t="s">
        <v>3347</v>
      </c>
      <c r="D372" t="s">
        <v>3347</v>
      </c>
      <c r="E372" t="s">
        <v>1150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795</v>
      </c>
      <c r="V372" s="8">
        <v>1</v>
      </c>
      <c r="W372" s="8"/>
      <c r="X372" t="s">
        <v>206</v>
      </c>
      <c r="Y372" t="s">
        <v>198</v>
      </c>
    </row>
    <row r="373" spans="1:25" x14ac:dyDescent="0.25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796</v>
      </c>
      <c r="V373" s="8">
        <v>1</v>
      </c>
      <c r="W373" s="8"/>
      <c r="X373" t="s">
        <v>206</v>
      </c>
      <c r="Y373" t="s">
        <v>278</v>
      </c>
    </row>
    <row r="374" spans="1:25" x14ac:dyDescent="0.25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797</v>
      </c>
      <c r="V374" s="8"/>
      <c r="W374" s="8">
        <v>1</v>
      </c>
      <c r="X374" t="s">
        <v>207</v>
      </c>
      <c r="Y374" t="s">
        <v>174</v>
      </c>
    </row>
    <row r="375" spans="1:25" x14ac:dyDescent="0.25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798</v>
      </c>
      <c r="V375" s="8">
        <v>1</v>
      </c>
      <c r="W375" s="8"/>
      <c r="X375" t="s">
        <v>206</v>
      </c>
      <c r="Y375" t="s">
        <v>167</v>
      </c>
    </row>
    <row r="376" spans="1:25" x14ac:dyDescent="0.25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799</v>
      </c>
      <c r="V376" s="8"/>
      <c r="W376" s="8">
        <v>1</v>
      </c>
      <c r="X376" t="s">
        <v>207</v>
      </c>
      <c r="Y376" t="s">
        <v>167</v>
      </c>
    </row>
    <row r="377" spans="1:25" x14ac:dyDescent="0.25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800</v>
      </c>
      <c r="V377" s="8">
        <v>1</v>
      </c>
      <c r="W377" s="8"/>
      <c r="X377" t="s">
        <v>206</v>
      </c>
      <c r="Y377" t="s">
        <v>210</v>
      </c>
    </row>
    <row r="378" spans="1:25" x14ac:dyDescent="0.25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/>
      <c r="W378" s="8">
        <v>1</v>
      </c>
      <c r="X378" t="s">
        <v>207</v>
      </c>
      <c r="Y378" t="s">
        <v>182</v>
      </c>
    </row>
    <row r="379" spans="1:25" x14ac:dyDescent="0.25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802</v>
      </c>
      <c r="V379" s="8">
        <v>1</v>
      </c>
      <c r="W379" s="8"/>
      <c r="X379" t="s">
        <v>206</v>
      </c>
      <c r="Y379" t="s">
        <v>230</v>
      </c>
    </row>
    <row r="380" spans="1:25" x14ac:dyDescent="0.25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363</v>
      </c>
    </row>
    <row r="381" spans="1:25" x14ac:dyDescent="0.25">
      <c r="A381">
        <v>9999</v>
      </c>
      <c r="B381" t="str">
        <f>_xlfn.CONCAT(Tabel1[[#This Row],[personeelsnr]]," ",C381," ",D381)</f>
        <v>9999 - -</v>
      </c>
      <c r="C381" t="s">
        <v>3347</v>
      </c>
      <c r="D381" t="s">
        <v>3347</v>
      </c>
      <c r="E381" t="s">
        <v>1150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804</v>
      </c>
      <c r="V381" s="8">
        <v>1</v>
      </c>
      <c r="W381" s="8"/>
      <c r="X381" t="s">
        <v>206</v>
      </c>
      <c r="Y381" t="s">
        <v>167</v>
      </c>
    </row>
    <row r="382" spans="1:25" x14ac:dyDescent="0.25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805</v>
      </c>
      <c r="V382" s="8">
        <v>1</v>
      </c>
      <c r="W382" s="8"/>
      <c r="X382" t="s">
        <v>206</v>
      </c>
      <c r="Y382" t="s">
        <v>264</v>
      </c>
    </row>
    <row r="383" spans="1:25" x14ac:dyDescent="0.25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/>
      <c r="W383" s="8">
        <v>1</v>
      </c>
      <c r="X383" t="s">
        <v>207</v>
      </c>
      <c r="Y383" t="s">
        <v>232</v>
      </c>
    </row>
    <row r="384" spans="1:25" x14ac:dyDescent="0.25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807</v>
      </c>
      <c r="V384" s="8">
        <v>1</v>
      </c>
      <c r="W384" s="8"/>
      <c r="X384" t="s">
        <v>206</v>
      </c>
      <c r="Y384" t="s">
        <v>169</v>
      </c>
    </row>
    <row r="385" spans="1:25" x14ac:dyDescent="0.25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167</v>
      </c>
    </row>
    <row r="386" spans="1:25" x14ac:dyDescent="0.25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809</v>
      </c>
      <c r="V386" s="8">
        <v>1</v>
      </c>
      <c r="W386" s="8"/>
      <c r="X386" t="s">
        <v>206</v>
      </c>
      <c r="Y386" t="s">
        <v>280</v>
      </c>
    </row>
    <row r="387" spans="1:25" x14ac:dyDescent="0.25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810</v>
      </c>
      <c r="V387" s="8">
        <v>1</v>
      </c>
      <c r="W387" s="8"/>
      <c r="X387" t="s">
        <v>206</v>
      </c>
      <c r="Y387" t="s">
        <v>183</v>
      </c>
    </row>
    <row r="388" spans="1:25" x14ac:dyDescent="0.25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811</v>
      </c>
      <c r="V388" s="8"/>
      <c r="W388" s="8">
        <v>1</v>
      </c>
      <c r="X388" t="s">
        <v>207</v>
      </c>
      <c r="Y388" t="s">
        <v>250</v>
      </c>
    </row>
    <row r="389" spans="1:25" x14ac:dyDescent="0.25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812</v>
      </c>
      <c r="V389" s="8"/>
      <c r="W389" s="8">
        <v>1</v>
      </c>
      <c r="X389" t="s">
        <v>207</v>
      </c>
      <c r="Y389" t="s">
        <v>294</v>
      </c>
    </row>
    <row r="390" spans="1:25" x14ac:dyDescent="0.25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813</v>
      </c>
      <c r="V390" s="8">
        <v>1</v>
      </c>
      <c r="W390" s="8"/>
      <c r="X390" t="s">
        <v>206</v>
      </c>
      <c r="Y390" t="s">
        <v>167</v>
      </c>
    </row>
    <row r="391" spans="1:25" x14ac:dyDescent="0.25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814</v>
      </c>
      <c r="V391" s="8">
        <v>1</v>
      </c>
      <c r="W391" s="8"/>
      <c r="X391" t="s">
        <v>206</v>
      </c>
      <c r="Y391" t="s">
        <v>223</v>
      </c>
    </row>
    <row r="392" spans="1:25" x14ac:dyDescent="0.25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266</v>
      </c>
    </row>
    <row r="393" spans="1:25" x14ac:dyDescent="0.25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816</v>
      </c>
      <c r="V393" s="8">
        <v>1</v>
      </c>
      <c r="W393" s="8"/>
      <c r="X393" t="s">
        <v>206</v>
      </c>
      <c r="Y393" t="s">
        <v>295</v>
      </c>
    </row>
    <row r="394" spans="1:25" x14ac:dyDescent="0.25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/>
      <c r="W394" s="8">
        <v>1</v>
      </c>
      <c r="X394" t="s">
        <v>207</v>
      </c>
      <c r="Y394" t="s">
        <v>182</v>
      </c>
    </row>
    <row r="395" spans="1:25" x14ac:dyDescent="0.25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>
        <v>1</v>
      </c>
      <c r="W395" s="8"/>
      <c r="X395" t="s">
        <v>206</v>
      </c>
      <c r="Y395" t="s">
        <v>176</v>
      </c>
    </row>
    <row r="396" spans="1:25" x14ac:dyDescent="0.25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819</v>
      </c>
      <c r="V396" s="8"/>
      <c r="W396" s="8">
        <v>1</v>
      </c>
      <c r="X396" t="s">
        <v>207</v>
      </c>
      <c r="Y396" t="s">
        <v>201</v>
      </c>
    </row>
    <row r="397" spans="1:25" x14ac:dyDescent="0.25">
      <c r="A397">
        <v>9999</v>
      </c>
      <c r="B397" t="str">
        <f>_xlfn.CONCAT(Tabel1[[#This Row],[personeelsnr]]," ",C397," ",D397)</f>
        <v>9999 - -</v>
      </c>
      <c r="C397" t="s">
        <v>3347</v>
      </c>
      <c r="D397" t="s">
        <v>3347</v>
      </c>
      <c r="E397" t="s">
        <v>1150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820</v>
      </c>
      <c r="V397" s="8">
        <v>1</v>
      </c>
      <c r="W397" s="8"/>
      <c r="X397" t="s">
        <v>206</v>
      </c>
      <c r="Y397" t="s">
        <v>178</v>
      </c>
    </row>
    <row r="398" spans="1:25" x14ac:dyDescent="0.25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821</v>
      </c>
      <c r="V398" s="8">
        <v>1</v>
      </c>
      <c r="W398" s="8"/>
      <c r="X398" t="s">
        <v>206</v>
      </c>
      <c r="Y398" t="s">
        <v>208</v>
      </c>
    </row>
    <row r="399" spans="1:25" x14ac:dyDescent="0.25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822</v>
      </c>
      <c r="V399" s="8">
        <v>1</v>
      </c>
      <c r="W399" s="8"/>
      <c r="X399" t="s">
        <v>206</v>
      </c>
      <c r="Y399" t="s">
        <v>170</v>
      </c>
    </row>
    <row r="400" spans="1:25" x14ac:dyDescent="0.25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823</v>
      </c>
      <c r="V400" s="8">
        <v>1</v>
      </c>
      <c r="W400" s="8"/>
      <c r="X400" t="s">
        <v>206</v>
      </c>
      <c r="Y400" t="s">
        <v>167</v>
      </c>
    </row>
    <row r="401" spans="1:25" x14ac:dyDescent="0.25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186</v>
      </c>
    </row>
    <row r="402" spans="1:25" x14ac:dyDescent="0.25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/>
      <c r="W402" s="8">
        <v>1</v>
      </c>
      <c r="X402" t="s">
        <v>207</v>
      </c>
      <c r="Y402" t="s">
        <v>182</v>
      </c>
    </row>
    <row r="403" spans="1:25" x14ac:dyDescent="0.25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168</v>
      </c>
    </row>
    <row r="404" spans="1:25" x14ac:dyDescent="0.25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>
        <v>1</v>
      </c>
      <c r="W404" s="8"/>
      <c r="X404" t="s">
        <v>206</v>
      </c>
      <c r="Y404" t="s">
        <v>177</v>
      </c>
    </row>
    <row r="405" spans="1:25" x14ac:dyDescent="0.25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828</v>
      </c>
      <c r="V405" s="8">
        <v>1</v>
      </c>
      <c r="W405" s="8"/>
      <c r="X405" t="s">
        <v>206</v>
      </c>
      <c r="Y405" t="s">
        <v>167</v>
      </c>
    </row>
    <row r="406" spans="1:25" x14ac:dyDescent="0.25">
      <c r="A406">
        <v>9999</v>
      </c>
      <c r="B406" t="str">
        <f>_xlfn.CONCAT(Tabel1[[#This Row],[personeelsnr]]," ",C406," ",D406)</f>
        <v>9999 - -</v>
      </c>
      <c r="C406" t="s">
        <v>3347</v>
      </c>
      <c r="D406" t="s">
        <v>3347</v>
      </c>
      <c r="E406" t="s">
        <v>1150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829</v>
      </c>
      <c r="V406" s="8">
        <v>1</v>
      </c>
      <c r="W406" s="8"/>
      <c r="X406" t="s">
        <v>206</v>
      </c>
      <c r="Y406" t="s">
        <v>171</v>
      </c>
    </row>
    <row r="407" spans="1:25" x14ac:dyDescent="0.25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830</v>
      </c>
      <c r="V407" s="8">
        <v>1</v>
      </c>
      <c r="W407" s="8"/>
      <c r="X407" t="s">
        <v>206</v>
      </c>
      <c r="Y407" t="s">
        <v>188</v>
      </c>
    </row>
    <row r="408" spans="1:25" x14ac:dyDescent="0.25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x14ac:dyDescent="0.25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173</v>
      </c>
    </row>
    <row r="410" spans="1:25" x14ac:dyDescent="0.25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833</v>
      </c>
      <c r="V410" s="8"/>
      <c r="W410" s="8">
        <v>1</v>
      </c>
      <c r="X410" t="s">
        <v>207</v>
      </c>
      <c r="Y410" t="s">
        <v>167</v>
      </c>
    </row>
    <row r="411" spans="1:25" x14ac:dyDescent="0.25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219</v>
      </c>
    </row>
    <row r="412" spans="1:25" x14ac:dyDescent="0.25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835</v>
      </c>
      <c r="V412" s="8">
        <v>1</v>
      </c>
      <c r="W412" s="8"/>
      <c r="X412" t="s">
        <v>206</v>
      </c>
      <c r="Y412" t="s">
        <v>173</v>
      </c>
    </row>
    <row r="413" spans="1:25" x14ac:dyDescent="0.25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/>
      <c r="W413" s="8">
        <v>1</v>
      </c>
      <c r="X413" t="s">
        <v>207</v>
      </c>
      <c r="Y413" t="s">
        <v>381</v>
      </c>
    </row>
    <row r="414" spans="1:25" x14ac:dyDescent="0.25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837</v>
      </c>
      <c r="V414" s="8">
        <v>1</v>
      </c>
      <c r="W414" s="8"/>
      <c r="X414" t="s">
        <v>206</v>
      </c>
      <c r="Y414" t="s">
        <v>188</v>
      </c>
    </row>
    <row r="415" spans="1:25" x14ac:dyDescent="0.25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/>
      <c r="W415" s="8">
        <v>1</v>
      </c>
      <c r="X415" t="s">
        <v>207</v>
      </c>
      <c r="Y415" t="s">
        <v>167</v>
      </c>
    </row>
    <row r="416" spans="1:25" x14ac:dyDescent="0.25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839</v>
      </c>
      <c r="V416" s="8">
        <v>1</v>
      </c>
      <c r="W416" s="8"/>
      <c r="X416" t="s">
        <v>206</v>
      </c>
      <c r="Y416" t="s">
        <v>198</v>
      </c>
    </row>
    <row r="417" spans="1:25" x14ac:dyDescent="0.25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x14ac:dyDescent="0.25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167</v>
      </c>
    </row>
    <row r="419" spans="1:25" x14ac:dyDescent="0.25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204</v>
      </c>
    </row>
    <row r="420" spans="1:25" x14ac:dyDescent="0.25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843</v>
      </c>
      <c r="V420" s="8">
        <v>1</v>
      </c>
      <c r="W420" s="8"/>
      <c r="X420" t="s">
        <v>206</v>
      </c>
      <c r="Y420" t="s">
        <v>240</v>
      </c>
    </row>
    <row r="421" spans="1:25" x14ac:dyDescent="0.25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176</v>
      </c>
    </row>
    <row r="422" spans="1:25" x14ac:dyDescent="0.25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845</v>
      </c>
      <c r="V422" s="8">
        <v>1</v>
      </c>
      <c r="W422" s="8"/>
      <c r="X422" t="s">
        <v>206</v>
      </c>
      <c r="Y422" t="s">
        <v>231</v>
      </c>
    </row>
    <row r="423" spans="1:25" x14ac:dyDescent="0.25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/>
      <c r="W423" s="8">
        <v>1</v>
      </c>
      <c r="X423" t="s">
        <v>207</v>
      </c>
      <c r="Y423" t="s">
        <v>272</v>
      </c>
    </row>
    <row r="424" spans="1:25" x14ac:dyDescent="0.25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847</v>
      </c>
      <c r="V424" s="8">
        <v>1</v>
      </c>
      <c r="W424" s="8"/>
      <c r="X424" t="s">
        <v>206</v>
      </c>
      <c r="Y424" t="s">
        <v>261</v>
      </c>
    </row>
    <row r="425" spans="1:25" x14ac:dyDescent="0.25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/>
      <c r="W425" s="8">
        <v>1</v>
      </c>
      <c r="X425" t="s">
        <v>207</v>
      </c>
      <c r="Y425" t="s">
        <v>217</v>
      </c>
    </row>
    <row r="426" spans="1:25" x14ac:dyDescent="0.25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849</v>
      </c>
      <c r="V426" s="8">
        <v>1</v>
      </c>
      <c r="W426" s="8"/>
      <c r="X426" t="s">
        <v>206</v>
      </c>
      <c r="Y426" t="s">
        <v>175</v>
      </c>
    </row>
    <row r="427" spans="1:25" x14ac:dyDescent="0.25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169</v>
      </c>
    </row>
    <row r="428" spans="1:25" x14ac:dyDescent="0.25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851</v>
      </c>
      <c r="V428" s="8">
        <v>1</v>
      </c>
      <c r="W428" s="8"/>
      <c r="X428" t="s">
        <v>206</v>
      </c>
      <c r="Y428" t="s">
        <v>208</v>
      </c>
    </row>
    <row r="429" spans="1:25" x14ac:dyDescent="0.25">
      <c r="A429">
        <v>9999</v>
      </c>
      <c r="B429" t="str">
        <f>_xlfn.CONCAT(Tabel1[[#This Row],[personeelsnr]]," ",C429," ",D429)</f>
        <v>9999 - -</v>
      </c>
      <c r="C429" t="s">
        <v>3347</v>
      </c>
      <c r="D429" t="s">
        <v>3347</v>
      </c>
      <c r="E429" t="s">
        <v>1150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200</v>
      </c>
    </row>
    <row r="430" spans="1:25" x14ac:dyDescent="0.25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853</v>
      </c>
      <c r="V430" s="8">
        <v>1</v>
      </c>
      <c r="W430" s="8"/>
      <c r="X430" t="s">
        <v>206</v>
      </c>
      <c r="Y430" t="s">
        <v>167</v>
      </c>
    </row>
    <row r="431" spans="1:25" x14ac:dyDescent="0.25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x14ac:dyDescent="0.25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x14ac:dyDescent="0.25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x14ac:dyDescent="0.25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857</v>
      </c>
      <c r="V434" s="8">
        <v>1</v>
      </c>
      <c r="W434" s="8"/>
      <c r="X434" t="s">
        <v>206</v>
      </c>
      <c r="Y434" t="s">
        <v>346</v>
      </c>
    </row>
    <row r="435" spans="1:25" x14ac:dyDescent="0.25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177</v>
      </c>
    </row>
    <row r="436" spans="1:25" x14ac:dyDescent="0.25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859</v>
      </c>
      <c r="V436" s="8"/>
      <c r="W436" s="8">
        <v>1</v>
      </c>
      <c r="X436" t="s">
        <v>207</v>
      </c>
      <c r="Y436" t="s">
        <v>373</v>
      </c>
    </row>
    <row r="437" spans="1:25" x14ac:dyDescent="0.25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>
        <v>1</v>
      </c>
      <c r="W437" s="8"/>
      <c r="X437" t="s">
        <v>206</v>
      </c>
      <c r="Y437" t="s">
        <v>233</v>
      </c>
    </row>
    <row r="438" spans="1:25" x14ac:dyDescent="0.25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861</v>
      </c>
      <c r="V438" s="8"/>
      <c r="W438" s="8">
        <v>1</v>
      </c>
      <c r="X438" t="s">
        <v>207</v>
      </c>
      <c r="Y438" t="s">
        <v>167</v>
      </c>
    </row>
    <row r="439" spans="1:25" x14ac:dyDescent="0.25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174</v>
      </c>
    </row>
    <row r="440" spans="1:25" x14ac:dyDescent="0.25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863</v>
      </c>
      <c r="V440" s="8">
        <v>1</v>
      </c>
      <c r="W440" s="8"/>
      <c r="X440" t="s">
        <v>206</v>
      </c>
      <c r="Y440" t="s">
        <v>167</v>
      </c>
    </row>
    <row r="441" spans="1:25" x14ac:dyDescent="0.25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202</v>
      </c>
    </row>
    <row r="442" spans="1:25" x14ac:dyDescent="0.25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865</v>
      </c>
      <c r="V442" s="8"/>
      <c r="W442" s="8">
        <v>1</v>
      </c>
      <c r="X442" t="s">
        <v>207</v>
      </c>
      <c r="Y442" t="s">
        <v>273</v>
      </c>
    </row>
    <row r="443" spans="1:25" x14ac:dyDescent="0.25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866</v>
      </c>
      <c r="V443" s="8">
        <v>1</v>
      </c>
      <c r="W443" s="8"/>
      <c r="X443" t="s">
        <v>206</v>
      </c>
      <c r="Y443" t="s">
        <v>192</v>
      </c>
    </row>
    <row r="444" spans="1:25" x14ac:dyDescent="0.25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167</v>
      </c>
    </row>
    <row r="445" spans="1:25" x14ac:dyDescent="0.25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868</v>
      </c>
      <c r="V445" s="8">
        <v>1</v>
      </c>
      <c r="W445" s="8"/>
      <c r="X445" t="s">
        <v>206</v>
      </c>
      <c r="Y445" t="s">
        <v>174</v>
      </c>
    </row>
    <row r="446" spans="1:25" x14ac:dyDescent="0.25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/>
      <c r="W446" s="8">
        <v>1</v>
      </c>
      <c r="X446" t="s">
        <v>207</v>
      </c>
      <c r="Y446" t="s">
        <v>232</v>
      </c>
    </row>
    <row r="447" spans="1:25" x14ac:dyDescent="0.25">
      <c r="A447">
        <v>9999</v>
      </c>
      <c r="B447" t="str">
        <f>_xlfn.CONCAT(Tabel1[[#This Row],[personeelsnr]]," ",C447," ",D447)</f>
        <v>9999 - -</v>
      </c>
      <c r="C447" t="s">
        <v>3347</v>
      </c>
      <c r="D447" t="s">
        <v>3347</v>
      </c>
      <c r="E447" t="s">
        <v>1150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870</v>
      </c>
      <c r="V447" s="8">
        <v>1</v>
      </c>
      <c r="W447" s="8"/>
      <c r="X447" t="s">
        <v>206</v>
      </c>
      <c r="Y447" t="s">
        <v>211</v>
      </c>
    </row>
    <row r="448" spans="1:25" x14ac:dyDescent="0.25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173</v>
      </c>
    </row>
    <row r="449" spans="1:25" x14ac:dyDescent="0.25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/>
      <c r="W449" s="8">
        <v>1</v>
      </c>
      <c r="X449" t="s">
        <v>207</v>
      </c>
      <c r="Y449" t="s">
        <v>209</v>
      </c>
    </row>
    <row r="450" spans="1:25" x14ac:dyDescent="0.25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873</v>
      </c>
      <c r="V450" s="8">
        <v>1</v>
      </c>
      <c r="W450" s="8"/>
      <c r="X450" t="s">
        <v>206</v>
      </c>
      <c r="Y450" t="s">
        <v>167</v>
      </c>
    </row>
    <row r="451" spans="1:25" x14ac:dyDescent="0.25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874</v>
      </c>
      <c r="V451" s="8">
        <v>1</v>
      </c>
      <c r="W451" s="8"/>
      <c r="X451" t="s">
        <v>206</v>
      </c>
      <c r="Y451" t="s">
        <v>188</v>
      </c>
    </row>
    <row r="452" spans="1:25" x14ac:dyDescent="0.25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875</v>
      </c>
      <c r="V452" s="8"/>
      <c r="W452" s="8">
        <v>1</v>
      </c>
      <c r="X452" t="s">
        <v>207</v>
      </c>
      <c r="Y452" t="s">
        <v>167</v>
      </c>
    </row>
    <row r="453" spans="1:25" x14ac:dyDescent="0.25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876</v>
      </c>
      <c r="V453" s="8">
        <v>1</v>
      </c>
      <c r="W453" s="8"/>
      <c r="X453" t="s">
        <v>206</v>
      </c>
      <c r="Y453" t="s">
        <v>321</v>
      </c>
    </row>
    <row r="454" spans="1:25" x14ac:dyDescent="0.25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/>
      <c r="W454" s="8">
        <v>1</v>
      </c>
      <c r="X454" t="s">
        <v>207</v>
      </c>
      <c r="Y454" t="s">
        <v>369</v>
      </c>
    </row>
    <row r="455" spans="1:25" x14ac:dyDescent="0.25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227</v>
      </c>
    </row>
    <row r="456" spans="1:25" x14ac:dyDescent="0.25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>
        <v>1</v>
      </c>
      <c r="W456" s="8"/>
      <c r="X456" t="s">
        <v>206</v>
      </c>
      <c r="Y456" t="s">
        <v>177</v>
      </c>
    </row>
    <row r="457" spans="1:25" x14ac:dyDescent="0.25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880</v>
      </c>
      <c r="V457" s="8">
        <v>1</v>
      </c>
      <c r="W457" s="8"/>
      <c r="X457" t="s">
        <v>206</v>
      </c>
      <c r="Y457" t="s">
        <v>240</v>
      </c>
    </row>
    <row r="458" spans="1:25" x14ac:dyDescent="0.25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881</v>
      </c>
      <c r="V458" s="8"/>
      <c r="W458" s="8">
        <v>1</v>
      </c>
      <c r="X458" t="s">
        <v>207</v>
      </c>
      <c r="Y458" t="s">
        <v>280</v>
      </c>
    </row>
    <row r="459" spans="1:25" x14ac:dyDescent="0.25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882</v>
      </c>
      <c r="V459" s="8">
        <v>1</v>
      </c>
      <c r="W459" s="8"/>
      <c r="X459" t="s">
        <v>206</v>
      </c>
      <c r="Y459" t="s">
        <v>359</v>
      </c>
    </row>
    <row r="460" spans="1:25" x14ac:dyDescent="0.25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/>
      <c r="W460" s="8">
        <v>1</v>
      </c>
      <c r="X460" t="s">
        <v>207</v>
      </c>
      <c r="Y460" t="s">
        <v>270</v>
      </c>
    </row>
    <row r="461" spans="1:25" x14ac:dyDescent="0.25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884</v>
      </c>
      <c r="V461" s="8">
        <v>1</v>
      </c>
      <c r="W461" s="8"/>
      <c r="X461" t="s">
        <v>206</v>
      </c>
      <c r="Y461" t="s">
        <v>168</v>
      </c>
    </row>
    <row r="462" spans="1:25" x14ac:dyDescent="0.25">
      <c r="A462">
        <v>9999</v>
      </c>
      <c r="B462" t="str">
        <f>_xlfn.CONCAT(Tabel1[[#This Row],[personeelsnr]]," ",C462," ",D462)</f>
        <v>9999 - -</v>
      </c>
      <c r="C462" t="s">
        <v>3347</v>
      </c>
      <c r="D462" t="s">
        <v>3347</v>
      </c>
      <c r="E462" t="s">
        <v>1150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374</v>
      </c>
    </row>
    <row r="463" spans="1:25" x14ac:dyDescent="0.25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886</v>
      </c>
      <c r="V463" s="8">
        <v>1</v>
      </c>
      <c r="W463" s="8"/>
      <c r="X463" t="s">
        <v>206</v>
      </c>
      <c r="Y463" t="s">
        <v>241</v>
      </c>
    </row>
    <row r="464" spans="1:25" x14ac:dyDescent="0.25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887</v>
      </c>
      <c r="V464" s="8">
        <v>1</v>
      </c>
      <c r="W464" s="8"/>
      <c r="X464" t="s">
        <v>206</v>
      </c>
      <c r="Y464" t="s">
        <v>177</v>
      </c>
    </row>
    <row r="465" spans="1:25" x14ac:dyDescent="0.25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190</v>
      </c>
    </row>
    <row r="466" spans="1:25" x14ac:dyDescent="0.25">
      <c r="A466">
        <v>9999</v>
      </c>
      <c r="B466" t="str">
        <f>_xlfn.CONCAT(Tabel1[[#This Row],[personeelsnr]]," ",C466," ",D466)</f>
        <v>9999 - -</v>
      </c>
      <c r="C466" t="s">
        <v>3347</v>
      </c>
      <c r="D466" t="s">
        <v>3347</v>
      </c>
      <c r="E466" t="s">
        <v>1150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889</v>
      </c>
      <c r="V466" s="8">
        <v>1</v>
      </c>
      <c r="W466" s="8"/>
      <c r="X466" t="s">
        <v>206</v>
      </c>
      <c r="Y466" t="s">
        <v>170</v>
      </c>
    </row>
    <row r="467" spans="1:25" x14ac:dyDescent="0.25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231</v>
      </c>
    </row>
    <row r="468" spans="1:25" x14ac:dyDescent="0.25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891</v>
      </c>
      <c r="V468" s="8">
        <v>1</v>
      </c>
      <c r="W468" s="8"/>
      <c r="X468" t="s">
        <v>206</v>
      </c>
      <c r="Y468" t="s">
        <v>169</v>
      </c>
    </row>
    <row r="469" spans="1:25" x14ac:dyDescent="0.25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196</v>
      </c>
    </row>
    <row r="470" spans="1:25" x14ac:dyDescent="0.25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/>
      <c r="W470" s="8">
        <v>1</v>
      </c>
      <c r="X470" t="s">
        <v>207</v>
      </c>
      <c r="Y470" t="s">
        <v>245</v>
      </c>
    </row>
    <row r="471" spans="1:25" x14ac:dyDescent="0.25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209</v>
      </c>
    </row>
    <row r="472" spans="1:25" x14ac:dyDescent="0.25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895</v>
      </c>
      <c r="V472" s="8"/>
      <c r="W472" s="8">
        <v>1</v>
      </c>
      <c r="X472" t="s">
        <v>207</v>
      </c>
      <c r="Y472" t="s">
        <v>182</v>
      </c>
    </row>
    <row r="473" spans="1:25" x14ac:dyDescent="0.25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896</v>
      </c>
      <c r="V473" s="8">
        <v>1</v>
      </c>
      <c r="W473" s="8"/>
      <c r="X473" t="s">
        <v>206</v>
      </c>
      <c r="Y473" t="s">
        <v>322</v>
      </c>
    </row>
    <row r="474" spans="1:25" x14ac:dyDescent="0.25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/>
      <c r="W474" s="8">
        <v>1</v>
      </c>
      <c r="X474" t="s">
        <v>207</v>
      </c>
      <c r="Y474" t="s">
        <v>289</v>
      </c>
    </row>
    <row r="475" spans="1:25" x14ac:dyDescent="0.25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898</v>
      </c>
      <c r="V475" s="8">
        <v>1</v>
      </c>
      <c r="W475" s="8"/>
      <c r="X475" t="s">
        <v>206</v>
      </c>
      <c r="Y475" t="s">
        <v>233</v>
      </c>
    </row>
    <row r="476" spans="1:25" x14ac:dyDescent="0.25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211</v>
      </c>
    </row>
    <row r="477" spans="1:25" x14ac:dyDescent="0.25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900</v>
      </c>
      <c r="V477" s="8">
        <v>1</v>
      </c>
      <c r="W477" s="8"/>
      <c r="X477" t="s">
        <v>206</v>
      </c>
      <c r="Y477" t="s">
        <v>167</v>
      </c>
    </row>
    <row r="478" spans="1:25" x14ac:dyDescent="0.25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341</v>
      </c>
    </row>
    <row r="479" spans="1:25" x14ac:dyDescent="0.25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902</v>
      </c>
      <c r="V479" s="8"/>
      <c r="W479" s="8">
        <v>1</v>
      </c>
      <c r="X479" t="s">
        <v>207</v>
      </c>
      <c r="Y479" t="s">
        <v>253</v>
      </c>
    </row>
    <row r="480" spans="1:25" x14ac:dyDescent="0.25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903</v>
      </c>
      <c r="V480" s="8"/>
      <c r="W480" s="8">
        <v>1</v>
      </c>
      <c r="X480" t="s">
        <v>207</v>
      </c>
      <c r="Y480" t="s">
        <v>391</v>
      </c>
    </row>
    <row r="481" spans="1:25" x14ac:dyDescent="0.25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904</v>
      </c>
      <c r="V481" s="8">
        <v>1</v>
      </c>
      <c r="W481" s="8"/>
      <c r="X481" t="s">
        <v>206</v>
      </c>
      <c r="Y481" t="s">
        <v>318</v>
      </c>
    </row>
    <row r="482" spans="1:25" x14ac:dyDescent="0.25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905</v>
      </c>
      <c r="V482" s="8">
        <v>1</v>
      </c>
      <c r="W482" s="8"/>
      <c r="X482" t="s">
        <v>206</v>
      </c>
      <c r="Y482" t="s">
        <v>172</v>
      </c>
    </row>
    <row r="483" spans="1:25" x14ac:dyDescent="0.25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/>
      <c r="W483" s="8">
        <v>1</v>
      </c>
      <c r="X483" t="s">
        <v>207</v>
      </c>
      <c r="Y483" t="s">
        <v>371</v>
      </c>
    </row>
    <row r="484" spans="1:25" x14ac:dyDescent="0.25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282</v>
      </c>
    </row>
    <row r="485" spans="1:25" x14ac:dyDescent="0.25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908</v>
      </c>
      <c r="V485" s="8">
        <v>1</v>
      </c>
      <c r="W485" s="8"/>
      <c r="X485" t="s">
        <v>206</v>
      </c>
      <c r="Y485" t="s">
        <v>176</v>
      </c>
    </row>
    <row r="486" spans="1:25" x14ac:dyDescent="0.25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x14ac:dyDescent="0.25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213</v>
      </c>
    </row>
    <row r="488" spans="1:25" x14ac:dyDescent="0.25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278</v>
      </c>
    </row>
    <row r="489" spans="1:25" x14ac:dyDescent="0.25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/>
      <c r="W489" s="8">
        <v>1</v>
      </c>
      <c r="X489" t="s">
        <v>207</v>
      </c>
      <c r="Y489" t="s">
        <v>209</v>
      </c>
    </row>
    <row r="490" spans="1:25" x14ac:dyDescent="0.25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913</v>
      </c>
      <c r="V490" s="8">
        <v>1</v>
      </c>
      <c r="W490" s="8"/>
      <c r="X490" t="s">
        <v>206</v>
      </c>
      <c r="Y490" t="s">
        <v>175</v>
      </c>
    </row>
    <row r="491" spans="1:25" x14ac:dyDescent="0.25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914</v>
      </c>
      <c r="V491" s="8"/>
      <c r="W491" s="8">
        <v>1</v>
      </c>
      <c r="X491" t="s">
        <v>207</v>
      </c>
      <c r="Y491" t="s">
        <v>267</v>
      </c>
    </row>
    <row r="492" spans="1:25" x14ac:dyDescent="0.25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915</v>
      </c>
      <c r="V492" s="8">
        <v>1</v>
      </c>
      <c r="W492" s="8"/>
      <c r="X492" t="s">
        <v>206</v>
      </c>
      <c r="Y492" t="s">
        <v>234</v>
      </c>
    </row>
    <row r="493" spans="1:25" x14ac:dyDescent="0.25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167</v>
      </c>
    </row>
    <row r="494" spans="1:25" x14ac:dyDescent="0.25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917</v>
      </c>
      <c r="V494" s="8">
        <v>1</v>
      </c>
      <c r="W494" s="8"/>
      <c r="X494" t="s">
        <v>206</v>
      </c>
      <c r="Y494" t="s">
        <v>196</v>
      </c>
    </row>
    <row r="495" spans="1:25" x14ac:dyDescent="0.25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918</v>
      </c>
      <c r="V495" s="8">
        <v>1</v>
      </c>
      <c r="W495" s="8"/>
      <c r="X495" t="s">
        <v>206</v>
      </c>
      <c r="Y495" t="s">
        <v>167</v>
      </c>
    </row>
    <row r="496" spans="1:25" x14ac:dyDescent="0.25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179</v>
      </c>
    </row>
    <row r="497" spans="1:25" x14ac:dyDescent="0.25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920</v>
      </c>
      <c r="V497" s="8">
        <v>1</v>
      </c>
      <c r="W497" s="8"/>
      <c r="X497" t="s">
        <v>206</v>
      </c>
      <c r="Y497" t="s">
        <v>201</v>
      </c>
    </row>
    <row r="498" spans="1:25" x14ac:dyDescent="0.25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921</v>
      </c>
      <c r="V498" s="8">
        <v>1</v>
      </c>
      <c r="W498" s="8"/>
      <c r="X498" t="s">
        <v>206</v>
      </c>
      <c r="Y498" t="s">
        <v>198</v>
      </c>
    </row>
    <row r="499" spans="1:25" x14ac:dyDescent="0.25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/>
      <c r="W499" s="8">
        <v>1</v>
      </c>
      <c r="X499" t="s">
        <v>207</v>
      </c>
      <c r="Y499" t="s">
        <v>174</v>
      </c>
    </row>
    <row r="500" spans="1:25" x14ac:dyDescent="0.25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186</v>
      </c>
    </row>
    <row r="501" spans="1:25" x14ac:dyDescent="0.25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924</v>
      </c>
      <c r="V501" s="8">
        <v>1</v>
      </c>
      <c r="W501" s="8"/>
      <c r="X501" t="s">
        <v>206</v>
      </c>
      <c r="Y501" t="s">
        <v>208</v>
      </c>
    </row>
    <row r="502" spans="1:25" x14ac:dyDescent="0.25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/>
      <c r="W502" s="8">
        <v>1</v>
      </c>
      <c r="X502" t="s">
        <v>207</v>
      </c>
      <c r="Y502" t="s">
        <v>167</v>
      </c>
    </row>
    <row r="503" spans="1:25" x14ac:dyDescent="0.25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168</v>
      </c>
    </row>
    <row r="504" spans="1:25" x14ac:dyDescent="0.25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219</v>
      </c>
    </row>
    <row r="505" spans="1:25" x14ac:dyDescent="0.25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928</v>
      </c>
      <c r="V505" s="8">
        <v>1</v>
      </c>
      <c r="W505" s="8"/>
      <c r="X505" t="s">
        <v>206</v>
      </c>
      <c r="Y505" t="s">
        <v>184</v>
      </c>
    </row>
    <row r="506" spans="1:25" x14ac:dyDescent="0.25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929</v>
      </c>
      <c r="V506" s="8">
        <v>1</v>
      </c>
      <c r="W506" s="8"/>
      <c r="X506" t="s">
        <v>206</v>
      </c>
      <c r="Y506" t="s">
        <v>177</v>
      </c>
    </row>
    <row r="507" spans="1:25" x14ac:dyDescent="0.25">
      <c r="A507">
        <v>9999</v>
      </c>
      <c r="B507" t="str">
        <f>_xlfn.CONCAT(Tabel1[[#This Row],[personeelsnr]]," ",C507," ",D507)</f>
        <v>9999 - -</v>
      </c>
      <c r="C507" t="s">
        <v>3347</v>
      </c>
      <c r="D507" t="s">
        <v>3347</v>
      </c>
      <c r="E507" t="s">
        <v>1150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167</v>
      </c>
    </row>
    <row r="508" spans="1:25" x14ac:dyDescent="0.25">
      <c r="A508">
        <v>9999</v>
      </c>
      <c r="B508" t="str">
        <f>_xlfn.CONCAT(Tabel1[[#This Row],[personeelsnr]]," ",C508," ",D508)</f>
        <v>9999 - -</v>
      </c>
      <c r="C508" t="s">
        <v>3347</v>
      </c>
      <c r="D508" t="s">
        <v>3347</v>
      </c>
      <c r="E508" t="s">
        <v>1150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931</v>
      </c>
      <c r="V508" s="8"/>
      <c r="W508" s="8">
        <v>1</v>
      </c>
      <c r="X508" t="s">
        <v>207</v>
      </c>
      <c r="Y508" t="s">
        <v>229</v>
      </c>
    </row>
    <row r="509" spans="1:25" x14ac:dyDescent="0.25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932</v>
      </c>
      <c r="V509" s="8">
        <v>1</v>
      </c>
      <c r="W509" s="8"/>
      <c r="X509" t="s">
        <v>206</v>
      </c>
      <c r="Y509" t="s">
        <v>196</v>
      </c>
    </row>
    <row r="510" spans="1:25" x14ac:dyDescent="0.25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168</v>
      </c>
    </row>
    <row r="511" spans="1:25" x14ac:dyDescent="0.25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934</v>
      </c>
      <c r="V511" s="8">
        <v>1</v>
      </c>
      <c r="W511" s="8"/>
      <c r="X511" t="s">
        <v>206</v>
      </c>
      <c r="Y511" t="s">
        <v>183</v>
      </c>
    </row>
    <row r="512" spans="1:25" x14ac:dyDescent="0.25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935</v>
      </c>
      <c r="V512" s="8"/>
      <c r="W512" s="8">
        <v>1</v>
      </c>
      <c r="X512" t="s">
        <v>207</v>
      </c>
      <c r="Y512" t="s">
        <v>168</v>
      </c>
    </row>
    <row r="513" spans="1:25" x14ac:dyDescent="0.25">
      <c r="A513">
        <v>39014</v>
      </c>
      <c r="B513" t="str">
        <f>_xlfn.CONCAT(Tabel1[[#This Row],[personeelsnr]]," ",C513," ",D513)</f>
        <v>39014 Genbrugge Kyllian</v>
      </c>
      <c r="C513" t="str">
        <f>VLOOKUP(Tabel1[[#This Row],[personeelsnr]],'data hastus'!$A:$C,2,0)</f>
        <v>Genbrugge</v>
      </c>
      <c r="D513" t="str">
        <f>VLOOKUP(Tabel1[[#This Row],[personeelsnr]],'data hastus'!$A:$C,3,0)</f>
        <v>Kyllian</v>
      </c>
      <c r="E513" t="str">
        <f>VLOOKUP(Tabel1[[#This Row],[personeelsnr]],'data hastus'!A:K,11,FALSE)</f>
        <v>Bart Van Der Beken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45660</v>
      </c>
      <c r="U513" s="8" t="s">
        <v>3363</v>
      </c>
      <c r="V513" s="8">
        <v>1</v>
      </c>
      <c r="W513" s="8"/>
      <c r="X513" t="s">
        <v>206</v>
      </c>
      <c r="Y513" t="s">
        <v>343</v>
      </c>
    </row>
    <row r="514" spans="1:25" x14ac:dyDescent="0.25">
      <c r="A514">
        <v>36289</v>
      </c>
      <c r="B514" t="str">
        <f>_xlfn.CONCAT(Tabel1[[#This Row],[personeelsnr]]," ",C514," ",D514)</f>
        <v>36289 Van Rentergem Steve</v>
      </c>
      <c r="C514" t="str">
        <f>VLOOKUP(Tabel1[[#This Row],[personeelsnr]],'data hastus'!$A:$C,2,0)</f>
        <v>Van Rentergem</v>
      </c>
      <c r="D514" t="str">
        <f>VLOOKUP(Tabel1[[#This Row],[personeelsnr]],'data hastus'!$A:$C,3,0)</f>
        <v>Steve</v>
      </c>
      <c r="E514" t="str">
        <f>VLOOKUP(Tabel1[[#This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3364</v>
      </c>
      <c r="V514" s="8">
        <v>1</v>
      </c>
      <c r="W514" s="8"/>
      <c r="X514" t="s">
        <v>206</v>
      </c>
      <c r="Y514" t="s">
        <v>177</v>
      </c>
    </row>
    <row r="515" spans="1:25" x14ac:dyDescent="0.25">
      <c r="A515">
        <v>39358</v>
      </c>
      <c r="B515" t="str">
        <f>_xlfn.CONCAT(Tabel1[[#This Row],[personeelsnr]]," ",C515," ",D515)</f>
        <v>39358 Weeks Aracena Jimmy Alexander</v>
      </c>
      <c r="C515" t="str">
        <f>VLOOKUP(Tabel1[[#This Row],[personeelsnr]],'data hastus'!$A:$C,2,0)</f>
        <v>Weeks Aracena</v>
      </c>
      <c r="D515" t="str">
        <f>VLOOKUP(Tabel1[[#This Row],[personeelsnr]],'data hastus'!$A:$C,3,0)</f>
        <v>Jimmy Alexander</v>
      </c>
      <c r="E515" t="str">
        <f>VLOOKUP(Tabel1[[#This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3366</v>
      </c>
      <c r="V515" s="8">
        <v>1</v>
      </c>
      <c r="W515" s="8"/>
      <c r="X515" t="s">
        <v>206</v>
      </c>
      <c r="Y515" t="s">
        <v>170</v>
      </c>
    </row>
    <row r="516" spans="1:25" x14ac:dyDescent="0.25">
      <c r="A516">
        <v>31490</v>
      </c>
      <c r="B516" t="str">
        <f>_xlfn.CONCAT(Tabel1[[#This Row],[personeelsnr]]," ",C516," ",D516)</f>
        <v>31490 De Weirdt Steph</v>
      </c>
      <c r="C516" t="s">
        <v>936</v>
      </c>
      <c r="D516" t="s">
        <v>937</v>
      </c>
      <c r="E516" t="s">
        <v>3359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938</v>
      </c>
      <c r="V516" s="8">
        <v>1</v>
      </c>
      <c r="W516" s="8"/>
      <c r="X516" t="s">
        <v>206</v>
      </c>
      <c r="Y516" t="s">
        <v>178</v>
      </c>
    </row>
    <row r="517" spans="1:25" x14ac:dyDescent="0.25">
      <c r="A517">
        <v>31231</v>
      </c>
      <c r="B517" t="str">
        <f>_xlfn.CONCAT(Tabel1[[#This Row],[personeelsnr]]," ",C517," ",D517)</f>
        <v>31231 Colaes Dylan</v>
      </c>
      <c r="C517" t="str">
        <f>VLOOKUP(Tabel1[[#This Row],[personeelsnr]],'data hastus'!$A:$C,2,0)</f>
        <v>Colaes</v>
      </c>
      <c r="D517" t="str">
        <f>VLOOKUP(Tabel1[[#This Row],[personeelsnr]],'data hastus'!$A:$C,3,0)</f>
        <v>Dylan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939</v>
      </c>
      <c r="V517" s="8">
        <v>1</v>
      </c>
      <c r="W517" s="8"/>
      <c r="X517" t="s">
        <v>206</v>
      </c>
      <c r="Y517" t="s">
        <v>320</v>
      </c>
    </row>
    <row r="518" spans="1:25" x14ac:dyDescent="0.25">
      <c r="A518">
        <v>36426</v>
      </c>
      <c r="B518" t="str">
        <f>_xlfn.CONCAT(Tabel1[[#This Row],[personeelsnr]]," ",C518," ",D518)</f>
        <v>36426 Mohamed Yassin Abdulhamid</v>
      </c>
      <c r="C518" t="str">
        <f>VLOOKUP(Tabel1[[#This Row],[personeelsnr]],'data hastus'!$A:$C,2,0)</f>
        <v>Mohamed Yassin</v>
      </c>
      <c r="D518" t="str">
        <f>VLOOKUP(Tabel1[[#This Row],[personeelsnr]],'data hastus'!$A:$C,3,0)</f>
        <v>Abdulhamid</v>
      </c>
      <c r="E518" t="str">
        <f>VLOOKUP(Tabel1[[#This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940</v>
      </c>
      <c r="V518" s="8"/>
      <c r="W518" s="8">
        <v>1</v>
      </c>
      <c r="X518" t="s">
        <v>207</v>
      </c>
      <c r="Y518" t="s">
        <v>330</v>
      </c>
    </row>
    <row r="519" spans="1:25" x14ac:dyDescent="0.25">
      <c r="A519">
        <v>40138</v>
      </c>
      <c r="B519" t="str">
        <f>_xlfn.CONCAT(Tabel1[[#This Row],[personeelsnr]]," ",C519," ",D519)</f>
        <v>40138 Moerman Tjimmy</v>
      </c>
      <c r="C519" t="str">
        <f>VLOOKUP(Tabel1[[#This Row],[personeelsnr]],'data hastus'!$A:$C,2,0)</f>
        <v>Moerman</v>
      </c>
      <c r="D519" t="str">
        <f>VLOOKUP(Tabel1[[#This Row],[personeelsnr]],'data hastus'!$A:$C,3,0)</f>
        <v>Tjimmy</v>
      </c>
      <c r="E519" t="str">
        <f>VLOOKUP(Tabel1[[#This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45661</v>
      </c>
      <c r="U519" s="8" t="s">
        <v>941</v>
      </c>
      <c r="V519" s="8">
        <v>1</v>
      </c>
      <c r="W519" s="8"/>
      <c r="X519" t="s">
        <v>206</v>
      </c>
      <c r="Y519" t="s">
        <v>259</v>
      </c>
    </row>
    <row r="520" spans="1:25" x14ac:dyDescent="0.25">
      <c r="A520">
        <v>36663</v>
      </c>
      <c r="B520" t="str">
        <f>_xlfn.CONCAT(Tabel1[[#This Row],[personeelsnr]]," ",C520," ",D520)</f>
        <v>36663 Cesmeli Achraf</v>
      </c>
      <c r="C520" t="str">
        <f>VLOOKUP(Tabel1[[#This Row],[personeelsnr]],'data hastus'!$A:$C,2,0)</f>
        <v>Cesmeli</v>
      </c>
      <c r="D520" t="str">
        <f>VLOOKUP(Tabel1[[#This Row],[personeelsnr]],'data hastus'!$A:$C,3,0)</f>
        <v>Achraf</v>
      </c>
      <c r="E520" t="str">
        <f>VLOOKUP(Tabel1[[#This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t="s">
        <v>942</v>
      </c>
      <c r="V520" s="8">
        <v>1</v>
      </c>
      <c r="W520"/>
      <c r="X520" t="s">
        <v>206</v>
      </c>
    </row>
    <row r="521" spans="1:25" x14ac:dyDescent="0.25">
      <c r="A521">
        <v>37950</v>
      </c>
      <c r="B521" t="str">
        <f>_xlfn.CONCAT(Tabel1[[#This Row],[personeelsnr]]," ",C521," ",D521)</f>
        <v>37950 De Naegel Bruno</v>
      </c>
      <c r="C521" t="str">
        <f>VLOOKUP(Tabel1[[#This Row],[personeelsnr]],'data hastus'!$A:$C,2,0)</f>
        <v>De Naegel</v>
      </c>
      <c r="D521" t="str">
        <f>VLOOKUP(Tabel1[[#This Row],[personeelsnr]],'data hastus'!$A:$C,3,0)</f>
        <v>Bruno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45665</v>
      </c>
      <c r="U521" s="8" t="s">
        <v>943</v>
      </c>
      <c r="V521" s="8">
        <v>1</v>
      </c>
      <c r="W521" s="8"/>
      <c r="X521" t="s">
        <v>206</v>
      </c>
      <c r="Y521" t="s">
        <v>211</v>
      </c>
    </row>
    <row r="522" spans="1:25" x14ac:dyDescent="0.25">
      <c r="A522">
        <v>19917</v>
      </c>
      <c r="B522" t="str">
        <f>_xlfn.CONCAT(Tabel1[[#This Row],[personeelsnr]]," ",C522," ",D522)</f>
        <v>19917 Vandevyvere Frank</v>
      </c>
      <c r="C522" t="str">
        <f>VLOOKUP(Tabel1[[#This Row],[personeelsnr]],'data hastus'!$A:$C,2,0)</f>
        <v>Vandevyvere</v>
      </c>
      <c r="D522" t="str">
        <f>VLOOKUP(Tabel1[[#This Row],[personeelsnr]],'data hastus'!$A:$C,3,0)</f>
        <v>Frank</v>
      </c>
      <c r="E522" t="str">
        <f>VLOOKUP(Tabel1[[#This Row],[personeelsnr]],'data hastus'!A:K,11,FALSE)</f>
        <v>Bart Van Der Beken</v>
      </c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45667</v>
      </c>
      <c r="U522" s="8" t="s">
        <v>944</v>
      </c>
      <c r="V522" s="8">
        <v>1</v>
      </c>
      <c r="W522" s="8"/>
      <c r="X522" t="s">
        <v>206</v>
      </c>
      <c r="Y522" t="s">
        <v>190</v>
      </c>
    </row>
    <row r="523" spans="1:25" x14ac:dyDescent="0.25">
      <c r="A523">
        <v>40266</v>
      </c>
      <c r="B523" t="str">
        <f>_xlfn.CONCAT(Tabel1[[#This Row],[personeelsnr]]," ",C523," ",D523)</f>
        <v>40266 Taibi Yassine</v>
      </c>
      <c r="C523" t="str">
        <f>VLOOKUP(Tabel1[[#This Row],[personeelsnr]],'data hastus'!$A:$C,2,0)</f>
        <v>Taibi</v>
      </c>
      <c r="D523" t="str">
        <f>VLOOKUP(Tabel1[[#This Row],[personeelsnr]],'data hastus'!$A:$C,3,0)</f>
        <v>Yassine</v>
      </c>
      <c r="E523" t="str">
        <f>VLOOKUP(Tabel1[[#This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945</v>
      </c>
      <c r="V523" s="8">
        <v>1</v>
      </c>
      <c r="W523" s="8"/>
      <c r="X523" t="s">
        <v>206</v>
      </c>
      <c r="Y523" t="s">
        <v>292</v>
      </c>
    </row>
    <row r="524" spans="1:25" x14ac:dyDescent="0.25">
      <c r="A524">
        <v>36559</v>
      </c>
      <c r="B524" t="str">
        <f>_xlfn.CONCAT(Tabel1[[#This Row],[personeelsnr]]," ",C524," ",D524)</f>
        <v>36559 De Staercke Sandra</v>
      </c>
      <c r="C524" t="str">
        <f>VLOOKUP(Tabel1[[#This Row],[personeelsnr]],'data hastus'!$A:$C,2,0)</f>
        <v>De Staercke</v>
      </c>
      <c r="D524" t="str">
        <f>VLOOKUP(Tabel1[[#This Row],[personeelsnr]],'data hastus'!$A:$C,3,0)</f>
        <v>Sandra</v>
      </c>
      <c r="E524" t="str">
        <f>VLOOKUP(Tabel1[[#This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946</v>
      </c>
      <c r="V524" s="8"/>
      <c r="W524" s="8">
        <v>1</v>
      </c>
      <c r="X524" t="s">
        <v>207</v>
      </c>
      <c r="Y524" t="s">
        <v>365</v>
      </c>
    </row>
    <row r="525" spans="1:25" x14ac:dyDescent="0.25">
      <c r="A525">
        <v>33986</v>
      </c>
      <c r="B525" t="str">
        <f>_xlfn.CONCAT(Tabel1[[#This Row],[personeelsnr]]," ",C525," ",D525)</f>
        <v>33986 Göktas Muharrem</v>
      </c>
      <c r="C525" t="str">
        <f>VLOOKUP(Tabel1[[#This Row],[personeelsnr]],'data hastus'!$A:$C,2,0)</f>
        <v>Göktas</v>
      </c>
      <c r="D525" t="str">
        <f>VLOOKUP(Tabel1[[#This Row],[personeelsnr]],'data hastus'!$A:$C,3,0)</f>
        <v>Muharrem</v>
      </c>
      <c r="E525" t="str">
        <f>VLOOKUP(Tabel1[[#This Row],[personeelsnr]],'data hastus'!A:K,11,FALSE)</f>
        <v>Kenneth De Rick</v>
      </c>
      <c r="F525" s="10"/>
      <c r="G525" s="6"/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0</v>
      </c>
      <c r="T525" s="3">
        <v>45669</v>
      </c>
      <c r="U525" s="8" t="s">
        <v>3370</v>
      </c>
      <c r="V525" s="8">
        <v>1</v>
      </c>
      <c r="W525" s="8"/>
      <c r="X525" t="s">
        <v>206</v>
      </c>
      <c r="Y525" t="s">
        <v>300</v>
      </c>
    </row>
    <row r="526" spans="1:25" x14ac:dyDescent="0.25">
      <c r="A526">
        <v>36428</v>
      </c>
      <c r="B526" t="str">
        <f>_xlfn.CONCAT(Tabel1[[#This Row],[personeelsnr]]," ",C526," ",D526)</f>
        <v>36428 Abdi Shaiye Rashid</v>
      </c>
      <c r="C526" t="str">
        <f>VLOOKUP(Tabel1[[#This Row],[personeelsnr]],'data hastus'!$A:$C,2,0)</f>
        <v>Abdi Shaiye</v>
      </c>
      <c r="D526" t="str">
        <f>VLOOKUP(Tabel1[[#This Row],[personeelsnr]],'data hastus'!$A:$C,3,0)</f>
        <v>Rashid</v>
      </c>
      <c r="E526" t="str">
        <f>VLOOKUP(Tabel1[[#This Row],[personeelsnr]],'data hastus'!A:K,11,FALSE)</f>
        <v>Lucie Vande Velde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45669</v>
      </c>
      <c r="U526" s="8" t="s">
        <v>947</v>
      </c>
      <c r="V526" s="8">
        <v>1</v>
      </c>
      <c r="W526" s="8"/>
      <c r="X526" t="s">
        <v>206</v>
      </c>
      <c r="Y526" t="s">
        <v>170</v>
      </c>
    </row>
    <row r="527" spans="1:25" x14ac:dyDescent="0.25">
      <c r="A527">
        <v>40444</v>
      </c>
      <c r="B527" t="str">
        <f>_xlfn.CONCAT(Tabel1[[#This Row],[personeelsnr]]," ",C527," ",D527)</f>
        <v>40444 Van Damme Glenn</v>
      </c>
      <c r="C527" t="str">
        <f>VLOOKUP(Tabel1[[#This Row],[personeelsnr]],'data hastus'!$A:$C,2,0)</f>
        <v>Van Damme</v>
      </c>
      <c r="D527" t="str">
        <f>VLOOKUP(Tabel1[[#This Row],[personeelsnr]],'data hastus'!$A:$C,3,0)</f>
        <v>Glenn</v>
      </c>
      <c r="E527" t="str">
        <f>VLOOKUP(Tabel1[[#This Row],[personeelsnr]],'data hastus'!A:K,11,FALSE)</f>
        <v>Els Dewulf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45670</v>
      </c>
      <c r="U527" s="8" t="s">
        <v>3368</v>
      </c>
      <c r="V527" s="8">
        <v>1</v>
      </c>
      <c r="W527" s="8"/>
      <c r="X527" t="s">
        <v>206</v>
      </c>
      <c r="Y527" t="s">
        <v>200</v>
      </c>
    </row>
    <row r="528" spans="1:25" x14ac:dyDescent="0.25">
      <c r="A528">
        <v>25487</v>
      </c>
      <c r="B528" t="str">
        <f>_xlfn.CONCAT(Tabel1[[#This Row],[personeelsnr]]," ",C528," ",D528)</f>
        <v>25487 Devos Stefaan</v>
      </c>
      <c r="C528" t="str">
        <f>VLOOKUP(Tabel1[[#This Row],[personeelsnr]],'data hastus'!$A:$C,2,0)</f>
        <v>Devos</v>
      </c>
      <c r="D528" t="str">
        <f>VLOOKUP(Tabel1[[#This Row],[personeelsnr]],'data hastus'!$A:$C,3,0)</f>
        <v>Stefaan</v>
      </c>
      <c r="E528" t="str">
        <f>VLOOKUP(Tabel1[[#This Row],[personeelsnr]],'data hastus'!A:K,11,FALSE)</f>
        <v>Steven Storm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45671</v>
      </c>
      <c r="U528" s="8" t="s">
        <v>948</v>
      </c>
      <c r="V528" s="8">
        <v>1</v>
      </c>
      <c r="W528" s="8"/>
      <c r="X528" t="s">
        <v>206</v>
      </c>
      <c r="Y528" t="s">
        <v>279</v>
      </c>
    </row>
    <row r="529" spans="1:25" x14ac:dyDescent="0.25">
      <c r="A529">
        <v>36626</v>
      </c>
      <c r="B529" t="str">
        <f>_xlfn.CONCAT(Tabel1[[#This Row],[personeelsnr]]," ",C529," ",D529)</f>
        <v>36626 Kartal Kadir</v>
      </c>
      <c r="C529" t="str">
        <f>VLOOKUP(Tabel1[[#This Row],[personeelsnr]],'data hastus'!$A:$C,2,0)</f>
        <v>Kartal</v>
      </c>
      <c r="D529" t="str">
        <f>VLOOKUP(Tabel1[[#This Row],[personeelsnr]],'data hastus'!$A:$C,3,0)</f>
        <v>Kadir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949</v>
      </c>
      <c r="V529" s="8">
        <v>1</v>
      </c>
      <c r="W529" s="8"/>
      <c r="X529" t="s">
        <v>206</v>
      </c>
      <c r="Y529" t="s">
        <v>175</v>
      </c>
    </row>
    <row r="530" spans="1:25" x14ac:dyDescent="0.25">
      <c r="A530">
        <v>9999</v>
      </c>
      <c r="B530" t="str">
        <f>_xlfn.CONCAT(Tabel1[[#This Row],[personeelsnr]]," ",C530," ",D530)</f>
        <v>9999 - -</v>
      </c>
      <c r="C530" t="s">
        <v>3347</v>
      </c>
      <c r="D530" t="s">
        <v>3347</v>
      </c>
      <c r="E530" t="s">
        <v>1150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950</v>
      </c>
      <c r="V530" s="8">
        <v>1</v>
      </c>
      <c r="W530" s="8"/>
      <c r="X530" t="s">
        <v>206</v>
      </c>
      <c r="Y530" t="s">
        <v>178</v>
      </c>
    </row>
    <row r="531" spans="1:25" x14ac:dyDescent="0.25">
      <c r="A531">
        <v>40005</v>
      </c>
      <c r="B531" t="str">
        <f>_xlfn.CONCAT(Tabel1[[#This Row],[personeelsnr]]," ",C531," ",D531)</f>
        <v>40005 Bernaerts Philip</v>
      </c>
      <c r="C531" t="str">
        <f>VLOOKUP(Tabel1[[#This Row],[personeelsnr]],'data hastus'!$A:$C,2,0)</f>
        <v>Bernaerts</v>
      </c>
      <c r="D531" t="str">
        <f>VLOOKUP(Tabel1[[#This Row],[personeelsnr]],'data hastus'!$A:$C,3,0)</f>
        <v>Philip</v>
      </c>
      <c r="E531" t="str">
        <f>VLOOKUP(Tabel1[[#This Row],[personeelsnr]],'data hastus'!A:K,11,FALSE)</f>
        <v>Christoff Rotty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45672</v>
      </c>
      <c r="U531" s="8" t="s">
        <v>951</v>
      </c>
      <c r="V531" s="8">
        <v>1</v>
      </c>
      <c r="W531" s="8"/>
      <c r="X531" t="s">
        <v>206</v>
      </c>
      <c r="Y531" t="s">
        <v>186</v>
      </c>
    </row>
    <row r="532" spans="1:25" x14ac:dyDescent="0.25">
      <c r="A532">
        <v>30967</v>
      </c>
      <c r="B532" t="str">
        <f>_xlfn.CONCAT(Tabel1[[#This Row],[personeelsnr]]," ",C532," ",D532)</f>
        <v>30967 Taser Fatih</v>
      </c>
      <c r="C532" t="str">
        <f>VLOOKUP(Tabel1[[#This Row],[personeelsnr]],'data hastus'!$A:$C,2,0)</f>
        <v>Taser</v>
      </c>
      <c r="D532" t="str">
        <f>VLOOKUP(Tabel1[[#This Row],[personeelsnr]],'data hastus'!$A:$C,3,0)</f>
        <v>Fatih</v>
      </c>
      <c r="E532" t="str">
        <f>VLOOKUP(Tabel1[[#This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952</v>
      </c>
      <c r="V532" s="8"/>
      <c r="W532" s="8">
        <v>1</v>
      </c>
      <c r="X532" t="s">
        <v>207</v>
      </c>
      <c r="Y532" t="s">
        <v>252</v>
      </c>
    </row>
    <row r="533" spans="1:25" x14ac:dyDescent="0.25">
      <c r="A533">
        <v>40969</v>
      </c>
      <c r="B533" t="str">
        <f>_xlfn.CONCAT(Tabel1[[#This Row],[personeelsnr]]," ",C533," ",D533)</f>
        <v>40969 Kerman Melisa</v>
      </c>
      <c r="C533" t="str">
        <f>VLOOKUP(Tabel1[[#This Row],[personeelsnr]],'data hastus'!$A:$C,2,0)</f>
        <v>Kerman</v>
      </c>
      <c r="D533" t="str">
        <f>VLOOKUP(Tabel1[[#This Row],[personeelsnr]],'data hastus'!$A:$C,3,0)</f>
        <v>Melisa</v>
      </c>
      <c r="E533" t="str">
        <f>VLOOKUP(Tabel1[[#This Row],[personeelsnr]],'data hastus'!A:K,11,FALSE)</f>
        <v>Steven Storm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45673</v>
      </c>
      <c r="U533" s="8" t="s">
        <v>953</v>
      </c>
      <c r="V533" s="8">
        <v>1</v>
      </c>
      <c r="W533" s="8"/>
      <c r="X533" t="s">
        <v>206</v>
      </c>
      <c r="Y533" t="s">
        <v>190</v>
      </c>
    </row>
    <row r="534" spans="1:25" x14ac:dyDescent="0.25">
      <c r="A534">
        <v>36626</v>
      </c>
      <c r="B534" t="str">
        <f>_xlfn.CONCAT(Tabel1[[#This Row],[personeelsnr]]," ",C534," ",D534)</f>
        <v>36626 Kartal Kadir</v>
      </c>
      <c r="C534" t="str">
        <f>VLOOKUP(Tabel1[[#This Row],[personeelsnr]],'data hastus'!$A:$C,2,0)</f>
        <v>Kartal</v>
      </c>
      <c r="D534" t="str">
        <f>VLOOKUP(Tabel1[[#This Row],[personeelsnr]],'data hastus'!$A:$C,3,0)</f>
        <v>Kadir</v>
      </c>
      <c r="E534" t="str">
        <f>VLOOKUP(Tabel1[[#This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954</v>
      </c>
      <c r="V534" s="8"/>
      <c r="W534" s="8">
        <v>1</v>
      </c>
      <c r="X534" t="s">
        <v>207</v>
      </c>
      <c r="Y534" t="s">
        <v>168</v>
      </c>
    </row>
    <row r="535" spans="1:25" x14ac:dyDescent="0.25">
      <c r="A535">
        <v>22240</v>
      </c>
      <c r="B535" t="str">
        <f>_xlfn.CONCAT(Tabel1[[#This Row],[personeelsnr]]," ",C535," ",D535)</f>
        <v>22240 Delahaye Karina</v>
      </c>
      <c r="C535" t="str">
        <f>VLOOKUP(Tabel1[[#This Row],[personeelsnr]],'data hastus'!$A:$C,2,0)</f>
        <v>Delahaye</v>
      </c>
      <c r="D535" t="str">
        <f>VLOOKUP(Tabel1[[#This Row],[personeelsnr]],'data hastus'!$A:$C,3,0)</f>
        <v>Karina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45674</v>
      </c>
      <c r="U535" s="8" t="s">
        <v>955</v>
      </c>
      <c r="V535" s="8"/>
      <c r="W535" s="8">
        <v>1</v>
      </c>
      <c r="X535" t="s">
        <v>207</v>
      </c>
      <c r="Y535" t="s">
        <v>356</v>
      </c>
    </row>
    <row r="536" spans="1:25" x14ac:dyDescent="0.25">
      <c r="A536">
        <v>8394</v>
      </c>
      <c r="B536" t="str">
        <f>_xlfn.CONCAT(Tabel1[[#This Row],[personeelsnr]]," ",C536," ",D536)</f>
        <v>8394 Smet Antoon</v>
      </c>
      <c r="C536" t="str">
        <f>VLOOKUP(Tabel1[[#This Row],[personeelsnr]],'data hastus'!$A:$C,2,0)</f>
        <v>Smet</v>
      </c>
      <c r="D536" t="str">
        <f>VLOOKUP(Tabel1[[#This Row],[personeelsnr]],'data hastus'!$A:$C,3,0)</f>
        <v>Antoon</v>
      </c>
      <c r="E536" t="str">
        <f>VLOOKUP(Tabel1[[#This Row],[personeelsnr]],'data hastus'!A:K,11,FALSE)</f>
        <v>Lucie Vande Velde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45677</v>
      </c>
      <c r="U536" s="8" t="s">
        <v>3361</v>
      </c>
      <c r="V536" s="8">
        <v>1</v>
      </c>
      <c r="W536" s="8"/>
      <c r="X536" t="s">
        <v>206</v>
      </c>
      <c r="Y536" t="s">
        <v>287</v>
      </c>
    </row>
    <row r="537" spans="1:25" x14ac:dyDescent="0.25">
      <c r="A537">
        <v>33965</v>
      </c>
      <c r="B537" t="str">
        <f>_xlfn.CONCAT(Tabel1[[#This Row],[personeelsnr]]," ",C537," ",D537)</f>
        <v>33965 Van de Gehuchte Gilles</v>
      </c>
      <c r="C537" t="str">
        <f>VLOOKUP(Tabel1[[#This Row],[personeelsnr]],'data hastus'!$A:$C,2,0)</f>
        <v>Van de Gehuchte</v>
      </c>
      <c r="D537" t="str">
        <f>VLOOKUP(Tabel1[[#This Row],[personeelsnr]],'data hastus'!$A:$C,3,0)</f>
        <v>Gilles</v>
      </c>
      <c r="E537" t="str">
        <f>VLOOKUP(Tabel1[[#This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956</v>
      </c>
      <c r="V537" s="8"/>
      <c r="W537" s="8">
        <v>1</v>
      </c>
      <c r="X537" t="s">
        <v>207</v>
      </c>
      <c r="Y537" t="s">
        <v>174</v>
      </c>
    </row>
    <row r="538" spans="1:25" x14ac:dyDescent="0.25">
      <c r="A538">
        <v>21581</v>
      </c>
      <c r="B538" t="str">
        <f>_xlfn.CONCAT(Tabel1[[#This Row],[personeelsnr]]," ",C538," ",D538)</f>
        <v>21581 Vanderstraeten Franky</v>
      </c>
      <c r="C538" t="str">
        <f>VLOOKUP(Tabel1[[#This Row],[personeelsnr]],'data hastus'!$A:$C,2,0)</f>
        <v>Vanderstraeten</v>
      </c>
      <c r="D538" t="str">
        <f>VLOOKUP(Tabel1[[#This Row],[personeelsnr]],'data hastus'!$A:$C,3,0)</f>
        <v>Franky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45678</v>
      </c>
      <c r="U538" s="8" t="s">
        <v>3362</v>
      </c>
      <c r="V538" s="8">
        <v>1</v>
      </c>
      <c r="W538" s="8"/>
      <c r="X538" t="s">
        <v>206</v>
      </c>
      <c r="Y538" t="s">
        <v>362</v>
      </c>
    </row>
    <row r="539" spans="1:25" x14ac:dyDescent="0.25">
      <c r="A539">
        <v>39673</v>
      </c>
      <c r="B539" t="str">
        <f>_xlfn.CONCAT(Tabel1[[#This Row],[personeelsnr]]," ",C539," ",D539)</f>
        <v>39673 Steurbaut Henri</v>
      </c>
      <c r="C539" t="str">
        <f>VLOOKUP(Tabel1[[#This Row],[personeelsnr]],'data hastus'!$A:$C,2,0)</f>
        <v>Steurbaut</v>
      </c>
      <c r="D539" t="str">
        <f>VLOOKUP(Tabel1[[#This Row],[personeelsnr]],'data hastus'!$A:$C,3,0)</f>
        <v>Henri</v>
      </c>
      <c r="E539" t="str">
        <f>VLOOKUP(Tabel1[[#This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957</v>
      </c>
      <c r="V539" s="8">
        <v>1</v>
      </c>
      <c r="W539" s="8"/>
      <c r="X539" t="s">
        <v>206</v>
      </c>
      <c r="Y539" t="s">
        <v>279</v>
      </c>
    </row>
    <row r="540" spans="1:25" x14ac:dyDescent="0.25">
      <c r="A540">
        <v>39660</v>
      </c>
      <c r="B540" t="str">
        <f>_xlfn.CONCAT(Tabel1[[#This Row],[personeelsnr]]," ",C540," ",D540)</f>
        <v>39660 Lloyd Glenn</v>
      </c>
      <c r="C540" t="str">
        <f>VLOOKUP(Tabel1[[#This Row],[personeelsnr]],'data hastus'!$A:$C,2,0)</f>
        <v>Lloyd</v>
      </c>
      <c r="D540" t="str">
        <f>VLOOKUP(Tabel1[[#This Row],[personeelsnr]],'data hastus'!$A:$C,3,0)</f>
        <v>Glenn</v>
      </c>
      <c r="E540" t="str">
        <f>VLOOKUP(Tabel1[[#This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45679</v>
      </c>
      <c r="U540" s="8" t="s">
        <v>3369</v>
      </c>
      <c r="V540" s="8">
        <v>1</v>
      </c>
      <c r="W540" s="8"/>
      <c r="X540" t="s">
        <v>206</v>
      </c>
      <c r="Y540" t="s">
        <v>202</v>
      </c>
    </row>
    <row r="541" spans="1:25" x14ac:dyDescent="0.25">
      <c r="A541">
        <v>41162</v>
      </c>
      <c r="B541" t="str">
        <f>_xlfn.CONCAT(Tabel1[[#This Row],[personeelsnr]]," ",C541," ",D541)</f>
        <v>41162 Hoeckman Jeroen</v>
      </c>
      <c r="C541" t="str">
        <f>VLOOKUP(Tabel1[[#This Row],[personeelsnr]],'data hastus'!$A:$C,2,0)</f>
        <v>Hoeckman</v>
      </c>
      <c r="D541" t="str">
        <f>VLOOKUP(Tabel1[[#This Row],[personeelsnr]],'data hastus'!$A:$C,3,0)</f>
        <v>Jeroen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958</v>
      </c>
      <c r="V541" s="8">
        <v>1</v>
      </c>
      <c r="W541" s="8"/>
      <c r="X541" t="s">
        <v>206</v>
      </c>
      <c r="Y541" t="s">
        <v>236</v>
      </c>
    </row>
    <row r="542" spans="1:25" x14ac:dyDescent="0.25">
      <c r="A542">
        <v>34351</v>
      </c>
      <c r="B542" t="str">
        <f>_xlfn.CONCAT(Tabel1[[#This Row],[personeelsnr]]," ",C542," ",D542)</f>
        <v>34351 Callant Dieter</v>
      </c>
      <c r="C542" t="str">
        <f>VLOOKUP(Tabel1[[#This Row],[personeelsnr]],'data hastus'!$A:$C,2,0)</f>
        <v>Callant</v>
      </c>
      <c r="D542" t="str">
        <f>VLOOKUP(Tabel1[[#This Row],[personeelsnr]],'data hastus'!$A:$C,3,0)</f>
        <v>Dieter</v>
      </c>
      <c r="E542" t="str">
        <f>VLOOKUP(Tabel1[[#This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959</v>
      </c>
      <c r="V542" s="8"/>
      <c r="W542" s="8">
        <v>1</v>
      </c>
      <c r="X542" t="s">
        <v>207</v>
      </c>
      <c r="Y542" t="s">
        <v>225</v>
      </c>
    </row>
    <row r="543" spans="1:25" x14ac:dyDescent="0.25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960</v>
      </c>
      <c r="V543" s="8"/>
      <c r="W543" s="8">
        <v>1</v>
      </c>
      <c r="X543" t="s">
        <v>207</v>
      </c>
      <c r="Y543" t="s">
        <v>180</v>
      </c>
    </row>
    <row r="544" spans="1:25" x14ac:dyDescent="0.25">
      <c r="A544">
        <v>31360</v>
      </c>
      <c r="B544" t="str">
        <f>_xlfn.CONCAT(Tabel1[[#This Row],[personeelsnr]]," ",C544," ",D544)</f>
        <v>31360 Simsek Fatih</v>
      </c>
      <c r="C544" t="str">
        <f>VLOOKUP(Tabel1[[#This Row],[personeelsnr]],'data hastus'!$A:$C,2,0)</f>
        <v>Simsek</v>
      </c>
      <c r="D544" t="str">
        <f>VLOOKUP(Tabel1[[#This Row],[personeelsnr]],'data hastus'!$A:$C,3,0)</f>
        <v>Fatih</v>
      </c>
      <c r="E544" t="str">
        <f>VLOOKUP(Tabel1[[#This Row],[personeelsnr]],'data hastus'!A:K,11,FALSE)</f>
        <v>Dominique De Clercq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961</v>
      </c>
      <c r="V544" s="8"/>
      <c r="W544" s="8">
        <v>1</v>
      </c>
      <c r="X544" t="s">
        <v>207</v>
      </c>
      <c r="Y544" t="s">
        <v>246</v>
      </c>
    </row>
    <row r="545" spans="1:25" x14ac:dyDescent="0.25">
      <c r="A545">
        <v>13398</v>
      </c>
      <c r="B545" t="str">
        <f>_xlfn.CONCAT(Tabel1[[#This Row],[personeelsnr]]," ",C545," ",D545)</f>
        <v>13398 Kirdas Ramazan</v>
      </c>
      <c r="C545" t="str">
        <f>VLOOKUP(Tabel1[[#This Row],[personeelsnr]],'data hastus'!$A:$C,2,0)</f>
        <v>Kirdas</v>
      </c>
      <c r="D545" t="str">
        <f>VLOOKUP(Tabel1[[#This Row],[personeelsnr]],'data hastus'!$A:$C,3,0)</f>
        <v>Ramazan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45681</v>
      </c>
      <c r="U545" s="8" t="s">
        <v>962</v>
      </c>
      <c r="V545" s="8"/>
      <c r="W545" s="8">
        <v>1</v>
      </c>
      <c r="X545" t="s">
        <v>207</v>
      </c>
      <c r="Y545" t="s">
        <v>245</v>
      </c>
    </row>
    <row r="546" spans="1:25" x14ac:dyDescent="0.25">
      <c r="A546">
        <v>36663</v>
      </c>
      <c r="B546" t="str">
        <f>_xlfn.CONCAT(Tabel1[[#This Row],[personeelsnr]]," ",C546," ",D546)</f>
        <v>36663 Cesmeli Achraf</v>
      </c>
      <c r="C546" t="str">
        <f>VLOOKUP(Tabel1[[#This Row],[personeelsnr]],'data hastus'!$A:$C,2,0)</f>
        <v>Cesmeli</v>
      </c>
      <c r="D546" t="str">
        <f>VLOOKUP(Tabel1[[#This Row],[personeelsnr]],'data hastus'!$A:$C,3,0)</f>
        <v>Achraf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45684</v>
      </c>
      <c r="U546" s="8" t="s">
        <v>3371</v>
      </c>
      <c r="V546" s="8">
        <v>1</v>
      </c>
      <c r="W546" s="8"/>
      <c r="X546" t="s">
        <v>206</v>
      </c>
      <c r="Y546" t="s">
        <v>183</v>
      </c>
    </row>
    <row r="547" spans="1:25" x14ac:dyDescent="0.25">
      <c r="A547">
        <v>35491</v>
      </c>
      <c r="B547" t="str">
        <f>_xlfn.CONCAT(Tabel1[[#This Row],[personeelsnr]]," ",C547," ",D547)</f>
        <v>35491 Toubadie Zakaria</v>
      </c>
      <c r="C547" t="str">
        <f>VLOOKUP(Tabel1[[#This Row],[personeelsnr]],'data hastus'!$A:$C,2,0)</f>
        <v>Toubadie</v>
      </c>
      <c r="D547" t="str">
        <f>VLOOKUP(Tabel1[[#This Row],[personeelsnr]],'data hastus'!$A:$C,3,0)</f>
        <v>Zakaria</v>
      </c>
      <c r="E547" t="str">
        <f>VLOOKUP(Tabel1[[#This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45685</v>
      </c>
      <c r="U547" s="8" t="s">
        <v>3367</v>
      </c>
      <c r="V547" s="8">
        <v>1</v>
      </c>
      <c r="W547" s="8"/>
      <c r="X547" t="s">
        <v>206</v>
      </c>
      <c r="Y547" t="s">
        <v>175</v>
      </c>
    </row>
    <row r="548" spans="1:25" x14ac:dyDescent="0.25">
      <c r="A548">
        <v>40138</v>
      </c>
      <c r="B548" t="str">
        <f>_xlfn.CONCAT(Tabel1[[#This Row],[personeelsnr]]," ",C548," ",D548)</f>
        <v>40138 Moerman Tjimmy</v>
      </c>
      <c r="C548" t="str">
        <f>VLOOKUP(Tabel1[[#This Row],[personeelsnr]],'data hastus'!$A:$C,2,0)</f>
        <v>Moerman</v>
      </c>
      <c r="D548" t="str">
        <f>VLOOKUP(Tabel1[[#This Row],[personeelsnr]],'data hastus'!$A:$C,3,0)</f>
        <v>Tjimmy</v>
      </c>
      <c r="E548" t="str">
        <f>VLOOKUP(Tabel1[[#This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963</v>
      </c>
      <c r="V548" s="8">
        <v>1</v>
      </c>
      <c r="W548" s="8"/>
      <c r="X548" t="s">
        <v>206</v>
      </c>
      <c r="Y548" t="s">
        <v>171</v>
      </c>
    </row>
    <row r="549" spans="1:25" x14ac:dyDescent="0.25">
      <c r="A549">
        <v>33640</v>
      </c>
      <c r="B549" t="str">
        <f>_xlfn.CONCAT(Tabel1[[#This Row],[personeelsnr]]," ",C549," ",D549)</f>
        <v>33640 Verschraegen Patrick</v>
      </c>
      <c r="C549" t="str">
        <f>VLOOKUP(Tabel1[[#This Row],[personeelsnr]],'data hastus'!$A:$C,2,0)</f>
        <v>Verschraegen</v>
      </c>
      <c r="D549" t="str">
        <f>VLOOKUP(Tabel1[[#This Row],[personeelsnr]],'data hastus'!$A:$C,3,0)</f>
        <v>Patrick</v>
      </c>
      <c r="E549" t="str">
        <f>VLOOKUP(Tabel1[[#This Row],[personeelsnr]],'data hastus'!A:K,11,FALSE)</f>
        <v>Steven Storm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964</v>
      </c>
      <c r="V549" s="8">
        <v>1</v>
      </c>
      <c r="W549" s="8"/>
      <c r="X549" t="s">
        <v>206</v>
      </c>
      <c r="Y549" t="s">
        <v>324</v>
      </c>
    </row>
    <row r="550" spans="1:25" x14ac:dyDescent="0.25">
      <c r="A550">
        <v>19249</v>
      </c>
      <c r="B550" t="str">
        <f>_xlfn.CONCAT(Tabel1[[#This Row],[personeelsnr]]," ",C550," ",D550)</f>
        <v>19249 Odaci Kadir</v>
      </c>
      <c r="C550" t="str">
        <f>VLOOKUP(Tabel1[[#This Row],[personeelsnr]],'data hastus'!$A:$C,2,0)</f>
        <v>Odaci</v>
      </c>
      <c r="D550" t="str">
        <f>VLOOKUP(Tabel1[[#This Row],[personeelsnr]],'data hastus'!$A:$C,3,0)</f>
        <v>Kadir</v>
      </c>
      <c r="E550" t="str">
        <f>VLOOKUP(Tabel1[[#This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965</v>
      </c>
      <c r="V550" s="8"/>
      <c r="W550" s="8">
        <v>1</v>
      </c>
      <c r="X550" t="s">
        <v>207</v>
      </c>
      <c r="Y550" t="s">
        <v>246</v>
      </c>
    </row>
    <row r="551" spans="1:25" x14ac:dyDescent="0.25">
      <c r="A551">
        <v>21424</v>
      </c>
      <c r="B551" t="str">
        <f>_xlfn.CONCAT(Tabel1[[#This Row],[personeelsnr]]," ",C551," ",D551)</f>
        <v>21424 Verstichel Jethro</v>
      </c>
      <c r="C551" t="str">
        <f>VLOOKUP(Tabel1[[#This Row],[personeelsnr]],'data hastus'!$A:$C,2,0)</f>
        <v>Verstichel</v>
      </c>
      <c r="D551" t="str">
        <f>VLOOKUP(Tabel1[[#This Row],[personeelsnr]],'data hastus'!$A:$C,3,0)</f>
        <v>Jethro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966</v>
      </c>
      <c r="V551" s="8"/>
      <c r="W551" s="8">
        <v>1</v>
      </c>
      <c r="X551" t="s">
        <v>207</v>
      </c>
      <c r="Y551" t="s">
        <v>174</v>
      </c>
    </row>
    <row r="552" spans="1:25" x14ac:dyDescent="0.25">
      <c r="A552">
        <v>40652</v>
      </c>
      <c r="B552" t="str">
        <f>_xlfn.CONCAT(Tabel1[[#This Row],[personeelsnr]]," ",C552," ",D552)</f>
        <v>40652 Van Damme Gilyann</v>
      </c>
      <c r="C552" t="str">
        <f>VLOOKUP(Tabel1[[#This Row],[personeelsnr]],'data hastus'!$A:$C,2,0)</f>
        <v>Van Damme</v>
      </c>
      <c r="D552" t="str">
        <f>VLOOKUP(Tabel1[[#This Row],[personeelsnr]],'data hastus'!$A:$C,3,0)</f>
        <v>Gilyann</v>
      </c>
      <c r="E552" t="str">
        <f>VLOOKUP(Tabel1[[#This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45687</v>
      </c>
      <c r="U552" s="8" t="s">
        <v>3360</v>
      </c>
      <c r="V552" s="8">
        <v>1</v>
      </c>
      <c r="W552" s="8"/>
      <c r="X552" t="s">
        <v>206</v>
      </c>
      <c r="Y552" t="s">
        <v>255</v>
      </c>
    </row>
    <row r="553" spans="1:25" x14ac:dyDescent="0.25">
      <c r="A553">
        <v>36663</v>
      </c>
      <c r="B553" t="str">
        <f>_xlfn.CONCAT(Tabel1[[#This Row],[personeelsnr]]," ",C553," ",D553)</f>
        <v>36663 Cesmeli Achraf</v>
      </c>
      <c r="C553" t="str">
        <f>VLOOKUP(Tabel1[[#This Row],[personeelsnr]],'data hastus'!$A:$C,2,0)</f>
        <v>Cesmeli</v>
      </c>
      <c r="D553" t="str">
        <f>VLOOKUP(Tabel1[[#This Row],[personeelsnr]],'data hastus'!$A:$C,3,0)</f>
        <v>Achraf</v>
      </c>
      <c r="E553" t="str">
        <f>VLOOKUP(Tabel1[[#This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45688</v>
      </c>
      <c r="U553" s="8" t="s">
        <v>3365</v>
      </c>
      <c r="V553" s="8">
        <v>1</v>
      </c>
      <c r="W553" s="8"/>
      <c r="X553" t="s">
        <v>206</v>
      </c>
      <c r="Y553" t="s">
        <v>170</v>
      </c>
    </row>
    <row r="554" spans="1:25" x14ac:dyDescent="0.25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967</v>
      </c>
      <c r="V554" s="8">
        <v>1</v>
      </c>
      <c r="W554" s="8"/>
      <c r="X554" t="s">
        <v>206</v>
      </c>
      <c r="Y554" t="s">
        <v>170</v>
      </c>
    </row>
    <row r="555" spans="1:25" x14ac:dyDescent="0.25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968</v>
      </c>
      <c r="V555" s="8"/>
      <c r="W555" s="8">
        <v>1</v>
      </c>
      <c r="X555" t="s">
        <v>207</v>
      </c>
      <c r="Y555" t="s">
        <v>168</v>
      </c>
    </row>
    <row r="556" spans="1:25" x14ac:dyDescent="0.25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969</v>
      </c>
      <c r="V556" s="8">
        <v>1</v>
      </c>
      <c r="W556" s="8"/>
      <c r="X556" t="s">
        <v>206</v>
      </c>
      <c r="Y556" t="s">
        <v>177</v>
      </c>
    </row>
    <row r="557" spans="1:25" x14ac:dyDescent="0.25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970</v>
      </c>
      <c r="V557" s="8">
        <v>1</v>
      </c>
      <c r="W557" s="8"/>
      <c r="X557" t="s">
        <v>206</v>
      </c>
      <c r="Y557" t="s">
        <v>244</v>
      </c>
    </row>
    <row r="558" spans="1:25" x14ac:dyDescent="0.25">
      <c r="A558">
        <v>9999</v>
      </c>
      <c r="B558" t="str">
        <f>_xlfn.CONCAT(Tabel1[[#This Row],[personeelsnr]]," ",C558," ",D558)</f>
        <v>9999 - -</v>
      </c>
      <c r="C558" t="s">
        <v>3347</v>
      </c>
      <c r="D558" t="s">
        <v>3347</v>
      </c>
      <c r="E558" t="s">
        <v>1150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971</v>
      </c>
      <c r="V558" s="8">
        <v>1</v>
      </c>
      <c r="W558" s="8"/>
      <c r="X558" t="s">
        <v>206</v>
      </c>
      <c r="Y558" t="s">
        <v>349</v>
      </c>
    </row>
    <row r="559" spans="1:25" x14ac:dyDescent="0.25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972</v>
      </c>
      <c r="V559" s="8"/>
      <c r="W559" s="8">
        <v>1</v>
      </c>
      <c r="X559" t="s">
        <v>207</v>
      </c>
      <c r="Y559" t="s">
        <v>209</v>
      </c>
    </row>
    <row r="560" spans="1:25" x14ac:dyDescent="0.25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973</v>
      </c>
      <c r="V560" s="8">
        <v>1</v>
      </c>
      <c r="W560" s="8"/>
      <c r="X560" t="s">
        <v>206</v>
      </c>
      <c r="Y560" t="s">
        <v>194</v>
      </c>
    </row>
    <row r="561" spans="1:25" x14ac:dyDescent="0.25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974</v>
      </c>
      <c r="V561" s="8">
        <v>1</v>
      </c>
      <c r="W561" s="8"/>
      <c r="X561" t="s">
        <v>206</v>
      </c>
      <c r="Y561" t="s">
        <v>299</v>
      </c>
    </row>
    <row r="562" spans="1:25" x14ac:dyDescent="0.25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975</v>
      </c>
      <c r="V562" s="8">
        <v>1</v>
      </c>
      <c r="W562" s="8"/>
      <c r="X562" t="s">
        <v>206</v>
      </c>
      <c r="Y562" t="s">
        <v>384</v>
      </c>
    </row>
    <row r="563" spans="1:25" x14ac:dyDescent="0.25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976</v>
      </c>
      <c r="V563" s="8">
        <v>1</v>
      </c>
      <c r="W563" s="8"/>
      <c r="X563" t="s">
        <v>206</v>
      </c>
      <c r="Y563" t="s">
        <v>290</v>
      </c>
    </row>
    <row r="564" spans="1:25" x14ac:dyDescent="0.25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977</v>
      </c>
      <c r="V564" s="8">
        <v>1</v>
      </c>
      <c r="W564" s="8"/>
      <c r="X564" t="s">
        <v>206</v>
      </c>
      <c r="Y564" t="s">
        <v>348</v>
      </c>
    </row>
    <row r="565" spans="1:25" x14ac:dyDescent="0.25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978</v>
      </c>
      <c r="V565" s="8"/>
      <c r="W565" s="8">
        <v>1</v>
      </c>
      <c r="X565" t="s">
        <v>207</v>
      </c>
      <c r="Y565" t="s">
        <v>251</v>
      </c>
    </row>
    <row r="566" spans="1:25" x14ac:dyDescent="0.25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979</v>
      </c>
      <c r="V566" s="8">
        <v>1</v>
      </c>
      <c r="W566" s="8"/>
      <c r="X566" t="s">
        <v>206</v>
      </c>
      <c r="Y566" t="s">
        <v>167</v>
      </c>
    </row>
    <row r="567" spans="1:25" x14ac:dyDescent="0.25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980</v>
      </c>
      <c r="V567" s="8">
        <v>1</v>
      </c>
      <c r="W567" s="8"/>
      <c r="X567" t="s">
        <v>206</v>
      </c>
      <c r="Y567" t="s">
        <v>177</v>
      </c>
    </row>
    <row r="568" spans="1:25" x14ac:dyDescent="0.25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981</v>
      </c>
      <c r="V568" s="8"/>
      <c r="W568" s="8">
        <v>1</v>
      </c>
      <c r="X568" t="s">
        <v>207</v>
      </c>
      <c r="Y568" t="s">
        <v>379</v>
      </c>
    </row>
    <row r="569" spans="1:25" x14ac:dyDescent="0.25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982</v>
      </c>
      <c r="V569" s="8">
        <v>1</v>
      </c>
      <c r="W569" s="8"/>
      <c r="X569" t="s">
        <v>206</v>
      </c>
      <c r="Y569" t="s">
        <v>167</v>
      </c>
    </row>
    <row r="570" spans="1:25" x14ac:dyDescent="0.25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983</v>
      </c>
      <c r="V570" s="8">
        <v>1</v>
      </c>
      <c r="W570" s="8"/>
      <c r="X570" t="s">
        <v>206</v>
      </c>
      <c r="Y570" t="s">
        <v>395</v>
      </c>
    </row>
    <row r="571" spans="1:25" x14ac:dyDescent="0.25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984</v>
      </c>
      <c r="V571" s="8"/>
      <c r="W571" s="8">
        <v>1</v>
      </c>
      <c r="X571" t="s">
        <v>207</v>
      </c>
      <c r="Y571" t="s">
        <v>183</v>
      </c>
    </row>
    <row r="572" spans="1:25" x14ac:dyDescent="0.25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985</v>
      </c>
      <c r="V572" s="8">
        <v>1</v>
      </c>
      <c r="W572" s="8"/>
      <c r="X572" t="s">
        <v>206</v>
      </c>
      <c r="Y572" t="s">
        <v>368</v>
      </c>
    </row>
    <row r="573" spans="1:25" x14ac:dyDescent="0.25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986</v>
      </c>
      <c r="V573" s="8">
        <v>1</v>
      </c>
      <c r="W573" s="8"/>
      <c r="X573" t="s">
        <v>206</v>
      </c>
      <c r="Y573" t="s">
        <v>329</v>
      </c>
    </row>
    <row r="574" spans="1:25" x14ac:dyDescent="0.25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987</v>
      </c>
      <c r="V574" s="8">
        <v>1</v>
      </c>
      <c r="W574" s="8"/>
      <c r="X574" t="s">
        <v>206</v>
      </c>
      <c r="Y574" t="s">
        <v>192</v>
      </c>
    </row>
    <row r="575" spans="1:25" x14ac:dyDescent="0.25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988</v>
      </c>
      <c r="V575" s="8">
        <v>1</v>
      </c>
      <c r="W575" s="8"/>
      <c r="X575" t="s">
        <v>206</v>
      </c>
      <c r="Y575" t="s">
        <v>237</v>
      </c>
    </row>
    <row r="576" spans="1:25" x14ac:dyDescent="0.25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989</v>
      </c>
      <c r="V576" s="8"/>
      <c r="W576" s="8">
        <v>1</v>
      </c>
      <c r="X576" t="s">
        <v>207</v>
      </c>
      <c r="Y576" t="s">
        <v>257</v>
      </c>
    </row>
    <row r="577" spans="1:25" x14ac:dyDescent="0.25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990</v>
      </c>
      <c r="V577" s="8">
        <v>1</v>
      </c>
      <c r="W577" s="8"/>
      <c r="X577" t="s">
        <v>206</v>
      </c>
      <c r="Y577" t="s">
        <v>307</v>
      </c>
    </row>
    <row r="578" spans="1:25" x14ac:dyDescent="0.25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991</v>
      </c>
      <c r="V578" s="8"/>
      <c r="W578" s="8">
        <v>1</v>
      </c>
      <c r="X578" t="s">
        <v>207</v>
      </c>
      <c r="Y578" t="s">
        <v>323</v>
      </c>
    </row>
    <row r="579" spans="1:25" x14ac:dyDescent="0.25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992</v>
      </c>
      <c r="V579" s="8">
        <v>1</v>
      </c>
      <c r="W579" s="8"/>
      <c r="X579" t="s">
        <v>206</v>
      </c>
      <c r="Y579" t="s">
        <v>522</v>
      </c>
    </row>
    <row r="580" spans="1:25" x14ac:dyDescent="0.25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993</v>
      </c>
      <c r="V580" s="8">
        <v>1</v>
      </c>
      <c r="W580" s="8"/>
      <c r="X580" t="s">
        <v>206</v>
      </c>
      <c r="Y580" t="s">
        <v>230</v>
      </c>
    </row>
    <row r="581" spans="1:25" x14ac:dyDescent="0.25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994</v>
      </c>
      <c r="V581" s="8">
        <v>1</v>
      </c>
      <c r="W581" s="8"/>
      <c r="X581" t="s">
        <v>206</v>
      </c>
      <c r="Y581" t="s">
        <v>312</v>
      </c>
    </row>
    <row r="582" spans="1:25" x14ac:dyDescent="0.25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995</v>
      </c>
      <c r="V582" s="8">
        <v>1</v>
      </c>
      <c r="W582" s="8"/>
      <c r="X582" t="s">
        <v>206</v>
      </c>
      <c r="Y582" t="s">
        <v>194</v>
      </c>
    </row>
    <row r="583" spans="1:25" x14ac:dyDescent="0.25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996</v>
      </c>
      <c r="V583" s="8">
        <v>1</v>
      </c>
      <c r="W583" s="8"/>
      <c r="X583" t="s">
        <v>206</v>
      </c>
      <c r="Y583" t="s">
        <v>254</v>
      </c>
    </row>
    <row r="584" spans="1:25" x14ac:dyDescent="0.25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997</v>
      </c>
      <c r="V584" s="8">
        <v>1</v>
      </c>
      <c r="W584" s="8"/>
      <c r="X584" t="s">
        <v>206</v>
      </c>
      <c r="Y584" t="s">
        <v>168</v>
      </c>
    </row>
    <row r="585" spans="1:25" x14ac:dyDescent="0.25">
      <c r="A585">
        <v>39972</v>
      </c>
      <c r="B585" t="str">
        <f>_xlfn.CONCAT(Tabel1[[#This Row],[personeelsnr]]," ",C585," ",D585)</f>
        <v>39972 Repaj Ramazav</v>
      </c>
      <c r="C585" t="s">
        <v>998</v>
      </c>
      <c r="D585" t="s">
        <v>999</v>
      </c>
      <c r="E585" t="s">
        <v>187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1000</v>
      </c>
      <c r="V585" s="8">
        <v>1</v>
      </c>
      <c r="W585" s="8"/>
      <c r="X585" t="s">
        <v>206</v>
      </c>
      <c r="Y585" t="s">
        <v>173</v>
      </c>
    </row>
    <row r="586" spans="1:25" x14ac:dyDescent="0.25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1001</v>
      </c>
      <c r="V586" s="8">
        <v>1</v>
      </c>
      <c r="W586" s="8"/>
      <c r="X586" t="s">
        <v>206</v>
      </c>
      <c r="Y586" t="s">
        <v>178</v>
      </c>
    </row>
    <row r="587" spans="1:25" x14ac:dyDescent="0.25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206</v>
      </c>
    </row>
    <row r="588" spans="1:25" x14ac:dyDescent="0.25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1002</v>
      </c>
      <c r="V588" s="8">
        <v>1</v>
      </c>
      <c r="W588" s="8"/>
      <c r="X588" t="s">
        <v>206</v>
      </c>
      <c r="Y588" t="s">
        <v>522</v>
      </c>
    </row>
    <row r="589" spans="1:25" x14ac:dyDescent="0.25">
      <c r="A589">
        <v>9999</v>
      </c>
      <c r="B589" t="str">
        <f>_xlfn.CONCAT(Tabel1[[#This Row],[personeelsnr]]," ",C589," ",D589)</f>
        <v>9999 - -</v>
      </c>
      <c r="C589" t="s">
        <v>3347</v>
      </c>
      <c r="D589" t="s">
        <v>3347</v>
      </c>
      <c r="E589" t="s">
        <v>1150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1003</v>
      </c>
      <c r="V589" s="8">
        <v>1</v>
      </c>
      <c r="W589" s="8"/>
      <c r="X589" t="s">
        <v>206</v>
      </c>
      <c r="Y589" t="s">
        <v>1004</v>
      </c>
    </row>
    <row r="590" spans="1:25" x14ac:dyDescent="0.25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1005</v>
      </c>
      <c r="V590" s="8">
        <v>1</v>
      </c>
      <c r="W590" s="8"/>
      <c r="X590" t="s">
        <v>206</v>
      </c>
      <c r="Y590" t="s">
        <v>190</v>
      </c>
    </row>
    <row r="591" spans="1:25" x14ac:dyDescent="0.25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1006</v>
      </c>
      <c r="V591" s="8">
        <v>1</v>
      </c>
      <c r="W591" s="8"/>
      <c r="X591" t="s">
        <v>206</v>
      </c>
      <c r="Y591" t="s">
        <v>173</v>
      </c>
    </row>
    <row r="592" spans="1:25" x14ac:dyDescent="0.25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1007</v>
      </c>
      <c r="V592" s="8"/>
      <c r="W592" s="8">
        <v>1</v>
      </c>
      <c r="X592" t="s">
        <v>207</v>
      </c>
      <c r="Y592" t="s">
        <v>168</v>
      </c>
    </row>
    <row r="593" spans="1:25" x14ac:dyDescent="0.25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1008</v>
      </c>
      <c r="V593" s="8">
        <v>1</v>
      </c>
      <c r="W593" s="8"/>
      <c r="X593" t="s">
        <v>206</v>
      </c>
      <c r="Y593" t="s">
        <v>271</v>
      </c>
    </row>
    <row r="594" spans="1:25" x14ac:dyDescent="0.25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1009</v>
      </c>
      <c r="V594" s="8">
        <v>1</v>
      </c>
      <c r="W594" s="8"/>
      <c r="X594" t="s">
        <v>206</v>
      </c>
      <c r="Y594" t="s">
        <v>288</v>
      </c>
    </row>
    <row r="595" spans="1:25" x14ac:dyDescent="0.25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1010</v>
      </c>
      <c r="V595" s="8">
        <v>1</v>
      </c>
      <c r="W595" s="8"/>
      <c r="X595" t="s">
        <v>206</v>
      </c>
      <c r="Y595" t="s">
        <v>283</v>
      </c>
    </row>
    <row r="596" spans="1:25" x14ac:dyDescent="0.25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1011</v>
      </c>
      <c r="V596" s="8">
        <v>1</v>
      </c>
      <c r="W596" s="8"/>
      <c r="X596" t="s">
        <v>206</v>
      </c>
      <c r="Y596" t="s">
        <v>168</v>
      </c>
    </row>
    <row r="597" spans="1:25" x14ac:dyDescent="0.25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1012</v>
      </c>
      <c r="V597" s="8">
        <v>1</v>
      </c>
      <c r="W597" s="8"/>
      <c r="X597" t="s">
        <v>206</v>
      </c>
      <c r="Y597" t="s">
        <v>215</v>
      </c>
    </row>
    <row r="598" spans="1:25" x14ac:dyDescent="0.25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1013</v>
      </c>
      <c r="V598" s="8">
        <v>1</v>
      </c>
      <c r="W598" s="8"/>
      <c r="X598" t="s">
        <v>206</v>
      </c>
      <c r="Y598" t="s">
        <v>169</v>
      </c>
    </row>
    <row r="599" spans="1:25" x14ac:dyDescent="0.25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1014</v>
      </c>
      <c r="V599" s="8">
        <v>1</v>
      </c>
      <c r="W599" s="20"/>
      <c r="X599" t="s">
        <v>206</v>
      </c>
      <c r="Y599" s="15" t="s">
        <v>243</v>
      </c>
    </row>
    <row r="600" spans="1:25" x14ac:dyDescent="0.25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1015</v>
      </c>
      <c r="V600" s="8">
        <v>1</v>
      </c>
      <c r="W600" s="8"/>
      <c r="X600" t="s">
        <v>206</v>
      </c>
      <c r="Y600" t="s">
        <v>167</v>
      </c>
    </row>
    <row r="601" spans="1:25" x14ac:dyDescent="0.25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1016</v>
      </c>
      <c r="V601" s="8">
        <v>1</v>
      </c>
      <c r="W601" s="8"/>
      <c r="X601" t="s">
        <v>206</v>
      </c>
      <c r="Y601" t="s">
        <v>210</v>
      </c>
    </row>
    <row r="602" spans="1:25" x14ac:dyDescent="0.25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1017</v>
      </c>
      <c r="V602" s="8">
        <v>1</v>
      </c>
      <c r="W602" s="8"/>
      <c r="X602" t="s">
        <v>206</v>
      </c>
      <c r="Y602" t="s">
        <v>175</v>
      </c>
    </row>
    <row r="603" spans="1:25" x14ac:dyDescent="0.25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1018</v>
      </c>
      <c r="V603" s="8">
        <v>1</v>
      </c>
      <c r="W603" s="8"/>
      <c r="X603" t="s">
        <v>206</v>
      </c>
      <c r="Y603" t="s">
        <v>236</v>
      </c>
    </row>
    <row r="604" spans="1:25" x14ac:dyDescent="0.25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1019</v>
      </c>
      <c r="V604" s="8">
        <v>1</v>
      </c>
      <c r="W604" s="8"/>
      <c r="X604" t="s">
        <v>206</v>
      </c>
      <c r="Y604" t="s">
        <v>304</v>
      </c>
    </row>
    <row r="605" spans="1:25" x14ac:dyDescent="0.25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1020</v>
      </c>
      <c r="V605" s="8">
        <v>1</v>
      </c>
      <c r="W605" s="8"/>
      <c r="X605" t="s">
        <v>206</v>
      </c>
      <c r="Y605" t="s">
        <v>252</v>
      </c>
    </row>
    <row r="606" spans="1:25" x14ac:dyDescent="0.25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1021</v>
      </c>
      <c r="V606" s="8"/>
      <c r="W606" s="8">
        <v>1</v>
      </c>
      <c r="X606" t="s">
        <v>207</v>
      </c>
      <c r="Y606" t="s">
        <v>168</v>
      </c>
    </row>
    <row r="607" spans="1:25" x14ac:dyDescent="0.25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1022</v>
      </c>
      <c r="V607" s="8">
        <v>1</v>
      </c>
      <c r="W607" s="8"/>
      <c r="X607" t="s">
        <v>206</v>
      </c>
      <c r="Y607" t="s">
        <v>176</v>
      </c>
    </row>
    <row r="608" spans="1:25" x14ac:dyDescent="0.25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1023</v>
      </c>
      <c r="V608" s="8">
        <v>1</v>
      </c>
      <c r="W608" s="8"/>
      <c r="X608" t="s">
        <v>206</v>
      </c>
      <c r="Y608" t="s">
        <v>167</v>
      </c>
    </row>
    <row r="609" spans="1:25" x14ac:dyDescent="0.25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1024</v>
      </c>
      <c r="V609" s="8">
        <v>1</v>
      </c>
      <c r="W609" s="8"/>
      <c r="X609" t="s">
        <v>206</v>
      </c>
      <c r="Y609" t="s">
        <v>293</v>
      </c>
    </row>
    <row r="610" spans="1:25" x14ac:dyDescent="0.25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1025</v>
      </c>
      <c r="V610" s="8">
        <v>1</v>
      </c>
      <c r="W610" s="8"/>
      <c r="X610" t="s">
        <v>206</v>
      </c>
      <c r="Y610" t="s">
        <v>170</v>
      </c>
    </row>
    <row r="611" spans="1:25" x14ac:dyDescent="0.25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1026</v>
      </c>
      <c r="V611" s="8"/>
      <c r="W611" s="8">
        <v>1</v>
      </c>
      <c r="X611" t="s">
        <v>207</v>
      </c>
      <c r="Y611" t="s">
        <v>378</v>
      </c>
    </row>
    <row r="612" spans="1:25" x14ac:dyDescent="0.25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1027</v>
      </c>
      <c r="V612" s="8">
        <v>1</v>
      </c>
      <c r="W612" s="8"/>
      <c r="X612" t="s">
        <v>206</v>
      </c>
      <c r="Y612" t="s">
        <v>201</v>
      </c>
    </row>
    <row r="613" spans="1:25" x14ac:dyDescent="0.25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1028</v>
      </c>
      <c r="V613" s="8">
        <v>1</v>
      </c>
      <c r="W613" s="8"/>
      <c r="X613" t="s">
        <v>206</v>
      </c>
      <c r="Y613" t="s">
        <v>210</v>
      </c>
    </row>
    <row r="614" spans="1:25" x14ac:dyDescent="0.25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1029</v>
      </c>
      <c r="V614" s="8">
        <v>1</v>
      </c>
      <c r="W614" s="8"/>
      <c r="X614" t="s">
        <v>206</v>
      </c>
      <c r="Y614" t="s">
        <v>200</v>
      </c>
    </row>
    <row r="615" spans="1:25" x14ac:dyDescent="0.25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1030</v>
      </c>
      <c r="V615" s="8">
        <v>1</v>
      </c>
      <c r="W615" s="8"/>
      <c r="X615" t="s">
        <v>206</v>
      </c>
      <c r="Y615" t="s">
        <v>265</v>
      </c>
    </row>
    <row r="616" spans="1:25" x14ac:dyDescent="0.25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1031</v>
      </c>
      <c r="V616" s="8">
        <v>1</v>
      </c>
      <c r="W616" s="8"/>
      <c r="X616" t="s">
        <v>206</v>
      </c>
      <c r="Y616" t="s">
        <v>319</v>
      </c>
    </row>
    <row r="617" spans="1:25" x14ac:dyDescent="0.25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1032</v>
      </c>
      <c r="V617" s="8"/>
      <c r="W617" s="8">
        <v>1</v>
      </c>
      <c r="X617" t="s">
        <v>207</v>
      </c>
      <c r="Y617" t="s">
        <v>217</v>
      </c>
    </row>
    <row r="618" spans="1:25" x14ac:dyDescent="0.25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1033</v>
      </c>
      <c r="V618" s="8">
        <v>1</v>
      </c>
      <c r="W618" s="8"/>
      <c r="X618" t="s">
        <v>206</v>
      </c>
      <c r="Y618" t="s">
        <v>167</v>
      </c>
    </row>
    <row r="619" spans="1:25" x14ac:dyDescent="0.25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1034</v>
      </c>
      <c r="V619" s="8">
        <v>1</v>
      </c>
      <c r="W619" s="8"/>
      <c r="X619" t="s">
        <v>206</v>
      </c>
      <c r="Y619" t="s">
        <v>173</v>
      </c>
    </row>
    <row r="620" spans="1:25" x14ac:dyDescent="0.25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1035</v>
      </c>
      <c r="V620" s="8">
        <v>1</v>
      </c>
      <c r="W620" s="8"/>
      <c r="X620" t="s">
        <v>206</v>
      </c>
      <c r="Y620" t="s">
        <v>292</v>
      </c>
    </row>
    <row r="621" spans="1:25" x14ac:dyDescent="0.25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1036</v>
      </c>
      <c r="V621" s="8">
        <v>1</v>
      </c>
      <c r="W621" s="8"/>
      <c r="X621" t="s">
        <v>206</v>
      </c>
      <c r="Y621" t="s">
        <v>244</v>
      </c>
    </row>
    <row r="622" spans="1:25" x14ac:dyDescent="0.25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1037</v>
      </c>
      <c r="V622" s="8">
        <v>1</v>
      </c>
      <c r="W622" s="8"/>
      <c r="X622" t="s">
        <v>206</v>
      </c>
      <c r="Y622" t="s">
        <v>316</v>
      </c>
    </row>
    <row r="623" spans="1:25" x14ac:dyDescent="0.25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1038</v>
      </c>
      <c r="V623" s="8">
        <v>1</v>
      </c>
      <c r="W623" s="8"/>
      <c r="X623" t="s">
        <v>206</v>
      </c>
      <c r="Y623" t="s">
        <v>331</v>
      </c>
    </row>
    <row r="624" spans="1:25" x14ac:dyDescent="0.25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1039</v>
      </c>
      <c r="V624" s="8">
        <v>1</v>
      </c>
      <c r="W624" s="8"/>
      <c r="X624" t="s">
        <v>206</v>
      </c>
      <c r="Y624" t="s">
        <v>332</v>
      </c>
    </row>
    <row r="625" spans="1:25" x14ac:dyDescent="0.25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1040</v>
      </c>
      <c r="V625" s="8">
        <v>1</v>
      </c>
      <c r="W625" s="8"/>
      <c r="X625" t="s">
        <v>206</v>
      </c>
      <c r="Y625" t="s">
        <v>237</v>
      </c>
    </row>
    <row r="626" spans="1:25" x14ac:dyDescent="0.25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1041</v>
      </c>
      <c r="V626" s="8">
        <v>1</v>
      </c>
      <c r="W626" s="8"/>
      <c r="X626" t="s">
        <v>206</v>
      </c>
      <c r="Y626" t="s">
        <v>175</v>
      </c>
    </row>
    <row r="627" spans="1:25" x14ac:dyDescent="0.25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1042</v>
      </c>
      <c r="V627" s="8">
        <v>1</v>
      </c>
      <c r="W627" s="8"/>
      <c r="X627" t="s">
        <v>206</v>
      </c>
      <c r="Y627" t="s">
        <v>213</v>
      </c>
    </row>
    <row r="628" spans="1:25" x14ac:dyDescent="0.25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1043</v>
      </c>
      <c r="V628" s="8">
        <v>1</v>
      </c>
      <c r="W628" s="8"/>
      <c r="X628" t="s">
        <v>206</v>
      </c>
      <c r="Y628" t="s">
        <v>202</v>
      </c>
    </row>
    <row r="629" spans="1:25" x14ac:dyDescent="0.25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1044</v>
      </c>
      <c r="V629" s="8">
        <v>1</v>
      </c>
      <c r="W629" s="8"/>
      <c r="X629" t="s">
        <v>206</v>
      </c>
      <c r="Y629" t="s">
        <v>522</v>
      </c>
    </row>
    <row r="630" spans="1:25" x14ac:dyDescent="0.25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1045</v>
      </c>
      <c r="V630" s="8">
        <v>1</v>
      </c>
      <c r="W630" s="8"/>
      <c r="X630" t="s">
        <v>206</v>
      </c>
      <c r="Y630" t="s">
        <v>202</v>
      </c>
    </row>
    <row r="631" spans="1:25" x14ac:dyDescent="0.25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1046</v>
      </c>
      <c r="V631" s="8">
        <v>1</v>
      </c>
      <c r="W631" s="8"/>
      <c r="X631" t="s">
        <v>206</v>
      </c>
      <c r="Y631" t="s">
        <v>301</v>
      </c>
    </row>
    <row r="632" spans="1:25" x14ac:dyDescent="0.25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1047</v>
      </c>
      <c r="V632" s="8"/>
      <c r="W632" s="8">
        <v>1</v>
      </c>
      <c r="X632" t="s">
        <v>207</v>
      </c>
      <c r="Y632" t="s">
        <v>252</v>
      </c>
    </row>
    <row r="633" spans="1:25" x14ac:dyDescent="0.25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1048</v>
      </c>
      <c r="V633" s="8">
        <v>1</v>
      </c>
      <c r="W633" s="8"/>
      <c r="X633" t="s">
        <v>206</v>
      </c>
      <c r="Y633" t="s">
        <v>167</v>
      </c>
    </row>
    <row r="634" spans="1:25" x14ac:dyDescent="0.25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1049</v>
      </c>
      <c r="V634" s="8"/>
      <c r="W634" s="8">
        <v>1</v>
      </c>
      <c r="X634" t="s">
        <v>207</v>
      </c>
      <c r="Y634" t="s">
        <v>174</v>
      </c>
    </row>
    <row r="635" spans="1:25" x14ac:dyDescent="0.25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1050</v>
      </c>
      <c r="V635" s="8"/>
      <c r="W635" s="8">
        <v>1</v>
      </c>
      <c r="X635" t="s">
        <v>207</v>
      </c>
      <c r="Y635" t="s">
        <v>201</v>
      </c>
    </row>
    <row r="636" spans="1:25" x14ac:dyDescent="0.25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1051</v>
      </c>
      <c r="V636" s="8">
        <v>1</v>
      </c>
      <c r="W636" s="8"/>
      <c r="X636" t="s">
        <v>206</v>
      </c>
      <c r="Y636" t="s">
        <v>210</v>
      </c>
    </row>
    <row r="637" spans="1:25" x14ac:dyDescent="0.25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1052</v>
      </c>
      <c r="V637" s="8">
        <v>1</v>
      </c>
      <c r="W637" s="8"/>
      <c r="X637" t="s">
        <v>206</v>
      </c>
      <c r="Y637" t="s">
        <v>194</v>
      </c>
    </row>
    <row r="638" spans="1:25" x14ac:dyDescent="0.25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1053</v>
      </c>
      <c r="V638" s="8">
        <v>1</v>
      </c>
      <c r="W638" s="8"/>
      <c r="X638" t="s">
        <v>206</v>
      </c>
      <c r="Y638" t="s">
        <v>194</v>
      </c>
    </row>
    <row r="639" spans="1:25" x14ac:dyDescent="0.25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1054</v>
      </c>
      <c r="V639" s="8">
        <v>1</v>
      </c>
      <c r="W639" s="8"/>
      <c r="X639" t="s">
        <v>206</v>
      </c>
      <c r="Y639" t="s">
        <v>188</v>
      </c>
    </row>
    <row r="640" spans="1:25" x14ac:dyDescent="0.25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1055</v>
      </c>
      <c r="V640" s="8"/>
      <c r="W640" s="8">
        <v>1</v>
      </c>
      <c r="X640" t="s">
        <v>207</v>
      </c>
      <c r="Y640" t="s">
        <v>219</v>
      </c>
    </row>
    <row r="641" spans="1:25" x14ac:dyDescent="0.25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1056</v>
      </c>
      <c r="V641" s="8">
        <v>1</v>
      </c>
      <c r="W641" s="8"/>
      <c r="X641" t="s">
        <v>206</v>
      </c>
      <c r="Y641" t="s">
        <v>277</v>
      </c>
    </row>
    <row r="642" spans="1:25" x14ac:dyDescent="0.25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1057</v>
      </c>
      <c r="V642" s="8">
        <v>1</v>
      </c>
      <c r="W642" s="8"/>
      <c r="X642" t="s">
        <v>206</v>
      </c>
      <c r="Y642" t="s">
        <v>173</v>
      </c>
    </row>
    <row r="643" spans="1:25" x14ac:dyDescent="0.25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1058</v>
      </c>
      <c r="V643" s="8">
        <v>1</v>
      </c>
      <c r="W643" s="8"/>
      <c r="X643" t="s">
        <v>206</v>
      </c>
      <c r="Y643" t="s">
        <v>175</v>
      </c>
    </row>
    <row r="644" spans="1:25" x14ac:dyDescent="0.25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1059</v>
      </c>
      <c r="V644" s="8"/>
      <c r="W644" s="8">
        <v>1</v>
      </c>
      <c r="X644" t="s">
        <v>207</v>
      </c>
      <c r="Y644" t="s">
        <v>168</v>
      </c>
    </row>
    <row r="645" spans="1:25" x14ac:dyDescent="0.25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1060</v>
      </c>
      <c r="V645" s="8"/>
      <c r="W645" s="8">
        <v>1</v>
      </c>
      <c r="X645" t="s">
        <v>207</v>
      </c>
      <c r="Y645" t="s">
        <v>351</v>
      </c>
    </row>
    <row r="646" spans="1:25" x14ac:dyDescent="0.25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1061</v>
      </c>
      <c r="V646" s="8">
        <v>1</v>
      </c>
      <c r="W646" s="8"/>
      <c r="X646" t="s">
        <v>206</v>
      </c>
      <c r="Y646" t="s">
        <v>170</v>
      </c>
    </row>
    <row r="647" spans="1:25" x14ac:dyDescent="0.25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1062</v>
      </c>
      <c r="V647" s="8"/>
      <c r="W647" s="8">
        <v>1</v>
      </c>
      <c r="X647" t="s">
        <v>207</v>
      </c>
      <c r="Y647" t="s">
        <v>168</v>
      </c>
    </row>
    <row r="648" spans="1:25" x14ac:dyDescent="0.25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1063</v>
      </c>
      <c r="V648" s="8">
        <v>1</v>
      </c>
      <c r="W648" s="8"/>
      <c r="X648" t="s">
        <v>206</v>
      </c>
      <c r="Y648" t="s">
        <v>522</v>
      </c>
    </row>
    <row r="649" spans="1:25" x14ac:dyDescent="0.25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1064</v>
      </c>
      <c r="V649" s="8"/>
      <c r="W649" s="8">
        <v>1</v>
      </c>
      <c r="X649" t="s">
        <v>207</v>
      </c>
      <c r="Y649" t="s">
        <v>238</v>
      </c>
    </row>
    <row r="650" spans="1:25" x14ac:dyDescent="0.25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1065</v>
      </c>
      <c r="V650" s="8">
        <v>1</v>
      </c>
      <c r="W650" s="8"/>
      <c r="X650" t="s">
        <v>206</v>
      </c>
      <c r="Y650" t="s">
        <v>372</v>
      </c>
    </row>
    <row r="651" spans="1:25" x14ac:dyDescent="0.25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1066</v>
      </c>
      <c r="V651" s="8"/>
      <c r="W651" s="8">
        <v>1</v>
      </c>
      <c r="X651" t="s">
        <v>207</v>
      </c>
      <c r="Y651" t="s">
        <v>201</v>
      </c>
    </row>
    <row r="652" spans="1:25" x14ac:dyDescent="0.25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1067</v>
      </c>
      <c r="V652" s="8">
        <v>1</v>
      </c>
      <c r="W652" s="8"/>
      <c r="X652" t="s">
        <v>206</v>
      </c>
      <c r="Y652" t="s">
        <v>328</v>
      </c>
    </row>
    <row r="653" spans="1:25" x14ac:dyDescent="0.25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1068</v>
      </c>
      <c r="V653" s="8">
        <v>1</v>
      </c>
      <c r="W653" s="8"/>
      <c r="X653" t="s">
        <v>206</v>
      </c>
      <c r="Y653" t="s">
        <v>254</v>
      </c>
    </row>
    <row r="654" spans="1:25" x14ac:dyDescent="0.25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1069</v>
      </c>
      <c r="V654" s="8"/>
      <c r="W654" s="8">
        <v>1</v>
      </c>
      <c r="X654" t="s">
        <v>207</v>
      </c>
      <c r="Y654" t="s">
        <v>167</v>
      </c>
    </row>
    <row r="655" spans="1:25" x14ac:dyDescent="0.25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1070</v>
      </c>
      <c r="V655" s="8"/>
      <c r="W655" s="8">
        <v>1</v>
      </c>
      <c r="X655" t="s">
        <v>207</v>
      </c>
      <c r="Y655" t="s">
        <v>257</v>
      </c>
    </row>
    <row r="656" spans="1:25" x14ac:dyDescent="0.25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1071</v>
      </c>
      <c r="V656" s="8">
        <v>1</v>
      </c>
      <c r="W656" s="8"/>
      <c r="X656" t="s">
        <v>206</v>
      </c>
      <c r="Y656" t="s">
        <v>204</v>
      </c>
    </row>
    <row r="657" spans="1:25" x14ac:dyDescent="0.25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1072</v>
      </c>
      <c r="V657" s="8">
        <v>1</v>
      </c>
      <c r="W657" s="8"/>
      <c r="X657" t="s">
        <v>206</v>
      </c>
      <c r="Y657" t="s">
        <v>170</v>
      </c>
    </row>
    <row r="658" spans="1:25" x14ac:dyDescent="0.25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1073</v>
      </c>
      <c r="V658" s="8">
        <v>1</v>
      </c>
      <c r="W658" s="8"/>
      <c r="X658" t="s">
        <v>206</v>
      </c>
      <c r="Y658" t="s">
        <v>347</v>
      </c>
    </row>
    <row r="659" spans="1:25" x14ac:dyDescent="0.25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1074</v>
      </c>
      <c r="V659" s="8">
        <v>1</v>
      </c>
      <c r="W659" s="8"/>
      <c r="X659" t="s">
        <v>206</v>
      </c>
      <c r="Y659" t="s">
        <v>336</v>
      </c>
    </row>
    <row r="660" spans="1:25" x14ac:dyDescent="0.25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1075</v>
      </c>
      <c r="V660" s="8">
        <v>1</v>
      </c>
      <c r="W660" s="8"/>
      <c r="X660" t="s">
        <v>206</v>
      </c>
      <c r="Y660" t="s">
        <v>310</v>
      </c>
    </row>
    <row r="661" spans="1:25" x14ac:dyDescent="0.25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1076</v>
      </c>
      <c r="V661" s="8"/>
      <c r="W661" s="8">
        <v>1</v>
      </c>
      <c r="X661" t="s">
        <v>207</v>
      </c>
      <c r="Y661" t="s">
        <v>273</v>
      </c>
    </row>
    <row r="662" spans="1:25" x14ac:dyDescent="0.25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1077</v>
      </c>
      <c r="V662" s="8">
        <v>1</v>
      </c>
      <c r="W662" s="8"/>
      <c r="X662" t="s">
        <v>206</v>
      </c>
      <c r="Y662" t="s">
        <v>192</v>
      </c>
    </row>
    <row r="663" spans="1:25" x14ac:dyDescent="0.25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1078</v>
      </c>
      <c r="V663" s="8">
        <v>1</v>
      </c>
      <c r="W663" s="8"/>
      <c r="X663" t="s">
        <v>206</v>
      </c>
      <c r="Y663" t="s">
        <v>241</v>
      </c>
    </row>
    <row r="664" spans="1:25" x14ac:dyDescent="0.25">
      <c r="A664">
        <v>9999</v>
      </c>
      <c r="B664" t="str">
        <f>_xlfn.CONCAT(Tabel1[[#This Row],[personeelsnr]]," ",C664," ",D664)</f>
        <v>9999 - -</v>
      </c>
      <c r="C664" t="s">
        <v>3347</v>
      </c>
      <c r="D664" t="s">
        <v>3347</v>
      </c>
      <c r="E664" t="s">
        <v>1150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1079</v>
      </c>
      <c r="V664" s="8">
        <v>1</v>
      </c>
      <c r="W664" s="8"/>
      <c r="X664" t="s">
        <v>206</v>
      </c>
      <c r="Y664" t="s">
        <v>168</v>
      </c>
    </row>
    <row r="665" spans="1:25" x14ac:dyDescent="0.25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1080</v>
      </c>
      <c r="V665" s="8">
        <v>1</v>
      </c>
      <c r="W665" s="8"/>
      <c r="X665" t="s">
        <v>206</v>
      </c>
      <c r="Y665" t="s">
        <v>311</v>
      </c>
    </row>
    <row r="666" spans="1:25" x14ac:dyDescent="0.25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1081</v>
      </c>
      <c r="V666" s="8">
        <v>1</v>
      </c>
      <c r="W666" s="8"/>
      <c r="X666" t="s">
        <v>206</v>
      </c>
      <c r="Y666" t="s">
        <v>240</v>
      </c>
    </row>
    <row r="667" spans="1:25" x14ac:dyDescent="0.25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1082</v>
      </c>
      <c r="V667" s="8">
        <v>1</v>
      </c>
      <c r="W667" s="8"/>
      <c r="X667" t="s">
        <v>206</v>
      </c>
      <c r="Y667" t="s">
        <v>261</v>
      </c>
    </row>
    <row r="668" spans="1:25" x14ac:dyDescent="0.25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1083</v>
      </c>
      <c r="V668" s="8">
        <v>1</v>
      </c>
      <c r="W668" s="8"/>
      <c r="X668" t="s">
        <v>206</v>
      </c>
      <c r="Y668" t="s">
        <v>242</v>
      </c>
    </row>
    <row r="669" spans="1:25" x14ac:dyDescent="0.25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1084</v>
      </c>
      <c r="V669" s="8">
        <v>1</v>
      </c>
      <c r="W669" s="8"/>
      <c r="X669" t="s">
        <v>206</v>
      </c>
      <c r="Y669" t="s">
        <v>396</v>
      </c>
    </row>
    <row r="670" spans="1:25" x14ac:dyDescent="0.25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1085</v>
      </c>
      <c r="V670" s="8">
        <v>1</v>
      </c>
      <c r="W670" s="8"/>
      <c r="X670" t="s">
        <v>206</v>
      </c>
      <c r="Y670" t="s">
        <v>238</v>
      </c>
    </row>
    <row r="671" spans="1:25" x14ac:dyDescent="0.25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1086</v>
      </c>
      <c r="V671" s="8">
        <v>1</v>
      </c>
      <c r="W671" s="8"/>
      <c r="X671" t="s">
        <v>206</v>
      </c>
      <c r="Y671" t="s">
        <v>173</v>
      </c>
    </row>
    <row r="672" spans="1:25" x14ac:dyDescent="0.25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1087</v>
      </c>
      <c r="V672" s="8">
        <v>1</v>
      </c>
      <c r="W672" s="8"/>
      <c r="X672" t="s">
        <v>206</v>
      </c>
      <c r="Y672" t="s">
        <v>177</v>
      </c>
    </row>
    <row r="673" spans="1:25" x14ac:dyDescent="0.25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3361</v>
      </c>
      <c r="V673" s="8">
        <v>1</v>
      </c>
      <c r="W673" s="8"/>
      <c r="X673" t="s">
        <v>206</v>
      </c>
      <c r="Y673" t="s">
        <v>210</v>
      </c>
    </row>
    <row r="674" spans="1:25" x14ac:dyDescent="0.25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1088</v>
      </c>
      <c r="V674" s="8">
        <v>1</v>
      </c>
      <c r="W674" s="8"/>
      <c r="X674" t="s">
        <v>206</v>
      </c>
      <c r="Y674" t="s">
        <v>169</v>
      </c>
    </row>
    <row r="675" spans="1:25" x14ac:dyDescent="0.25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1089</v>
      </c>
      <c r="V675" s="8"/>
      <c r="W675" s="8">
        <v>1</v>
      </c>
      <c r="X675" t="s">
        <v>207</v>
      </c>
      <c r="Y675" t="s">
        <v>168</v>
      </c>
    </row>
    <row r="676" spans="1:25" x14ac:dyDescent="0.25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1090</v>
      </c>
      <c r="V676" s="8">
        <v>1</v>
      </c>
      <c r="W676" s="8"/>
      <c r="X676" t="s">
        <v>206</v>
      </c>
      <c r="Y676" t="s">
        <v>170</v>
      </c>
    </row>
    <row r="677" spans="1:25" x14ac:dyDescent="0.25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1091</v>
      </c>
      <c r="V677" s="8">
        <v>1</v>
      </c>
      <c r="W677" s="8"/>
      <c r="X677" t="s">
        <v>206</v>
      </c>
      <c r="Y677" t="s">
        <v>194</v>
      </c>
    </row>
    <row r="678" spans="1:25" x14ac:dyDescent="0.25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1092</v>
      </c>
      <c r="V678" s="8">
        <v>1</v>
      </c>
      <c r="W678" s="8"/>
      <c r="X678" t="s">
        <v>206</v>
      </c>
      <c r="Y678" t="s">
        <v>385</v>
      </c>
    </row>
    <row r="679" spans="1:25" x14ac:dyDescent="0.25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1093</v>
      </c>
      <c r="V679" s="8">
        <v>1</v>
      </c>
      <c r="W679" s="8"/>
      <c r="X679" t="s">
        <v>206</v>
      </c>
      <c r="Y679" t="s">
        <v>393</v>
      </c>
    </row>
    <row r="680" spans="1:25" x14ac:dyDescent="0.25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1094</v>
      </c>
      <c r="V680" s="8">
        <v>1</v>
      </c>
      <c r="W680" s="8"/>
      <c r="X680" t="s">
        <v>206</v>
      </c>
      <c r="Y680" t="s">
        <v>298</v>
      </c>
    </row>
    <row r="681" spans="1:25" x14ac:dyDescent="0.25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1095</v>
      </c>
      <c r="V681" s="8"/>
      <c r="W681" s="8">
        <v>1</v>
      </c>
      <c r="X681" t="s">
        <v>207</v>
      </c>
      <c r="Y681" t="s">
        <v>176</v>
      </c>
    </row>
    <row r="682" spans="1:25" x14ac:dyDescent="0.25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1096</v>
      </c>
      <c r="V682" s="8">
        <v>1</v>
      </c>
      <c r="W682" s="8"/>
      <c r="X682" t="s">
        <v>206</v>
      </c>
      <c r="Y682" t="s">
        <v>173</v>
      </c>
    </row>
    <row r="683" spans="1:25" x14ac:dyDescent="0.25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1097</v>
      </c>
      <c r="V683" s="8">
        <v>1</v>
      </c>
      <c r="W683" s="8"/>
      <c r="X683" t="s">
        <v>206</v>
      </c>
      <c r="Y683" t="s">
        <v>196</v>
      </c>
    </row>
    <row r="684" spans="1:25" x14ac:dyDescent="0.25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1098</v>
      </c>
      <c r="V684" s="8">
        <v>1</v>
      </c>
      <c r="W684" s="8"/>
      <c r="X684" t="s">
        <v>206</v>
      </c>
      <c r="Y684" t="s">
        <v>170</v>
      </c>
    </row>
    <row r="685" spans="1:25" x14ac:dyDescent="0.25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1099</v>
      </c>
      <c r="V685" s="8"/>
      <c r="W685" s="8">
        <v>1</v>
      </c>
      <c r="X685" t="s">
        <v>207</v>
      </c>
      <c r="Y685" t="s">
        <v>167</v>
      </c>
    </row>
    <row r="686" spans="1:25" x14ac:dyDescent="0.25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1100</v>
      </c>
      <c r="V686" s="8">
        <v>1</v>
      </c>
      <c r="W686" s="8"/>
      <c r="X686" t="s">
        <v>206</v>
      </c>
      <c r="Y686" t="s">
        <v>339</v>
      </c>
    </row>
    <row r="687" spans="1:25" x14ac:dyDescent="0.25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1101</v>
      </c>
      <c r="V687" s="8">
        <v>1</v>
      </c>
      <c r="W687" s="8"/>
      <c r="X687" t="s">
        <v>206</v>
      </c>
      <c r="Y687" t="s">
        <v>306</v>
      </c>
    </row>
    <row r="688" spans="1:25" x14ac:dyDescent="0.25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1102</v>
      </c>
      <c r="V688" s="8">
        <v>1</v>
      </c>
      <c r="W688" s="8"/>
      <c r="X688" t="s">
        <v>206</v>
      </c>
      <c r="Y688" t="s">
        <v>288</v>
      </c>
    </row>
    <row r="689" spans="1:25" x14ac:dyDescent="0.25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1103</v>
      </c>
      <c r="V689" s="8"/>
      <c r="W689" s="8">
        <v>1</v>
      </c>
      <c r="X689" t="s">
        <v>207</v>
      </c>
      <c r="Y689" t="s">
        <v>308</v>
      </c>
    </row>
    <row r="690" spans="1:25" x14ac:dyDescent="0.25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1104</v>
      </c>
      <c r="V690" s="8">
        <v>1</v>
      </c>
      <c r="W690" s="8"/>
      <c r="X690" t="s">
        <v>206</v>
      </c>
      <c r="Y690" t="s">
        <v>201</v>
      </c>
    </row>
    <row r="691" spans="1:25" x14ac:dyDescent="0.25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1105</v>
      </c>
      <c r="V691" s="8">
        <v>1</v>
      </c>
      <c r="W691" s="8"/>
      <c r="X691" t="s">
        <v>206</v>
      </c>
      <c r="Y691" t="s">
        <v>169</v>
      </c>
    </row>
    <row r="692" spans="1:25" x14ac:dyDescent="0.25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1106</v>
      </c>
      <c r="V692" s="8">
        <v>1</v>
      </c>
      <c r="X692" t="s">
        <v>206</v>
      </c>
      <c r="Y692" t="s">
        <v>179</v>
      </c>
    </row>
    <row r="693" spans="1:25" x14ac:dyDescent="0.25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3241</v>
      </c>
      <c r="V693" s="8"/>
      <c r="W693" s="8">
        <v>1</v>
      </c>
      <c r="X693" t="s">
        <v>207</v>
      </c>
      <c r="Y693" t="s">
        <v>245</v>
      </c>
    </row>
    <row r="694" spans="1:25" x14ac:dyDescent="0.25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1107</v>
      </c>
      <c r="V694" s="8"/>
      <c r="W694" s="8">
        <v>1</v>
      </c>
      <c r="X694" t="s">
        <v>207</v>
      </c>
      <c r="Y694" t="s">
        <v>246</v>
      </c>
    </row>
    <row r="695" spans="1:25" x14ac:dyDescent="0.25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1108</v>
      </c>
      <c r="V695" s="8">
        <v>1</v>
      </c>
      <c r="W695" s="8"/>
      <c r="X695" t="s">
        <v>206</v>
      </c>
      <c r="Y695" t="s">
        <v>265</v>
      </c>
    </row>
    <row r="696" spans="1:25" x14ac:dyDescent="0.25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1109</v>
      </c>
      <c r="V696" s="8">
        <v>1</v>
      </c>
      <c r="W696" s="8"/>
      <c r="X696" t="s">
        <v>206</v>
      </c>
      <c r="Y696" t="s">
        <v>263</v>
      </c>
    </row>
    <row r="697" spans="1:25" x14ac:dyDescent="0.25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1110</v>
      </c>
      <c r="V697" s="8">
        <v>1</v>
      </c>
      <c r="W697" s="8"/>
      <c r="X697" t="s">
        <v>206</v>
      </c>
      <c r="Y697" t="s">
        <v>290</v>
      </c>
    </row>
    <row r="698" spans="1:25" x14ac:dyDescent="0.25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1111</v>
      </c>
      <c r="V698" s="8"/>
      <c r="W698" s="8">
        <v>1</v>
      </c>
      <c r="X698" t="s">
        <v>207</v>
      </c>
      <c r="Y698" t="s">
        <v>168</v>
      </c>
    </row>
    <row r="699" spans="1:25" x14ac:dyDescent="0.25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1112</v>
      </c>
      <c r="V699" s="8">
        <v>1</v>
      </c>
      <c r="W699" s="8"/>
      <c r="X699" t="s">
        <v>206</v>
      </c>
      <c r="Y699" t="s">
        <v>190</v>
      </c>
    </row>
    <row r="700" spans="1:25" x14ac:dyDescent="0.25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1113</v>
      </c>
      <c r="V700" s="8">
        <v>1</v>
      </c>
      <c r="W700" s="8"/>
      <c r="X700" t="s">
        <v>206</v>
      </c>
      <c r="Y700" t="s">
        <v>237</v>
      </c>
    </row>
    <row r="701" spans="1:25" x14ac:dyDescent="0.25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1114</v>
      </c>
      <c r="V701" s="8">
        <v>1</v>
      </c>
      <c r="W701" s="8"/>
      <c r="X701" t="s">
        <v>206</v>
      </c>
      <c r="Y701" t="s">
        <v>260</v>
      </c>
    </row>
    <row r="702" spans="1:25" x14ac:dyDescent="0.25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1115</v>
      </c>
      <c r="V702" s="8"/>
      <c r="W702" s="8">
        <v>1</v>
      </c>
      <c r="X702" t="s">
        <v>207</v>
      </c>
      <c r="Y702" t="s">
        <v>183</v>
      </c>
    </row>
    <row r="703" spans="1:25" x14ac:dyDescent="0.25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1116</v>
      </c>
      <c r="V703" s="8">
        <v>1</v>
      </c>
      <c r="W703" s="8"/>
      <c r="X703" t="s">
        <v>206</v>
      </c>
      <c r="Y703" t="s">
        <v>337</v>
      </c>
    </row>
    <row r="704" spans="1:25" x14ac:dyDescent="0.25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1117</v>
      </c>
      <c r="V704" s="8">
        <v>1</v>
      </c>
      <c r="W704" s="8"/>
      <c r="X704" t="s">
        <v>206</v>
      </c>
      <c r="Y704" t="s">
        <v>383</v>
      </c>
    </row>
    <row r="705" spans="1:25" x14ac:dyDescent="0.25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1118</v>
      </c>
      <c r="V705" s="8">
        <v>1</v>
      </c>
      <c r="W705" s="8"/>
      <c r="X705" t="s">
        <v>206</v>
      </c>
      <c r="Y705" t="s">
        <v>169</v>
      </c>
    </row>
    <row r="706" spans="1:25" x14ac:dyDescent="0.25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1119</v>
      </c>
      <c r="V706" s="8">
        <v>1</v>
      </c>
      <c r="W706" s="8"/>
      <c r="X706" t="s">
        <v>206</v>
      </c>
      <c r="Y706" t="s">
        <v>211</v>
      </c>
    </row>
    <row r="707" spans="1:25" x14ac:dyDescent="0.25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1120</v>
      </c>
      <c r="V707" s="8"/>
      <c r="W707" s="8">
        <v>1</v>
      </c>
      <c r="X707" t="s">
        <v>207</v>
      </c>
      <c r="Y707" t="s">
        <v>262</v>
      </c>
    </row>
    <row r="708" spans="1:25" x14ac:dyDescent="0.25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1121</v>
      </c>
      <c r="V708" s="8">
        <v>1</v>
      </c>
      <c r="W708" s="20"/>
      <c r="X708" t="s">
        <v>206</v>
      </c>
      <c r="Y708" s="15" t="s">
        <v>251</v>
      </c>
    </row>
    <row r="709" spans="1:25" x14ac:dyDescent="0.25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1122</v>
      </c>
      <c r="V709" s="8">
        <v>1</v>
      </c>
      <c r="W709" s="8"/>
      <c r="X709" t="s">
        <v>206</v>
      </c>
      <c r="Y709" t="s">
        <v>244</v>
      </c>
    </row>
    <row r="710" spans="1:25" x14ac:dyDescent="0.25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901</v>
      </c>
      <c r="V710" s="8">
        <v>1</v>
      </c>
      <c r="W710" s="8"/>
      <c r="X710" t="s">
        <v>206</v>
      </c>
      <c r="Y710" t="s">
        <v>326</v>
      </c>
    </row>
    <row r="711" spans="1:25" x14ac:dyDescent="0.25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1123</v>
      </c>
      <c r="V711" s="8">
        <v>1</v>
      </c>
      <c r="W711" s="8"/>
      <c r="X711" t="s">
        <v>206</v>
      </c>
      <c r="Y711" t="s">
        <v>230</v>
      </c>
    </row>
    <row r="712" spans="1:25" x14ac:dyDescent="0.25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1124</v>
      </c>
      <c r="V712" s="8">
        <v>1</v>
      </c>
      <c r="W712" s="8"/>
      <c r="X712" t="s">
        <v>206</v>
      </c>
      <c r="Y712" t="s">
        <v>302</v>
      </c>
    </row>
    <row r="713" spans="1:25" x14ac:dyDescent="0.25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1125</v>
      </c>
      <c r="V713" s="8">
        <v>1</v>
      </c>
      <c r="W713" s="8"/>
      <c r="X713" t="s">
        <v>206</v>
      </c>
      <c r="Y713" t="s">
        <v>1126</v>
      </c>
    </row>
    <row r="714" spans="1:25" x14ac:dyDescent="0.25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1127</v>
      </c>
      <c r="V714" s="8">
        <v>1</v>
      </c>
      <c r="W714" s="8"/>
      <c r="X714" t="s">
        <v>206</v>
      </c>
      <c r="Y714" t="s">
        <v>352</v>
      </c>
    </row>
    <row r="715" spans="1:25" x14ac:dyDescent="0.25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1128</v>
      </c>
      <c r="V715" s="8">
        <v>1</v>
      </c>
      <c r="W715" s="8"/>
      <c r="X715" t="s">
        <v>206</v>
      </c>
      <c r="Y715" t="s">
        <v>213</v>
      </c>
    </row>
    <row r="716" spans="1:25" x14ac:dyDescent="0.25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1129</v>
      </c>
      <c r="V716" s="8">
        <v>1</v>
      </c>
      <c r="W716" s="8"/>
      <c r="X716" t="s">
        <v>206</v>
      </c>
      <c r="Y716" t="s">
        <v>182</v>
      </c>
    </row>
    <row r="717" spans="1:25" x14ac:dyDescent="0.25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1130</v>
      </c>
      <c r="V717" s="8">
        <v>1</v>
      </c>
      <c r="W717" s="8"/>
      <c r="X717" t="s">
        <v>206</v>
      </c>
      <c r="Y717" t="s">
        <v>184</v>
      </c>
    </row>
    <row r="718" spans="1:25" x14ac:dyDescent="0.25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1131</v>
      </c>
      <c r="V718" s="8">
        <v>1</v>
      </c>
      <c r="W718" s="8"/>
      <c r="X718" t="s">
        <v>206</v>
      </c>
      <c r="Y718" t="s">
        <v>169</v>
      </c>
    </row>
    <row r="719" spans="1:25" x14ac:dyDescent="0.25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1132</v>
      </c>
      <c r="V719" s="8">
        <v>1</v>
      </c>
      <c r="W719" s="8"/>
      <c r="X719" t="s">
        <v>206</v>
      </c>
      <c r="Y719" t="s">
        <v>188</v>
      </c>
    </row>
    <row r="720" spans="1:25" x14ac:dyDescent="0.25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1133</v>
      </c>
      <c r="V720" s="8">
        <v>1</v>
      </c>
      <c r="W720" s="8"/>
      <c r="X720" t="s">
        <v>206</v>
      </c>
      <c r="Y720" t="s">
        <v>176</v>
      </c>
    </row>
    <row r="721" spans="1:25" x14ac:dyDescent="0.25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1134</v>
      </c>
      <c r="V721" s="8">
        <v>1</v>
      </c>
      <c r="W721" s="8"/>
      <c r="X721" t="s">
        <v>206</v>
      </c>
      <c r="Y721" t="s">
        <v>168</v>
      </c>
    </row>
    <row r="722" spans="1:25" x14ac:dyDescent="0.25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1135</v>
      </c>
      <c r="V722" s="8">
        <v>1</v>
      </c>
      <c r="W722" s="8"/>
      <c r="X722" t="s">
        <v>206</v>
      </c>
      <c r="Y722" t="s">
        <v>184</v>
      </c>
    </row>
    <row r="723" spans="1:25" x14ac:dyDescent="0.25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1136</v>
      </c>
      <c r="V723" s="8">
        <v>1</v>
      </c>
      <c r="W723" s="8"/>
      <c r="X723" t="s">
        <v>206</v>
      </c>
      <c r="Y723" t="s">
        <v>254</v>
      </c>
    </row>
    <row r="724" spans="1:25" x14ac:dyDescent="0.25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1137</v>
      </c>
      <c r="V724" s="8"/>
      <c r="W724" s="8">
        <v>1</v>
      </c>
      <c r="X724" t="s">
        <v>207</v>
      </c>
      <c r="Y724" t="s">
        <v>183</v>
      </c>
    </row>
    <row r="725" spans="1:25" x14ac:dyDescent="0.25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1138</v>
      </c>
      <c r="V725" s="8"/>
      <c r="W725" s="8">
        <v>1</v>
      </c>
      <c r="X725" t="s">
        <v>207</v>
      </c>
      <c r="Y725" t="s">
        <v>276</v>
      </c>
    </row>
    <row r="726" spans="1:25" x14ac:dyDescent="0.25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1139</v>
      </c>
      <c r="V726" s="8"/>
      <c r="W726" s="8">
        <v>1</v>
      </c>
      <c r="X726" t="s">
        <v>207</v>
      </c>
      <c r="Y726" t="s">
        <v>294</v>
      </c>
    </row>
    <row r="727" spans="1:25" x14ac:dyDescent="0.25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1140</v>
      </c>
      <c r="V727" s="8"/>
      <c r="W727" s="8">
        <v>1</v>
      </c>
      <c r="X727" t="s">
        <v>207</v>
      </c>
      <c r="Y727" t="s">
        <v>314</v>
      </c>
    </row>
    <row r="728" spans="1:25" x14ac:dyDescent="0.25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1141</v>
      </c>
      <c r="V728" s="8"/>
      <c r="W728" s="8">
        <v>1</v>
      </c>
      <c r="X728" t="s">
        <v>207</v>
      </c>
      <c r="Y728" t="s">
        <v>282</v>
      </c>
    </row>
    <row r="729" spans="1:25" x14ac:dyDescent="0.25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1142</v>
      </c>
      <c r="V729" s="8"/>
      <c r="W729" s="8">
        <v>1</v>
      </c>
      <c r="X729" t="s">
        <v>207</v>
      </c>
      <c r="Y729" t="s">
        <v>275</v>
      </c>
    </row>
    <row r="730" spans="1:25" x14ac:dyDescent="0.25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1143</v>
      </c>
      <c r="V730" s="8"/>
      <c r="W730" s="8">
        <v>1</v>
      </c>
      <c r="X730" t="s">
        <v>207</v>
      </c>
      <c r="Y730" t="s">
        <v>176</v>
      </c>
    </row>
    <row r="731" spans="1:25" x14ac:dyDescent="0.25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1144</v>
      </c>
      <c r="V731" s="8"/>
      <c r="W731" s="8">
        <v>1</v>
      </c>
      <c r="X731" t="s">
        <v>207</v>
      </c>
      <c r="Y731" t="s">
        <v>168</v>
      </c>
    </row>
    <row r="732" spans="1:25" x14ac:dyDescent="0.25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1145</v>
      </c>
      <c r="V732" s="24"/>
      <c r="W732" s="24">
        <v>1</v>
      </c>
      <c r="X732" t="s">
        <v>207</v>
      </c>
      <c r="Y732" t="s">
        <v>174</v>
      </c>
    </row>
    <row r="733" spans="1:25" x14ac:dyDescent="0.25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1146</v>
      </c>
      <c r="V733" s="24">
        <v>1</v>
      </c>
      <c r="W733" s="24"/>
      <c r="X733" t="s">
        <v>206</v>
      </c>
      <c r="Y733" t="s">
        <v>174</v>
      </c>
    </row>
    <row r="734" spans="1:25" x14ac:dyDescent="0.25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3236</v>
      </c>
      <c r="V734" s="24"/>
      <c r="W734" s="24">
        <v>1</v>
      </c>
      <c r="X734" t="s">
        <v>207</v>
      </c>
      <c r="Y734" t="s">
        <v>167</v>
      </c>
    </row>
    <row r="735" spans="1:25" x14ac:dyDescent="0.25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3237</v>
      </c>
      <c r="V735" s="24">
        <v>1</v>
      </c>
      <c r="W735" s="24"/>
      <c r="X735" t="s">
        <v>206</v>
      </c>
      <c r="Y735" t="s">
        <v>178</v>
      </c>
    </row>
    <row r="736" spans="1:25" x14ac:dyDescent="0.25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3238</v>
      </c>
      <c r="V736" s="24">
        <v>1</v>
      </c>
      <c r="W736" s="24"/>
      <c r="X736" t="s">
        <v>206</v>
      </c>
      <c r="Y736" t="s">
        <v>168</v>
      </c>
    </row>
    <row r="737" spans="1:25" x14ac:dyDescent="0.25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3242</v>
      </c>
      <c r="V737" s="24">
        <v>1</v>
      </c>
      <c r="W737" s="24"/>
      <c r="X737" t="s">
        <v>206</v>
      </c>
      <c r="Y737" t="s">
        <v>3243</v>
      </c>
    </row>
    <row r="738" spans="1:25" x14ac:dyDescent="0.25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3245</v>
      </c>
      <c r="V738" s="24">
        <v>1</v>
      </c>
      <c r="W738" s="24"/>
      <c r="X738" t="s">
        <v>206</v>
      </c>
      <c r="Y738" t="s">
        <v>177</v>
      </c>
    </row>
    <row r="739" spans="1:25" x14ac:dyDescent="0.25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3247</v>
      </c>
      <c r="V739" s="24">
        <v>1</v>
      </c>
      <c r="W739" s="24"/>
      <c r="X739" t="s">
        <v>206</v>
      </c>
      <c r="Y739" t="s">
        <v>167</v>
      </c>
    </row>
    <row r="740" spans="1:25" x14ac:dyDescent="0.25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3248</v>
      </c>
      <c r="V740" s="24">
        <v>1</v>
      </c>
      <c r="W740" s="24"/>
      <c r="X740" t="s">
        <v>206</v>
      </c>
      <c r="Y740" t="s">
        <v>3243</v>
      </c>
    </row>
    <row r="741" spans="1:25" x14ac:dyDescent="0.25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3250</v>
      </c>
      <c r="V741" s="24">
        <v>1</v>
      </c>
      <c r="W741" s="24"/>
      <c r="X741" t="s">
        <v>206</v>
      </c>
      <c r="Y741" t="s">
        <v>328</v>
      </c>
    </row>
    <row r="742" spans="1:25" x14ac:dyDescent="0.25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3251</v>
      </c>
      <c r="V742" s="24"/>
      <c r="W742" s="24">
        <v>1</v>
      </c>
      <c r="X742" t="s">
        <v>207</v>
      </c>
      <c r="Y742" t="s">
        <v>174</v>
      </c>
    </row>
    <row r="743" spans="1:25" x14ac:dyDescent="0.25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3252</v>
      </c>
      <c r="V743" s="24">
        <v>1</v>
      </c>
      <c r="W743" s="24"/>
      <c r="X743" t="s">
        <v>206</v>
      </c>
      <c r="Y743" t="s">
        <v>3253</v>
      </c>
    </row>
    <row r="744" spans="1:25" x14ac:dyDescent="0.25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3254</v>
      </c>
      <c r="V744" s="24"/>
      <c r="W744" s="24">
        <v>1</v>
      </c>
      <c r="X744" t="s">
        <v>207</v>
      </c>
      <c r="Y744" t="s">
        <v>272</v>
      </c>
    </row>
    <row r="745" spans="1:25" x14ac:dyDescent="0.25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3255</v>
      </c>
      <c r="V745" s="24">
        <v>1</v>
      </c>
      <c r="W745" s="24"/>
      <c r="X745" t="s">
        <v>206</v>
      </c>
      <c r="Y745" t="s">
        <v>178</v>
      </c>
    </row>
    <row r="746" spans="1:25" x14ac:dyDescent="0.25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3256</v>
      </c>
      <c r="V746" s="24">
        <v>1</v>
      </c>
      <c r="W746" s="24"/>
      <c r="X746" t="s">
        <v>206</v>
      </c>
      <c r="Y746" t="s">
        <v>290</v>
      </c>
    </row>
    <row r="747" spans="1:25" x14ac:dyDescent="0.25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3258</v>
      </c>
      <c r="V747" s="24"/>
      <c r="W747" s="24">
        <v>1</v>
      </c>
      <c r="X747" t="s">
        <v>207</v>
      </c>
      <c r="Y747" t="s">
        <v>223</v>
      </c>
    </row>
    <row r="748" spans="1:25" x14ac:dyDescent="0.25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3259</v>
      </c>
      <c r="V748" s="24">
        <v>1</v>
      </c>
      <c r="W748" s="24"/>
      <c r="X748" t="s">
        <v>206</v>
      </c>
      <c r="Y748" t="s">
        <v>171</v>
      </c>
    </row>
    <row r="749" spans="1:25" x14ac:dyDescent="0.25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3261</v>
      </c>
      <c r="V749" s="24">
        <v>1</v>
      </c>
      <c r="W749" s="24"/>
      <c r="X749" t="s">
        <v>206</v>
      </c>
      <c r="Y749" t="s">
        <v>242</v>
      </c>
    </row>
    <row r="750" spans="1:25" x14ac:dyDescent="0.25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3262</v>
      </c>
      <c r="V750" s="24"/>
      <c r="W750" s="24">
        <v>1</v>
      </c>
      <c r="X750" t="s">
        <v>207</v>
      </c>
      <c r="Y750" t="s">
        <v>167</v>
      </c>
    </row>
    <row r="751" spans="1:25" x14ac:dyDescent="0.25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3263</v>
      </c>
      <c r="V751" s="24">
        <v>1</v>
      </c>
      <c r="W751" s="24"/>
      <c r="X751" t="s">
        <v>206</v>
      </c>
      <c r="Y751" t="s">
        <v>372</v>
      </c>
    </row>
    <row r="752" spans="1:25" x14ac:dyDescent="0.25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3264</v>
      </c>
      <c r="V752" s="24">
        <v>1</v>
      </c>
      <c r="W752" s="24"/>
      <c r="X752" t="s">
        <v>206</v>
      </c>
      <c r="Y752" t="s">
        <v>281</v>
      </c>
    </row>
    <row r="753" spans="1:25" x14ac:dyDescent="0.25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3265</v>
      </c>
      <c r="V753" s="24"/>
      <c r="W753" s="24">
        <v>1</v>
      </c>
      <c r="X753" t="s">
        <v>207</v>
      </c>
      <c r="Y753" t="s">
        <v>176</v>
      </c>
    </row>
    <row r="754" spans="1:25" x14ac:dyDescent="0.25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3267</v>
      </c>
      <c r="V754" s="24"/>
      <c r="W754" s="24">
        <v>1</v>
      </c>
      <c r="X754" t="s">
        <v>207</v>
      </c>
      <c r="Y754" t="s">
        <v>262</v>
      </c>
    </row>
    <row r="755" spans="1:25" x14ac:dyDescent="0.25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3268</v>
      </c>
      <c r="V755" s="24">
        <v>1</v>
      </c>
      <c r="W755" s="24"/>
      <c r="X755" t="s">
        <v>206</v>
      </c>
      <c r="Y755" t="s">
        <v>3269</v>
      </c>
    </row>
    <row r="756" spans="1:25" x14ac:dyDescent="0.25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3270</v>
      </c>
      <c r="V756" s="24">
        <v>1</v>
      </c>
      <c r="W756" s="24"/>
      <c r="X756" t="s">
        <v>206</v>
      </c>
      <c r="Y756" t="s">
        <v>3271</v>
      </c>
    </row>
    <row r="757" spans="1:25" x14ac:dyDescent="0.25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3272</v>
      </c>
      <c r="V757" s="24"/>
      <c r="W757" s="24">
        <v>1</v>
      </c>
      <c r="X757" t="s">
        <v>207</v>
      </c>
      <c r="Y757" t="s">
        <v>168</v>
      </c>
    </row>
    <row r="758" spans="1:25" x14ac:dyDescent="0.25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3273</v>
      </c>
      <c r="V758" s="24"/>
      <c r="W758" s="24">
        <v>1</v>
      </c>
      <c r="X758" t="s">
        <v>207</v>
      </c>
      <c r="Y758" t="s">
        <v>219</v>
      </c>
    </row>
    <row r="759" spans="1:25" x14ac:dyDescent="0.25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3274</v>
      </c>
      <c r="V759" s="24">
        <v>1</v>
      </c>
      <c r="W759" s="24"/>
      <c r="X759" t="s">
        <v>206</v>
      </c>
      <c r="Y759" t="s">
        <v>3275</v>
      </c>
    </row>
    <row r="760" spans="1:25" x14ac:dyDescent="0.25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3276</v>
      </c>
      <c r="V760" s="24"/>
      <c r="W760" s="24">
        <v>1</v>
      </c>
      <c r="X760" t="s">
        <v>207</v>
      </c>
      <c r="Y760" t="s">
        <v>201</v>
      </c>
    </row>
    <row r="761" spans="1:25" x14ac:dyDescent="0.25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3277</v>
      </c>
      <c r="V761" s="24">
        <v>1</v>
      </c>
      <c r="W761" s="24"/>
      <c r="X761" t="s">
        <v>206</v>
      </c>
      <c r="Y761" t="s">
        <v>3278</v>
      </c>
    </row>
    <row r="762" spans="1:25" x14ac:dyDescent="0.25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3279</v>
      </c>
      <c r="V762" s="24"/>
      <c r="W762" s="24">
        <v>1</v>
      </c>
      <c r="X762" t="s">
        <v>207</v>
      </c>
      <c r="Y762" t="s">
        <v>3280</v>
      </c>
    </row>
    <row r="763" spans="1:25" x14ac:dyDescent="0.25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3282</v>
      </c>
      <c r="V763" s="24">
        <v>1</v>
      </c>
      <c r="W763" s="24"/>
      <c r="X763" t="s">
        <v>206</v>
      </c>
      <c r="Y763" t="s">
        <v>3275</v>
      </c>
    </row>
    <row r="764" spans="1:25" x14ac:dyDescent="0.25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3283</v>
      </c>
      <c r="V764" s="24">
        <v>1</v>
      </c>
      <c r="W764" s="24"/>
      <c r="X764" t="s">
        <v>206</v>
      </c>
      <c r="Y764" t="s">
        <v>539</v>
      </c>
    </row>
    <row r="765" spans="1:25" x14ac:dyDescent="0.25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3284</v>
      </c>
      <c r="V765" s="24"/>
      <c r="W765" s="24">
        <v>1</v>
      </c>
      <c r="X765" t="s">
        <v>207</v>
      </c>
      <c r="Y765" t="s">
        <v>174</v>
      </c>
    </row>
    <row r="766" spans="1:25" x14ac:dyDescent="0.25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3285</v>
      </c>
      <c r="V766" s="24">
        <v>1</v>
      </c>
      <c r="W766" s="24"/>
      <c r="X766" t="s">
        <v>206</v>
      </c>
      <c r="Y766" t="s">
        <v>202</v>
      </c>
    </row>
    <row r="767" spans="1:25" x14ac:dyDescent="0.25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3286</v>
      </c>
      <c r="V767" s="24">
        <v>1</v>
      </c>
      <c r="W767" s="24"/>
      <c r="X767" t="s">
        <v>206</v>
      </c>
      <c r="Y767" t="s">
        <v>260</v>
      </c>
    </row>
    <row r="768" spans="1:25" x14ac:dyDescent="0.25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3287</v>
      </c>
      <c r="V768" s="24">
        <v>1</v>
      </c>
      <c r="W768" s="24"/>
      <c r="X768" t="s">
        <v>206</v>
      </c>
      <c r="Y768" t="s">
        <v>202</v>
      </c>
    </row>
    <row r="769" spans="1:25" x14ac:dyDescent="0.25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3290</v>
      </c>
      <c r="V769" s="24">
        <v>1</v>
      </c>
      <c r="W769" s="24"/>
      <c r="X769" t="s">
        <v>206</v>
      </c>
      <c r="Y769" t="s">
        <v>175</v>
      </c>
    </row>
    <row r="770" spans="1:25" x14ac:dyDescent="0.25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3289</v>
      </c>
      <c r="V770" s="24">
        <v>1</v>
      </c>
      <c r="W770" s="24"/>
      <c r="X770" t="s">
        <v>206</v>
      </c>
      <c r="Y770" t="s">
        <v>188</v>
      </c>
    </row>
    <row r="771" spans="1:25" x14ac:dyDescent="0.25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3292</v>
      </c>
      <c r="V771" s="24">
        <v>1</v>
      </c>
      <c r="W771" s="24"/>
      <c r="X771" t="s">
        <v>206</v>
      </c>
      <c r="Y771" t="s">
        <v>192</v>
      </c>
    </row>
    <row r="772" spans="1:25" x14ac:dyDescent="0.25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3293</v>
      </c>
      <c r="V772" s="24"/>
      <c r="W772" s="24">
        <v>1</v>
      </c>
      <c r="X772" t="s">
        <v>207</v>
      </c>
      <c r="Y772" t="s">
        <v>217</v>
      </c>
    </row>
    <row r="773" spans="1:25" x14ac:dyDescent="0.25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3294</v>
      </c>
      <c r="V773" s="24">
        <v>1</v>
      </c>
      <c r="W773" s="24"/>
      <c r="X773" t="s">
        <v>206</v>
      </c>
      <c r="Y773" t="s">
        <v>177</v>
      </c>
    </row>
    <row r="774" spans="1:25" x14ac:dyDescent="0.25">
      <c r="A774">
        <v>41859</v>
      </c>
      <c r="B774" t="str">
        <f>_xlfn.CONCAT(Tabel1[[#This Row],[personeelsnr]]," ",C774," ",D774)</f>
        <v>41859 Palit Ramazan</v>
      </c>
      <c r="C774" t="s">
        <v>3296</v>
      </c>
      <c r="D774" t="s">
        <v>1669</v>
      </c>
      <c r="E774" t="s">
        <v>3359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3297</v>
      </c>
      <c r="V774" s="24">
        <v>1</v>
      </c>
      <c r="W774" s="24"/>
      <c r="X774" t="s">
        <v>206</v>
      </c>
      <c r="Y774" t="s">
        <v>178</v>
      </c>
    </row>
    <row r="775" spans="1:25" x14ac:dyDescent="0.25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3298</v>
      </c>
      <c r="V775" s="24">
        <v>1</v>
      </c>
      <c r="W775" s="24"/>
      <c r="X775" t="s">
        <v>206</v>
      </c>
      <c r="Y775" t="s">
        <v>213</v>
      </c>
    </row>
    <row r="776" spans="1:25" x14ac:dyDescent="0.25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3300</v>
      </c>
      <c r="V776" s="24">
        <v>1</v>
      </c>
      <c r="W776" s="24"/>
      <c r="X776" t="s">
        <v>206</v>
      </c>
      <c r="Y776" t="s">
        <v>178</v>
      </c>
    </row>
    <row r="777" spans="1:25" x14ac:dyDescent="0.25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3302</v>
      </c>
      <c r="V777" s="24"/>
      <c r="W777" s="24">
        <v>1</v>
      </c>
      <c r="X777" t="s">
        <v>207</v>
      </c>
      <c r="Y777" t="s">
        <v>3301</v>
      </c>
    </row>
    <row r="778" spans="1:25" x14ac:dyDescent="0.25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3303</v>
      </c>
      <c r="V778" s="24">
        <v>1</v>
      </c>
      <c r="W778" s="24"/>
      <c r="X778" t="s">
        <v>206</v>
      </c>
      <c r="Y778" t="s">
        <v>190</v>
      </c>
    </row>
    <row r="779" spans="1:25" x14ac:dyDescent="0.25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3304</v>
      </c>
      <c r="V779" s="24">
        <v>1</v>
      </c>
      <c r="W779" s="24"/>
      <c r="X779" t="s">
        <v>206</v>
      </c>
      <c r="Y779" t="s">
        <v>179</v>
      </c>
    </row>
    <row r="780" spans="1:25" x14ac:dyDescent="0.25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3305</v>
      </c>
      <c r="V780" s="24">
        <v>1</v>
      </c>
      <c r="W780" s="24"/>
      <c r="X780" t="s">
        <v>206</v>
      </c>
      <c r="Y780" t="s">
        <v>263</v>
      </c>
    </row>
    <row r="781" spans="1:25" x14ac:dyDescent="0.25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3306</v>
      </c>
      <c r="V781" s="24">
        <v>1</v>
      </c>
      <c r="W781" s="24"/>
      <c r="X781" t="s">
        <v>206</v>
      </c>
      <c r="Y781" t="s">
        <v>3307</v>
      </c>
    </row>
    <row r="782" spans="1:25" x14ac:dyDescent="0.25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3310</v>
      </c>
      <c r="V782" s="24">
        <v>1</v>
      </c>
      <c r="W782" s="24"/>
      <c r="X782" t="s">
        <v>206</v>
      </c>
      <c r="Y782" t="s">
        <v>242</v>
      </c>
    </row>
    <row r="783" spans="1:25" x14ac:dyDescent="0.25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3311</v>
      </c>
      <c r="V783" s="24">
        <v>1</v>
      </c>
      <c r="W783" s="24"/>
      <c r="X783" t="s">
        <v>206</v>
      </c>
      <c r="Y783" t="s">
        <v>3312</v>
      </c>
    </row>
    <row r="784" spans="1:25" x14ac:dyDescent="0.25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3313</v>
      </c>
      <c r="V784" s="24">
        <v>1</v>
      </c>
      <c r="W784" s="24"/>
      <c r="X784" t="s">
        <v>206</v>
      </c>
      <c r="Y784" t="s">
        <v>177</v>
      </c>
    </row>
    <row r="785" spans="1:25" x14ac:dyDescent="0.25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3314</v>
      </c>
      <c r="V785" s="24">
        <v>1</v>
      </c>
      <c r="W785" s="24"/>
      <c r="X785" t="s">
        <v>206</v>
      </c>
      <c r="Y785" t="s">
        <v>219</v>
      </c>
    </row>
    <row r="786" spans="1:25" x14ac:dyDescent="0.25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3316</v>
      </c>
      <c r="V786" s="24">
        <v>1</v>
      </c>
      <c r="W786" s="24"/>
      <c r="X786" t="s">
        <v>206</v>
      </c>
      <c r="Y786" t="s">
        <v>305</v>
      </c>
    </row>
    <row r="787" spans="1:25" x14ac:dyDescent="0.25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3317</v>
      </c>
      <c r="V787" s="24"/>
      <c r="W787" s="24">
        <v>1</v>
      </c>
      <c r="X787" t="s">
        <v>207</v>
      </c>
      <c r="Y787" t="s">
        <v>318</v>
      </c>
    </row>
    <row r="788" spans="1:25" x14ac:dyDescent="0.25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3318</v>
      </c>
      <c r="V788" s="24">
        <v>1</v>
      </c>
      <c r="W788" s="24"/>
      <c r="X788" t="s">
        <v>206</v>
      </c>
      <c r="Y788" t="s">
        <v>190</v>
      </c>
    </row>
    <row r="789" spans="1:25" x14ac:dyDescent="0.25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3319</v>
      </c>
      <c r="V789" s="24">
        <v>1</v>
      </c>
      <c r="W789" s="24"/>
      <c r="X789" t="s">
        <v>206</v>
      </c>
      <c r="Y789" t="s">
        <v>3320</v>
      </c>
    </row>
    <row r="790" spans="1:25" x14ac:dyDescent="0.25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3321</v>
      </c>
      <c r="V790" s="24">
        <v>1</v>
      </c>
      <c r="W790" s="24"/>
      <c r="X790" t="s">
        <v>206</v>
      </c>
      <c r="Y790" t="s">
        <v>167</v>
      </c>
    </row>
    <row r="791" spans="1:25" x14ac:dyDescent="0.25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3322</v>
      </c>
      <c r="V791" s="24"/>
      <c r="W791" s="24">
        <v>1</v>
      </c>
      <c r="X791" t="s">
        <v>207</v>
      </c>
      <c r="Y791" t="s">
        <v>3323</v>
      </c>
    </row>
    <row r="792" spans="1:25" x14ac:dyDescent="0.25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3326</v>
      </c>
      <c r="V792" s="24">
        <v>1</v>
      </c>
      <c r="W792" s="24"/>
      <c r="X792" t="s">
        <v>206</v>
      </c>
      <c r="Y792" t="s">
        <v>184</v>
      </c>
    </row>
    <row r="793" spans="1:25" x14ac:dyDescent="0.25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3327</v>
      </c>
      <c r="V793" s="24">
        <v>1</v>
      </c>
      <c r="W793" s="24"/>
      <c r="X793" t="s">
        <v>206</v>
      </c>
      <c r="Y793" t="s">
        <v>208</v>
      </c>
    </row>
    <row r="794" spans="1:25" x14ac:dyDescent="0.25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3328</v>
      </c>
      <c r="V794" s="24">
        <v>1</v>
      </c>
      <c r="W794" s="24"/>
      <c r="X794" t="s">
        <v>206</v>
      </c>
      <c r="Y794" t="s">
        <v>3329</v>
      </c>
    </row>
    <row r="795" spans="1:25" x14ac:dyDescent="0.25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3331</v>
      </c>
      <c r="V795" s="24">
        <v>1</v>
      </c>
      <c r="W795" s="24"/>
      <c r="X795" t="s">
        <v>206</v>
      </c>
      <c r="Y795" t="s">
        <v>288</v>
      </c>
    </row>
    <row r="796" spans="1:25" x14ac:dyDescent="0.25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3332</v>
      </c>
      <c r="V796" s="24">
        <v>1</v>
      </c>
      <c r="W796" s="24"/>
      <c r="X796" t="s">
        <v>206</v>
      </c>
      <c r="Y796" t="s">
        <v>178</v>
      </c>
    </row>
    <row r="797" spans="1:25" x14ac:dyDescent="0.25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3334</v>
      </c>
      <c r="V797" s="24">
        <v>1</v>
      </c>
      <c r="W797" s="24"/>
      <c r="X797" t="s">
        <v>206</v>
      </c>
      <c r="Y797" t="s">
        <v>178</v>
      </c>
    </row>
    <row r="798" spans="1:25" x14ac:dyDescent="0.25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3335</v>
      </c>
      <c r="V798" s="24">
        <v>1</v>
      </c>
      <c r="W798" s="24"/>
      <c r="X798" t="s">
        <v>206</v>
      </c>
      <c r="Y798" t="s">
        <v>3336</v>
      </c>
    </row>
    <row r="799" spans="1:25" x14ac:dyDescent="0.25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3337</v>
      </c>
      <c r="V799" s="24">
        <v>1</v>
      </c>
      <c r="W799" s="24"/>
      <c r="X799" t="s">
        <v>206</v>
      </c>
      <c r="Y799" t="s">
        <v>3338</v>
      </c>
    </row>
    <row r="800" spans="1:25" x14ac:dyDescent="0.25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3339</v>
      </c>
      <c r="V800" s="24"/>
      <c r="W800" s="24">
        <v>1</v>
      </c>
      <c r="X800" t="s">
        <v>207</v>
      </c>
      <c r="Y800" t="s">
        <v>238</v>
      </c>
    </row>
    <row r="801" spans="1:25" x14ac:dyDescent="0.25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3340</v>
      </c>
      <c r="V801" s="24"/>
      <c r="W801" s="24">
        <v>1</v>
      </c>
      <c r="X801" t="s">
        <v>207</v>
      </c>
      <c r="Y801" t="s">
        <v>3341</v>
      </c>
    </row>
    <row r="802" spans="1:25" x14ac:dyDescent="0.25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3348</v>
      </c>
      <c r="V802" s="24"/>
      <c r="W802" s="24">
        <v>1</v>
      </c>
      <c r="X802" t="s">
        <v>207</v>
      </c>
      <c r="Y802" t="s">
        <v>276</v>
      </c>
    </row>
    <row r="803" spans="1:25" x14ac:dyDescent="0.25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3349</v>
      </c>
      <c r="V803" s="24">
        <v>1</v>
      </c>
      <c r="W803" s="24"/>
      <c r="X803" t="s">
        <v>206</v>
      </c>
      <c r="Y803" t="s">
        <v>3350</v>
      </c>
    </row>
    <row r="804" spans="1:25" x14ac:dyDescent="0.25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3356</v>
      </c>
      <c r="V804" s="24">
        <v>1</v>
      </c>
      <c r="W804" s="24"/>
      <c r="X804" t="s">
        <v>206</v>
      </c>
      <c r="Y804" t="s">
        <v>3354</v>
      </c>
    </row>
    <row r="805" spans="1:25" x14ac:dyDescent="0.25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3355</v>
      </c>
      <c r="V805" s="24">
        <v>1</v>
      </c>
      <c r="W805" s="24"/>
      <c r="X805" t="s">
        <v>206</v>
      </c>
      <c r="Y805" t="s">
        <v>173</v>
      </c>
    </row>
    <row r="806" spans="1:25" x14ac:dyDescent="0.25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3357</v>
      </c>
      <c r="V806" s="24"/>
      <c r="W806" s="24">
        <v>1</v>
      </c>
      <c r="X806" t="s">
        <v>207</v>
      </c>
      <c r="Y806" t="s">
        <v>289</v>
      </c>
    </row>
    <row r="807" spans="1:25" x14ac:dyDescent="0.25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3358</v>
      </c>
      <c r="V807" s="24">
        <v>1</v>
      </c>
      <c r="W807" s="24"/>
      <c r="X807" t="s">
        <v>206</v>
      </c>
      <c r="Y807" t="s">
        <v>198</v>
      </c>
    </row>
    <row r="808" spans="1:25" x14ac:dyDescent="0.25">
      <c r="A808">
        <v>41162</v>
      </c>
      <c r="B808" t="str">
        <f>_xlfn.CONCAT(Tabel1[[#This Row],[personeelsnr]]," ",C808," ",D808)</f>
        <v>41162 Hoeckman Jeroen</v>
      </c>
      <c r="C808" t="str">
        <f>VLOOKUP(Tabel1[[#This Row],[personeelsnr]],'data hastus'!$A:$C,2,0)</f>
        <v>Hoeckman</v>
      </c>
      <c r="D808" t="str">
        <f>VLOOKUP(Tabel1[[#This Row],[personeelsnr]],'data hastus'!$A:$C,3,0)</f>
        <v>Jeroen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45874</v>
      </c>
      <c r="U808" s="24" t="s">
        <v>3372</v>
      </c>
      <c r="V808" s="24">
        <v>1</v>
      </c>
      <c r="W808" s="24"/>
      <c r="X808" t="s">
        <v>206</v>
      </c>
      <c r="Y808" t="s">
        <v>177</v>
      </c>
    </row>
    <row r="809" spans="1:25" x14ac:dyDescent="0.25">
      <c r="A809">
        <v>37345</v>
      </c>
      <c r="B809" t="str">
        <f>_xlfn.CONCAT(Tabel1[[#This Row],[personeelsnr]]," ",C809," ",D809)</f>
        <v>37345 Walleyn Renaat</v>
      </c>
      <c r="C809" t="str">
        <f>VLOOKUP(Tabel1[[#This Row],[personeelsnr]],'data hastus'!$A:$C,2,0)</f>
        <v>Walleyn</v>
      </c>
      <c r="D809" t="str">
        <f>VLOOKUP(Tabel1[[#This Row],[personeelsnr]],'data hastus'!$A:$C,3,0)</f>
        <v>Renaat</v>
      </c>
      <c r="E809" t="str">
        <f>VLOOKUP(Tabel1[[#This Row],[personeelsnr]],'data hastus'!A:K,11,FALSE)</f>
        <v>Lucie Vande Velde</v>
      </c>
      <c r="F809" s="10"/>
      <c r="G809" s="7"/>
      <c r="H809" s="7"/>
      <c r="I809" s="7"/>
      <c r="N809" s="5">
        <v>1</v>
      </c>
      <c r="S809" s="5">
        <f>SUM(Tabel1[[#This Row],[Januari]:[December]])</f>
        <v>1</v>
      </c>
      <c r="T809" s="9">
        <v>45874</v>
      </c>
      <c r="U809" s="24" t="s">
        <v>3373</v>
      </c>
      <c r="V809" s="24">
        <v>1</v>
      </c>
      <c r="W809" s="24"/>
      <c r="X809" t="s">
        <v>206</v>
      </c>
      <c r="Y809" t="s">
        <v>167</v>
      </c>
    </row>
    <row r="810" spans="1:25" x14ac:dyDescent="0.25">
      <c r="A810">
        <v>36021</v>
      </c>
      <c r="B810" t="str">
        <f>_xlfn.CONCAT(Tabel1[[#This Row],[personeelsnr]]," ",C810," ",D810)</f>
        <v>36021 Boelaert Frederik</v>
      </c>
      <c r="C810" t="str">
        <f>VLOOKUP(Tabel1[[#This Row],[personeelsnr]],'data hastus'!$A:$C,2,0)</f>
        <v>Boelaert</v>
      </c>
      <c r="D810" t="str">
        <f>VLOOKUP(Tabel1[[#This Row],[personeelsnr]],'data hastus'!$A:$C,3,0)</f>
        <v>Frederik</v>
      </c>
      <c r="E810" t="str">
        <f>VLOOKUP(Tabel1[[#This Row],[personeelsnr]],'data hastus'!A:K,11,FALSE)</f>
        <v>Lucie Vande Velde</v>
      </c>
      <c r="F810" s="10">
        <v>45874</v>
      </c>
      <c r="G810" s="7"/>
      <c r="H810" s="7"/>
      <c r="I810" s="7"/>
      <c r="N810" s="5">
        <v>1</v>
      </c>
      <c r="S810" s="5">
        <f>SUM(Tabel1[[#This Row],[Januari]:[December]])</f>
        <v>1</v>
      </c>
      <c r="U810" s="24" t="s">
        <v>3374</v>
      </c>
      <c r="V810" s="24">
        <v>1</v>
      </c>
      <c r="W810" s="24"/>
      <c r="X810" t="s">
        <v>206</v>
      </c>
      <c r="Y810" t="s">
        <v>372</v>
      </c>
    </row>
    <row r="811" spans="1:25" x14ac:dyDescent="0.25">
      <c r="A811">
        <v>41092</v>
      </c>
      <c r="B811" s="35" t="str">
        <f>_xlfn.CONCAT(Tabel1[[#This Row],[personeelsnr]]," ",C811," ",D811)</f>
        <v>41092 De Keyser Dorien</v>
      </c>
      <c r="C811" t="str">
        <f>VLOOKUP(Tabel1[[#This Row],[personeelsnr]],'data hastus'!$A:$C,2,0)</f>
        <v>De Keyser</v>
      </c>
      <c r="D811" t="str">
        <f>VLOOKUP(Tabel1[[#This Row],[personeelsnr]],'data hastus'!$A:$C,3,0)</f>
        <v>Dorien</v>
      </c>
      <c r="E811" t="str">
        <f>VLOOKUP(Tabel1[[#This Row],[personeelsnr]],'data hastus'!A:K,11,FALSE)</f>
        <v>Dominique De Clercq</v>
      </c>
      <c r="F811" s="10"/>
      <c r="G811" s="7"/>
      <c r="H811" s="7"/>
      <c r="I811" s="7"/>
      <c r="N811" s="5">
        <v>1</v>
      </c>
      <c r="S811" s="36">
        <f>SUM(Tabel1[[#This Row],[Januari]:[December]])</f>
        <v>1</v>
      </c>
      <c r="T811" s="9">
        <v>45878</v>
      </c>
      <c r="U811" s="8" t="s">
        <v>3376</v>
      </c>
      <c r="V811" s="24">
        <v>1</v>
      </c>
      <c r="W811" s="24"/>
      <c r="X811" t="s">
        <v>206</v>
      </c>
      <c r="Y811" t="s">
        <v>3375</v>
      </c>
    </row>
    <row r="812" spans="1:25" x14ac:dyDescent="0.25">
      <c r="A812">
        <v>41874</v>
      </c>
      <c r="B812" s="35" t="str">
        <f>_xlfn.CONCAT(Tabel1[[#This Row],[personeelsnr]]," ",C812," ",D812)</f>
        <v>41874 Dobbeleire Bruno</v>
      </c>
      <c r="C812" t="str">
        <f>VLOOKUP(Tabel1[[#This Row],[personeelsnr]],'data hastus'!$A:$C,2,0)</f>
        <v>Dobbeleire</v>
      </c>
      <c r="D812" t="str">
        <f>VLOOKUP(Tabel1[[#This Row],[personeelsnr]],'data hastus'!$A:$C,3,0)</f>
        <v>Bruno</v>
      </c>
      <c r="E812" t="str">
        <f>VLOOKUP(Tabel1[[#This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36">
        <f>SUM(Tabel1[[#This Row],[Januari]:[December]])</f>
        <v>1</v>
      </c>
      <c r="T812" s="9">
        <v>45876</v>
      </c>
      <c r="U812" s="24" t="s">
        <v>3377</v>
      </c>
      <c r="V812" s="24">
        <v>1</v>
      </c>
      <c r="W812" s="24"/>
      <c r="X812" t="s">
        <v>206</v>
      </c>
      <c r="Y812" t="s">
        <v>171</v>
      </c>
    </row>
    <row r="813" spans="1:25" x14ac:dyDescent="0.25">
      <c r="A813">
        <v>37254</v>
      </c>
      <c r="B813" s="35" t="str">
        <f>_xlfn.CONCAT(Tabel1[[#This Row],[personeelsnr]]," ",C813," ",D813)</f>
        <v>37254 Coulon Rayan</v>
      </c>
      <c r="C813" t="str">
        <f>VLOOKUP(Tabel1[[#This Row],[personeelsnr]],'data hastus'!$A:$C,2,0)</f>
        <v>Coulon</v>
      </c>
      <c r="D813" t="str">
        <f>VLOOKUP(Tabel1[[#This Row],[personeelsnr]],'data hastus'!$A:$C,3,0)</f>
        <v>Rayan</v>
      </c>
      <c r="E813" t="str">
        <f>VLOOKUP(Tabel1[[#This Row],[personeelsnr]],'data hastus'!A:K,11,FALSE)</f>
        <v>Kenneth De Rick</v>
      </c>
      <c r="F813" s="10"/>
      <c r="G813" s="7"/>
      <c r="H813" s="7"/>
      <c r="I813" s="7"/>
      <c r="N813" s="5">
        <v>1</v>
      </c>
      <c r="S813" s="36">
        <f>SUM(Tabel1[[#This Row],[Januari]:[December]])</f>
        <v>1</v>
      </c>
      <c r="T813" s="9">
        <v>45876</v>
      </c>
      <c r="U813" s="24" t="s">
        <v>3378</v>
      </c>
      <c r="V813" s="24">
        <v>1</v>
      </c>
      <c r="W813" s="24"/>
      <c r="X813" t="s">
        <v>206</v>
      </c>
      <c r="Y813" t="s">
        <v>169</v>
      </c>
    </row>
    <row r="814" spans="1:25" x14ac:dyDescent="0.25">
      <c r="A814">
        <v>41007</v>
      </c>
      <c r="B814" s="35" t="str">
        <f>_xlfn.CONCAT(Tabel1[[#This Row],[personeelsnr]]," ",C814," ",D814)</f>
        <v>41007 Sogut Cagri</v>
      </c>
      <c r="C814" t="s">
        <v>1660</v>
      </c>
      <c r="D814" t="s">
        <v>3379</v>
      </c>
      <c r="E814" t="s">
        <v>3359</v>
      </c>
      <c r="F814" s="10"/>
      <c r="G814" s="7"/>
      <c r="H814" s="7"/>
      <c r="I814" s="7"/>
      <c r="M814" s="5">
        <v>1</v>
      </c>
      <c r="S814" s="36">
        <f>SUM(Tabel1[[#This Row],[Januari]:[December]])</f>
        <v>1</v>
      </c>
      <c r="T814" s="9">
        <v>45867</v>
      </c>
      <c r="U814" s="24" t="s">
        <v>3380</v>
      </c>
      <c r="V814" s="24">
        <v>1</v>
      </c>
      <c r="W814" s="24"/>
      <c r="X814" t="s">
        <v>206</v>
      </c>
      <c r="Y814" t="s">
        <v>178</v>
      </c>
    </row>
    <row r="815" spans="1:25" x14ac:dyDescent="0.25">
      <c r="A815">
        <v>41296</v>
      </c>
      <c r="B815" s="35" t="str">
        <f>_xlfn.CONCAT(Tabel1[[#This Row],[personeelsnr]]," ",C815," ",D815)</f>
        <v>41296 Abulehia Oday</v>
      </c>
      <c r="C815" t="str">
        <f>VLOOKUP(Tabel1[[#This Row],[personeelsnr]],'data hastus'!$A:$C,2,0)</f>
        <v>Abulehia</v>
      </c>
      <c r="D815" t="str">
        <f>VLOOKUP(Tabel1[[#This Row],[personeelsnr]],'data hastus'!$A:$C,3,0)</f>
        <v>Oday</v>
      </c>
      <c r="E815" t="str">
        <f>VLOOKUP(Tabel1[[#This Row],[personeelsnr]],'data hastus'!A:K,11,FALSE)</f>
        <v>Christoff Rotty</v>
      </c>
      <c r="F815" s="10"/>
      <c r="G815" s="7"/>
      <c r="H815" s="7"/>
      <c r="I815" s="7"/>
      <c r="M815" s="5">
        <v>1</v>
      </c>
      <c r="S815" s="36">
        <f>SUM(Tabel1[[#This Row],[Januari]:[December]])</f>
        <v>1</v>
      </c>
      <c r="T815" s="9">
        <v>45867</v>
      </c>
      <c r="U815" s="24" t="s">
        <v>3381</v>
      </c>
      <c r="V815" s="24">
        <v>1</v>
      </c>
      <c r="W815" s="24"/>
      <c r="X815" t="s">
        <v>206</v>
      </c>
      <c r="Y815" t="s">
        <v>3382</v>
      </c>
    </row>
    <row r="816" spans="1:25" x14ac:dyDescent="0.25">
      <c r="A816">
        <v>38740</v>
      </c>
      <c r="B816" s="35" t="str">
        <f>_xlfn.CONCAT(Tabel1[[#This Row],[personeelsnr]]," ",C816," ",D816)</f>
        <v>38740 Meskens Anthony</v>
      </c>
      <c r="C816" t="str">
        <f>VLOOKUP(Tabel1[[#This Row],[personeelsnr]],'data hastus'!$A:$C,2,0)</f>
        <v>Meskens</v>
      </c>
      <c r="D816" t="str">
        <f>VLOOKUP(Tabel1[[#This Row],[personeelsnr]],'data hastus'!$A:$C,3,0)</f>
        <v>Anthony</v>
      </c>
      <c r="E816" t="str">
        <f>VLOOKUP(Tabel1[[#This Row],[personeelsnr]],'data hastus'!A:K,11,FALSE)</f>
        <v>Christoff Rotty</v>
      </c>
      <c r="F816" s="10"/>
      <c r="G816" s="7"/>
      <c r="H816" s="7"/>
      <c r="I816" s="7"/>
      <c r="N816" s="5">
        <v>1</v>
      </c>
      <c r="S816" s="36">
        <f>SUM(Tabel1[[#This Row],[Januari]:[December]])</f>
        <v>1</v>
      </c>
      <c r="T816" s="9">
        <v>45879</v>
      </c>
      <c r="U816" s="24" t="s">
        <v>3387</v>
      </c>
      <c r="V816" s="24"/>
      <c r="W816" s="24">
        <v>1</v>
      </c>
      <c r="X816" t="s">
        <v>207</v>
      </c>
      <c r="Y816" t="s">
        <v>168</v>
      </c>
    </row>
    <row r="817" spans="1:25" x14ac:dyDescent="0.25">
      <c r="A817">
        <v>41137</v>
      </c>
      <c r="B817" s="35" t="str">
        <f>_xlfn.CONCAT(Tabel1[[#This Row],[personeelsnr]]," ",C817," ",D817)</f>
        <v>41137 De smet Dirk</v>
      </c>
      <c r="C817" t="str">
        <f>VLOOKUP(Tabel1[[#This Row],[personeelsnr]],'data hastus'!$A:$C,2,0)</f>
        <v>De smet</v>
      </c>
      <c r="D817" t="str">
        <f>VLOOKUP(Tabel1[[#This Row],[personeelsnr]],'data hastus'!$A:$C,3,0)</f>
        <v>Dirk</v>
      </c>
      <c r="E817" t="str">
        <f>VLOOKUP(Tabel1[[#This Row],[personeelsnr]],'data hastus'!A:K,11,FALSE)</f>
        <v>Dominique De Clercq</v>
      </c>
      <c r="F817" s="10"/>
      <c r="G817" s="7"/>
      <c r="H817" s="7"/>
      <c r="I817" s="7"/>
      <c r="M817" s="5">
        <v>1</v>
      </c>
      <c r="S817" s="36">
        <f>SUM(Tabel1[[#This Row],[Januari]:[December]])</f>
        <v>1</v>
      </c>
      <c r="T817" s="9">
        <v>45859</v>
      </c>
      <c r="U817" s="24" t="s">
        <v>3465</v>
      </c>
      <c r="V817" s="24">
        <v>1</v>
      </c>
      <c r="W817" s="24"/>
      <c r="X817" t="s">
        <v>206</v>
      </c>
      <c r="Y817" t="s">
        <v>307</v>
      </c>
    </row>
  </sheetData>
  <sheetProtection sort="0" autoFilter="0"/>
  <phoneticPr fontId="1" type="noConversion"/>
  <conditionalFormatting sqref="F2:F817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3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7" r:id="rId2" display="../../../../../../../:b:/r/teams/CTM-OTGentStad/Shared Documents/General/EAF/CSI(nieuwe sharepoint) 2025/1. Januari/EAF 6312 Brusselsepoortstraat Gent 03012025.pdf?csf=1&amp;web=1&amp;e=gFfkne" xr:uid="{069AB0F3-66D9-443A-A282-BECCE4BC15A4}"/>
    <hyperlink ref="U519" r:id="rId3" display="../../../../../../../:b:/r/teams/CTM-OTGentStad/Shared Documents/General/EAF/CSI(nieuwe sharepoint) 2025/1. Januari/EAF 5051 Gent 04012025.pdf?csf=1&amp;web=1&amp;e=1AOxgI" xr:uid="{86B08B74-62E0-4C35-938B-5D64A5F9C4C1}"/>
    <hyperlink ref="U523" r:id="rId4" display="../../../../../../../:b:/r/teams/CTM-OTGentStad/Shared Documents/General/EAF/CSI(nieuwe sharepoint) 2025/1. Januari/EAF 5912 Blandijnberg 10012025 Yassine Taibi.pdf?csf=1&amp;web=1&amp;e=ZroY3r" xr:uid="{728C7DA9-15C4-49DA-BC21-A6CEC589ADDE}"/>
    <hyperlink ref="U526" r:id="rId5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4" r:id="rId6" display="../../../../../../../:b:/r/teams/CTM-OTGentStad/Shared Documents/General/EAF/CSI(nieuwe sharepoint) 2025/1. Januari/EAF 6366 Gent 10012025.pdf?csf=1&amp;web=1&amp;e=ieg7nu" xr:uid="{8600B27A-5CA9-4F14-8E7F-B165BC47408E}"/>
    <hyperlink ref="U521" r:id="rId7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2" r:id="rId8" display="../../../../../../../:b:/r/teams/CTM-OTGentStad/Shared Documents/General/EAF/CSI(nieuwe sharepoint) 2025/1. Januari/EAF 5767 Dendermondsesteenweg Gent 10012025.pdf?csf=1&amp;web=1&amp;e=zqEEXT" xr:uid="{C78235D9-3A6E-450F-B0F4-F046F0A6AE7E}"/>
    <hyperlink ref="U529" r:id="rId9" display="../../../../../../../:b:/r/teams/CTM-OTGentStad/Shared Documents/General/EAF/CSI(nieuwe sharepoint) 2025/1. Januari/EAF 5927 Nieuwe Wandeling Gent 14012025.pdf?csf=1&amp;web=1&amp;e=gHQL1e" xr:uid="{540160B3-0852-41A9-A0E3-4E8C9BD7BF68}"/>
    <hyperlink ref="U531" r:id="rId10" display="../../../../../../../:b:/r/teams/CTM-OTGentStad/Shared Documents/General/EAF/CSI(nieuwe sharepoint) 2025/1. Januari/EAF 5920 Gent 15012025.pdf?csf=1&amp;web=1&amp;e=jfXJr3" xr:uid="{062E854E-6658-4E09-A344-B1220A90EEFC}"/>
    <hyperlink ref="U528" r:id="rId11" display="../../../../../../../:b:/r/teams/CTM-OTGentStad/Shared Documents/General/EAF/CSI(nieuwe sharepoint) 2025/1. Januari/EAF 14012025_2 5912 Gent Stefaan Devos.pdf?csf=1&amp;web=1&amp;e=Fj69fG" xr:uid="{36134205-D14B-46FB-85D7-2DEAC3FEB26A}"/>
    <hyperlink ref="U729" r:id="rId12" display="../../../../../../../:b:/r/teams/CTM-OTGentStad/Shared Documents/General/EAF/CSI(nieuwe sharepoint) 2025/1. Januari/EAF 6337 Gent 17012025.pdf?csf=1&amp;web=1&amp;e=HIde3n" xr:uid="{B7A5B04D-2444-4A69-96EE-429FE1FAEFC1}"/>
    <hyperlink ref="U730" r:id="rId13" display="../../../../../../../:b:/r/teams/CTM-OTGentStad/Shared Documents/General/EAF/CSI(nieuwe sharepoint) 2025/1. Januari/EAF 6356 Gentbrugge 18012025.pdf?csf=1&amp;web=1&amp;e=mefvXc" xr:uid="{3B1FF491-C1E6-43FD-A0C3-057465EB5192}"/>
    <hyperlink ref="U530" r:id="rId14" display="../../../../../../../:b:/r/teams/CTM-OTGentStad/Shared Documents/General/EAF/CSI(nieuwe sharepoint) 2025/1. Januari/EAF 5929 Stelplaats 14012025 Moez El Ouni.pdf?csf=1&amp;web=1&amp;e=SWRkyp" xr:uid="{DD41AFD5-AB3F-42DB-AB80-47004513CB52}"/>
    <hyperlink ref="U532" r:id="rId15" display="../../../../../../../:b:/r/teams/CTM-OTGentStad/Shared Documents/General/EAF/CSI(nieuwe sharepoint) 2025/1. Januari/EAF 6334 15012025 Neuseplein Fatih Taser.pdf?csf=1&amp;web=1&amp;e=amwiDh" xr:uid="{DC73FB35-C850-4CEF-B519-240438EAB3AF}"/>
    <hyperlink ref="U722" r:id="rId16" display="../../../../../../../:b:/r/teams/CTM-OTGentStad/Shared Documents/General/EAF/CSI(nieuwe sharepoint) 2025/1. Januari/EAF 5263 Mariakerke 13012025.pdf?csf=1&amp;web=1&amp;e=qFf0hX" xr:uid="{1AF9CACF-A798-4483-851F-5828A099BE42}"/>
    <hyperlink ref="U541" r:id="rId17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7" r:id="rId18" display="../../../../../../../:b:/r/teams/CTM-OTGentStad/Shared Documents/General/EAF/CSI(nieuwe sharepoint) 2025/1. Januari/EAF 6327 Gent 20012025.pdf?csf=1&amp;web=1&amp;e=WhuGZA" xr:uid="{5D3CB4F8-42AD-4A0D-A435-59619EC511FD}"/>
    <hyperlink ref="U534" r:id="rId19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2" r:id="rId20" display="../../../../../../../:b:/r/teams/CTM-OTGentStad/Shared Documents/General/EAF/CSI(nieuwe sharepoint) 2025/1. Januari/EAF 6324 Poperingestraat Gent 22012025.pdf?csf=1&amp;web=1&amp;e=eub2gI" xr:uid="{BD2DF3CA-6519-43DF-BD24-680EBEC583CE}"/>
    <hyperlink ref="U719" r:id="rId21" display="../../../../../../../:b:/r/teams/CTM-OTGentStad/Shared Documents/General/EAF/CSI(nieuwe sharepoint) 2025/1. Januari/EAF 5047 Gent 03012025.pdf?csf=1&amp;web=1&amp;e=ycRhDE" xr:uid="{3AD54217-AB8C-48D0-9A63-05351EF31D35}"/>
    <hyperlink ref="U535" r:id="rId22" display="../../../../../../../:b:/r/teams/CTM-OTGentStad/Shared Documents/General/EAF/CSI(nieuwe sharepoint) 2025/1. Januari/EAF 6355 Gent 17012025.pdf?csf=1&amp;web=1&amp;e=nubr3y" xr:uid="{E1ED7CDC-5D75-441D-A627-0521D469430D}"/>
    <hyperlink ref="U543" r:id="rId23" display="../../../../../../../:b:/r/teams/CTM-OTGentStad/Shared Documents/General/EAF/CSI(nieuwe sharepoint) 2025/1. Januari/EAF 6320 Gentbrugge 23012025.pdf?csf=1&amp;web=1&amp;e=RUAru3" xr:uid="{5AC0411E-ACC5-4310-8F6E-F45BB7611D46}"/>
    <hyperlink ref="U545" r:id="rId24" display="../../../../../../../:b:/r/teams/CTM-OTGentStad/Shared Documents/General/EAF/CSI(nieuwe sharepoint) 2025/1. Januari/EAF 6333 Gent 24012025.pdf?csf=1&amp;web=1&amp;e=IBYJmz" xr:uid="{758C2375-3764-4237-851D-A90FFF7D6AC8}"/>
    <hyperlink ref="U544" r:id="rId25" display="../../../../../../../:b:/r/teams/CTM-OTGentStad/Shared Documents/General/EAF/CSI(nieuwe sharepoint) 2025/1. Januari/EAF 6325 Gent 23012025.pdf?csf=1&amp;web=1&amp;e=GBaYyr" xr:uid="{598FA942-41E0-4B1B-827F-E265F5B29B42}"/>
    <hyperlink ref="U724" r:id="rId26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9" r:id="rId27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8" r:id="rId28" display="../../../../../../../:b:/r/teams/CTM-OTGentStad/Shared Documents/General/EAF/CSI(nieuwe sharepoint) 2025/1. Januari/EAF 5923 Gent Moerman Jimmy 40138 28012025.pdf?csf=1&amp;web=1&amp;e=I6qfcm" xr:uid="{06F20CB6-E0ED-415E-8ADF-CDAA863F46BE}"/>
    <hyperlink ref="U551" r:id="rId2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18" r:id="rId30" display="../../../../../../../:b:/r/teams/CTM-OTGentStad/Shared Documents/General/EAF/CSI(nieuwe sharepoint) 2025/1. Januari/EAF 6311 Gent 03012025.pdf?csf=1&amp;web=1&amp;e=3WPodS" xr:uid="{83086A34-941B-48E9-B4C1-01BEDC8B79B5}"/>
    <hyperlink ref="U554" r:id="rId31" display="../../../../../../../:b:/r/teams/CTM-OTGentStad/Shared Documents/General/EAF/CSI(nieuwe sharepoint) 2025/2. Februari/EAF 5048 E17 parking 01022025.pdf?csf=1&amp;web=1&amp;e=g5k3g8" xr:uid="{FC22F1CE-B824-487A-9D57-D8A407FC135A}"/>
    <hyperlink ref="U555" r:id="rId32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33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34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35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36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37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38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39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40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41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42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43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44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45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46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47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48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49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50" display="../../../../../../../:b:/r/teams/CTM-OTGentStad/Shared Documents/General/EAF/CSI(nieuwe sharepoint) 2025/2. Februari/EAF 5923 Steendam Gent 18022025.pdf?csf=1&amp;web=1&amp;e=QfJmVX" xr:uid="{831225C0-53C9-4315-9EC5-1896CA6B2DD6}"/>
    <hyperlink ref="U573" r:id="rId51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52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53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54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55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56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57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58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59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60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61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62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63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64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65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66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67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68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69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70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71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72" display="../../../../../../../:b:/r/teams/CTM-OTGentStad/Shared Documents/General/EAF/CSI(nieuwe sharepoint) 2025/2. Februari/EAF 2548 Dampoort Gent 28022025.pdf?csf=1&amp;web=1&amp;e=FO65Hj" xr:uid="{7921045D-AAB1-4DF0-9E93-D83FFE86B6F5}"/>
    <hyperlink ref="U595" r:id="rId73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74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75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76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77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78" display="../../../../../../../:b:/r/teams/CTM-OTGentStad/Shared Documents/General/EAF/CSI(nieuwe sharepoint) 2025/3. Maart/EAF 2196 Voskenslaan Gent 04032025.pdf?csf=1&amp;web=1&amp;e=oftcHq" xr:uid="{BF893C2D-F7E8-4522-BEE0-D5F138312FBB}"/>
    <hyperlink ref="U613" r:id="rId79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80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81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82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83" display="../../../../../../../:b:/r/teams/CTM-OTGentStad/Shared Documents/General/EAF/CSI(nieuwe sharepoint) 2025/3. Maart/EAF 05032025 5911 Gent Tom Hoste.pdf?csf=1&amp;web=1&amp;e=8QSyCb" xr:uid="{23AD50EF-3A4A-45FB-B734-060948A55A16}"/>
    <hyperlink ref="U604" r:id="rId84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85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86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87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88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89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90" display="../../../../../../../:b:/r/teams/CTM-OTGentStad/Shared Documents/General/EAF/CSI(nieuwe sharepoint) 2025/3. Maart/EAF 10032025 5938 Gent 35845 Yaseeb Jalili.pdf?csf=1&amp;web=1&amp;e=n9wMGC" xr:uid="{4D0B4ED5-5BDA-4BF7-98F0-C04F7EB33180}"/>
    <hyperlink ref="U600" r:id="rId91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6" r:id="rId92" display="../../../../../../../:b:/r/teams/CTM-OTGentStad/Shared Documents/General/EAF/CSI(nieuwe sharepoint) 2025/Koer/EAF 5934 Gentbrugge 03012025.pdf?csf=1&amp;web=1&amp;e=gA3yxE" xr:uid="{46365AE5-05C0-4169-9031-351824568E01}"/>
    <hyperlink ref="U614" r:id="rId93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94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95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96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9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98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1" r:id="rId99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100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101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102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103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104" display="../../../../../../../:b:/r/teams/CTM-OTGentStad/Shared Documents/General/EAF/CSI(nieuwe sharepoint) 2025/3. Maart/EAF 5045 Rooigemlaan Gent 18032025.pdf?csf=1&amp;web=1&amp;e=T64n4k" xr:uid="{0CF9E680-6B2A-4297-84FD-89E8603FA45E}"/>
    <hyperlink ref="U623" r:id="rId105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106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107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108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109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110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111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112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113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114" display="../../../../../../:b:/r/teams/CTM-OTGentStad/Shared Documents/General/EAF/CSI(nieuwe sharepoint) 2025/3. Maart/EAF 5266 Wondelgem 26032025 37179.pdf?csf=1&amp;web=1&amp;e=Z1YyKX" xr:uid="{CCD518DC-D22A-4CC7-AC04-E80703BB9FB8}"/>
    <hyperlink ref="U633" r:id="rId115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116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117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118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119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120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121" display="../../../../../../:b:/r/teams/CTM-OTGentStad/Shared Documents/General/EAF/CSI(nieuwe sharepoint) 2025/4. April/EAF 6329 Botermarkt Ledeberg 02042025.pdf?csf=1&amp;web=1&amp;e=QAwW4O" xr:uid="{128FBA85-AD69-429E-9850-71F2303EA24D}"/>
    <hyperlink ref="U615" r:id="rId122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23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24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25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26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27" display="../../../../../../:b:/r/teams/CTM-OTGentStad/Shared Documents/General/EAF/CSI(nieuwe sharepoint) 2025/4. April/EAF 5766 Hoogstraat Gent 07042025.pdf?csf=1&amp;web=1&amp;e=GE90n4" xr:uid="{0DC2F3C1-C0FA-4A4F-9D90-6F689B815DE0}"/>
    <hyperlink ref="U637" r:id="rId128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29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30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31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32" display="../../../../../../:b:/r/teams/CTM-OTGentStad/Shared Documents/General/EAF/CSI(nieuwe sharepoint)2024/12. December/EAF 04122024 Ugur.pdf?csf=1&amp;web=1&amp;e=qdPAIb" xr:uid="{CB022626-A31F-436C-8A5F-3D6CF3501448}"/>
    <hyperlink ref="U642" r:id="rId133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34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35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36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37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38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39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40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41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42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43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44" display="../../../../../../:b:/r/teams/CTM-OTGentStad/Shared Documents/General/EAF/CSI(nieuwe sharepoint) 2025/4. April/EAF 5325 Baarle Dorp 18042025.pdf?csf=1&amp;web=1&amp;e=OBWyM3" xr:uid="{DA4D7010-527D-4965-8826-D22E04D533FB}"/>
    <hyperlink ref="U657" r:id="rId145" display="../../../../../../:b:/r/teams/CTM-OTGentStad/Shared Documents/General/EAF/CSI(nieuwe sharepoint) 2025/4. April/EAF 5918 E17 19042025.pdf?csf=1&amp;web=1&amp;e=ddXFRF" xr:uid="{281284E4-187F-4E5A-93CB-D0EA9CCB2D6D}"/>
    <hyperlink ref="U659" r:id="rId146" display="../../../../../../:b:/r/teams/CTM-OTGentStad/Shared Documents/General/EAF/CSI(nieuwe sharepoint) 2025/4. April/EAF 5772 Gent 220425 401478 Hashimi.pdf?csf=1&amp;web=1&amp;e=pSmOVh" xr:uid="{BD98FC81-8681-4E28-806F-D81B65A3DD1F}"/>
    <hyperlink ref="U656" r:id="rId147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48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49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50" display="../../../../../../:b:/r/teams/CTM-OTGentStad/Shared Documents/General/EAF/CSI(nieuwe sharepoint) 2025/4. April/EAF 6320 Gent 23042025 37132 Esmir.pdf?csf=1&amp;web=1&amp;e=8ZGw7K" xr:uid="{C0710D01-0C74-411E-9A58-A21824D603B9}"/>
    <hyperlink ref="U658" r:id="rId151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52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53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54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55" display="../../../../../../:b:/r/teams/CTM-OTGentStad/Shared Documents/General/EAF/CSI(nieuwe sharepoint) 2025/4. April/EAF 2208 Gent 28042025 40591 Mahmoud.pdf?csf=1&amp;web=1&amp;e=rNjEo3" xr:uid="{0BFBBE6B-F6E4-42DA-9A89-DAE76D3779FD}"/>
    <hyperlink ref="U665" r:id="rId156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57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58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59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60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61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62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63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64" display="../../../../../../:b:/r/teams/CTM-OTGentStad/Shared Documents/General/EAF/CSI(nieuwe sharepoint) 2025/4. April/EAF 6368 Edelsteenstraat 29042025.pdf?csf=1&amp;web=1&amp;e=VaHigG" xr:uid="{B8F5118C-938B-4408-8F9A-18D1C30335DE}"/>
    <hyperlink ref="U718" r:id="rId165" display="../../../../../../:b:/r/teams/CTM-OTGentStad/Shared Documents/General/EAF/CSI(nieuwe sharepoint) 2025/5. Mei/EAF 5044 Dampoort 06052025.pdf?csf=1&amp;web=1&amp;e=KTyUDv" xr:uid="{EC1D8566-2247-4BB6-B551-567CF0AD38D2}"/>
    <hyperlink ref="U716" r:id="rId166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67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68" display="../../../../../../:b:/r/teams/CTM-OTGentStad/Shared Documents/General/EAF/CSI(nieuwe sharepoint) 2025/5. Mei/EAF 4678 Gent 09052025 38931 Sancak.pdf?csf=1&amp;web=1&amp;e=IvnNTK" xr:uid="{523DEC3D-FA25-405D-B068-8325F0F527C7}"/>
    <hyperlink ref="U682" r:id="rId169" display="../../../../../../:b:/r/teams/CTM-OTGentStad/Shared Documents/General/EAF/CSI(nieuwe sharepoint) 2025/5. Mei/EAF 5047 Einde Were Gent 11052025.pdf?csf=1&amp;web=1&amp;e=q55fGv" xr:uid="{04AFDDF9-03FB-49FB-9591-CBB58B8A7D36}"/>
    <hyperlink ref="U680" r:id="rId170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71" display="../../../../../../:b:/r/teams/CTM-OTGentStad/Shared Documents/General/EAF/CSI(nieuwe sharepoint) 2025/5. Mei/EAF 5265 Gent 13052025.pdf?csf=1&amp;web=1&amp;e=wGhFqH" xr:uid="{CBB9D07F-6752-42BC-A0D5-94894C1BC49F}"/>
    <hyperlink ref="U731" r:id="rId172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73" display="../../../../../../:b:/r/teams/CTM-OTGentStad/Shared Documents/General/EAF/CSI(nieuwe sharepoint) 2025/5. Mei/EAF Gent 01052025 30967.pdf?csf=1&amp;web=1&amp;e=WyOgNA" xr:uid="{52A15D5F-180B-4E3D-A1DB-41696D6BAD6D}"/>
    <hyperlink ref="U675" r:id="rId174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75" display="../../../../../../:b:/r/teams/CTM-OTGentStad/Shared Documents/General/EAF/CSI(nieuwe sharepoint) 2025/4. April/EAF 2197 Gent 07042025.pdf?csf=1&amp;web=1&amp;e=1wA1rr" xr:uid="{F24BECB2-D818-4BEE-97B0-A140D5751F3F}"/>
    <hyperlink ref="U681" r:id="rId176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77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78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79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80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81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82" display="../../../../../../:b:/r/teams/CTM-OTGentStad/Shared Documents/General/EAF/CSI(nieuwe sharepoint) 2025/5. Mei/EAF 6333 Gent 21052025 38648  Emin.pdf?csf=1&amp;web=1&amp;e=bvfr9s" xr:uid="{8773D6E3-AEB0-496F-9578-CEF67B723484}"/>
    <hyperlink ref="U691" r:id="rId183" display="../../../../../../:b:/r/teams/CTM-OTGentStad/Shared Documents/General/EAF/CSI(nieuwe sharepoint) 2025/5. Mei/EAF 5928 Gent 23052025 41482.pdf?csf=1&amp;web=1&amp;e=v3ulSn" xr:uid="{E76D6731-749D-494C-84F6-16B4A66EEAF2}"/>
    <hyperlink ref="U690" r:id="rId184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85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86" display="../../../../../../:b:/r/teams/CTM-OTGentStad/Shared Documents/General/EAF/CSI(nieuwe sharepoint) 2025/5. Mei/EAF 6314 gent 26052025 36438.pdf?csf=1&amp;web=1&amp;e=UHNisa" xr:uid="{FAA157B9-C843-4E98-984A-083863126976}"/>
    <hyperlink ref="U723" r:id="rId187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88" display="../../../../../../:b:/r/teams/CTM-OTGentStad/Shared Documents/General/EAF/CSI(nieuwe sharepoint) 2025/5. Mei/EAF 5630 Gent 29052025 40856.pdf?csf=1&amp;web=1&amp;e=JZClaW" xr:uid="{6C607B89-C26B-40C6-A9D3-023E8D376FA4}"/>
    <hyperlink ref="U698" r:id="rId189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90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91" display="../../../../../../:b:/r/teams/CTM-OTGentStad/Shared Documents/General/EAF/CSI(nieuwe sharepoint)2024/EAF  5229 Rabot 17022024.pdf?csf=1&amp;web=1&amp;e=QUxajH" xr:uid="{B4180AB7-A400-47AD-8C9B-C2EDF97A862F}"/>
    <hyperlink ref="U337" r:id="rId192" display="../../../../../../:b:/r/teams/CTM-OTGentStad/Shared Documents/General/EAF/CSI(nieuwe sharepoint)2024/EAF 2195 Gent 01092024.pdf?csf=1&amp;web=1&amp;e=25nO3B" xr:uid="{2E366246-A9E3-4E65-A21A-4C06D853A66B}"/>
    <hyperlink ref="U481" r:id="rId193" display="../../../../../../:b:/r/teams/CTM-OTGentStad/Shared Documents/General/EAF/CSI(nieuwe sharepoint)2024/EAF 2195 Gent 07122024.pdf?csf=1&amp;web=1&amp;e=MnfQ3B" xr:uid="{AABF485B-931E-422B-9A83-00A02D56D258}"/>
    <hyperlink ref="U391" r:id="rId194" display="../../../../../../:b:/r/teams/CTM-OTGentStad/Shared Documents/General/EAF/CSI(nieuwe sharepoint)2024/EAF 2195 Gent 08102024.pdf?csf=1&amp;web=1&amp;e=O9N5JS" xr:uid="{B4FB6BA7-97F5-49AC-9711-B0532DB4EA99}"/>
    <hyperlink ref="U511" r:id="rId195" display="../../../../../../:b:/r/teams/CTM-OTGentStad/Shared Documents/General/EAF/CSI(nieuwe sharepoint)2024/EAF 2195 Ledebergplein Ledeberg 30.12.2024.pdf?csf=1&amp;web=1&amp;e=GzZaFP" xr:uid="{2C42BA70-5FCB-4CE3-8EE5-3B286D160B8F}"/>
    <hyperlink ref="U325" r:id="rId196" display="../../../../../../:b:/r/teams/CTM-OTGentStad/Shared Documents/General/EAF/CSI(nieuwe sharepoint)2024/EAF 2196 Brusselsesteenweg Gentbrugge 19082024.pdf?csf=1&amp;web=1&amp;e=10X8vL" xr:uid="{A929ABE0-EC8A-48A6-B941-295E656B2572}"/>
    <hyperlink ref="U473" r:id="rId197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198" display="../../../../../../:b:/r/teams/CTM-OTGentStad/Shared Documents/General/EAF/CSI(nieuwe sharepoint)2024/EAF 2196 Gent 05032024.pdf?csf=1&amp;web=1&amp;e=EIJBgo" xr:uid="{90156A50-D0E9-44C9-A10D-40FA17C9B19A}"/>
    <hyperlink ref="U102" r:id="rId199" display="../../../../../../:b:/r/teams/CTM-OTGentStad/Shared Documents/General/EAF/CSI(nieuwe sharepoint)2024/EAF 2196 Gent 12032024.pdf?csf=1&amp;web=1&amp;e=cN6naC" xr:uid="{DB171F03-9BC8-4BA2-871D-5D25CDF42499}"/>
    <hyperlink ref="U79" r:id="rId200" display="../../../../../../:b:/r/teams/CTM-OTGentStad/Shared Documents/General/EAF/CSI(nieuwe sharepoint)2024/EAF 2196 Gent 29022024.pdf?csf=1&amp;web=1&amp;e=GQSZCM" xr:uid="{4A4D7A44-3347-41F0-8F10-650B8D3C2427}"/>
    <hyperlink ref="U38" r:id="rId201" display="../../../../../../:b:/r/teams/CTM-OTGentStad/Shared Documents/General/EAF/CSI(nieuwe sharepoint)2024/EAF 2196 Gentbrugge 31012024.pdf?csf=1&amp;web=1&amp;e=d1oG1t" xr:uid="{5B35D89C-A150-4C53-BE1F-F0A17C554A35}"/>
    <hyperlink ref="U447" r:id="rId202" display="../../../../../../:b:/r/teams/CTM-OTGentStad/Shared Documents/General/EAF/CSI(nieuwe sharepoint)2024/EAF 2197 Bevrijdingslaan Gent 14112024.pdf?csf=1&amp;web=1&amp;e=fb8Ldo" xr:uid="{E5F931FF-9695-4EE2-A837-A40CEAA8165F}"/>
    <hyperlink ref="U262" r:id="rId203" display="../../../../../../:b:/r/teams/CTM-OTGentStad/Shared Documents/General/EAF/CSI(nieuwe sharepoint)2024/EAF 2197 Blaisantvest Gent 25062024.pdf?csf=1&amp;web=1&amp;e=z1RwKQ" xr:uid="{6934A06B-9142-4FF9-96B3-1CE9E108BFF2}"/>
    <hyperlink ref="U120" r:id="rId204" display="../../../../../../:b:/r/teams/CTM-OTGentStad/Shared Documents/General/EAF/CSI(nieuwe sharepoint)2024/EAF 2198 Destelbergen 22032024.pdf?csf=1&amp;web=1&amp;e=yEPfdX" xr:uid="{FF751939-C669-4E18-83B0-79ACC08399F5}"/>
    <hyperlink ref="U68" r:id="rId205" display="../../../../../../:b:/r/teams/CTM-OTGentStad/Shared Documents/General/EAF/CSI(nieuwe sharepoint)2024/EAF 2198 Gent 20022024.pdf?csf=1&amp;web=1&amp;e=eSmhav" xr:uid="{CEC7951E-46AD-46F9-853A-CD9DF280D5B6}"/>
    <hyperlink ref="U375" r:id="rId206" display="../../../../../../:b:/r/teams/CTM-OTGentStad/Shared Documents/General/EAF/CSI(nieuwe sharepoint)2024/EAF 2198 Gent 23092024 Vandenhaute Linus.pdf?csf=1&amp;web=1&amp;e=E9UV3v" xr:uid="{83235E30-8E18-428A-B198-4D2411FF8DA8}"/>
    <hyperlink ref="U74" r:id="rId207" display="../../../../../../:b:/r/teams/CTM-OTGentStad/Shared Documents/General/EAF/CSI(nieuwe sharepoint)2024/EAF 2199 Brugsepoort 23022024.pdf?csf=1&amp;web=1&amp;e=ked6Ze" xr:uid="{EA83E9A5-19F8-4C77-A573-38986FEF4E07}"/>
    <hyperlink ref="U83" r:id="rId208" display="../../../../../../:b:/r/teams/CTM-OTGentStad/Shared Documents/General/EAF/CSI(nieuwe sharepoint)2024/EAF 2200 Brugsepoortstraat 01032024.pdf?csf=1&amp;web=1&amp;e=nwbPYd" xr:uid="{26370D2C-B489-4982-8CBB-61A5637FF203}"/>
    <hyperlink ref="U47" r:id="rId209" display="../../../../../../:b:/r/teams/CTM-OTGentStad/Shared Documents/General/EAF/CSI(nieuwe sharepoint)2024/EAF 2200 Gent 04022024.pdf?csf=1&amp;web=1&amp;e=iDFIyx" xr:uid="{4D149DE9-FFA3-4DC9-8BCC-D8244B34CF01}"/>
    <hyperlink ref="U264" r:id="rId210" display="../../../../../../:b:/r/teams/CTM-OTGentStad/Shared Documents/General/EAF/CSI(nieuwe sharepoint)2024/EAF 2200 Gent 26062024.pdf?csf=1&amp;web=1&amp;e=MDRG2e" xr:uid="{A71B7548-4994-4F69-85C3-56512F0913CF}"/>
    <hyperlink ref="U416" r:id="rId211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12" display="../../../../../../:b:/r/teams/CTM-OTGentStad/Shared Documents/General/EAF/CSI(nieuwe sharepoint)2024/EAF 2201 Gent 22032024.pdf?csf=1&amp;web=1&amp;e=Amq7wG" xr:uid="{236041F7-A030-4424-BDCA-F973BBBF56A7}"/>
    <hyperlink ref="U225" r:id="rId213" display="../../../../../../:b:/r/teams/CTM-OTGentStad/Shared Documents/General/EAF/CSI(nieuwe sharepoint)2024/EAF 2201 Gentbrugge 02062024.pdf?csf=1&amp;web=1&amp;e=6GZuMz" xr:uid="{B6F4A4D4-8294-4AE9-B922-F56A5EFC9386}"/>
    <hyperlink ref="U88" r:id="rId214" display="../../../../../../:b:/r/teams/CTM-OTGentStad/Shared Documents/General/EAF/CSI(nieuwe sharepoint)2024/EAF 2201 Korenmarkt 02032024.pdf?csf=1&amp;web=1&amp;e=OitAvJ" xr:uid="{661959CD-E91D-4539-B962-09A71C8F29B4}"/>
    <hyperlink ref="U315" r:id="rId215" display="../../../../../../:b:/r/teams/CTM-OTGentStad/Shared Documents/General/EAF/CSI(nieuwe sharepoint)2024/EAF 2202 Gent 03082024 36512.pdf?csf=1&amp;web=1&amp;e=kQ9UZP" xr:uid="{B77391D1-DA1D-4D60-8EA6-17A140CCD076}"/>
    <hyperlink ref="U139" r:id="rId216" display="../../../../../../:b:/r/teams/CTM-OTGentStad/Shared Documents/General/EAF/CSI(nieuwe sharepoint)2024/EAF 2202 Kleine Schuurstraat 04042024.pdf?csf=1&amp;web=1&amp;e=dMVMY8" xr:uid="{A29AC82F-D61A-446C-9D0E-8E54827B0E90}"/>
    <hyperlink ref="U398" r:id="rId217" display="../../../../../../:b:/r/teams/CTM-OTGentStad/Shared Documents/General/EAF/CSI(nieuwe sharepoint)2024/EAF 2203 Sint-Gerolfstraat Drongen 12102024.pdf?csf=1&amp;web=1&amp;e=NC3rTr" xr:uid="{A17B3120-3DF3-41D6-AB40-AED0763029EF}"/>
    <hyperlink ref="U275" r:id="rId218" display="../../../../../../:b:/r/teams/CTM-OTGentStad/Shared Documents/General/EAF/CSI(nieuwe sharepoint)2024/EAF 2204 Gent 05072024.pdf?csf=1&amp;web=1&amp;e=dmUarL" xr:uid="{3EF9DC50-CEC5-4402-AC75-37D9A8ED455F}"/>
    <hyperlink ref="U119" r:id="rId219" display="../../../../../../:b:/r/teams/CTM-OTGentStad/Shared Documents/General/EAF/CSI(nieuwe sharepoint)2024/EAF 2204 Gent 21032024.pdf?csf=1&amp;web=1&amp;e=juWhWD" xr:uid="{6191E183-FDD5-4651-8942-BF8401BAA669}"/>
    <hyperlink ref="U115" r:id="rId220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221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22" display="../../../../../../:b:/r/teams/CTM-OTGentStad/Shared Documents/General/EAF/CSI(nieuwe sharepoint)2024/EAF 2205 Brugsepoort Gent 04052024.pdf?csf=1&amp;web=1&amp;e=BpqhvW" xr:uid="{4C0A9A84-6FF6-4C17-BADE-D62B43818262}"/>
    <hyperlink ref="U430" r:id="rId223" display="../../../../../../:b:/r/teams/CTM-OTGentStad/Shared Documents/General/EAF/CSI(nieuwe sharepoint)2024/EAF 2205 Gent 04112024.pdf?csf=1&amp;web=1&amp;e=aQ3br9" xr:uid="{E2CED5A5-87F3-4FBA-BA87-34468F28FF5A}"/>
    <hyperlink ref="U6" r:id="rId224" display="../../../../../../:b:/r/teams/CTM-OTGentStad/Shared Documents/General/EAF/CSI(nieuwe sharepoint)2024/EAF 2205 Gent 08012024.pdf?csf=1&amp;web=1&amp;e=ZSuauE" xr:uid="{A925E715-93A4-4D70-A1C6-0DB3E2A2151F}"/>
    <hyperlink ref="U400" r:id="rId225" display="../../../../../../:b:/r/teams/CTM-OTGentStad/Shared Documents/General/EAF/CSI(nieuwe sharepoint)2024/EAF 2205 Gent 14102024 Inge Dejonckheere.pdf?csf=1&amp;web=1&amp;e=wbghTc" xr:uid="{C8D9D8CE-0A44-4089-9652-A37D1E0B7558}"/>
    <hyperlink ref="U381" r:id="rId226" display="../../../../../../:b:/r/teams/CTM-OTGentStad/Shared Documents/General/EAF/CSI(nieuwe sharepoint)2024/EAF 2205 Gent 26092024 Hesters Sylvie.pdf?csf=1&amp;web=1&amp;e=Fqny5y" xr:uid="{67C47B24-095E-4B1B-9AA2-51A10E4838C3}"/>
    <hyperlink ref="U428" r:id="rId227" display="../../../../../../:b:/r/teams/CTM-OTGentStad/Shared Documents/General/EAF/CSI(nieuwe sharepoint)2024/EAF 2206 Drongen 02112024 Johan VDbulcke.pdf?csf=1&amp;web=1&amp;e=sr7PwO" xr:uid="{CAB5AA12-37DF-455F-8DDB-B786F3E09212}"/>
    <hyperlink ref="U98" r:id="rId228" display="../../../../../../:b:/r/teams/CTM-OTGentStad/Shared Documents/General/EAF/CSI(nieuwe sharepoint)2024/EAF 2207 Dampoort 08032024.pdf?csf=1&amp;web=1&amp;e=IQfrQ4" xr:uid="{C475BA45-8B6A-416F-8C57-5B92A11B8F61}"/>
    <hyperlink ref="U322" r:id="rId229" display="../../../../../../:b:/r/teams/CTM-OTGentStad/Shared Documents/General/EAF/CSI(nieuwe sharepoint)2024/EAF 2207 Dampoort 14082024.pdf?csf=1&amp;web=1&amp;e=uzPcCI" xr:uid="{5E5520F3-C982-46BF-BB96-F3D8F5185B42}"/>
    <hyperlink ref="U130" r:id="rId230" display="../../../../../../:b:/r/teams/CTM-OTGentStad/Shared Documents/General/EAF/CSI(nieuwe sharepoint)2024/EAF 2207 E17 26032024 De Bruyne Sonia.pdf?csf=1&amp;web=1&amp;e=10WiQd" xr:uid="{96A1398F-6FFA-43C9-9381-94D0549C5D53}"/>
    <hyperlink ref="U20" r:id="rId231" display="../../../../../../:b:/r/teams/CTM-OTGentStad/Shared Documents/General/EAF/CSI(nieuwe sharepoint)2024/EAF 2207 Gent 17012024.pdf?csf=1&amp;web=1&amp;e=9t4Fii" xr:uid="{213074A8-713D-4AE9-8A78-8D3C20C7A351}"/>
    <hyperlink ref="U261" r:id="rId232" display="../../../../../../:b:/r/teams/CTM-OTGentStad/Shared Documents/General/EAF/CSI(nieuwe sharepoint)2024/EAF 2207 Gent 24062024.pdf?csf=1&amp;web=1&amp;e=ASeGvq" xr:uid="{69DEB2B3-50E4-484F-95F8-A420E882DF61}"/>
    <hyperlink ref="U302" r:id="rId233" display="../../../../../../:b:/r/teams/CTM-OTGentStad/Shared Documents/General/EAF/CSI(nieuwe sharepoint)2024/EAF 2207 Gent 25072024.pdf?csf=1&amp;web=1&amp;e=09gg6T" xr:uid="{C3F8E8C3-BFB5-436A-AB88-73315943B78D}"/>
    <hyperlink ref="U71" r:id="rId234" display="../../../../../../:b:/r/teams/CTM-OTGentStad/Shared Documents/General/EAF/CSI(nieuwe sharepoint)2024/EAF 2207 Gent Kortrijksesteenweg 22012024.pdf?csf=1&amp;web=1&amp;e=CH2kKv" xr:uid="{FE2EE9EB-4CE8-4842-8BE1-78C267F62279}"/>
    <hyperlink ref="U214" r:id="rId235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36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37" display="../../../../../../:b:/r/teams/CTM-OTGentStad/Shared Documents/General/EAF/CSI(nieuwe sharepoint)2024/EAF 2207 Kortrijksesteenweg Gent 17052024.pdf?csf=1&amp;web=1&amp;e=cIeR9O" xr:uid="{CF711121-5465-40C6-B061-740F82036EA3}"/>
    <hyperlink ref="U417" r:id="rId238" display="../../../../../../:b:/r/teams/CTM-OTGentStad/Shared Documents/General/EAF/CSI(nieuwe sharepoint)2024/EAF 2207 Oostakker 24102024  Roos Hugo.pdf?csf=1&amp;web=1&amp;e=DGpjp2" xr:uid="{D8489008-6264-465B-A460-8F474A8CA382}"/>
    <hyperlink ref="U372" r:id="rId239" display="../../../../../../:b:/r/teams/CTM-OTGentStad/Shared Documents/General/EAF/CSI(nieuwe sharepoint)2024/EAF 2207 Oostakker Dorp 19092024.pdf?csf=1&amp;web=1&amp;e=UWS1Pk" xr:uid="{573952F3-DBE9-4F5C-BE85-6D20ED351E83}"/>
    <hyperlink ref="U700" r:id="rId240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41" display="../../../../../../:b:/r/teams/CTM-OTGentStad/Shared Documents/General/EAF/CSI(nieuwe sharepoint)2024/EAF 2208 Blaisantvest 31012024.pdf?csf=1&amp;web=1&amp;e=66eMgm" xr:uid="{EDF0B086-4096-4499-9B2B-4D49CB489BA3}"/>
    <hyperlink ref="U433" r:id="rId242" display="../../../../../../:b:/r/teams/CTM-OTGentStad/Shared Documents/General/EAF/CSI(nieuwe sharepoint)2024/EAF 2208 Gent 05112024.pdf?csf=1&amp;web=1&amp;e=TI1GO7" xr:uid="{346D789A-339B-4958-87E1-6561ADAC1E10}"/>
    <hyperlink ref="U207" r:id="rId243" display="../../../../../../:b:/r/teams/CTM-OTGentStad/Shared Documents/General/EAF/CSI(nieuwe sharepoint)2024/EAF 2208 Gent 21052024.pdf?csf=1&amp;web=1&amp;e=T5k9Cx" xr:uid="{0B392919-7127-4459-9ACF-ED20404FB329}"/>
    <hyperlink ref="U306" r:id="rId244" display="../../../../../../:b:/r/teams/CTM-OTGentStad/Shared Documents/General/EAF/CSI(nieuwe sharepoint)2024/EAF 2208 Gent 29072024.pdf?csf=1&amp;web=1&amp;e=VcIP6k" xr:uid="{15DA83F1-50C2-4FAE-A901-DFA2789FE9B1}"/>
    <hyperlink ref="U326" r:id="rId245" display="../../../../../../:b:/r/teams/CTM-OTGentStad/Shared Documents/General/EAF/CSI(nieuwe sharepoint)2024/EAF 2208 stelplaats E-17 19.08.2024.pdf?csf=1&amp;web=1&amp;e=GtdNiU" xr:uid="{A801C6CB-CD13-4E40-93D0-C0E4A18B8037}"/>
    <hyperlink ref="U434" r:id="rId246" display="../../../../../../:b:/r/teams/CTM-OTGentStad/Shared Documents/General/EAF/CSI(nieuwe sharepoint)2024/EAF 2546 Gent 06112024.pdf?csf=1&amp;web=1&amp;e=cWMjpe" xr:uid="{477A62E0-78FE-44F9-AA49-A022A9BC841C}"/>
    <hyperlink ref="U331" r:id="rId247" display="../../../../../../:b:/r/teams/CTM-OTGentStad/Shared Documents/General/EAF/CSI(nieuwe sharepoint)2024/EAF 2546 wondelgemstation 26082024 Mekdad Ali.pdf?csf=1&amp;web=1&amp;e=pgRgJ2" xr:uid="{B84A489A-797F-4AF9-8672-1F4731852169}"/>
    <hyperlink ref="U509" r:id="rId248" display="../../../../../../:b:/r/teams/CTM-OTGentStad/Shared Documents/General/EAF/CSI(nieuwe sharepoint)2024/EAF 2548 Gent 28122024.pdf?csf=1&amp;web=1&amp;e=zK5dZd" xr:uid="{85AE4104-460D-49C6-83E5-AB21C15D7CFB}"/>
    <hyperlink ref="U221" r:id="rId249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50" display="../../../../../../:b:/r/teams/CTM-OTGentStad/Shared Documents/General/EAF/CSI(nieuwe sharepoint)2024/EAF 2548 stelplaats Gentbrugge 11102024.pdf?csf=1&amp;web=1&amp;e=R0LOpr" xr:uid="{424A95DC-38A4-4725-BC44-292A55A71654}"/>
    <hyperlink ref="U406" r:id="rId251" display="../../../../../../:b:/r/teams/CTM-OTGentStad/Shared Documents/General/EAF/CSI(nieuwe sharepoint)2024/EAF 2548 Tolhuislaan 17.10.2024.pdf?csf=1&amp;web=1&amp;e=up7NZq" xr:uid="{024FAD3E-3E08-4BD7-96FF-042BACB13647}"/>
    <hyperlink ref="U99" r:id="rId252" display="../../../../../../:b:/r/teams/CTM-OTGentStad/Shared Documents/General/EAF/CSI(nieuwe sharepoint)2024/EAF 2549 08022024.pdf?csf=1&amp;web=1&amp;e=yX2pXM" xr:uid="{BD707E83-174D-4740-B201-A7E1164D28CB}"/>
    <hyperlink ref="U55" r:id="rId253" display="../../../../../../:b:/r/teams/CTM-OTGentStad/Shared Documents/General/EAF/CSI(nieuwe sharepoint)2024/EAF 2549 Gent 08022024.pdf?csf=1&amp;web=1&amp;e=nayJ8h" xr:uid="{F00FB837-15FF-4769-BE20-DDA656C3F864}"/>
    <hyperlink ref="U91" r:id="rId254" display="../../../../../../:b:/r/teams/CTM-OTGentStad/Shared Documents/General/EAF/CSI(nieuwe sharepoint)2024/EAF 4666 De Pintelaan 05032024 Duyck Kimberley.pdf?csf=1&amp;web=1&amp;e=4DKtbV" xr:uid="{C90AE292-F94C-4FD6-82F4-758F1A1A109F}"/>
    <hyperlink ref="U339" r:id="rId255" display="../../../../../../:b:/r/teams/CTM-OTGentStad/Shared Documents/General/EAF/CSI(nieuwe sharepoint)2024/EAF 4666 Ottergemsesteenweg Gent 03092024.pdf?csf=1&amp;web=1&amp;e=s9Ij6m" xr:uid="{18A50BDF-BD1A-4993-A899-0344F2719D8A}"/>
    <hyperlink ref="U156" r:id="rId256" display="../../../../../../:b:/r/teams/CTM-OTGentStad/Shared Documents/General/EAF/CSI(nieuwe sharepoint)2024/EAF 4678 Gent 17042024.pdf?csf=1&amp;web=1&amp;e=sIQOQu" xr:uid="{6F45FB09-66F6-48AD-8D10-14545D84E36D}"/>
    <hyperlink ref="U463" r:id="rId257" display="../../../../../../:b:/r/teams/CTM-OTGentStad/Shared Documents/General/EAF/CSI(nieuwe sharepoint)2024/EAF 4678 Gent 26112024.pdf?csf=1&amp;web=1&amp;e=WvmnW0" xr:uid="{3066308C-EEA5-4A4B-B15D-142BACA89E6D}"/>
    <hyperlink ref="U498" r:id="rId258" display="../../../../../../:b:/r/teams/CTM-OTGentStad/Shared Documents/General/EAF/CSI(nieuwe sharepoint)2024/EAF 5039 Oostakker 20122024.pdf?csf=1&amp;web=1&amp;e=GxSYyj" xr:uid="{11472B66-C184-4071-9D9C-93CA4F9AA4C6}"/>
    <hyperlink ref="U104" r:id="rId259" display="../../../../../../:b:/r/teams/CTM-OTGentStad/Shared Documents/General/EAF/CSI(nieuwe sharepoint)2024/EAF 5040 Dampoort 13032024.pdf?csf=1&amp;web=1&amp;e=D8AKad" xr:uid="{9EACD41D-3718-4C46-B381-8B0AF7E36345}"/>
    <hyperlink ref="U60" r:id="rId260" display="../../../../../../:b:/r/teams/CTM-OTGentStad/Shared Documents/General/EAF/CSI(nieuwe sharepoint)2024/EAF 5040 Gent 15022024.pdf?csf=1&amp;web=1&amp;e=RDY6Mt" xr:uid="{64E71FA1-8B7B-4BD8-AA4D-9543C132963C}"/>
    <hyperlink ref="U149" r:id="rId261" display="../../../../../../:b:/r/teams/CTM-OTGentStad/Shared Documents/General/EAF/CSI(nieuwe sharepoint)2024/EAF 5040 Heuvelpoort 11042024 Middernacht Andy.pdf?csf=1&amp;web=1&amp;e=uaT6ms" xr:uid="{83D9B1FB-3F77-4B46-B398-4DE0E3B08435}"/>
    <hyperlink ref="U251" r:id="rId262" display="../../../../../../:b:/r/teams/CTM-OTGentStad/Shared Documents/General/EAF/CSI(nieuwe sharepoint)2024/EAF 5040 Steendam Gent 15062024.pdf?csf=1&amp;web=1&amp;e=fGqMom" xr:uid="{824C5CEB-CF25-445F-8A81-F84E2C350AD0}"/>
    <hyperlink ref="U468" r:id="rId263" display="../../../../../../:b:/r/teams/CTM-OTGentStad/Shared Documents/General/EAF/CSI(nieuwe sharepoint)2024/EAF 5041 Dampoort 30112024 Sharon Cardon.pdf?csf=1&amp;web=1&amp;e=ekktSr" xr:uid="{0F57B737-8C6D-4B50-B78C-4873126A4414}"/>
    <hyperlink ref="U230" r:id="rId264" display="../../../../../../:b:/r/teams/CTM-OTGentStad/Shared Documents/General/EAF/CSI(nieuwe sharepoint)2024/EAf 5041 Gent 05062024.pdf?csf=1&amp;web=1&amp;e=JDP1Zg" xr:uid="{B6C0D64D-2E8C-4159-9362-2A8DF677A5FF}"/>
    <hyperlink ref="U367" r:id="rId265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66" display="../../../../../../:b:/r/teams/CTM-OTGentStad/Shared Documents/General/EAF/CSI(nieuwe sharepoint)2024/EAF 5042 Gent 25102024.pdf?csf=1&amp;web=1&amp;e=uJPXsP" xr:uid="{7E33B54D-BC54-4EC7-AA28-92C5A8378909}"/>
    <hyperlink ref="U329" r:id="rId267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68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69" display="../../../../../../:b:/r/teams/CTM-OTGentStad/Shared Documents/General/EAF/CSI(nieuwe sharepoint)2024/EAF 5043 GSP 08032024 De Bruyne Sonia.pdf?csf=1&amp;web=1&amp;e=dD8i4V" xr:uid="{6D4E50B6-16EA-4F70-B325-4301D2910128}"/>
    <hyperlink ref="U51" r:id="rId270" display="../../../../../../:b:/r/teams/CTM-OTGentStad/Shared Documents/General/EAF/CSI(nieuwe sharepoint)2024/EAF 5044 Gent 05022024.pdf?csf=1&amp;web=1&amp;e=yey2sa" xr:uid="{194BA9E2-5B87-4648-92FD-C91A6AA98F76}"/>
    <hyperlink ref="U42" r:id="rId271" display="../../../../../../:b:/r/teams/CTM-OTGentStad/Shared Documents/General/EAF/CSI(nieuwe sharepoint)2024/EAF 5044 Gent deel 1.pdf?csf=1&amp;web=1&amp;e=IZggyy" xr:uid="{37D11D34-718C-4238-AFE7-431E55E64F9C}"/>
    <hyperlink ref="U335" r:id="rId272" display="../../../../../../:b:/r/teams/CTM-OTGentStad/Shared Documents/General/EAF/CSI(nieuwe sharepoint)2024/EAF 5044 Oostakker 31082024.pdf?csf=1&amp;web=1&amp;e=j9uLxZ" xr:uid="{4E05077D-CD21-402C-B3C9-5E4314A8A454}"/>
    <hyperlink ref="U282" r:id="rId273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74" display="../../../../../../:b:/r/teams/CTM-OTGentStad/Shared Documents/General/EAF/CSI(nieuwe sharepoint)2024/EAF 5045 Gent 12012024.pdf?csf=1&amp;web=1&amp;e=ivd5RU" xr:uid="{3A22C16C-607A-4FC2-8A8D-24743345E1B8}"/>
    <hyperlink ref="U494" r:id="rId275" display="../../../../../../:b:/r/teams/CTM-OTGentStad/Shared Documents/General/EAF/CSI(nieuwe sharepoint)2024/EAF 5045 Gent 17122024.pdf?csf=1&amp;web=1&amp;e=kzrcYs" xr:uid="{564B8D95-A97B-4623-99E6-3B4192928165}"/>
    <hyperlink ref="U76" r:id="rId276" display="../../../../../../:b:/r/teams/CTM-OTGentStad/Shared Documents/General/EAF/CSI(nieuwe sharepoint)2024/EAF 5045 Gent 28022024.pdf?csf=1&amp;web=1&amp;e=wvDOGb" xr:uid="{369E236B-8E52-4428-85B7-91A323A63F6D}"/>
    <hyperlink ref="U32" r:id="rId277" display="../../../../../../:b:/r/teams/CTM-OTGentStad/Shared Documents/General/EAF/CSI(nieuwe sharepoint)2024/EAF 5046 Oostakker 25012024.pdf?csf=1&amp;web=1&amp;e=vOY63e" xr:uid="{6E74240E-2337-46C7-B8D4-CC8E54D01985}"/>
    <hyperlink ref="U355" r:id="rId278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79" display="../../../../../../:b:/r/teams/CTM-OTGentStad/Shared Documents/General/EAF/CSI(nieuwe sharepoint)2024/EAF 5047 Gent Sint-Pietersstation 04072024.pdf?csf=1&amp;web=1&amp;e=w3uplh" xr:uid="{DFFC8348-AD0F-4A2C-B31D-AC83FF60E3B2}"/>
    <hyperlink ref="U203" r:id="rId280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81" display="../../../../../../:b:/r/teams/CTM-OTGentStad/Shared Documents/General/EAF/CSI(nieuwe sharepoint)2024/EAF 5048 Brugsepoort 10012024.pdf?csf=1&amp;web=1&amp;e=efMJXy" xr:uid="{339F33FE-F791-408B-AE55-8342C40CB9F9}"/>
    <hyperlink ref="U461" r:id="rId282" display="../../../../../../:b:/r/teams/CTM-OTGentStad/Shared Documents/General/EAF/CSI(nieuwe sharepoint)2024/EAF 5048 Gent 23112024.pdf?csf=1&amp;web=1&amp;e=0ID7Th" xr:uid="{FE567F82-C048-49E2-938A-504FF18DC235}"/>
    <hyperlink ref="U141" r:id="rId283" display="../../../../../../:b:/r/teams/CTM-OTGentStad/Shared Documents/General/EAF/CSI(nieuwe sharepoint)2024/EAF 5048 Trollyloods Gentburgge 27042024.pdf?csf=1&amp;web=1&amp;e=l7s9op" xr:uid="{07E718B1-7EC4-4B38-B197-07A5B95843C2}"/>
    <hyperlink ref="U33" r:id="rId284" display="../../../../../../:b:/r/teams/CTM-OTGentStad/Shared Documents/General/EAF/CSI(nieuwe sharepoint)2024/EAF 5048 Zwijnaarde 25012024.pdf?csf=1&amp;web=1&amp;e=4uelUO" xr:uid="{89B485B8-75D3-4E72-AC08-A30631C9FE67}"/>
    <hyperlink ref="U289" r:id="rId285" display="../../../../../../:b:/r/teams/CTM-OTGentStad/Shared Documents/General/EAF/CSI(nieuwe sharepoint)2024/EAF 5049 Gent 13072024.pdf?csf=1&amp;web=1&amp;e=SsboXc" xr:uid="{4ADFF32A-5B91-4408-BBB8-BC8D8127379E}"/>
    <hyperlink ref="U10" r:id="rId286" display="../../../../../../:b:/r/teams/CTM-OTGentStad/Shared Documents/General/EAF/CSI(nieuwe sharepoint)2024/EAF 5049 Opgeeistlaan 11012024.pdf?csf=1&amp;web=1&amp;e=upU8ce" xr:uid="{970A9D7E-1DAC-4B35-B1D7-404FBB2700E6}"/>
    <hyperlink ref="U469" r:id="rId287" display="../../../../../../:b:/r/teams/CTM-OTGentStad/Shared Documents/General/EAF/CSI(nieuwe sharepoint)2024/EAF 5049 Trolleyloods Gentbrugge 30112024.pdf?csf=1&amp;web=1&amp;e=DDkLJB" xr:uid="{6E36E6AD-37BB-4F07-83C9-F80A39F38CF6}"/>
    <hyperlink ref="U101" r:id="rId288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89" display="../../../../../../:b:/r/teams/CTM-OTGentStad/Shared Documents/General/EAF/CSI(nieuwe sharepoint)2024/EAF 5051 Gent 11062024.pdf?csf=1&amp;web=1&amp;e=lridOg" xr:uid="{F8C16BEA-33A4-43A1-8C9F-79DC2D51A4B3}"/>
    <hyperlink ref="U457" r:id="rId290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91" display="../../../../../../:b:/r/teams/CTM-OTGentStad/Shared Documents/General/EAF/CSI(nieuwe sharepoint)2024/EAF 5052 Gent 03092024.pdf?csf=1&amp;web=1&amp;e=j6GWuh" xr:uid="{684C05EF-CC93-4893-9326-FB1FC46BB253}"/>
    <hyperlink ref="U218" r:id="rId292" display="../../../../../../:b:/r/teams/CTM-OTGentStad/Shared Documents/General/EAF/CSI(nieuwe sharepoint)2024/EAF 5052 Gent 28052024.pdf?csf=1&amp;web=1&amp;e=wMFLOS" xr:uid="{5791140D-0988-44F6-A08D-F3FF696C698A}"/>
    <hyperlink ref="U377" r:id="rId293" display="../../../../../../:b:/r/teams/CTM-OTGentStad/Shared Documents/General/EAF/CSI(nieuwe sharepoint)2024/EAF 5052 Voskenslaan 24092024.pdf?csf=1&amp;web=1&amp;e=vLM2rs" xr:uid="{C48F1089-E222-47D9-AEBD-654E6EE58E73}"/>
    <hyperlink ref="U321" r:id="rId294" display="../../../../../../:b:/r/teams/CTM-OTGentStad/Shared Documents/General/EAF/CSI(nieuwe sharepoint)2024/EAF 5053  5272 Trollyloods Gentbrugge 11062024.pdf?csf=1&amp;web=1&amp;e=YXfgDM" xr:uid="{EC9997A5-5559-4569-81D5-0B999BB539C4}"/>
    <hyperlink ref="U142" r:id="rId295" display="../../../../../../:b:/r/teams/CTM-OTGentStad/Shared Documents/General/EAF/CSI(nieuwe sharepoint)2024/EAF 5053 Gent 07042024.pdf?csf=1&amp;web=1&amp;e=RjO14u" xr:uid="{DC6550E3-99CC-4FC8-A081-BB5F1C15BBF0}"/>
    <hyperlink ref="U305" r:id="rId296" display="../../../../../../:b:/r/teams/CTM-OTGentStad/Shared Documents/General/EAF/CSI(nieuwe sharepoint)2024/EAF 5053 Gent 27072024.pdf?csf=1&amp;web=1&amp;e=OiWWi6" xr:uid="{1282E241-D234-40F1-9C10-A3627664D753}"/>
    <hyperlink ref="U506" r:id="rId297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298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299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300" display="../../../../../../:b:/r/teams/CTM-OTGentStad/Shared Documents/General/EAF/CSI(nieuwe sharepoint)2024/EAF 5054 Gent 15112024.pdf?csf=1&amp;web=1&amp;e=20cD2D" xr:uid="{4C2A26BE-4D23-4B19-81DB-0FD1CB4EC899}"/>
    <hyperlink ref="U257" r:id="rId301" display="../../../../../../:b:/r/teams/CTM-OTGentStad/Shared Documents/General/EAF/CSI(nieuwe sharepoint)2024/EAF 5214 Gent 18062024.pdf?csf=1&amp;web=1&amp;e=ftFyER" xr:uid="{BEAA269B-10DF-4C60-A7E2-BA717F0C7BDF}"/>
    <hyperlink ref="U237" r:id="rId302" display="../../../../../../:b:/r/teams/CTM-OTGentStad/Shared Documents/General/EAF/CSI(nieuwe sharepoint)2024/EAF 5214 Gentbrugge 10062024.pdf?csf=1&amp;web=1&amp;e=ZkRs3H" xr:uid="{0EA5F3C5-3AF6-4C69-94EC-7F11B6A9E5D2}"/>
    <hyperlink ref="U194" r:id="rId303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04" display="../../../../../../:b:/r/teams/CTM-OTGentStad/Shared Documents/General/EAF/CSI(nieuwe sharepoint)2024/EAF 5219 Gent 07042024.pdf?csf=1&amp;web=1&amp;e=m4ESW6" xr:uid="{142430E9-C7DA-40A3-B64D-58AF211C0695}"/>
    <hyperlink ref="U162" r:id="rId305" display="../../../../../../:b:/r/teams/CTM-OTGentStad/Shared Documents/General/EAF/CSI(nieuwe sharepoint)2024/EAF 5229 Gent 19042024.pdf?csf=1&amp;web=1&amp;e=AhHiqm" xr:uid="{1B1C376D-E6C9-4990-BC36-F202F63CCD48}"/>
    <hyperlink ref="U414" r:id="rId306" display="../../../../../../:b:/r/teams/CTM-OTGentStad/Shared Documents/General/EAF/CSI(nieuwe sharepoint)2024/EAF 5229 Gent 23102024.pdf?csf=1&amp;web=1&amp;e=ESKx5N" xr:uid="{F16DA9F8-02C0-4D52-8B77-7B79EA874012}"/>
    <hyperlink ref="U195" r:id="rId307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08" display="../../../../../../:b:/r/teams/CTM-OTGentStad/Shared Documents/General/EAF/CSI(nieuwe sharepoint)2024/EAF 5230 Gent 28022024.pdf?csf=1&amp;web=1&amp;e=yDFaaM" xr:uid="{EC5A4AFA-661A-49EB-B968-2F1F560586E1}"/>
    <hyperlink ref="U492" r:id="rId309" display="../../../../../../:b:/r/teams/CTM-OTGentStad/Shared Documents/General/EAF/CSI(nieuwe sharepoint)2024/EAF 5230 Sint-Amandsberg  16122024.pdf?csf=1&amp;web=1&amp;e=ph7Ndy" xr:uid="{36E1F487-1A61-4764-8AF0-FBEC7960DDA7}"/>
    <hyperlink ref="U37" r:id="rId310" display="../../../../../../:b:/r/teams/CTM-OTGentStad/Shared Documents/General/EAF/CSI(nieuwe sharepoint)2024/EAF 5232 Gent 30012024.pdf?csf=1&amp;web=1&amp;e=rgbBDo" xr:uid="{872A0446-8C50-44C9-8112-444475A3004F}"/>
    <hyperlink ref="U350" r:id="rId311" display="../../../../../../:b:/r/teams/CTM-OTGentStad/Shared Documents/General/EAF/CSI(nieuwe sharepoint)2024/EAF 5233 Drongen 06092024.pdf?csf=1&amp;web=1&amp;e=GIoRc2" xr:uid="{F42AA0C2-BCEC-47BE-9D36-0777A3E629D3}"/>
    <hyperlink ref="U399" r:id="rId312" display="../../../../../../:b:/r/teams/CTM-OTGentStad/Shared Documents/General/EAF/CSI(nieuwe sharepoint)2024/EAF 5233 E17 13102024 Sahin Orhan.pdf?csf=1&amp;web=1&amp;e=LqDC9n" xr:uid="{4CE8DE9A-BE9D-4BAA-B603-1850CFBED817}"/>
    <hyperlink ref="U84" r:id="rId313" display="../../../../../../:b:/r/teams/CTM-OTGentStad/Shared Documents/General/EAF/CSI(nieuwe sharepoint)2024/EAF 5233 Drongsesteenweg 01032024.pdf?csf=1&amp;web=1&amp;e=f0bLD0" xr:uid="{15240598-88FB-48CB-AD07-399E0612C37E}"/>
    <hyperlink ref="U75" r:id="rId314" display="../../../../../../:b:/r/teams/CTM-OTGentStad/Shared Documents/General/EAF/CSI(nieuwe sharepoint)2024/EAF 5233 Wondelgem 27022024.pdf?csf=1&amp;web=1&amp;e=VUObQu" xr:uid="{CC06F139-05E8-4789-85CF-6148D0544C8C}"/>
    <hyperlink ref="U110" r:id="rId315" display="../../../../../../:b:/r/teams/CTM-OTGentStad/Shared Documents/General/EAF/CSI(nieuwe sharepoint)2024/EAF 5235 Gent 18032024.pdf?csf=1&amp;web=1&amp;e=aqQ2Fu" xr:uid="{FC818F25-B6C8-4218-8689-0C16F729D7E9}"/>
    <hyperlink ref="U80" r:id="rId316" display="../../../../../../:b:/r/teams/CTM-OTGentStad/Shared Documents/General/EAF/CSI(nieuwe sharepoint)2024/EAF 5235 Kouter Gent 29022024.pdf?csf=1&amp;web=1&amp;e=mb4LtY" xr:uid="{C6246465-6C1C-4B83-A73E-8D938327AD59}"/>
    <hyperlink ref="U144" r:id="rId317" display="../../../../../../:b:/r/teams/CTM-OTGentStad/Shared Documents/General/EAF/CSI(nieuwe sharepoint)2024/EAF 5236 Gent 08042024.pdf?csf=1&amp;web=1&amp;e=9TBxOY" xr:uid="{92F197F1-E1C8-4380-9DD3-E15ABF138817}"/>
    <hyperlink ref="U53" r:id="rId318" display="../../../../../../:b:/r/teams/CTM-OTGentStad/Shared Documents/General/EAF/CSI(nieuwe sharepoint)2024/EAF 5237 Begijnhoflaan 07022024.pdf?csf=1&amp;web=1&amp;e=uBdiuT" xr:uid="{57FEEE40-B95E-4D18-8CAC-5B696997F569}"/>
    <hyperlink ref="U147" r:id="rId319" display="../../../../../../:b:/r/teams/CTM-OTGentStad/Shared Documents/General/EAF/CSI(nieuwe sharepoint)2024/EAF 5237 Gent 09042024.pdf?csf=1&amp;web=1&amp;e=LzaWuc" xr:uid="{22BA3454-9282-42BF-9442-46E48BA1BBF5}"/>
    <hyperlink ref="U490" r:id="rId320" display="../../../../../../:b:/r/teams/CTM-OTGentStad/Shared Documents/General/EAF/CSI(nieuwe sharepoint)2024/EAF 5237 Nieuwe Wandeling Gent 14122024.pdf?csf=1&amp;web=1&amp;e=2ZG3Tn" xr:uid="{D898A5F8-8ED0-483E-902A-B9513D0393B9}"/>
    <hyperlink ref="U145" r:id="rId321" display="../../../../../../:b:/r/teams/CTM-OTGentStad/Shared Documents/General/EAF/CSI(nieuwe sharepoint)2024/EAF 5238 Brugsepoort Gent 08042024.pdf?csf=1&amp;web=1&amp;e=IkZZS2" xr:uid="{107AA107-4FF8-45A1-9801-901570F66CF6}"/>
    <hyperlink ref="U226" r:id="rId322" display="../../../../../../:b:/r/teams/CTM-OTGentStad/Shared Documents/General/EAF/CSI(nieuwe sharepoint)2024/EAF 5238 Dampoortstraat 02062024.pdf?csf=1&amp;web=1&amp;e=KplfVG" xr:uid="{82C3C673-B106-4861-A164-5A196C83972E}"/>
    <hyperlink ref="U440" r:id="rId323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24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25" display="../../../../../../:b:/r/teams/CTM-OTGentStad/Shared Documents/General/EAF/CSI(nieuwe sharepoint)2024/EAF 5239 Dampoort Gent 28092024.pdf?csf=1&amp;web=1&amp;e=2ecVKf" xr:uid="{0F88B24E-E58A-404B-B81A-4AB15657A82B}"/>
    <hyperlink ref="U363" r:id="rId326" display="../../../../../../:b:/r/teams/CTM-OTGentStad/Shared Documents/General/EAF/CSI(nieuwe sharepoint)2024/EAF 5239 Gent 39929 Staneva mariyana 14092024.pdf?csf=1&amp;web=1&amp;e=hMWWGb" xr:uid="{686A188A-2DA7-4B83-B913-C23137E77163}"/>
    <hyperlink ref="U151" r:id="rId327" display="../../../../../../:b:/r/teams/CTM-OTGentStad/Shared Documents/General/EAF/CSI(nieuwe sharepoint)2024/EAF 5239 Gent Brugsepoortstraat 12042024.pdf?csf=1&amp;web=1&amp;e=kfYcDQ" xr:uid="{F101ABC3-319B-4F1C-B964-417DC607D610}"/>
    <hyperlink ref="U486" r:id="rId328" display="../../../../../../:b:/r/teams/CTM-OTGentStad/Shared Documents/General/EAF/CSI(nieuwe sharepoint)2024/EAF 5239 Ledeberg 12122024.pdf?csf=1&amp;web=1&amp;e=mdSGoo" xr:uid="{76C035DD-FA0C-4F7C-BC9E-47B244C46548}"/>
    <hyperlink ref="U342" r:id="rId329" display="../../../../../../:b:/r/teams/CTM-OTGentStad/Shared Documents/General/EAF/CSI(nieuwe sharepoint)2024/EAF 5240 Gent 03092024 Atilla Ayidil.pdf?csf=1&amp;web=1&amp;e=g4RcZR" xr:uid="{57BF8AC5-1EE1-48FF-9540-37C9F9E77AF5}"/>
    <hyperlink ref="U111" r:id="rId330" display="../../../../../../:b:/r/teams/CTM-OTGentStad/Shared Documents/General/EAF/CSI(nieuwe sharepoint)2024/EAF 5240 Gent 18032024.pdf?csf=1&amp;web=1&amp;e=6Fvho6" xr:uid="{9D5E120C-A866-44ED-B6DF-EB9789082281}"/>
    <hyperlink ref="U462" r:id="rId331" display="../../../../../../:b:/r/teams/CTM-OTGentStad/Shared Documents/General/EAF/CSI(nieuwe sharepoint)2024/EAF 5240 Gent 23112024.pdf?csf=1&amp;web=1&amp;e=xHFfD7" xr:uid="{B534E512-FB1C-4BFD-AFFE-60C50F72B9EB}"/>
    <hyperlink ref="U408" r:id="rId332" display="../../../../../../:b:/r/teams/CTM-OTGentStad/Shared Documents/General/EAF/CSI(nieuwe sharepoint)2024/EAF 5240 Hoogstraat Gent 19.10.2024.pdf?csf=1&amp;web=1&amp;e=iYJzsc" xr:uid="{46AC0B2D-F923-4170-8924-0C6990A9508E}"/>
    <hyperlink ref="U160" r:id="rId333" display="../../../../../../:b:/r/teams/CTM-OTGentStad/Shared Documents/General/EAF/CSI(nieuwe sharepoint)2024/EAF 5240 Koning Albertlaan Gent 18012024.pdf?csf=1&amp;web=1&amp;e=GwvnVk" xr:uid="{E96BA914-631F-4DD1-A2CD-235512895942}"/>
    <hyperlink ref="U366" r:id="rId334" display="../../../../../../:b:/r/teams/CTM-OTGentStad/Shared Documents/General/EAF/CSI(nieuwe sharepoint)2024/EAF 5240 Nieuwe Wandeling Gent 15092024.pdf?csf=1&amp;web=1&amp;e=ybJXsr" xr:uid="{82DF405D-D5D8-4B78-AE31-0D254885B5F9}"/>
    <hyperlink ref="U299" r:id="rId335" display="../../../../../../:b:/r/teams/CTM-OTGentStad/Shared Documents/General/EAF/CSI(nieuwe sharepoint)2024/EAF 5240 Nieuwebosstraat 52 Gent 24.07.2024.pdf?csf=1&amp;web=1&amp;e=rSy4pR" xr:uid="{A981F4A2-09BD-461A-AFB7-CC5C884FD674}"/>
    <hyperlink ref="U300" r:id="rId336" display="../../../../../../:b:/r/teams/CTM-OTGentStad/Shared Documents/General/EAF/CSI(nieuwe sharepoint)2024/EAF 5240 Sint Amandsberg 24012024.pdf?csf=1&amp;web=1&amp;e=zHuKrP" xr:uid="{11DA0475-1561-428F-9D96-D3A3BCB37EED}"/>
    <hyperlink ref="U64" r:id="rId337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38" display="../../../../../../:b:/r/teams/CTM-OTGentStad/Shared Documents/General/EAF/CSI(nieuwe sharepoint)2024/EAF 5241 Gent Neermeerkaai 24042024.pdf?csf=1&amp;web=1&amp;e=hXwGLz" xr:uid="{DD19F197-679B-47C0-BE93-1D3BA9C723E8}"/>
    <hyperlink ref="U477" r:id="rId339" display="../../../../../../:b:/r/teams/CTM-OTGentStad/Shared Documents/General/EAF/CSI(nieuwe sharepoint)2024/EAF 5241 Gentbrugge 04122024.pdf?csf=1&amp;web=1&amp;e=f5ThUQ" xr:uid="{7D310F5C-0361-4788-B63B-2A829813B77A}"/>
    <hyperlink ref="U409" r:id="rId340" display="../../../../../../:b:/r/teams/CTM-OTGentStad/Shared Documents/General/EAF/CSI(nieuwe sharepoint)2024/EAF 5258 Rooigemlaan Gent  19.10.2024.pdf?csf=1&amp;web=1&amp;e=wNw2xP" xr:uid="{629E6FBD-E70C-4299-B41D-38B33769A026}"/>
    <hyperlink ref="U368" r:id="rId341" display="../../../../../../:b:/r/teams/CTM-OTGentStad/Shared Documents/General/EAF/CSI(nieuwe sharepoint)2024/EAF 5259 Drongensesteenweg 16092024 Nohut Baki.pdf?csf=1&amp;web=1&amp;e=c6BSsH" xr:uid="{97F0F5B8-393F-473E-AE4A-47F56D84819B}"/>
    <hyperlink ref="U35" r:id="rId342" display="../../../../../../:b:/r/teams/CTM-OTGentStad/Shared Documents/General/EAF/CSI(nieuwe sharepoint)2024/EAF 5260 Gent 28012024.pdf?csf=1&amp;web=1&amp;e=5Sz9tz" xr:uid="{6EE06DA0-3107-4B76-B2A6-5B362B5D2DA6}"/>
    <hyperlink ref="U313" r:id="rId343" display="../../../../../../:b:/r/teams/CTM-OTGentStad/Shared Documents/General/EAF/CSI(nieuwe sharepoint)2024/EAF 5260 Gentbrugge 02082024.pdf?csf=1&amp;web=1&amp;e=LndmuV" xr:uid="{090568B8-35D5-41F6-AD4C-F6D3F5D2F30C}"/>
    <hyperlink ref="U208" r:id="rId344" display="../../../../../../:b:/r/teams/CTM-OTGentStad/Shared Documents/General/EAF/CSI(nieuwe sharepoint)2024/EAF 5260 Gentbrugge 21052024.pdf?csf=1&amp;web=1&amp;e=WUdDW0" xr:uid="{DA041EFD-D168-4AFF-8423-558D7A8198CD}"/>
    <hyperlink ref="U429" r:id="rId345" display="../../../../../../:b:/r/teams/CTM-OTGentStad/Shared Documents/General/EAF/CSI(nieuwe sharepoint)2024/EAF 5260 Groeningewijk Gentbrugge 02112024.pdf?csf=1&amp;web=1&amp;e=PFNT1e" xr:uid="{B67A3E86-BD7D-432F-ABA0-61F4041E7D9A}"/>
    <hyperlink ref="U451" r:id="rId346" display="../../../../../../:b:/r/teams/CTM-OTGentStad/Shared Documents/General/EAF/CSI(nieuwe sharepoint)2024/EAF 5260 Hoogstraat Gent 17072024.pdf?csf=1&amp;web=1&amp;e=0DYXJ9" xr:uid="{80D2D0B5-01F0-4FB6-9CC9-EC959F6F1C09}"/>
    <hyperlink ref="U482" r:id="rId347" display="../../../../../../:b:/r/teams/CTM-OTGentStad/Shared Documents/General/EAF/CSI(nieuwe sharepoint)2024/EAF 5261 Brugsepoort Gent 09122024.pdf?csf=1&amp;web=1&amp;e=2klFr2" xr:uid="{F7B4B502-E0D9-4986-AE5D-2F347AE41E9A}"/>
    <hyperlink ref="U170" r:id="rId348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49" display="../../../../../../:b:/r/teams/CTM-OTGentStad/Shared Documents/General/EAF/CSI(nieuwe sharepoint)2024/EAF 5261 Gent 02022024.pdf?csf=1&amp;web=1&amp;e=KQ3nxn" xr:uid="{0751FBF0-F200-4ED5-B5F1-0D2822456AF1}"/>
    <hyperlink ref="U347" r:id="rId350" display="../../../../../../:b:/r/teams/CTM-OTGentStad/Shared Documents/General/EAF/CSI(nieuwe sharepoint)2024/EAF 5261 Groeningewijk Gentbrugge 05092024.pdf?csf=1&amp;web=1&amp;e=Tu5tpk" xr:uid="{D1A4051F-D2BC-4C0C-81AE-1A3883EDE667}"/>
    <hyperlink ref="U92" r:id="rId351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52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53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54" display="../../../../../../:b:/r/teams/CTM-OTGentStad/Shared Documents/General/EAF/CSI(nieuwe sharepoint)2024/EAF 5264 Gent 29012024.pdf?csf=1&amp;web=1&amp;e=pIPNJC" xr:uid="{3DF5E2C2-BF06-4246-87EB-CE2FE8673AF8}"/>
    <hyperlink ref="U348" r:id="rId355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56" display="../../../../../../:b:/r/teams/CTM-OTGentStad/Shared Documents/General/EAF/CSI(nieuwe sharepoint)2024/EAF 5265 Drongen 20012024.pdf?csf=1&amp;web=1&amp;e=zjZNH1" xr:uid="{5D8CB038-766F-4079-A253-9B24F16A0648}"/>
    <hyperlink ref="U291" r:id="rId357" display="../../../../../../:b:/r/teams/CTM-OTGentStad/Shared Documents/General/EAF/CSI(nieuwe sharepoint)2024/EAF 5265 Gent 17072024.pdf?csf=1&amp;web=1&amp;e=OFkISe" xr:uid="{7A74395B-63C5-4519-8F7C-B43378ABA3A3}"/>
    <hyperlink ref="U443" r:id="rId358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59" display="../../../../../../:b:/r/teams/CTM-OTGentStad/Shared Documents/General/EAF/CSI(nieuwe sharepoint)2024/EAF 5266 Gent Dampoort 10062024.pdf?csf=1&amp;web=1&amp;e=6j42Wr" xr:uid="{C50F2398-B4C7-4ECF-9CCB-0521DED21615}"/>
    <hyperlink ref="U93" r:id="rId360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61" display="../../../../../../:b:/r/teams/CTM-OTGentStad/Shared Documents/General/EAF/CSI(nieuwe sharepoint)2024/EAF 5267 Dampoort 24052024.pdf?csf=1&amp;web=1&amp;e=IKXRT1" xr:uid="{D8883898-C0C3-40CC-8905-74816792152C}"/>
    <hyperlink ref="U9" r:id="rId362" display="../../../../../../:b:/r/teams/CTM-OTGentStad/Shared Documents/General/EAF/CSI(nieuwe sharepoint)2024/EAF 5267 Gent 10012024.pdf?csf=1&amp;web=1&amp;e=bPITiu" xr:uid="{4E6F5EB9-1AFF-4587-AE4C-5DA7ACD6281E}"/>
    <hyperlink ref="U369" r:id="rId363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64" display="../../../../../../:b:/r/teams/CTM-OTGentStad/Shared Documents/General/EAF/CSI(nieuwe sharepoint)2024/EAF 5270 Afrit E17 op E40 08072024.pdf?csf=1&amp;web=1&amp;e=SC8SiN" xr:uid="{D601228B-287C-4D16-92E4-A755DDC32521}"/>
    <hyperlink ref="U113" r:id="rId365" display="../../../../../../:b:/r/teams/CTM-OTGentStad/Shared Documents/General/EAF/CSI(nieuwe sharepoint)2024/EAF 5272 Gent 19032024.pdf?csf=1&amp;web=1&amp;e=7WQ7o1" xr:uid="{B957B02F-263F-49B8-B2A8-F249018E5CEC}"/>
    <hyperlink ref="U292" r:id="rId366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67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68" display="../../../../../../:b:/r/teams/CTM-OTGentStad/Shared Documents/General/EAF/CSI(nieuwe sharepoint)2024/EAF 5273 Drongen 29022024.pdf?csf=1&amp;web=1&amp;e=Pwy5lm" xr:uid="{BB2EDCEC-E525-4266-A4C8-8AC6B34E4F60}"/>
    <hyperlink ref="U201" r:id="rId369" display="../../../../../../:b:/r/teams/CTM-OTGentStad/Shared Documents/General/EAF/CSI(nieuwe sharepoint)2024/EAF 5273 Gent 13052024.pdf?csf=1&amp;web=1&amp;e=bde5MQ" xr:uid="{5DB7283B-7F6F-424B-A9EA-972F12502937}"/>
    <hyperlink ref="U29" r:id="rId370" display="../../../../../../:b:/r/teams/CTM-OTGentStad/Shared Documents/General/EAF/CSI(nieuwe sharepoint)2024/EAF 5273 Gent 23012024.pdf?csf=1&amp;web=1&amp;e=zXlPrR" xr:uid="{59B18075-A3D7-40BB-8275-57AF7D3A7251}"/>
    <hyperlink ref="U356" r:id="rId371" display="../../../../../../:b:/r/teams/CTM-OTGentStad/Shared Documents/General/EAF/CSI(nieuwe sharepoint)2024/EAF 5273 Gentbrugge 08092024.pdf?csf=1&amp;web=1&amp;e=yFSCzw" xr:uid="{83123703-5206-4665-9670-638ED57D180D}"/>
    <hyperlink ref="U485" r:id="rId372" display="../../../../../../:b:/r/teams/CTM-OTGentStad/Shared Documents/General/EAF/CSI(nieuwe sharepoint)2024/EAF 5273 Hovernierstraat Ledeberg 10122024.pdf?csf=1&amp;web=1&amp;e=mVaACu" xr:uid="{B6D8AB26-89F9-4E1D-B7F7-2F14A228B65C}"/>
    <hyperlink ref="U269" r:id="rId373" display="../../../../../../:b:/r/teams/CTM-OTGentStad/Shared Documents/General/EAF/CSI(nieuwe sharepoint)2024/EAF 5273 Wondelgem 01072024.pdf?csf=1&amp;web=1&amp;e=l3AN29" xr:uid="{C6106ACC-3CEE-4584-BE4A-CB131F6D2EDC}"/>
    <hyperlink ref="U239" r:id="rId374" display="../../../../../../:b:/r/teams/CTM-OTGentStad/Shared Documents/General/EAF/CSI(nieuwe sharepoint)2024/EAF 5273 Wondelgem 10062024.pdf?csf=1&amp;web=1&amp;e=Dxn0VL" xr:uid="{F8200934-60BE-4DDA-8164-EBBE2852AF53}"/>
    <hyperlink ref="U487" r:id="rId375" display="../../../../../../:b:/r/teams/CTM-OTGentStad/Shared Documents/General/EAF/CSI(nieuwe sharepoint)2024/EAF 5276 Drongensesteenweg Gent 12122024.pdf?csf=1&amp;web=1&amp;e=ufckTu" xr:uid="{AFE55EA5-B19A-4EF5-95C8-E38FFA4E7FB3}"/>
    <hyperlink ref="U358" r:id="rId376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77" display="../../../../../../:b:/r/teams/CTM-OTGentStad/Shared Documents/General/EAF/CSI(nieuwe sharepoint)2024/EAF 5324 Martelaarslaan Gent 14.09.2024.pdf?csf=1&amp;web=1&amp;e=NMY58O" xr:uid="{80B084A7-BFFB-4BD7-B257-5656B6ABC759}"/>
    <hyperlink ref="U501" r:id="rId378" display="../../../../../../:b:/r/teams/CTM-OTGentStad/Shared Documents/General/EAF/CSI(nieuwe sharepoint)2024/EAF 5325 Drongen 21122024.pdf?csf=1&amp;web=1&amp;e=YQsH1N" xr:uid="{FE819C6A-CBB2-4A8F-A9CE-39A917EFC711}"/>
    <hyperlink ref="U62" r:id="rId379" display="../../../../../../:b:/r/teams/CTM-OTGentStad/Shared Documents/General/EAF/CSI(nieuwe sharepoint)2024/EAF 5326 Gent 16022024.pdf?csf=1&amp;web=1&amp;e=5ULpIl" xr:uid="{C39B2E04-3040-4444-8723-0242A8F29D67}"/>
    <hyperlink ref="U40" r:id="rId380" display="../../../../../../:b:/r/teams/CTM-OTGentStad/Shared Documents/General/EAF/CSI(nieuwe sharepoint)2024/EAF 5326 Gent 31012024.pdf?csf=1&amp;web=1&amp;e=i10RHa" xr:uid="{C3CA11C4-E758-484B-AAFA-71708436344D}"/>
    <hyperlink ref="U448" r:id="rId381" display="../../../../../../:b:/r/teams/CTM-OTGentStad/Shared Documents/General/EAF/CSI(nieuwe sharepoint)2024/EAF 5326 Gent 141122024.pdf?csf=1&amp;web=1&amp;e=yDV6ZW" xr:uid="{52138DDE-B010-4A88-A73C-8511E9CC5D84}"/>
    <hyperlink ref="U45" r:id="rId382" display="../../../../../../:b:/r/teams/CTM-OTGentStad/Shared Documents/General/EAF/CSI(nieuwe sharepoint)2024/EAF 5326 Gent Dampoort 03022024.pdf?csf=1&amp;web=1&amp;e=tGC44K" xr:uid="{0FA57C8A-55F0-49D0-8245-6DA39A492453}"/>
    <hyperlink ref="U223" r:id="rId383" display="../../../../../../:b:/r/teams/CTM-OTGentStad/Shared Documents/General/EAF/CSI(nieuwe sharepoint)2024/EAF 5326 Rooigemlaan Gent 30052024.pdf?csf=1&amp;web=1&amp;e=5AR7LW" xr:uid="{1F2AF07C-12EB-4380-BB14-F622D4D2E6B8}"/>
    <hyperlink ref="U231" r:id="rId384" display="../../../../../../:b:/r/teams/CTM-OTGentStad/Shared Documents/General/EAF/CSI(nieuwe sharepoint)2024/EAF 5327 05062024.pdf?csf=1&amp;web=1&amp;e=8mABkX" xr:uid="{71DB21F1-31E2-444E-85E3-7677E4B0468A}"/>
    <hyperlink ref="U197" r:id="rId385" display="../../../../../../:b:/r/teams/CTM-OTGentStad/Shared Documents/General/EAF/CSI(nieuwe sharepoint)2024/EAF 5327 Dampoort Gent 11052024.pdf?csf=1&amp;web=1&amp;e=2jmNbB" xr:uid="{214C7832-9A0B-4662-B595-1A5A7ED2DFB8}"/>
    <hyperlink ref="U103" r:id="rId386" display="../../../../../../:b:/r/teams/CTM-OTGentStad/Shared Documents/General/EAF/CSI(nieuwe sharepoint)2024/EAF 5327 Gent 12032024.pdf?csf=1&amp;web=1&amp;e=waZJbc" xr:uid="{4D4D7900-CDCB-460A-A010-9E850BDEE291}"/>
    <hyperlink ref="U235" r:id="rId387" display="../../../../../../:b:/r/teams/CTM-OTGentStad/Shared Documents/General/EAF/CSI(nieuwe sharepoint)2024/EAF 5327 Gent Fraterplein 07062024.pdf?csf=1&amp;web=1&amp;e=vVta9L" xr:uid="{3EC7782D-1782-4F70-8B1A-ABCDDD3BD6AC}"/>
    <hyperlink ref="U346" r:id="rId388" display="../../../../../../:b:/r/teams/CTM-OTGentStad/Shared Documents/General/EAF/CSI(nieuwe sharepoint)2024/EAF 5327 Ledeberg 04092024.pdf?csf=1&amp;web=1&amp;e=0wLizx" xr:uid="{6CEE7D51-D555-45A6-A445-463BC0E0D82D}"/>
    <hyperlink ref="U441" r:id="rId389" display="../../../../../../:b:/r/teams/CTM-OTGentStad/Shared Documents/General/EAF/CSI(nieuwe sharepoint)2024/EAF 5327 Morekstraat Wondelgem 09112024.pdf?csf=1&amp;web=1&amp;e=C5bi8b" xr:uid="{77D7CDF0-7819-4669-8E1C-541415AB7331}"/>
    <hyperlink ref="U26" r:id="rId390" display="../../../../../../:b:/r/teams/CTM-OTGentStad/Shared Documents/General/EAF/CSI(nieuwe sharepoint)2024/EAF 5327 Wondelgem 20012024.pdf?csf=1&amp;web=1&amp;e=iEEbE2" xr:uid="{D8EAF54B-EFB3-46A7-B40D-20A20504AB98}"/>
    <hyperlink ref="U343" r:id="rId391" display="../../../../../../:b:/r/teams/CTM-OTGentStad/Shared Documents/General/EAF/CSI(nieuwe sharepoint)2024/EAF 5328 Drieselstraat Gent 03.09.2024.pdf?csf=1&amp;web=1&amp;e=BvQsRY" xr:uid="{529A32D0-CADE-4CAD-80C4-675470E45984}"/>
    <hyperlink ref="U702" r:id="rId392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393" display="../../../../../../:b:/r/teams/CTM-OTGentStad/Shared Documents/General/EAF/CSI(nieuwe sharepoint)2024/EAF 5328 Gent 12062024.pdf?csf=1&amp;web=1&amp;e=P4QFUM" xr:uid="{D0E3AE83-0764-4CD3-9361-5B1D1A2632C8}"/>
    <hyperlink ref="U41" r:id="rId394" display="../../../../../../:b:/r/teams/CTM-OTGentStad/Shared Documents/General/EAF/CSI(nieuwe sharepoint)2024/EAF 5359 Mariakerke 31012024.pdf?csf=1&amp;web=1&amp;e=8iHQYj" xr:uid="{FE6B3864-717F-483B-84F6-CC3013C4BDB8}"/>
    <hyperlink ref="U265" r:id="rId395" display="../../../../../../:b:/r/teams/CTM-OTGentStad/Shared Documents/General/EAF/CSI(nieuwe sharepoint)2024/EAF 5359 Snellaertplein 26062024.pdf?csf=1&amp;web=1&amp;e=EWYDi9" xr:uid="{2AB4268C-F3F7-4044-AE1A-8A70B3A3B8C0}"/>
    <hyperlink ref="U505" r:id="rId396" display="../../../../../../:b:/r/teams/CTM-OTGentStad/Shared Documents/General/EAF/CSI(nieuwe sharepoint)2024/EAF 5360 Brugsesteenweg Gent 23122024.pdf?csf=1&amp;web=1&amp;e=blDlCj" xr:uid="{E091A8BA-883A-4B1D-9DD4-EB049555215A}"/>
    <hyperlink ref="U196" r:id="rId397" display="../../../../../../:b:/r/teams/CTM-OTGentStad/Shared Documents/General/EAF/CSI(nieuwe sharepoint)2024/EAF 5360 Gent 08052024.pdf?csf=1&amp;web=1&amp;e=3Q9fBi" xr:uid="{E39EDF1F-A898-4440-BF78-D7511308A975}"/>
    <hyperlink ref="U298" r:id="rId398" display="../../../../../../:b:/r/teams/CTM-OTGentStad/Shared Documents/General/EAF/CSI(nieuwe sharepoint)2024/EAF 5360 Gent 27032024.pdf?csf=1&amp;web=1&amp;e=aJuojI" xr:uid="{F77C63FF-9FE3-4196-8D70-5ACDF398E60E}"/>
    <hyperlink ref="U432" r:id="rId399" display="../../../../../../:b:/r/teams/CTM-OTGentStad/Shared Documents/General/EAF/CSI(nieuwe sharepoint)2024/EAF 5360 Gent Mariakerke 04112024 Jessica Bral.pdf?csf=1&amp;web=1&amp;e=pm8Mo8" xr:uid="{ADC460CA-527A-44AA-A580-501D885AB814}"/>
    <hyperlink ref="U21" r:id="rId400" display="../../../../../../:b:/r/teams/CTM-OTGentStad/Shared Documents/General/EAF/CSI(nieuwe sharepoint)2024/EAF 5360 Hoogstraat Gent 17012024.pdf?csf=1&amp;web=1&amp;e=Dj3JtM" xr:uid="{CFB4E6F4-F0B8-4336-8AE7-5C28A756BDDE}"/>
    <hyperlink ref="U426" r:id="rId401" display="../../../../../../:b:/r/teams/CTM-OTGentStad/Shared Documents/General/EAF/CSI(nieuwe sharepoint)2024/EAF 5360 Nieuwe Wandeling Gent 30102024.pdf?csf=1&amp;web=1&amp;e=ddxbec" xr:uid="{1BBCCAD9-675C-47D7-99E7-3DF3B9BD3F25}"/>
    <hyperlink ref="U61" r:id="rId402" display="../../../../../../:b:/r/teams/CTM-OTGentStad/Shared Documents/General/EAF/CSI(nieuwe sharepoint)2024/EAF 5361 Gent 15022024.pdf?csf=1&amp;web=1&amp;e=kW90Jf" xr:uid="{1C53B007-E749-42F0-86CB-CAF5D1A3FD2D}"/>
    <hyperlink ref="U212" r:id="rId403" display="../../../../../../:b:/r/teams/CTM-OTGentStad/Shared Documents/General/EAF/CSI(nieuwe sharepoint)2024/EAF 5361 Gent 23052024.pdf?csf=1&amp;web=1&amp;e=esyHQm" xr:uid="{90C911D5-D98D-4DB6-B4AF-5B5A34837E8A}"/>
    <hyperlink ref="U272" r:id="rId404" display="../../../../../../:b:/r/teams/CTM-OTGentStad/Shared Documents/General/EAF/CSI(nieuwe sharepoint)2024/EAF 5361 Rabot 02072024.pdf?csf=1&amp;web=1&amp;e=EEwi0O" xr:uid="{35AE54F1-E757-4F2E-8CB7-F6A8416AC419}"/>
    <hyperlink ref="U34" r:id="rId405" display="../../../../../../:b:/r/teams/CTM-OTGentStad/Shared Documents/General/EAF/CSI(nieuwe sharepoint)2024/EAF 5365 Gent 26012024.pdf?csf=1&amp;web=1&amp;e=QN3O87" xr:uid="{435391C4-4389-4071-92C9-A93C6932EE1E}"/>
    <hyperlink ref="U176" r:id="rId406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407" display="../../../../../../:b:/r/teams/CTM-OTGentStad/Shared Documents/General/EAF/CSI(nieuwe sharepoint)2024/EAF 5367 Gent 06062024.pdf?csf=1&amp;web=1&amp;e=McAZGf" xr:uid="{8C2E3171-4D8E-4EDB-A828-2FCC0ABB6F5A}"/>
    <hyperlink ref="U412" r:id="rId408" display="../../../../../../:b:/r/teams/CTM-OTGentStad/Shared Documents/General/EAF/CSI(nieuwe sharepoint)2024/EAF 5367 Gent 22102024.pdf?csf=1&amp;web=1&amp;e=LVW3LL" xr:uid="{2BF9F1EC-295A-433E-BDDD-952C8C15BADB}"/>
    <hyperlink ref="U301" r:id="rId409" display="../../../../../../:b:/r/teams/CTM-OTGentStad/Shared Documents/General/EAF/CSI(nieuwe sharepoint)2024/EAF 5367 Gent 24072024.pdf?csf=1&amp;web=1&amp;e=ltsuHk" xr:uid="{E216F7A9-AF42-4982-BA22-C9E34FC263C7}"/>
    <hyperlink ref="U188" r:id="rId410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411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12" display="../../../../../../:b:/r/teams/CTM-OTGentStad/Shared Documents/General/EAF/CSI(nieuwe sharepoint)2024/EAF 5369 Gent 01042024.pdf?csf=1&amp;web=1&amp;e=xW5W74" xr:uid="{CC2F902B-0745-43EB-9123-B932862326AE}"/>
    <hyperlink ref="U44" r:id="rId413" display="../../../../../../:b:/r/teams/CTM-OTGentStad/Shared Documents/General/EAF/CSI(nieuwe sharepoint)2024/EAF 5369 Gent 02022024.pdf?csf=1&amp;web=1&amp;e=RwySmv" xr:uid="{9B9F6456-13C4-4144-A04B-9C11B22581F2}"/>
    <hyperlink ref="U357" r:id="rId414" display="../../../../../../:b:/r/teams/CTM-OTGentStad/Shared Documents/General/EAF/CSI(nieuwe sharepoint)2024/EAF 5369 Gent 09092024.pdf?csf=1&amp;web=1&amp;e=EKxThx" xr:uid="{BD0E99D5-6527-4A36-AC9C-FEAE888A9FC4}"/>
    <hyperlink ref="U268" r:id="rId415" display="../../../../../../:b:/r/teams/CTM-OTGentStad/Shared Documents/General/EAF/CSI(nieuwe sharepoint)2024/EAF 5369 GEnt 29062024.pdf?csf=1&amp;web=1&amp;e=5PTssr" xr:uid="{73AB86D2-9859-4FC4-9C68-95CB1B70A3FD}"/>
    <hyperlink ref="U109" r:id="rId416" display="../../../../../../:b:/r/teams/CTM-OTGentStad/Shared Documents/General/EAF/CSI(nieuwe sharepoint)2024/EAF 5372 Gent 14032024.pdf?csf=1&amp;web=1&amp;e=EtsYdB" xr:uid="{AE33083B-9039-4752-9D2A-FB363FAA767C}"/>
    <hyperlink ref="U163" r:id="rId417" display="../../../../../../:b:/r/teams/CTM-OTGentStad/Shared Documents/General/EAF/CSI(nieuwe sharepoint)2024/EAF 5372 Gent 19042024.pdf?csf=1&amp;web=1&amp;e=lGY92b" xr:uid="{2C5F34AB-2196-4289-8F4E-2E923D6E8426}"/>
    <hyperlink ref="U2" r:id="rId418" display="../../../../../../:b:/r/teams/CTM-OTGentStad/Shared Documents/General/EAF/CSI(nieuwe sharepoint)2024/EAF 5376 E17 05012024.pdf?csf=1&amp;web=1&amp;e=fDdhVf" xr:uid="{005C1CFD-602D-4819-8A76-5F1163DF83FA}"/>
    <hyperlink ref="U72" r:id="rId419" display="../../../../../../:b:/r/teams/CTM-OTGentStad/Shared Documents/General/EAF/CSI(nieuwe sharepoint)2024/EAF 5376 E17 22022024.pdf?csf=1&amp;web=1&amp;e=zECSLM" xr:uid="{6536CC7E-A956-4FD0-8134-39D8B145D6CE}"/>
    <hyperlink ref="U135" r:id="rId420" display="../../../../../../:b:/r/teams/CTM-OTGentStad/Shared Documents/General/EAF/CSI(nieuwe sharepoint)2024/EAF 5376 Gent 31032024.pdf?csf=1&amp;web=1&amp;e=0n8M7F" xr:uid="{08CDC4B2-77DF-4681-8441-9A23A12FC4F6}"/>
    <hyperlink ref="U46" r:id="rId421" display="../../../../../../:b:/r/teams/CTM-OTGentStad/Shared Documents/General/EAF/CSI(nieuwe sharepoint)2024/EAF 5376 Koremarkt 03022024.pdf?csf=1&amp;web=1&amp;e=kKCeod" xr:uid="{37235B0A-023F-452B-8A60-D385C160089E}"/>
    <hyperlink ref="U328" r:id="rId422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23" display="../../../../../../:b:/r/teams/CTM-OTGentStad/Shared Documents/General/EAF/CSI(nieuwe sharepoint)2024/EAF 5763 Gentbrugge 26062024.pdf?csf=1&amp;web=1&amp;e=dKWpID" xr:uid="{7C0B5AB5-2BDA-4B76-9635-FA18AC578BF9}"/>
    <hyperlink ref="U146" r:id="rId424" display="../../../../../../:b:/r/teams/CTM-OTGentStad/Shared Documents/General/EAF/CSI(nieuwe sharepoint)2024/EAF 5764 Driebeek 08042024.pdf?csf=1&amp;web=1&amp;e=kwxRyw" xr:uid="{20C56189-5D21-4CDC-BED0-4DD042CEC560}"/>
    <hyperlink ref="U247" r:id="rId425" display="../../../../../../:b:/r/teams/CTM-OTGentStad/Shared Documents/General/EAF/CSI(nieuwe sharepoint)2024/EAF 5764 Gent 13062024.pdf?csf=1&amp;web=1&amp;e=QFoHNP" xr:uid="{27BAF88A-1717-43EC-93B3-3E04D633A8E7}"/>
    <hyperlink ref="U270" r:id="rId426" display="../../../../../../:b:/r/teams/CTM-OTGentStad/Shared Documents/General/EAF/CSI(nieuwe sharepoint)2024/EAF 5764 Octrooiplein Gent 01.07.2024.pdf?csf=1&amp;web=1&amp;e=gH27G5" xr:uid="{F4285674-8BBE-4AD1-9935-E0EF1FBC3AA7}"/>
    <hyperlink ref="U488" r:id="rId427" display="../../../../../../:b:/r/teams/CTM-OTGentStad/Shared Documents/General/EAF/CSI(nieuwe sharepoint)2024/EAF 5764 Sint-Pietersnieuwstraat Gent 12122024.pdf?csf=1&amp;web=1&amp;e=GuvJod" xr:uid="{9489E54C-110F-43D7-B9DD-021720A0D345}"/>
    <hyperlink ref="U371" r:id="rId428" display="../../../../../../:b:/r/teams/CTM-OTGentStad/Shared Documents/General/EAF/CSI(nieuwe sharepoint)2024/EAF 5765 Gent 17092024.pdf?csf=1&amp;web=1&amp;e=ZbypcB" xr:uid="{1AAE3371-A3CA-46BE-816D-D96A42DDE9E3}"/>
    <hyperlink ref="U495" r:id="rId429" display="../../../../../../:b:/r/teams/CTM-OTGentStad/Shared Documents/General/EAF/CSI(nieuwe sharepoint)2024/EAF 5765 Gent 18122024.pdf?csf=1&amp;web=1&amp;e=vfzKhd" xr:uid="{327B46C7-AAD7-471A-8396-8D7756505435}"/>
    <hyperlink ref="U177" r:id="rId430" display="../../../../../../:b:/r/teams/CTM-OTGentStad/Shared Documents/General/EAF/CSI(nieuwe sharepoint)2024/EAF 5765 Gent 29042024.pdf?csf=1&amp;web=1&amp;e=9TzZCx" xr:uid="{18973B25-B212-4678-AD92-A6F615B36F5A}"/>
    <hyperlink ref="U136" r:id="rId431" display="../../../../../../:b:/r/teams/CTM-OTGentStad/Shared Documents/General/EAF/CSI(nieuwe sharepoint)2024/EAF 5765 Gent 31032024.pdf?csf=1&amp;web=1&amp;e=fdRt8x" xr:uid="{803BFBBA-2094-40D2-B90F-9EBE110462E1}"/>
    <hyperlink ref="U94" r:id="rId432" display="../../../../../../:b:/r/teams/CTM-OTGentStad/Shared Documents/General/EAF/CSI(nieuwe sharepoint)2024/EAF 5765 Gentbrugge 05032024.pdf?csf=1&amp;web=1&amp;e=cyphOF" xr:uid="{973D6D55-1832-4460-85B8-8A83E5FDB087}"/>
    <hyperlink ref="U157" r:id="rId433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34" display="../../../../../../:b:/r/teams/CTM-OTGentStad/Shared Documents/General/EAF/CSI(nieuwe sharepoint)2024/EAF 5766 Lammerstraat 03092024.pdf?csf=1&amp;web=1&amp;e=cqwJ9W" xr:uid="{712897C0-61B2-4FE1-809A-169D35C65CF6}"/>
    <hyperlink ref="U465" r:id="rId435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36" display="../../../../../../:b:/r/teams/CTM-OTGentStad/Shared Documents/General/EAF/CSI(nieuwe sharepoint)2024/EAF 5767 Gent 23042024 De Wilde Jordy 39927.pdf?csf=1&amp;web=1&amp;e=hd0LZ6" xr:uid="{E1C472D4-0978-4058-8716-9E980588C5B2}"/>
    <hyperlink ref="U496" r:id="rId437" display="../../../../../../:b:/r/teams/CTM-OTGentStad/Shared Documents/General/EAF/CSI(nieuwe sharepoint)2024/EAF 5767 Steendam Gent 18.12.2024.pdf?csf=1&amp;web=1&amp;e=XVFDwI" xr:uid="{4C0DA69D-FB64-4C20-99EF-5CE38A0D6EAB}"/>
    <hyperlink ref="U17" r:id="rId438" display="../../../../../../:b:/r/teams/CTM-OTGentStad/Shared Documents/General/EAF/CSI(nieuwe sharepoint)2024/EAF 5768 GEnt 15012024.pdf?csf=1&amp;web=1&amp;e=8w2RoB" xr:uid="{07BE8381-0679-405D-844E-F0D06D086D29}"/>
    <hyperlink ref="U373" r:id="rId439" display="../../../../../../:b:/r/teams/CTM-OTGentStad/Shared Documents/General/EAF/CSI(nieuwe sharepoint)2024/EAF 5768 Gent 21092024.pdf?csf=1&amp;web=1&amp;e=SCccII" xr:uid="{38F70451-4885-4AEA-9191-B1C7D092F664}"/>
    <hyperlink ref="U418" r:id="rId440" display="../../../../../../:b:/r/teams/CTM-OTGentStad/Shared Documents/General/EAF/CSI(nieuwe sharepoint)2024/EAF 5768 Gent 24102024.pdf?csf=1&amp;web=1&amp;e=hZcqTA" xr:uid="{1DFD0E5D-10CA-43AE-925B-86362B8DCB75}"/>
    <hyperlink ref="U427" r:id="rId441" display="../../../../../../:b:/r/teams/CTM-OTGentStad/Shared Documents/General/EAF/CSI(nieuwe sharepoint)2024/EAF 5769 Gent Dampoort 30102024 De Keyzer Jan.pdf?csf=1&amp;web=1&amp;e=cTVgDR" xr:uid="{067B8925-433C-423F-AA38-A05B96551CC4}"/>
    <hyperlink ref="U466" r:id="rId442" display="../../../../../../:b:/r/teams/CTM-OTGentStad/Shared Documents/General/EAF/CSI(nieuwe sharepoint)2024/EAF 5770 E17 parking 1 29112024.pdf?csf=1&amp;web=1&amp;e=UHSFcC" xr:uid="{AADB0B12-94B1-4DF6-9962-733043F44C0C}"/>
    <hyperlink ref="U276" r:id="rId443" display="../../../../../../:b:/r/teams/CTM-OTGentStad/Shared Documents/General/EAF/CSI(nieuwe sharepoint)2024/EAF 5771 Gent 05072024.pdf?csf=1&amp;web=1&amp;e=BebpUR" xr:uid="{58B7D1DE-4BD4-41E7-9F47-DB7031F5B813}"/>
    <hyperlink ref="U444" r:id="rId444" display="../../../../../../:b:/r/teams/CTM-OTGentStad/Shared Documents/General/EAF/CSI(nieuwe sharepoint)2024/EAF 5771 Gent 12102024.pdf?csf=1&amp;web=1&amp;e=9avnHM" xr:uid="{F5FC9A9B-C2BF-4D7A-BA49-828CF424E979}"/>
    <hyperlink ref="U278" r:id="rId445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46" display="../../../../../../:b:/r/teams/CTM-OTGentStad/Shared Documents/General/EAF/CSI(nieuwe sharepoint)2024/EAF 5909 Gentbrugge 05092024.pdf?csf=1&amp;web=1&amp;e=VcfhqJ" xr:uid="{08479A51-23A3-4BD3-88B5-D6401B2D43AF}"/>
    <hyperlink ref="U303" r:id="rId447" display="../../../../../../:b:/r/teams/CTM-OTGentStad/Shared Documents/General/EAF/CSI(nieuwe sharepoint)2024/EAF 5910 Damport Octrooiplein 25.07.2024.pdf?csf=1&amp;web=1&amp;e=DdHFwD" xr:uid="{4909083A-4B6B-4CB8-8DF0-772D4147EF78}"/>
    <hyperlink ref="U89" r:id="rId448" display="../../../../../../:b:/r/teams/CTM-OTGentStad/Shared Documents/General/EAF/CSI(nieuwe sharepoint)2024/EAF 5910 Gent 02032024.pdf?csf=1&amp;web=1&amp;e=Hf67hC" xr:uid="{EEBB9E04-48FE-4172-841E-CE887FC37C64}"/>
    <hyperlink ref="U250" r:id="rId449" display="../../../../../../:b:/r/teams/CTM-OTGentStad/Shared Documents/General/EAF/CSI(nieuwe sharepoint)2024/EAF 5910 GEnt 14062024.pdf?csf=1&amp;web=1&amp;e=CTqTIp" xr:uid="{3650FCD1-99C6-4EF7-B335-AE48A35FE915}"/>
    <hyperlink ref="U379" r:id="rId450" display="../../../../../../:b:/r/teams/CTM-OTGentStad/Shared Documents/General/EAF/CSI(nieuwe sharepoint)2024/EAF 5910 Meulesteedsesteenweg 25092024.pdf?csf=1&amp;web=1&amp;e=7VEYr1" xr:uid="{8133B147-4223-47FD-8971-7A3B52D7AE85}"/>
    <hyperlink ref="U405" r:id="rId451" display="../../../../../../:b:/r/teams/CTM-OTGentStad/Shared Documents/General/EAF/CSI(nieuwe sharepoint)2024/EAF 5911 Gentbruggebrug Gent 15102024.pdf?csf=1&amp;web=1&amp;e=c6tEA9" xr:uid="{C376F98A-ECB4-4E78-85DD-D9B2768855FC}"/>
    <hyperlink ref="U361" r:id="rId452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53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54" display="../../../../../../:b:/r/teams/CTM-OTGentStad/Shared Documents/General/EAF/CSI(nieuwe sharepoint)2024/EAF 5913 Wondelgembrug 12062024.pdf?csf=1&amp;web=1&amp;e=Wyng8S" xr:uid="{101DE239-0092-4892-9E2E-A3C2273DB5A9}"/>
    <hyperlink ref="U497" r:id="rId455" display="../../../../../../:b:/r/teams/CTM-OTGentStad/Shared Documents/General/EAF/CSI(nieuwe sharepoint)2024/EAF 5914 Gent 19122024.pdf?csf=1&amp;web=1&amp;e=JvjLeO" xr:uid="{FE3D820A-6C1F-4BD2-8F06-5A3FA626E5F8}"/>
    <hyperlink ref="U507" r:id="rId456" display="../../../../../../:b:/r/teams/CTM-OTGentStad/Shared Documents/General/EAF/CSI(nieuwe sharepoint)2024/EAF 5914 Gent 26122024 Moez El Ouni.pdf?csf=1&amp;web=1&amp;e=3EZnf0" xr:uid="{FF8EE383-FF07-483C-BA5D-708925A62D77}"/>
    <hyperlink ref="U386" r:id="rId457" display="../../../../../../:b:/r/teams/CTM-OTGentStad/Shared Documents/General/EAF/CSI(nieuwe sharepoint)2024/EAF 5914 Melle 02102024.pdf?csf=1&amp;web=1&amp;e=hdlJ2K" xr:uid="{0940389D-3265-4D90-864D-CA05D7A6FFCB}"/>
    <hyperlink ref="U453" r:id="rId458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59" display="../../../../../../:b:/r/teams/CTM-OTGentStad/Shared Documents/General/EAF/CSI(nieuwe sharepoint)2024/EAF 5915 Kunstlaan Gent 28102024.pdf?csf=1&amp;web=1&amp;e=JWz3rt" xr:uid="{2B7BF50C-4818-4FBC-806B-F4CC40C05039}"/>
    <hyperlink ref="U334" r:id="rId460" display="../../../../../../:b:/r/teams/CTM-OTGentStad/Shared Documents/General/EAF/CSI(nieuwe sharepoint)2024/EAF 5915 Molenstraat 30082024.pdf?csf=1&amp;web=1&amp;e=xQJbsC" xr:uid="{AD059D9C-A997-4FB6-9B41-F7003B5BCB18}"/>
    <hyperlink ref="U422" r:id="rId461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62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63" display="../../../../../../:b:/r/teams/CTM-OTGentStad/Shared Documents/General/EAF/CSI(nieuwe sharepoint)2024/EAF 5917 Gent 08102024.pdf?csf=1&amp;web=1&amp;e=n328Pj" xr:uid="{2250E414-68BB-41B9-B24A-E931F0690BF5}"/>
    <hyperlink ref="U202" r:id="rId464" display="../../../../../../:b:/r/teams/CTM-OTGentStad/Shared Documents/General/EAF/CSI(nieuwe sharepoint)2024/EAF 5917 Gent 13052024 Beeckman Nico.pdf?csf=1&amp;web=1&amp;e=nwRTHL" xr:uid="{FE5660A0-21C9-4D89-B3C8-622461BFA2D6}"/>
    <hyperlink ref="U209" r:id="rId465" display="../../../../../../:b:/r/teams/CTM-OTGentStad/Shared Documents/General/EAF/CSI(nieuwe sharepoint)2024/EAF 5917 Gent 21052024 Eva Teetaert.pdf?csf=1&amp;web=1&amp;e=0yT36N" xr:uid="{439ADA6F-C138-4661-8173-1C54B6B36704}"/>
    <hyperlink ref="U252" r:id="rId466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67" display="../../../../../../:b:/r/teams/CTM-OTGentStad/Shared Documents/General/EAF/CSI(nieuwe sharepoint)2024/EAF 5917 Melle 22012024.pdf?csf=1&amp;web=1&amp;e=tFSEiQ" xr:uid="{55983FB4-DCF4-4F84-8D73-76577FEEC01B}"/>
    <hyperlink ref="U327" r:id="rId468" display="../../../../../../:b:/r/teams/CTM-OTGentStad/Shared Documents/General/EAF/CSI(nieuwe sharepoint)2024/EAF 5917 Steendam Gent 21082024.pdf?csf=1&amp;web=1&amp;e=0Ma29K" xr:uid="{9F08C87D-1EAD-467D-B6B1-E27AB5D6FC91}"/>
    <hyperlink ref="U105" r:id="rId469" display="../../../../../../:b:/r/teams/CTM-OTGentStad/Shared Documents/General/EAF/CSI(nieuwe sharepoint)2024/EAF 5917 Wondelgem 13032024.pdf?csf=1&amp;web=1&amp;e=1pWjWI" xr:uid="{6544B0D0-8D7A-44BC-9498-6A910CC5661F}"/>
    <hyperlink ref="U354" r:id="rId470" display="../../../../../../:b:/r/teams/CTM-OTGentStad/Shared Documents/General/EAF/CSI(nieuwe sharepoint)2024/EAF 5917 Wondelgem station 07.09.2024.pdf?csf=1&amp;web=1&amp;e=3grMCG" xr:uid="{EED29C3C-6C37-4E66-B085-D014173BFADE}"/>
    <hyperlink ref="U48" r:id="rId471" display="../../../../../../:b:/r/teams/CTM-OTGentStad/Shared Documents/General/EAF/CSI(nieuwe sharepoint)2024/EAF 5919 Gent 04022024.pdf?csf=1&amp;web=1&amp;e=zjN1rb" xr:uid="{380AAA65-2FC3-4AA6-9B0A-8976E57FB493}"/>
    <hyperlink ref="U59" r:id="rId472" display="../../../../../../:b:/r/teams/CTM-OTGentStad/Shared Documents/General/EAF/CSI(nieuwe sharepoint)2024/EAF 5919 Gent 14022024 tweede ongeval .pdf?csf=1&amp;web=1&amp;e=BPHK9f" xr:uid="{9E546354-829D-4198-9E01-E054793BAAA7}"/>
    <hyperlink ref="U401" r:id="rId473" display="../../../../../../:b:/r/teams/CTM-OTGentStad/Shared Documents/General/EAF/CSI(nieuwe sharepoint)2024/EAF 5919 Gent De Pintenlaan 14102024.pdf?csf=1&amp;web=1&amp;e=iepGKv" xr:uid="{1990CA22-D765-423A-95AE-DEAC88E1F45A}"/>
    <hyperlink ref="U192" r:id="rId474" display="../../../../../../:b:/r/teams/CTM-OTGentStad/Shared Documents/General/EAF/CSI(nieuwe sharepoint)2024/EAF 5920 Damvalleistraat Gent 06052024.pdf?csf=1&amp;web=1&amp;e=dneJfa" xr:uid="{ECBBB372-B7D1-4716-A359-3171751D06BD}"/>
    <hyperlink ref="U393" r:id="rId475" display="../../../../../../:b:/r/teams/CTM-OTGentStad/Shared Documents/General/EAF/CSI(nieuwe sharepoint)2024/EAF 5920 Gent 09102024.pdf?csf=1&amp;web=1&amp;e=zIQxX2" xr:uid="{CB1C74E1-55CB-4421-B533-F9A10F857D79}"/>
    <hyperlink ref="U22" r:id="rId476" display="../../../../../../:b:/r/teams/CTM-OTGentStad/Shared Documents/General/EAF/CSI(nieuwe sharepoint)2024/EAF 5920 Gent 17012024.pdf?csf=1&amp;web=1&amp;e=yXwX7o" xr:uid="{AA316053-562B-4340-8757-915539A7DB1E}"/>
    <hyperlink ref="U351" r:id="rId477" display="../../../../../../:b:/r/teams/CTM-OTGentStad/Shared Documents/General/EAF/CSI(nieuwe sharepoint)2024/EAF 5921 Gent 06092024.pdf?csf=1&amp;web=1&amp;e=ET4Ni6" xr:uid="{CC4D6F3C-CE49-4F27-8C8D-29F90B458AEF}"/>
    <hyperlink ref="U161" r:id="rId478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79" display="../../../../../../:b:/r/teams/CTM-OTGentStad/Shared Documents/General/EAF/CSI(nieuwe sharepoint)2024/EAF 5921 Gent Dampoort 05052024.pdf?csf=1&amp;web=1&amp;e=0Q22TJ" xr:uid="{33C9FB16-D534-4A4D-9272-3D3BF13BF988}"/>
    <hyperlink ref="U701" r:id="rId480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81" display="../../../../../../:b:/r/teams/CTM-OTGentStad/Shared Documents/General/EAF/CSI(nieuwe sharepoint)2024/EAF 5922 Gent 01052024.pdf?csf=1&amp;web=1&amp;e=NNTyTB" xr:uid="{1E69D9E9-CCB1-4FAA-8223-AF1ACBF055ED}"/>
    <hyperlink ref="U280" r:id="rId482" display="../../../../../../:b:/r/teams/CTM-OTGentStad/Shared Documents/General/EAF/CSI(nieuwe sharepoint)2024/EAF 5922 Gent 07072024.pdf?csf=1&amp;web=1&amp;e=9c2iFu" xr:uid="{765DFA5D-8691-4903-9649-1451146FFC14}"/>
    <hyperlink ref="U314" r:id="rId483" display="../../../../../../:b:/r/teams/CTM-OTGentStad/Shared Documents/General/EAF/CSI(nieuwe sharepoint)2024/EAF 5924 Dampoort Gent 02082024.pdf?csf=1&amp;web=1&amp;e=ogMhjI" xr:uid="{D6C3FB8E-0C36-444C-B34F-EE26360AE687}"/>
    <hyperlink ref="U345" r:id="rId484" display="../../../../../../:b:/r/teams/CTM-OTGentStad/Shared Documents/General/EAF/CSI(nieuwe sharepoint)2024/EAF 5924 Gent 03092024.pdf?csf=1&amp;web=1&amp;e=0iaMwL" xr:uid="{55390CE4-A4A6-4AF9-AABC-D1E13BA39F9C}"/>
    <hyperlink ref="U224" r:id="rId485" display="../../../../../../:b:/r/teams/CTM-OTGentStad/Shared Documents/General/EAF/CSI(nieuwe sharepoint)2024/EAF 5925 Gent 30052024 39907.pdf?csf=1&amp;web=1&amp;e=oYfmrK" xr:uid="{56C03297-5189-48BC-9F6C-EEC065D018FD}"/>
    <hyperlink ref="U336" r:id="rId486" display="../../../../../../:b:/r/teams/CTM-OTGentStad/Shared Documents/General/EAF/CSI(nieuwe sharepoint)2024/EAF 5925 Gent 31082024.pdf?csf=1&amp;web=1&amp;e=wcsOQa" xr:uid="{9AD9A43D-95A1-41EC-967A-10C4083175C1}"/>
    <hyperlink ref="U459" r:id="rId487" display="../../../../../../:b:/r/teams/CTM-OTGentStad/Shared Documents/General/EAF/CSI(nieuwe sharepoint)2024/EAF 5926 Gent Poel 22112024 De Bruyne Sonia.pdf?csf=1&amp;web=1&amp;e=y93dio" xr:uid="{A11B612B-E0AD-4E7D-95B5-753A496DC00D}"/>
    <hyperlink ref="U24" r:id="rId488" display="../../../../../../:b:/r/teams/CTM-OTGentStad/Shared Documents/General/EAF/CSI(nieuwe sharepoint)2024/EAF 5926 Gent Tolhuislaan 19012024.pdf?csf=1&amp;web=1&amp;e=iCmD1r" xr:uid="{44BA67B5-D7E5-47EC-A655-81A8C36C803C}"/>
    <hyperlink ref="U31" r:id="rId489" display="../../../../../../:b:/r/teams/CTM-OTGentStad/Shared Documents/General/EAF/CSI(nieuwe sharepoint)2024/EAF 5926 Gent Zuid 24012024.pdf?csf=1&amp;web=1&amp;e=3qd6T7" xr:uid="{50F303C2-A58C-41AD-86A7-06A092CD30D5}"/>
    <hyperlink ref="U286" r:id="rId490" display="../../../../../../:b:/r/teams/CTM-OTGentStad/Shared Documents/General/EAF/CSI(nieuwe sharepoint)2024/EAF 5927 Gent 11072024.pdf?csf=1&amp;web=1&amp;e=8LSfTn" xr:uid="{B76BA60D-E151-42EA-B4F2-0F8F6171032E}"/>
    <hyperlink ref="U152" r:id="rId491" display="../../../../../../:b:/r/teams/CTM-OTGentStad/Shared Documents/General/EAF/CSI(nieuwe sharepoint)2024/EAF 5927 Gent 12042024 Dejonckheere Els.pdf?csf=1&amp;web=1&amp;e=xdCvsi" xr:uid="{0922DD05-6000-4DB2-AC2E-E8FF2F2C1180}"/>
    <hyperlink ref="U70" r:id="rId492" display="../../../../../../:b:/r/teams/CTM-OTGentStad/Shared Documents/General/EAF/CSI(nieuwe sharepoint)2024/EAF 5927 Gent 21022024.pdf?csf=1&amp;web=1&amp;e=6VXNIn" xr:uid="{0BD34A3D-2A0A-491D-82A6-6F602912683B}"/>
    <hyperlink ref="U153" r:id="rId493" display="../../../../../../:b:/r/teams/CTM-OTGentStad/Shared Documents/General/EAF/CSI(nieuwe sharepoint)2024/EAF 5928 Gent 13042024.pdf?csf=1&amp;web=1&amp;e=4Pgjj7" xr:uid="{5E3796BC-F5D3-4FF1-8CED-2F96288725CC}"/>
    <hyperlink ref="U172" r:id="rId494" display="../../../../../../:b:/r/teams/CTM-OTGentStad/Shared Documents/General/EAF/CSI(nieuwe sharepoint)2024/EAF 5928 Gent 23042024.pdf?csf=1&amp;web=1&amp;e=GwaF1A" xr:uid="{92408512-A385-4C17-A25B-9E17ABCB0A06}"/>
    <hyperlink ref="U154" r:id="rId495" display="../../../../../../:b:/r/teams/CTM-OTGentStad/Shared Documents/General/EAF/CSI(nieuwe sharepoint)2024/EAF 5928 Tolhuislaan Gent 14042024.pdf?csf=1&amp;web=1&amp;e=9YTsKJ" xr:uid="{00ACAF27-11EB-4660-81DF-F3C9DC9C7F7F}"/>
    <hyperlink ref="U49" r:id="rId496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497" display="../../../../../../:b:/r/teams/CTM-OTGentStad/Shared Documents/General/EAF/CSI(nieuwe sharepoint)2024/EAF 5929 Muidebrug Gent 14.08.2024.pdf?csf=1&amp;web=1&amp;e=nFlISJ" xr:uid="{282136ED-7774-47F7-AACB-2644C0F23AFE}"/>
    <hyperlink ref="U316" r:id="rId498" display="../../../../../../:b:/r/teams/CTM-OTGentStad/Shared Documents/General/EAF/CSI(nieuwe sharepoint)2024/EAF 5929 Muidepoort Gent 03082024.pdf?csf=1&amp;web=1&amp;e=j8Sd4y" xr:uid="{21F1C4D7-829B-47F8-B5B0-B41BBD06C0BF}"/>
    <hyperlink ref="U310" r:id="rId499" display="../../../../../../:b:/r/teams/CTM-OTGentStad/Shared Documents/General/EAF/CSI(nieuwe sharepoint)2024/EAF 5930 Gent 30072024.pdf?csf=1&amp;web=1&amp;e=Qr6wuu" xr:uid="{29269ECB-F016-4131-B0C1-8029727B91BE}"/>
    <hyperlink ref="U445" r:id="rId500" display="../../../../../../:b:/r/teams/CTM-OTGentStad/Shared Documents/General/EAF/CSI(nieuwe sharepoint)2024/EAF 5931 Gent 13112024.pdf?csf=1&amp;web=1&amp;e=zRTGuL" xr:uid="{06653386-9903-4D3B-AE80-CBC00A2FADBA}"/>
    <hyperlink ref="U158" r:id="rId501" display="../../../../../../:b:/r/teams/CTM-OTGentStad/Shared Documents/General/EAF/CSI(nieuwe sharepoint)2024/EAF 5931 Gent 17042024.pdf?csf=1&amp;web=1&amp;e=ag8FSy" xr:uid="{6FB3FA81-75E1-4AD2-8324-21B7C5A83AEB}"/>
    <hyperlink ref="U333" r:id="rId502" display="../../../../../../:b:/r/teams/CTM-OTGentStad/Shared Documents/General/EAF/CSI(nieuwe sharepoint)2024/EAF 5931 Gent 29082024.pdf?csf=1&amp;web=1&amp;e=8QmiSg" xr:uid="{64B4B0E0-C95B-40F7-83CE-CDFEE271B186}"/>
    <hyperlink ref="U234" r:id="rId503" display="../../../../../../:b:/r/teams/CTM-OTGentStad/Shared Documents/General/EAF/CSI(nieuwe sharepoint)2024/EAF 5931 Zwijnaardsesteenweg Gent 06.07.2024.pdf?csf=1&amp;web=1&amp;e=ol0oua" xr:uid="{3625ECD0-05C3-46D8-B29F-845151CCAAAF}"/>
    <hyperlink ref="U407" r:id="rId504" display="../../../../../../:b:/r/teams/CTM-OTGentStad/Shared Documents/General/EAF/CSI(nieuwe sharepoint)2024/EAF 5932 Gent 18102024.pdf?csf=1&amp;web=1&amp;e=NS6bxW" xr:uid="{CF3D86AB-A65F-4981-BDA6-E5F6A1DD7391}"/>
    <hyperlink ref="U385" r:id="rId505" display="../../../../../../:b:/r/teams/CTM-OTGentStad/Shared Documents/General/EAF/CSI(nieuwe sharepoint)2024/EAF 5933 Gent 28092024.pdf?csf=1&amp;web=1&amp;e=0sjfhv" xr:uid="{5357BB62-3038-4E43-9E56-4FDAE63AE808}"/>
    <hyperlink ref="U260" r:id="rId506" display="../../../../../../:b:/r/teams/CTM-OTGentStad/Shared Documents/General/EAF/CSI(nieuwe sharepoint)2024/EAF 5933 Gentbrugge 22062024.pdf?csf=1&amp;web=1&amp;e=V5kETm" xr:uid="{B656E3CF-DEC0-41BF-84DC-E808F0B83EB2}"/>
    <hyperlink ref="U365" r:id="rId507" display="../../../../../../:b:/r/teams/CTM-OTGentStad/Shared Documents/General/EAF/CSI(nieuwe sharepoint)2024/EAF 5933 Gontrodestraat Melle 14092024.pdf?csf=1&amp;web=1&amp;e=BalgZb" xr:uid="{54298FDD-64A7-46E4-8DC7-5556002FA0BF}"/>
    <hyperlink ref="U297" r:id="rId508" display="../../../../../../:b:/r/teams/CTM-OTGentStad/Shared Documents/General/EAF/CSI(nieuwe sharepoint)2024/EAF 5933 Stelplaats Gentbrugge 20072024.pdf?csf=1&amp;web=1&amp;e=FamZBX" xr:uid="{5460B05F-7100-471C-9B6F-5AE4E5BCC0AC}"/>
    <hyperlink ref="U193" r:id="rId509" display="../../../../../../:b:/r/teams/CTM-OTGentStad/Shared Documents/General/EAF/CSI(nieuwe sharepoint)2024/EAF 5936 Dendermondsesteenweg 06052024.pdf?csf=1&amp;web=1&amp;e=YzKV0d" xr:uid="{1534D9D6-D0ED-4491-A6D0-9566B00139E8}"/>
    <hyperlink ref="U258" r:id="rId510" display="../../../../../../:b:/r/teams/CTM-OTGentStad/Shared Documents/General/EAF/CSI(nieuwe sharepoint)2024/EAF 5936 Gent 14062024.pdf?csf=1&amp;web=1&amp;e=QqcAsu" xr:uid="{90497A2E-4DCF-4F9E-BD8E-CFC8A3A09B05}"/>
    <hyperlink ref="U57" r:id="rId511" display="../../../../../../:b:/r/teams/CTM-OTGentStad/Shared Documents/General/EAF/CSI(nieuwe sharepoint)2024/EAF 5936 Gentburgge stelplaats 03022024.pdf?csf=1&amp;web=1&amp;e=Y7MjUI" xr:uid="{61793F77-1B06-4576-BCC9-8BB81898185C}"/>
    <hyperlink ref="U380" r:id="rId512" display="../../../../../../:b:/r/teams/CTM-OTGentStad/Shared Documents/General/EAF/CSI(nieuwe sharepoint)2024/EAF 5936 Melle 25092024.pdf?csf=1&amp;web=1&amp;e=ULi3T9" xr:uid="{F4B9E33F-6872-4684-A1E0-5C78217D8443}"/>
    <hyperlink ref="U30" r:id="rId513" display="../../../../../../:b:/r/teams/CTM-OTGentStad/Shared Documents/General/EAF/CSI(nieuwe sharepoint)2024/EAF 5937 Gent 23012024.pdf?csf=1&amp;web=1&amp;e=X16AxW" xr:uid="{7A4B0627-2498-406F-9332-575FC96F6463}"/>
    <hyperlink ref="U14" r:id="rId514" display="../../../../../../:b:/r/teams/CTM-OTGentStad/Shared Documents/General/EAF/CSI(nieuwe sharepoint)2024/EAF 5937 Gentburgge 12012024.pdf?csf=1&amp;web=1&amp;e=xKJ9hg" xr:uid="{5EE13D50-8CFB-4908-BBBF-D509DCE45810}"/>
    <hyperlink ref="U204" r:id="rId515" display="../../../../../../:b:/r/teams/CTM-OTGentStad/Shared Documents/General/EAF/CSI(nieuwe sharepoint)2024/EAF 5938 Muidepoort Gent 16052024.pdf?csf=1&amp;web=1&amp;e=b51H46" xr:uid="{D7735C0E-A6C5-482D-B8F9-A16192324B2F}"/>
    <hyperlink ref="U293" r:id="rId516" display="../../../../../../:b:/r/teams/CTM-OTGentStad/Shared Documents/General/EAF/CSI(nieuwe sharepoint)2024/EAF 6302 Gent Zuid 18072024.pdf?csf=1&amp;web=1&amp;e=UGRMUB" xr:uid="{BA867025-E333-493C-BFAA-3DB1F56F5548}"/>
    <hyperlink ref="U446" r:id="rId517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18" display="../../../../../../:b:/r/teams/CTM-OTGentStad/Shared Documents/General/EAF/CSI(nieuwe sharepoint)2024/EAF 6303 Gent 23032024.pdf?csf=1&amp;web=1&amp;e=NqglJb" xr:uid="{0639A3A5-82B9-4CE2-9A60-DC9944D19B85}"/>
    <hyperlink ref="U185" r:id="rId519" display="../../../../../../:b:/r/teams/CTM-OTGentStad/Shared Documents/General/EAF/CSI(nieuwe sharepoint)2024/EAF 6305 Gent 02052024 Demirarik Mustafa.pdf?csf=1&amp;web=1&amp;e=bxWzqb" xr:uid="{2B49E4D2-2154-4FBB-BB4D-A8BD4ED3A1E7}"/>
    <hyperlink ref="U290" r:id="rId520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521" display="../../../../../../:b:/r/teams/CTM-OTGentStad/Shared Documents/General/EAF/CSI(nieuwe sharepoint)2024/EAF 6309 Brusselsesteenweg 08082024.pdf?csf=1&amp;web=1&amp;e=MbY7iJ" xr:uid="{30865120-756D-4B8E-B1E3-58EF89660A22}"/>
    <hyperlink ref="U359" r:id="rId522" display="../../../../../../:b:/r/teams/CTM-OTGentStad/Shared Documents/General/EAF/CSI(nieuwe sharepoint)2024/EAF 6309 Gent Rabotstraat 10092024 Glenn Smesman.pdf?csf=1&amp;web=1&amp;e=sQzuwt" xr:uid="{EB1DC9C2-2F6F-4EC1-94D8-4E54E43D665A}"/>
    <hyperlink ref="U7" r:id="rId523" display="../../../../../../:b:/r/teams/CTM-OTGentStad/Shared Documents/General/EAF/CSI(nieuwe sharepoint)2024/EAF 6309 Gentbrugge 08012024.pdf?csf=1&amp;web=1&amp;e=uf1oeB" xr:uid="{525E4D21-DCA3-44E9-90F6-DC74AF5597A6}"/>
    <hyperlink ref="U410" r:id="rId524" display="../../../../../../:b:/r/teams/CTM-OTGentStad/Shared Documents/General/EAF/CSI(nieuwe sharepoint)2024/EAF 6309 Gentburgge 21102024.pdf?csf=1&amp;web=1&amp;e=HjOmRs" xr:uid="{733D9FB4-D4FE-486B-BEE6-5869E05D0C01}"/>
    <hyperlink ref="U267" r:id="rId525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26" display="../../../../../../:b:/r/teams/CTM-OTGentStad/Shared Documents/General/EAF/CSI(nieuwe sharepoint)2024/EAF 6310 Gent 22112024.pdf?csf=1&amp;web=1&amp;e=ycEeVa" xr:uid="{A76C89B6-F2FB-4788-B5F2-9F58711B2B2C}"/>
    <hyperlink ref="U332" r:id="rId527" display="../../../../../../:b:/r/teams/CTM-OTGentStad/Shared Documents/General/EAF/CSI(nieuwe sharepoint)2024/EAF 6312 Zwijnaardsesteenweg 26082024.pdf?csf=1&amp;web=1&amp;e=88t8ZY" xr:uid="{B7A50DF1-A7B5-4ECB-B9DB-D93CE410654F}"/>
    <hyperlink ref="U402" r:id="rId528" display="../../../../../../:b:/r/teams/CTM-OTGentStad/Shared Documents/General/EAF/CSI(nieuwe sharepoint)2024/EAF 6313 Albertlaan 14102024 Peter De Craene.pdf?csf=1&amp;web=1&amp;e=3ApSX0" xr:uid="{3DCD0A75-7D1F-463B-AB29-16E66DC3EA24}"/>
    <hyperlink ref="U502" r:id="rId529" display="../../../../../../:b:/r/teams/CTM-OTGentStad/Shared Documents/General/EAF/CSI(nieuwe sharepoint)2024/EAF 6314 Gent 21122024.pdf?csf=1&amp;web=1&amp;e=LZkx29" xr:uid="{87B08E6E-EED1-4A85-8D98-1F9AB20C58BC}"/>
    <hyperlink ref="U186" r:id="rId530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31" display="../../../../../../:b:/r/teams/CTM-OTGentStad/Shared Documents/General/EAF/CSI(nieuwe sharepoint)2024/EAF 6314 Gravensteen 19112024 Tom Vandaele_1.pdf?csf=1&amp;web=1&amp;e=RsaAUC" xr:uid="{4249E846-2CAB-40A1-98D1-C8AE0938E3B6}"/>
    <hyperlink ref="U106" r:id="rId532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33" display="../../../../../../:b:/r/teams/CTM-OTGentStad/Shared Documents/General/EAF/CSI(nieuwe sharepoint)2024/EAF 6314 Poperingestraat 19112024 Farhad.pdf?csf=1&amp;web=1&amp;e=rJdpKF" xr:uid="{63B4F5BC-68EE-4E81-A227-839704D6EA8E}"/>
    <hyperlink ref="U403" r:id="rId534" display="../../../../../../:b:/r/teams/CTM-OTGentStad/Shared Documents/General/EAF/CSI(nieuwe sharepoint)2024/EAF 6316 Gent 14102024.pdf?csf=1&amp;web=1&amp;e=fSTYhN" xr:uid="{FC7EC304-609B-44C8-9C81-332B140E78E5}"/>
    <hyperlink ref="U133" r:id="rId535" display="../../../../../../:b:/r/teams/CTM-OTGentStad/Shared Documents/General/EAF/CSI(nieuwe sharepoint)2024/EAF 6317 Wondelgem 29032024.pdf?csf=1&amp;web=1&amp;e=jVZc4e" xr:uid="{B443C951-8278-4C5F-A905-43C39B277335}"/>
    <hyperlink ref="U438" r:id="rId536" display="../../../../../../:b:/r/teams/CTM-OTGentStad/Shared Documents/General/EAF/CSI(nieuwe sharepoint)2024/EAF 6318 Gentbrugge 08112024.pdf?csf=1&amp;web=1&amp;e=mWDhW2" xr:uid="{F06534EA-26D0-4AFF-A844-C4E9F31500E7}"/>
    <hyperlink ref="U452" r:id="rId537" display="../../../../../../:b:/r/teams/CTM-OTGentStad/Shared Documents/General/EAF/CSI(nieuwe sharepoint)2024/EAF 6319 Gent 18112024.pdf?csf=1&amp;web=1&amp;e=Hfgwen" xr:uid="{B1108F83-47AC-412F-8BD7-FA1A1BD4F77D}"/>
    <hyperlink ref="U376" r:id="rId538" display="../../../../../../:b:/r/teams/CTM-OTGentStad/Shared Documents/General/EAF/CSI(nieuwe sharepoint)2024/EAF 6319 Gent 23092024.pdf?csf=1&amp;web=1&amp;e=NdgTcc" xr:uid="{1E544F17-152A-480E-9922-7EF0D976D6AE}"/>
    <hyperlink ref="U483" r:id="rId539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40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41" display="../../../../../../:b:/r/teams/CTM-OTGentStad/Shared Documents/General/EAF/CSI(nieuwe sharepoint)2024/EAF 6321 Gentbrugge 21122024.pdf?csf=1&amp;web=1&amp;e=iBNMu8" xr:uid="{9F2A07A0-3CD8-470A-A0B6-85F22C8A1348}"/>
    <hyperlink ref="U3" r:id="rId542" display="../../../../../../:b:/r/teams/CTM-OTGentStad/Shared Documents/General/EAF/CSI(nieuwe sharepoint)2024/EAF 6322 Hovenierstraat Ledeberg 05012024.pdf?csf=1&amp;web=1&amp;e=vFe7av" xr:uid="{BB3E34E9-5269-48D0-8DD7-F3AE231EF10A}"/>
    <hyperlink ref="U320" r:id="rId543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44" display="../../../../../../:b:/r/teams/CTM-OTGentStad/Shared Documents/General/EAF/CSI(nieuwe sharepoint)2024/EAF 6323 Wondelgem 07022024.pdf?csf=1&amp;web=1&amp;e=NW22ZG" xr:uid="{7D857CCE-D0A3-4835-83BE-DFB145D71BAB}"/>
    <hyperlink ref="U449" r:id="rId545" display="../../../../../../:b:/r/teams/CTM-OTGentStad/Shared Documents/General/EAF/CSI(nieuwe sharepoint)2024/EAF 6325 Keizerpoort Gent 14.11.2024.pdf?csf=1&amp;web=1&amp;e=riYYd0" xr:uid="{EC8D17A4-764E-4B90-B78E-CB0B2FBF6150}"/>
    <hyperlink ref="U425" r:id="rId546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47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48" display="../../../../../../:b:/r/teams/CTM-OTGentStad/Shared Documents/General/EAF/CSI(nieuwe sharepoint)2024/EAF 6326 De Pintelaan 12012024.pdf?csf=1&amp;web=1&amp;e=DiLIYF" xr:uid="{30C5537B-DF76-449B-AC74-16D031B3DBC2}"/>
    <hyperlink ref="U148" r:id="rId549" display="../../../../../../:b:/r/teams/CTM-OTGentStad/Shared Documents/General/EAF/CSI(nieuwe sharepoint)2024/EAF 6326 Gent 10042024.pdf?csf=1&amp;web=1&amp;e=hl7b1G" xr:uid="{917BDEDE-E12E-49F8-B7CC-225E0E245CA7}"/>
    <hyperlink ref="U66" r:id="rId550" display="../../../../../../:b:/r/teams/CTM-OTGentStad/Shared Documents/General/EAF/CSI(nieuwe sharepoint)2024/EAF 6326 Sint Pietersaalstraat 19022024.pdf?csf=1&amp;web=1&amp;e=aj7NBd" xr:uid="{998E2606-D56C-4CAF-B6B5-846A49B40D99}"/>
    <hyperlink ref="U287" r:id="rId551" display="../../../../../../:b:/r/teams/CTM-OTGentStad/Shared Documents/General/EAF/CSI(nieuwe sharepoint)2024/EAF 6326 UZ 11072024.pdf?csf=1&amp;web=1&amp;e=uQ73fs" xr:uid="{4DFACCFD-6E49-44CB-804E-3A588E664425}"/>
    <hyperlink ref="U352" r:id="rId552" display="../../../../../../:b:/r/teams/CTM-OTGentStad/Shared Documents/General/EAF/CSI(nieuwe sharepoint)2024/EAF 6329 Gent 06092024.pdf?csf=1&amp;web=1&amp;e=hKZZd2" xr:uid="{BEA1D943-D222-4A29-8414-78E95154D228}"/>
    <hyperlink ref="U227" r:id="rId553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54" display="../../../../../../:b:/r/teams/CTM-OTGentStad/Shared Documents/General/EAF/CSI(nieuwe sharepoint)2024/EAF 6331 GEnt 18072024.pdf?csf=1&amp;web=1&amp;e=icZnhB" xr:uid="{DAC7D166-F77E-45D2-BA6E-0EDFAAAE6F2E}"/>
    <hyperlink ref="U283" r:id="rId555" display="../../../../../../:b:/r/teams/CTM-OTGentStad/Shared Documents/General/EAF/CSI(nieuwe sharepoint)2024/EAF 6332 Brusselsestwg 10072024.pdf?csf=1&amp;web=1&amp;e=ikV0cR" xr:uid="{2BFE6322-0352-4E0A-B558-604FDF50EE2C}"/>
    <hyperlink ref="U200" r:id="rId556" display="../../../../../../:b:/r/teams/CTM-OTGentStad/Shared Documents/General/EAF/CSI(nieuwe sharepoint)2024/EAF 6332 Gent 12052024 De Craene Peter.pdf?csf=1&amp;web=1&amp;e=AlEJLc" xr:uid="{C6F93BF1-CEF8-4B71-BCD1-52741A12F9DA}"/>
    <hyperlink ref="U304" r:id="rId557" display="../../../../../../:b:/r/teams/CTM-OTGentStad/Shared Documents/General/EAF/CSI(nieuwe sharepoint)2024/EAF 6332 Gent 25072024.pdf?csf=1&amp;web=1&amp;e=AWDkxa" xr:uid="{857E009D-B9B3-40E4-B457-79F020177855}"/>
    <hyperlink ref="U134" r:id="rId558" display="../../../../../../:b:/r/teams/CTM-OTGentStad/Shared Documents/General/EAF/CSI(nieuwe sharepoint)2024/EAF 6332 Gent 29032024.pdf?csf=1&amp;web=1&amp;e=jLyfAV" xr:uid="{DAD38B99-063D-4E1F-BE77-354F71404BA1}"/>
    <hyperlink ref="U436" r:id="rId559" display="../../../../../../:b:/r/teams/CTM-OTGentStad/Shared Documents/General/EAF/CSI(nieuwe sharepoint)2024/EAF 6333 Gent 07112024.pdf?csf=1&amp;web=1&amp;e=5e4YGN" xr:uid="{7726DD93-2929-4233-895A-E43AA655FC0F}"/>
    <hyperlink ref="U324" r:id="rId560" display="../../../../../../:b:/r/teams/CTM-OTGentStad/Shared Documents/General/EAF/CSI(nieuwe sharepoint)2024/EAF 6333 Voormuid Gent 14082024.pdf?csf=1&amp;web=1&amp;e=RjPiIM" xr:uid="{B4FCE873-D337-4C22-B15A-FAECF4C8A635}"/>
    <hyperlink ref="U360" r:id="rId561" display="../../../../../../:b:/r/teams/CTM-OTGentStad/Shared Documents/General/EAF/CSI(nieuwe sharepoint)2024/EAF 6334 Gent 10092024.pdf?csf=1&amp;web=1&amp;e=ewvYgy" xr:uid="{4C5E3B26-5A2F-4889-8562-6C81711755FB}"/>
    <hyperlink ref="U222" r:id="rId562" display="../../../../../../:b:/r/teams/CTM-OTGentStad/Shared Documents/General/EAF/CSI(nieuwe sharepoint)2024/EAF 6335 Brusselsesteenweg 368 29052024.pdf?csf=1&amp;web=1&amp;e=khBiN8" xr:uid="{A2E10FE1-D461-40EF-AE84-44D9BA2F42E9}"/>
    <hyperlink ref="U411" r:id="rId563" display="../../../../../../:b:/r/teams/CTM-OTGentStad/Shared Documents/General/EAF/CSI(nieuwe sharepoint)2024/EAF 6335 Gent 21102024.pdf?csf=1&amp;web=1&amp;e=qaSvs7" xr:uid="{F4C7B592-0FCD-4185-A27F-BFD8452591D7}"/>
    <hyperlink ref="U330" r:id="rId564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65" display="../../../../../../:b:/r/teams/CTM-OTGentStad/Shared Documents/General/EAF/CSI(nieuwe sharepoint)2024/EAF 6337 Gent 30102024.pdf?csf=1&amp;web=1&amp;e=0H5Fe7" xr:uid="{395909A6-E752-4B32-833E-1A3EDC0D95CB}"/>
    <hyperlink ref="U474" r:id="rId566" display="../../../../../../:b:/r/teams/CTM-OTGentStad/Shared Documents/General/EAF/CSI(nieuwe sharepoint)2024/EAF 6339 Gent 02122024.pdf?csf=1&amp;web=1&amp;e=TkaVl7" xr:uid="{C6BCCA65-1B57-401C-BD0B-A7170E28E15F}"/>
    <hyperlink ref="U396" r:id="rId567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68" display="../../../../../../:b:/r/teams/CTM-OTGentStad/Shared Documents/General/EAF/CSI(nieuwe sharepoint)2024/EAF 6339 Ledebergstraat 27092024.pdf?csf=1&amp;web=1&amp;e=kydSaL" xr:uid="{F510BA36-EFD1-4D4C-B4BB-90EE088EB689}"/>
    <hyperlink ref="U178" r:id="rId569" display="../../../../../../:b:/r/teams/CTM-OTGentStad/Shared Documents/General/EAF/CSI(nieuwe sharepoint)2024/EAF 6340 29042024.pdf?csf=1&amp;web=1&amp;e=6rHAiu" xr:uid="{70E63A47-4FE8-4B21-9979-575A7C65C00F}"/>
    <hyperlink ref="U27" r:id="rId570" display="../../../../../../:b:/r/teams/CTM-OTGentStad/Shared Documents/General/EAF/CSI(nieuwe sharepoint)2024/EAF 6340 Gent 23012024.pdf?csf=1&amp;web=1&amp;e=Sfpg5s" xr:uid="{793C28E3-44A0-4688-8E48-D81820C81F32}"/>
    <hyperlink ref="U255" r:id="rId571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72" display="../../../../../../:b:/r/teams/CTM-OTGentStad/Shared Documents/General/EAF/CSI(nieuwe sharepoint)2024/EAF 6351 Ledeberg 18072024.pdf?csf=1&amp;web=1&amp;e=dqcane" xr:uid="{4BE29D71-7128-4FDF-B961-735ECB16382D}"/>
    <hyperlink ref="U277" r:id="rId573" display="../../../../../../:b:/r/teams/CTM-OTGentStad/Shared Documents/General/EAF/CSI(nieuwe sharepoint)2024/EAF 6352 Gent 05072024.pdf?csf=1&amp;web=1&amp;e=IJPdnl" xr:uid="{964BF070-EA30-467C-909A-EE78DF5F5AE9}"/>
    <hyperlink ref="U479" r:id="rId574" display="../../../../../../:b:/r/teams/CTM-OTGentStad/Shared Documents/General/EAF/CSI(nieuwe sharepoint)2024/EAF 6352 Expo Gent 06122024.pdf?csf=1&amp;web=1&amp;e=0vLPpf" xr:uid="{D5537093-4C8E-460F-90E4-87F103CE6ECA}"/>
    <hyperlink ref="U164" r:id="rId575" display="../../../../../../:b:/r/teams/CTM-OTGentStad/Shared Documents/General/EAF/CSI(nieuwe sharepoint)2024/EAF 6352 Jozef Vervaenestraat Gent 19042024.pdf?csf=1&amp;web=1&amp;e=yjnj8a" xr:uid="{9A2907EE-EFFA-44EC-80BA-DA299DCB106D}"/>
    <hyperlink ref="U296" r:id="rId576" display="../../../../../../:b:/r/teams/CTM-OTGentStad/Shared Documents/General/EAF/CSI(nieuwe sharepoint)2024/EAF 6352 Ledebergplein 19072024.pdf?csf=1&amp;web=1&amp;e=bkrs0Z" xr:uid="{ECA85887-3998-42C1-B84E-1F8CA9FC5A86}"/>
    <hyperlink ref="U442" r:id="rId577" display="../../../../../../:b:/r/teams/CTM-OTGentStad/Shared Documents/General/EAF/CSI(nieuwe sharepoint)2024/EAF 6352 Papegaaistraat 11112024 Tom Haerens.pdf?csf=1&amp;web=1&amp;e=eNdPga" xr:uid="{80E6BA8C-0F31-4091-832B-98A88738360F}"/>
    <hyperlink ref="U220" r:id="rId578" display="../../../../../../:b:/r/teams/CTM-OTGentStad/Shared Documents/General/EAF/CSI(nieuwe sharepoint)2024/EAF 6353 GEnt 28052024.pdf?csf=1&amp;web=1&amp;e=WGHqLp" xr:uid="{DB5A8078-51B2-4D7E-A0BE-B0788FB79736}"/>
    <hyperlink ref="U254" r:id="rId579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80" display="../../../../../../:b:/r/teams/CTM-OTGentStad/Shared Documents/General/EAF/CSI(nieuwe sharepoint)2024/EAF 6355 Gent 27052024.pdf?csf=1&amp;web=1&amp;e=1PDaCB" xr:uid="{86E0D265-D6E0-49B3-A838-FD978831EB27}"/>
    <hyperlink ref="U96" r:id="rId581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82" display="../../../../../../:b:/r/teams/CTM-OTGentStad/Shared Documents/General/EAF/CSI(nieuwe sharepoint)2024/EAF 6355 Ledeberg 26102024.pdf?csf=1&amp;web=1&amp;e=2AjqFD" xr:uid="{648569DD-27DD-4A2C-8AB2-A8ACCE0F024E}"/>
    <hyperlink ref="U458" r:id="rId583" display="../../../../../../:b:/r/teams/CTM-OTGentStad/Shared Documents/General/EAF/CSI(nieuwe sharepoint)2024/EAF 6355 Melle Leeuw 21112024 Illya Wulleput.pdf?csf=1&amp;web=1&amp;e=laBaH2" xr:uid="{5A738A92-C79F-4AA7-85FA-D51066A602CE}"/>
    <hyperlink ref="U439" r:id="rId584" display="../../../../../../:b:/r/teams/CTM-OTGentStad/Shared Documents/General/EAF/CSI(nieuwe sharepoint)2024/EAF 6356 Gent 08112024.pdf?csf=1&amp;web=1&amp;e=jkVkea" xr:uid="{B29D513A-1F56-492B-8793-7F02C753B210}"/>
    <hyperlink ref="U489" r:id="rId585" display="../../../../../../:b:/r/teams/CTM-OTGentStad/Shared Documents/General/EAF/CSI(nieuwe sharepoint)2024/EAF 6356 Gent 12122024.pdf?csf=1&amp;web=1&amp;e=J29EOj" xr:uid="{C9D844F2-BBA0-4348-B6B3-C714BC0DCE18}"/>
    <hyperlink ref="U73" r:id="rId586" display="../../../../../../:b:/r/teams/CTM-OTGentStad/Shared Documents/General/EAF/CSI(nieuwe sharepoint)2024/EAF 6356 Gent 22022024.pdf?csf=1&amp;web=1&amp;e=xcEsno" xr:uid="{73BC41EA-814F-4314-88D3-64636FB5A614}"/>
    <hyperlink ref="U50" r:id="rId587" display="../../../../../../:b:/r/teams/CTM-OTGentStad/Shared Documents/General/EAF/CSI(nieuwe sharepoint)2024/EAF 6357 Gent 04022024.pdf?csf=1&amp;web=1&amp;e=dVRwnl" xr:uid="{289A9B42-AE87-44F9-9E69-01BA23C01A15}"/>
    <hyperlink ref="U471" r:id="rId588" display="../../../../../../:b:/r/teams/CTM-OTGentStad/Shared Documents/General/EAF/CSI(nieuwe sharepoint)2024/EAF 6357 Gent 30112024.pdf?csf=1&amp;web=1&amp;e=SbnKoU" xr:uid="{D43EA783-EADF-4029-9063-50551BB9FA3B}"/>
    <hyperlink ref="U378" r:id="rId589" display="../../../../../../:b:/r/teams/CTM-OTGentStad/Shared Documents/General/EAF/CSI(nieuwe sharepoint)2024/EAF 6358 Gent 24092024.pdf?csf=1&amp;web=1&amp;e=duNjmM" xr:uid="{72AAD7C4-D07D-460D-A39A-C6B3AD2CAA4A}"/>
    <hyperlink ref="U307" r:id="rId590" display="../../../../../../:b:/r/teams/CTM-OTGentStad/Shared Documents/General/EAF/CSI(nieuwe sharepoint)2024/EAF 6359 Gent 29072024.pdf?csf=1&amp;web=1&amp;e=DqAMsF" xr:uid="{9425BE95-CF56-41B0-84E1-789EF748600C}"/>
    <hyperlink ref="U180" r:id="rId591" display="../../../../../../:b:/r/teams/CTM-OTGentStad/Shared Documents/General/EAF/CSI(nieuwe sharepoint)2024/EAF 6359 Gent 30042024.pdf?csf=1&amp;web=1&amp;e=12OFdg" xr:uid="{0530410E-A176-4D29-AA2B-FE87D8291D7A}"/>
    <hyperlink ref="U415" r:id="rId592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593" display="../../../../../../:b:/r/teams/CTM-OTGentStad/Shared Documents/General/EAF/CSI(nieuwe sharepoint)2024/EAF 6361 Gent 09122024.pdf?csf=1&amp;web=1&amp;e=pyBqjh" xr:uid="{25DF6A81-5D18-4CF7-8F3A-D9281FB56EFF}"/>
    <hyperlink ref="U504" r:id="rId594" display="../../../../../../:b:/r/teams/CTM-OTGentStad/Shared Documents/General/EAF/CSI(nieuwe sharepoint)2024/EAF 6362 Gent 21122024.pdf?csf=1&amp;web=1&amp;e=AwaCWK" xr:uid="{F57E973E-D2A5-4668-9304-58D9E1F27F41}"/>
    <hyperlink ref="U499" r:id="rId595" display="../../../../../../:b:/r/teams/CTM-OTGentStad/Shared Documents/General/EAF/CSI(nieuwe sharepoint)2024/EAF 6362 Zwijnaardsestwg 20122024.pdf?csf=1&amp;web=1&amp;e=WnxLdY" xr:uid="{CAFCF17D-6ABA-4AA9-868C-CC62A825CC4F}"/>
    <hyperlink ref="U338" r:id="rId596" display="../../../../../../:b:/r/teams/CTM-OTGentStad/Shared Documents/General/EAF/CSI(nieuwe sharepoint)2024/EAF 6363 Gent 01092024.pdf?csf=1&amp;web=1&amp;e=AfcvZh" xr:uid="{C4ADE72C-7CB8-4FA3-A64D-50E0897B1EE4}"/>
    <hyperlink ref="U413" r:id="rId597" display="../../../../../../:b:/r/teams/CTM-OTGentStad/Shared Documents/General/EAF/CSI(nieuwe sharepoint)2024/EAF 6363 Gent 22102024.pdf?csf=1&amp;web=1&amp;e=V8ZrbJ" xr:uid="{E092AEE2-4935-44B8-A3D9-F17B3BCD8B36}"/>
    <hyperlink ref="U228" r:id="rId598" display="../../../../../../:b:/r/teams/CTM-OTGentStad/Shared Documents/General/EAF/CSI(nieuwe sharepoint)2024/EAF 6365 Gent 04062024.pdf?csf=1&amp;web=1&amp;e=79tgOp" xr:uid="{E7D05D18-7F19-49CE-B50A-BE29F0765F46}"/>
    <hyperlink ref="U500" r:id="rId599" display="../../../../../../:b:/r/teams/CTM-OTGentStad/Shared Documents/General/EAF/CSI(nieuwe sharepoint)2024/EAF 6366 Gent 20122024.pdf?csf=1&amp;web=1&amp;e=UOkLqZ" xr:uid="{3E28AA93-BF6C-468E-8819-9F28F0DB812B}"/>
    <hyperlink ref="U703" r:id="rId600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601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602" display="../../../../../../:b:/r/teams/CTM-OTGentStad/Shared Documents/General/EAF/CSI(nieuwe sharepoint) 2025/6. Juni/EAF 5927 Gent 30052025 41619 Ousama.pdf?csf=1&amp;web=1&amp;e=eswFZ6" xr:uid="{4B12BE00-6E91-49DF-96CC-376866302B84}"/>
    <hyperlink ref="U175" r:id="rId603" display="../../../../../../:b:/r/teams/CTM-OTGentStad/Shared Documents/General/EAF/CSI(nieuwe sharepoint)2024/EAF 6367 Gent 28042024.pdf?csf=1&amp;web=1&amp;e=Olf5lK" xr:uid="{C6280804-1A70-4124-8349-5104C084F736}"/>
    <hyperlink ref="U116" r:id="rId604" display="../../../../../../:b:/r/teams/CTM-OTGentStad/Shared Documents/General/EAF/CSI(nieuwe sharepoint)2024/EAF 6367 Wondelgem 20032024.pdf?csf=1&amp;web=1&amp;e=MuJkpQ" xr:uid="{39517C9B-157D-4FBE-BFCB-1837F74C7BDF}"/>
    <hyperlink ref="U308" r:id="rId605" display="../../../../../../:b:/r/teams/CTM-OTGentStad/Shared Documents/General/EAF/CSI(nieuwe sharepoint)2024/EAF 6368 Gent Zuid 29072024.pdf?csf=1&amp;web=1&amp;e=Zxr26Z" xr:uid="{D76FCEC5-3950-4647-902F-A2A71F4D3CAD}"/>
    <hyperlink ref="U256" r:id="rId606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07" display="../../../../../../:b:/r/teams/CTM-OTGentStad/Shared Documents/General/EAF/CSI(nieuwe sharepoint)2024/EAF 6369 Frereobanlaan 20032024.pdf?csf=1&amp;web=1&amp;e=KpGF0y" xr:uid="{E880125D-E882-40CE-BFA9-261EC13BB1A2}"/>
    <hyperlink ref="U11" r:id="rId608" display="../../../../../../:b:/r/teams/CTM-OTGentStad/Shared Documents/General/EAF/CSI(nieuwe sharepoint)2024/EAF 6369 Gent 11012024.pdf?csf=1&amp;web=1&amp;e=0jbna4" xr:uid="{BB2FCDD8-7BF9-4A90-B2C3-9179BF304811}"/>
    <hyperlink ref="U707" r:id="rId609" display="../../../../../../:b:/r/teams/CTM-OTGentStad/Shared Documents/General/EAF/CSI(nieuwe sharepoint)2024/EAF 6369 GEnt 20082024.pdf?csf=1&amp;web=1&amp;e=2gt9e0" xr:uid="{C913052B-4AC8-4CB4-9800-7F48C6DA6EE2}"/>
    <hyperlink ref="U284" r:id="rId610" display="../../../../../../:b:/r/teams/CTM-OTGentStad/Shared Documents/General/EAF/CSI(nieuwe sharepoint)2024/EAF 6370 10072024.pdf?csf=1&amp;web=1&amp;e=IXVT46" xr:uid="{DAC5F022-7B26-491E-A5D5-A26A839035A6}"/>
    <hyperlink ref="U374" r:id="rId611" display="../../../../../../:b:/r/teams/CTM-OTGentStad/Shared Documents/General/EAF/CSI(nieuwe sharepoint)2024/EAF 6370 Gent 22092024.pdf?csf=1&amp;web=1&amp;e=hJK5yW" xr:uid="{CB0955F0-925E-47A9-BF3B-8043C4484C14}"/>
    <hyperlink ref="U107" r:id="rId612" display="../../../../../../:b:/r/teams/CTM-OTGentStad/Shared Documents/General/EAF/CSI(nieuwe sharepoint)2024/EAF 6370 Gentbrugge 13032024.pdf?csf=1&amp;web=1&amp;e=gdPnza" xr:uid="{CE4A6DFA-0076-4396-8BFE-E59292112C6C}"/>
    <hyperlink ref="U309" r:id="rId613" display="../../../../../../:b:/r/teams/CTM-OTGentStad/Shared Documents/General/EAF/CSI(nieuwe sharepoint)2024/EAF 6370 Gentbrugge 29072024.pdf?csf=1&amp;web=1&amp;e=HnIR3a" xr:uid="{29EBD292-F939-4B11-8112-B700ED16CB29}"/>
    <hyperlink ref="U82" r:id="rId614" display="../../../../../../:b:/r/teams/CTM-OTGentStad/Shared Documents/General/EAF/CSI(nieuwe sharepoint)2024/EAF 6371 Albertlaan 29022024.pdf?csf=1&amp;web=1&amp;e=GIi3rG" xr:uid="{AC898D38-F55A-41AC-AD57-4859435E7321}"/>
    <hyperlink ref="U370" r:id="rId615" display="../../../../../../:b:/r/teams/CTM-OTGentStad/Shared Documents/General/EAF/CSI(nieuwe sharepoint)2024/EAF 6371 Gent 16092024.pdf?csf=1&amp;web=1&amp;e=ewguSb" xr:uid="{3CBCA0D0-A218-48C2-A501-75B8657B3E28}"/>
    <hyperlink ref="U129" r:id="rId616" display="../../../../../../:b:/r/teams/CTM-OTGentStad/Shared Documents/General/EAF/CSI(nieuwe sharepoint)2024/EAF 6371 Gent 25032024.pdf?csf=1&amp;web=1&amp;e=ciQtpD" xr:uid="{65DFABA2-DD65-4675-94FD-C735D09A5759}"/>
    <hyperlink ref="U508" r:id="rId617" display="../../../../../../:b:/r/teams/CTM-OTGentStad/Shared Documents/General/EAF/CSI(nieuwe sharepoint)2024/EAF 6371 Gent 27122024.pdf?csf=1&amp;web=1&amp;e=AeDj5a" xr:uid="{610FE50D-2750-49CC-A0FF-AC4FEDC88217}"/>
    <hyperlink ref="U191" r:id="rId618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619" display="../../../../../../:b:/r/teams/CTM-OTGentStad/Shared Documents/General/EAF/CSI(nieuwe sharepoint)2024/EAF 6372 Albertbrug Gent 01122024.pdf?csf=1&amp;web=1&amp;e=phpnaA" xr:uid="{ECAEA2FE-18A4-4DFA-8C30-01992E38AB62}"/>
    <hyperlink ref="U181" r:id="rId620" display="../../../../../../:b:/r/teams/CTM-OTGentStad/Shared Documents/General/EAF/CSI(nieuwe sharepoint)2024/EAF 6372 Gent 30042024.pdf?csf=1&amp;web=1&amp;e=nkerhf" xr:uid="{777B68FD-B011-4AF6-89F2-2E2B920DC694}"/>
    <hyperlink ref="U394" r:id="rId621" display="../../../../../../:b:/r/teams/CTM-OTGentStad/Shared Documents/General/EAF/CSI(nieuwe sharepoint)2024/EAF 6372 Koning Albertlaan Gent 09102024.pdf?csf=1&amp;web=1&amp;e=61015Z" xr:uid="{98B7DCD0-B93C-4B77-8B4A-5C8E06EEFB6B}"/>
    <hyperlink ref="U165" r:id="rId622" display="../../../../../../:b:/r/teams/CTM-OTGentStad/Shared Documents/General/EAF/CSI(nieuwe sharepoint)2024/EAF 6373 Gent 19042024.pdf?csf=1&amp;web=1&amp;e=H4ZpLA" xr:uid="{5792624D-132E-45E5-AAA7-E0DF3816FA4E}"/>
    <hyperlink ref="U311" r:id="rId623" display="../../../../../../:b:/r/teams/CTM-OTGentStad/Shared Documents/General/EAF/CSI(nieuwe sharepoint)2024/EAF 6373 Gent 30072024.pdf?csf=1&amp;web=1&amp;e=KGwb1o" xr:uid="{DDEE70D9-BB3E-4C33-9C08-737BE714E2E3}"/>
    <hyperlink ref="U210" r:id="rId624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25" display="../../../../../../:b:/r/teams/CTM-OTGentStad/Shared Documents/General/EAF/CSI(nieuwe sharepoint)2024/EAF 6373 Hundelgelsesteenweg 04052024.pdf?csf=1&amp;web=1&amp;e=lPN2VH" xr:uid="{3F74D7CC-54AE-4F4E-933D-503B9A3D077F}"/>
    <hyperlink ref="U114" r:id="rId626" display="../../../../../../:b:/r/teams/CTM-OTGentStad/Shared Documents/General/EAF/CSI(nieuwe sharepoint)2024/EAF 6374 Gent 19032024 De Wit Bruno 25993.pdf?csf=1&amp;web=1&amp;e=y4BN3M" xr:uid="{14428031-B2E5-4596-91AF-05CE38BB7612}"/>
    <hyperlink ref="U166" r:id="rId627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28" display="../../../../../../:b:/r/teams/CTM-OTGentStad/Shared Documents/General/EAF/CSI(nieuwe sharepoint)2024/EAF 6376 Botermarkt 22032024.pdf?csf=1&amp;web=1&amp;e=6wV3c3" xr:uid="{930BF3F1-7F08-4AE0-91EC-154515589787}"/>
    <hyperlink ref="U123" r:id="rId629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30" display="../../../../../../:b:/r/teams/CTM-OTGentStad/Shared Documents/General/EAF/CSI(nieuwe sharepoint)2024/EAF 6376 Ledeberg 05062024.pdf?csf=1&amp;web=1&amp;e=aDsAGg" xr:uid="{0458FFD0-533C-4F25-B462-0370887D9AC7}"/>
    <hyperlink ref="U131" r:id="rId631" display="../../../../../../:b:/r/teams/CTM-OTGentStad/Shared Documents/General/EAF/CSI(nieuwe sharepoint)2024/EAF 6376 Ledeberg 28032024.pdf?csf=1&amp;web=1&amp;e=7mSJBA" xr:uid="{45CC5FA4-5D46-49CB-873A-9EAA6E7342C9}"/>
    <hyperlink ref="U686" r:id="rId632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33" display="../../../../../../:b:/r/teams/CTM-OTGentStad/Shared Documents/General/EAF/CSI(nieuwe sharepoint)2024/EAF 8089 Zele 11062024.pdf?csf=1&amp;web=1&amp;e=A8knCw" xr:uid="{74ADF89B-FB9A-478A-A708-6F2758F29368}"/>
    <hyperlink ref="U124" r:id="rId634" display="../../../../../../:b:/r/teams/CTM-OTGentStad/Shared Documents/General/EAF/CSI(nieuwe sharepoint)2024/EAF 8101 Gent 22032024.pdf?csf=1&amp;web=1&amp;e=yVZUyo" xr:uid="{AF6D2838-6CEF-44B5-B8CF-E62811F7F14D}"/>
    <hyperlink ref="U493" r:id="rId635" display="../../../../../../:b:/r/teams/CTM-OTGentStad/Shared Documents/General/EAF/CSI(nieuwe sharepoint)2024/EAF 8104 Gent 1612204.pdf?csf=1&amp;web=1&amp;e=zXWqWn" xr:uid="{D5F85815-D275-4669-9A81-1B573C8CA4D1}"/>
    <hyperlink ref="U279" r:id="rId636" display="../../../../../../:b:/r/teams/CTM-OTGentStad/Shared Documents/General/EAF/CSI(nieuwe sharepoint)2024/EAF 50406 Gent 06022024.pdf?csf=1&amp;web=1&amp;e=aeXaW1" xr:uid="{B9E17875-7AD1-4728-9706-650D2B5BB61D}"/>
    <hyperlink ref="U23" r:id="rId637" display="../../../../../../:b:/r/teams/CTM-OTGentStad/Shared Documents/General/EAF/CSI(nieuwe sharepoint)2024/EAF 110965 Gent 18012024.pdf?csf=1&amp;web=1&amp;e=SDKJsz" xr:uid="{574FCB0B-0E13-4228-8E74-DD3EAC7E925D}"/>
    <hyperlink ref="U456" r:id="rId638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39" display="../../../../../../:b:/r/teams/CTM-OTGentStad/Shared Documents/General/EAF/CSI(nieuwe sharepoint)2024/EAF 112214 Gent 01032024.pdf?csf=1&amp;web=1&amp;e=B8Vkyk" xr:uid="{420DF9E7-24A9-42C5-A3CC-025FE477D9EE}"/>
    <hyperlink ref="U86" r:id="rId640" display="../../../../../../:b:/r/teams/CTM-OTGentStad/Shared Documents/General/EAF/CSI(nieuwe sharepoint)2024/EAF 112216 Gent Kouter 01032024.pdf?csf=1&amp;web=1&amp;e=JUmY5q" xr:uid="{896BE651-3B32-4438-9D39-4E75F56E757C}"/>
    <hyperlink ref="U240" r:id="rId641" display="../../../../../../:b:/r/teams/CTM-OTGentStad/Shared Documents/General/EAF/CSI(nieuwe sharepoint)2024/EAF 112223 Gent 10062024.pdf?csf=1&amp;web=1&amp;e=VeifI1" xr:uid="{85471258-6F2B-4F35-96AD-84F4E4EDAA6A}"/>
    <hyperlink ref="U179" r:id="rId642" display="../../../../../../:b:/r/teams/CTM-OTGentStad/Shared Documents/General/EAF/CSI(nieuwe sharepoint)2024/EAF 222478 Blaisantvest 29-4-24 Ilhan Kurudere.pdf?csf=1&amp;web=1&amp;e=hy0Ivq" xr:uid="{61F18952-E2B2-48D1-92A3-9D1E459D39AF}"/>
    <hyperlink ref="U404" r:id="rId643" display="../../../../../../:b:/r/teams/CTM-OTGentStad/Shared Documents/General/EAF/CSI(nieuwe sharepoint)2024/EAF 222478 Gent Sint-Pietersstation 14.10.2024.pdf?csf=1&amp;web=1&amp;e=knuwGv" xr:uid="{2F0D0379-83E5-43DC-9158-765206F8DCBA}"/>
    <hyperlink ref="U248" r:id="rId644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45" display="../../../../../../:b:/r/teams/CTM-OTGentStad/Shared Documents/General/EAF/CSI(nieuwe sharepoint)2024/EAF 222478 Gent Tolhuislaan 22052024.pdf?csf=1&amp;web=1&amp;e=XXdD1J" xr:uid="{F749DB7C-C5BC-4F24-9D59-5A1715B1CA50}"/>
    <hyperlink ref="U395" r:id="rId646" display="../../../../../../:b:/r/teams/CTM-OTGentStad/Shared Documents/General/EAF/CSI(nieuwe sharepoint)2024/EAF 222478 Hovenierstraat Ledeberg 09102024.pdf?csf=1&amp;web=1&amp;e=sBN0vt" xr:uid="{1C6700C2-BAE1-440D-BD5B-10BD5143CC2D}"/>
    <hyperlink ref="U510" r:id="rId647" display="../../../../../../:b:/r/teams/CTM-OTGentStad/Shared Documents/General/EAF/CSI(nieuwe sharepoint)2024/EAF 281224 AB2548.pdf?csf=1&amp;web=1&amp;e=EOcWlR" xr:uid="{C406A5D1-07C4-451C-83C2-17F18254CB79}"/>
    <hyperlink ref="U387" r:id="rId648" display="../../../../../../:b:/r/teams/CTM-OTGentStad/Shared Documents/General/EAF/CSI(nieuwe sharepoint)2024/EAF 03102024 6313 Gent Mathyn Eid.pdf?csf=1&amp;web=1&amp;e=u3V4dq" xr:uid="{981D291F-2739-4555-801F-FCF2B89458A2}"/>
    <hyperlink ref="U476" r:id="rId649" display="../../../../../../:b:/r/teams/CTM-OTGentStad/Shared Documents/General/EAF/CSI(nieuwe sharepoint)2024/EAF 03122024 5324 Gent Dolly De Geyter.pdf?csf=1&amp;web=1&amp;e=hd5Fa8" xr:uid="{BA267C0E-84BC-4F4D-A11D-582410302377}"/>
    <hyperlink ref="U229" r:id="rId650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51" display="../../../../../../:b:/r/teams/CTM-OTGentStad/Shared Documents/General/EAF/CSI(nieuwe sharepoint)2024/EAF 04102024 6305 Gent Ghani Mozamil.pdf?csf=1&amp;web=1&amp;e=tGE5iz" xr:uid="{BFEF057C-B665-4057-B5BF-0621A30EF28E}"/>
    <hyperlink ref="U478" r:id="rId652" display="../../../../../../:b:/r/teams/CTM-OTGentStad/Shared Documents/General/EAF/CSI(nieuwe sharepoint)2024/EAF 04122024 Ugur.pdf?csf=1&amp;web=1&amp;e=qvL55j" xr:uid="{EE9184C3-AB06-4468-860F-DE8502679A2A}"/>
    <hyperlink ref="U140" r:id="rId653" display="../../../../../../:b:/r/teams/CTM-OTGentStad/Shared Documents/General/EAF/CSI(nieuwe sharepoint)2024/EAF 05042024 Gent 6368 Patrick Gevaert.pdf?csf=1&amp;web=1&amp;e=zUri78" xr:uid="{6BCE0DE1-F10B-4648-A4C2-05FABDD12A5F}"/>
    <hyperlink ref="U318" r:id="rId654" display="../../../../../../:b:/r/teams/CTM-OTGentStad/Shared Documents/General/EAF/CSI(nieuwe sharepoint)2024/EAF 05082024 5929 Gent Roien Stanikazi.pdf?csf=1&amp;web=1&amp;e=x9jUUW" xr:uid="{8511C604-572C-4419-98DA-B62188C4CB0A}"/>
    <hyperlink ref="U389" r:id="rId655" display="../../../../../../:b:/r/teams/CTM-OTGentStad/Shared Documents/General/EAF/CSI(nieuwe sharepoint)2024/EAF 05102024 6369 Gent Roland Hublau.pdf?csf=1&amp;web=1&amp;e=2uPju7" xr:uid="{4F3F3701-0F19-4669-A04F-F869340A9086}"/>
    <hyperlink ref="U52" r:id="rId656" display="../../../../../../:b:/r/teams/CTM-OTGentStad/Shared Documents/General/EAF/CSI(nieuwe sharepoint)2024/EAF 06022024 Toby Pelrene.pdf?csf=1&amp;web=1&amp;e=sbgowk" xr:uid="{236DF2AB-8B98-413B-A72A-17D302A08579}"/>
    <hyperlink ref="U480" r:id="rId657" display="../../../../../../:b:/r/teams/CTM-OTGentStad/Shared Documents/General/EAF/CSI(nieuwe sharepoint)2024/EAF 06122024 6305 Gent Kazim Demirkaya.pdf?csf=1&amp;web=1&amp;e=qggd4K" xr:uid="{1F3D32CF-AEDF-446A-8E94-97897A2945FC}"/>
    <hyperlink ref="U390" r:id="rId658" display="../../../../../../:b:/r/teams/CTM-OTGentStad/Shared Documents/General/EAF/CSI(nieuwe sharepoint)2024/EAF 07102024 5041 Gent Charlotte De Boever.pdf?csf=1&amp;web=1&amp;e=158LfQ" xr:uid="{36C06359-7657-4442-A021-2E964AA35234}"/>
    <hyperlink ref="U437" r:id="rId659" display="../../../../../../:b:/r/teams/CTM-OTGentStad/Shared Documents/General/EAF/CSI(nieuwe sharepoint)2024/EAF 7112024 5039 Zwijnaarde Eva Teetaert.pdf?csf=1&amp;web=1&amp;e=RKrwBS" xr:uid="{C48AC797-E50F-4354-A04D-6145474E0CDD}"/>
    <hyperlink ref="U281" r:id="rId660" display="../../../../../../:b:/r/teams/CTM-OTGentStad/Shared Documents/General/EAF/CSI(nieuwe sharepoint)2024/EAF 10122021 2197 Gent Roien Stanikazi.pdf?csf=1&amp;web=1&amp;e=yB3xOy" xr:uid="{8112D1BD-2BC7-4C09-AAD2-A75C9EE97328}"/>
    <hyperlink ref="U150" r:id="rId661" display="../../../../../../:b:/r/teams/CTM-OTGentStad/Shared Documents/General/EAF/CSI(nieuwe sharepoint)2024/EAF 11042024 6357 Gent Kenan Kocabas.pdf?csf=1&amp;web=1&amp;e=Tq4c5d" xr:uid="{2C046AD0-4325-4F35-919A-2777E2A40545}"/>
    <hyperlink ref="U198" r:id="rId662" display="../../../../../../:b:/r/teams/CTM-OTGentStad/Shared Documents/General/EAF/CSI(nieuwe sharepoint)2024/EAF 11052024 6338 Gent Tony Vandenbogaerde.pdf?csf=1&amp;web=1&amp;e=pCqePg" xr:uid="{B533B8E4-88A1-4ADB-A048-96292D9940CE}"/>
    <hyperlink ref="U246" r:id="rId663" display="../../../../../../:b:/r/teams/CTM-OTGentStad/Shared Documents/General/EAF/CSI(nieuwe sharepoint)2024/EAF 12062024 5376 Gent Jay Van Achte.pdf?csf=1&amp;web=1&amp;e=GUlnzr" xr:uid="{52056EBD-EC67-41DC-8C83-BACB1A5D45E2}"/>
    <hyperlink ref="U108" r:id="rId664" display="../../../../../../:b:/r/teams/CTM-OTGentStad/Shared Documents/General/EAF/CSI(nieuwe sharepoint)2024/EAF 13032024 4678 Gent Yasin Doolaege.pdf?csf=1&amp;web=1&amp;e=K5hLfj" xr:uid="{4C95F8C6-4400-4E06-BB67-BB8711DF34E7}"/>
    <hyperlink ref="U491" r:id="rId665" display="../../../../../../:b:/r/teams/CTM-OTGentStad/Shared Documents/General/EAF/CSI(nieuwe sharepoint)2024/EAF 15122024 6310 Gent Andy Vanden Daele.pdf?csf=1&amp;web=1&amp;e=L3K2pE" xr:uid="{BBF39C28-6443-401D-9DC4-52927F90B8EC}"/>
    <hyperlink ref="U159" r:id="rId666" display="../../../../../../:b:/r/teams/CTM-OTGentStad/Shared Documents/General/EAF/CSI(nieuwe sharepoint)2024/EAF 17042024 6311 Gent Philippe Pretel.pdf?csf=1&amp;web=1&amp;e=i96lXt" xr:uid="{34AFA34A-FDE0-4E8F-92C3-976F678ABFF5}"/>
    <hyperlink ref="U67" r:id="rId667" display="../../../../../../:b:/r/teams/CTM-OTGentStad/Shared Documents/General/EAF/CSI(nieuwe sharepoint)2024/EAF 19022024 6320 Gent Mathyn Eid.pdf?csf=1&amp;web=1&amp;e=sk3TED" xr:uid="{053CAE1D-0F2F-4F29-B550-C7DBC63E86B0}"/>
    <hyperlink ref="U167" r:id="rId668" display="../../../../../../:b:/r/teams/CTM-OTGentStad/Shared Documents/General/EAF/CSI(nieuwe sharepoint)2024/EAF 21042024 Gent 5915 Kenan Kocabas.pdf?csf=1&amp;web=1&amp;e=xL3d0i" xr:uid="{DD0F662B-74CA-4057-A404-70F2E36731E5}"/>
    <hyperlink ref="U259" r:id="rId669" display="../../../../../../:b:/r/teams/CTM-OTGentStad/Shared Documents/General/EAF/CSI(nieuwe sharepoint)2024/EAF 21062024 5369 Gent Roien Stanikazi.pdf?csf=1&amp;web=1&amp;e=WMdKJT" xr:uid="{66944DF1-46F9-4631-9E5D-953F0CCA42E4}"/>
    <hyperlink ref="U125" r:id="rId670" display="../../../../../../:b:/r/teams/CTM-OTGentStad/Shared Documents/General/EAF/CSI(nieuwe sharepoint)2024/EAF 22032024 6328 Gent Sabri Toumi.pdf?csf=1&amp;web=1&amp;e=5OfcMP" xr:uid="{2C114CC6-2B85-4C8F-A25A-71BEC31D32CA}"/>
    <hyperlink ref="U168" r:id="rId671" display="../../../../../../:b:/r/teams/CTM-OTGentStad/Shared Documents/General/EAF/CSI(nieuwe sharepoint)2024/EAF 22042024 Gent De Ridder Danny 21124.pdf?csf=1&amp;web=1&amp;e=kgfPA4" xr:uid="{957BCDAB-DD4F-43A2-9000-8CCFBD7019D8}"/>
    <hyperlink ref="U216" r:id="rId672" display="../../../../../../:b:/r/teams/CTM-OTGentStad/Shared Documents/General/EAF/CSI(nieuwe sharepoint)2024/EAF 24052024 2207 Gent Semih Dogan.pdf?csf=1&amp;web=1&amp;e=1u9yi0" xr:uid="{8B266A34-AE51-4345-86CF-51AB121A0557}"/>
    <hyperlink ref="U419" r:id="rId673" display="../../../../../../:b:/r/teams/CTM-OTGentStad/Shared Documents/General/EAF/CSI(nieuwe sharepoint)2024/EAF 24102024 5043 Gent Kenny Sturtewagen.pdf?csf=1&amp;web=1&amp;e=OnoJyT" xr:uid="{51758C7D-5E1F-4145-9F36-21162369CE6C}"/>
    <hyperlink ref="U263" r:id="rId674" display="../../../../../../:b:/r/teams/CTM-OTGentStad/Shared Documents/General/EAF/CSI(nieuwe sharepoint)2024/EAF 25062024 6329 Gent Heidi Limbourg.pdf?csf=1&amp;web=1&amp;e=dvoWLd" xr:uid="{1340D8AF-05CE-41FA-9B2F-90AF0F927549}"/>
    <hyperlink ref="U421" r:id="rId675" display="../../../../../../:b:/r/teams/CTM-OTGentStad/Shared Documents/General/EAF/CSI(nieuwe sharepoint)2024/EAF 25102024 5039 Gent Kenny Sturtewagen.pdf?csf=1&amp;web=1&amp;e=2Q7fgj" xr:uid="{148C6851-2BA3-49C5-8825-B3F5E86ECD23}"/>
    <hyperlink ref="U132" r:id="rId676" display="../../../../../../:b:/r/teams/CTM-OTGentStad/Shared Documents/General/EAF/CSI(nieuwe sharepoint)2024/EAF 28032024 6358 Gent Ghani Mozamil.pdf?csf=1&amp;web=1&amp;e=D9xLWc" xr:uid="{909F217B-1116-47C9-AA4F-26F0FA47D9EF}"/>
    <hyperlink ref="U137" r:id="rId677" display="../../../../../../:b:/r/teams/CTM-OTGentStad/Shared Documents/General/EAF/CSI(nieuwe sharepoint)2024/EAF 31032024 6376 Gent Tom Van Vliet.pdf?csf=1&amp;web=1&amp;e=GknYii" xr:uid="{16FC20DA-172C-4C1C-881A-DA86AB58500B}"/>
    <hyperlink ref="U95" r:id="rId678" display="../../../../../../:b:/r/teams/CTM-OTGentStad/Shared Documents/General/EAF/CSI(nieuwe sharepoint)2024/EAF Bremstraat Wondelgem AB 5922 05.03.2024.pdf?csf=1&amp;web=1&amp;e=fFCoEH" xr:uid="{7261214F-D54E-48DC-A263-FC2D186134B8}"/>
    <hyperlink ref="U97" r:id="rId679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80" display="../../../../../../:b:/r/teams/CTM-OTGentStad/Shared Documents/General/EAF/CSI(nieuwe sharepoint)2024/EAF Dendermondesteenweg 5767 15.01.2024.pdf?csf=1&amp;web=1&amp;e=IdIrgB" xr:uid="{C7125488-8147-467F-B360-DF903598A41E}"/>
    <hyperlink ref="U69" r:id="rId681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82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83" display="../../../../../../:b:/r/teams/CTM-OTGentStad/Shared Documents/General/EAF/CSI(nieuwe sharepoint)2024/EAF Gent 5367 06012024.pdf?csf=1&amp;web=1&amp;e=wquwTh" xr:uid="{DC1B9E94-D008-404E-B7CD-06B1F26DED52}"/>
    <hyperlink ref="U4" r:id="rId684" display="../../../../../../:b:/r/teams/CTM-OTGentStad/Shared Documents/General/EAF/CSI(nieuwe sharepoint)2024/EAF Gent 5935 05012024.pdf?csf=1&amp;web=1&amp;e=e6lTYz" xr:uid="{D3431BA8-4669-46F7-9248-ABF2DBDA760C}"/>
    <hyperlink ref="U353" r:id="rId685" display="../../../../../../:b:/r/teams/CTM-OTGentStad/Shared Documents/General/EAF/CSI(nieuwe sharepoint)2024/EAF Gent 06092024.pdf?csf=1&amp;web=1&amp;e=Mzhrwe" xr:uid="{C7C81001-A0E0-42A9-A30D-DCF3A6C8486F}"/>
    <hyperlink ref="U288" r:id="rId686" display="../../../../../../:b:/r/teams/CTM-OTGentStad/Shared Documents/General/EAF/CSI(nieuwe sharepoint)2024/EAF Gent 12012024.pdf?csf=1&amp;web=1&amp;e=yoeY89" xr:uid="{0894B335-DDD4-42AE-BDA0-21B9A030FCB8}"/>
    <hyperlink ref="U128" r:id="rId687" display="../../../../../../:b:/r/teams/CTM-OTGentStad/Shared Documents/General/EAF/CSI(nieuwe sharepoint)2024/EAF Gent 24032024 Mossa Toubadie.pdf?csf=1&amp;web=1&amp;e=wSavHQ" xr:uid="{97C646B3-D8D9-4F9D-9D3D-FE3E48168429}"/>
    <hyperlink ref="U182" r:id="rId688" display="../../../../../../:b:/r/teams/CTM-OTGentStad/Shared Documents/General/EAF/CSI(nieuwe sharepoint)2024/EAF Gent 30042024.pdf?csf=1&amp;web=1&amp;e=nvI6d5" xr:uid="{BA1B9E59-D26B-4AB9-B6F9-7B01DF65F991}"/>
    <hyperlink ref="U12" r:id="rId689" display="../../../../../../:b:/r/teams/CTM-OTGentStad/Shared Documents/General/EAF/CSI(nieuwe sharepoint)2024/EAF Gent Brugsepoort 5237 11.01.2024.pdf?csf=1&amp;web=1&amp;e=IlLTCE" xr:uid="{739AAB43-396F-4EC4-9366-3F181CA2253A}"/>
    <hyperlink ref="U112" r:id="rId690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91" display="../../../../../../:b:/r/teams/CTM-OTGentStad/Shared Documents/General/EAF/CSI(nieuwe sharepoint)2024/EAF Gent Sint Pieters 06012024.pdf?csf=1&amp;web=1&amp;e=cmcO9u" xr:uid="{177C61AC-E97F-4D5D-AF7B-6F9C6395041A}"/>
    <hyperlink ref="U16" r:id="rId692" display="../../../../../../:b:/r/teams/CTM-OTGentStad/Shared Documents/General/EAF/CSI(nieuwe sharepoint)2024/EAF Gent Sint-Pietersstation 2197 12.01.2024.pdf?csf=1&amp;web=1&amp;e=X6V4xH" xr:uid="{69889DB9-708D-4B53-A403-810B95AF23BE}"/>
    <hyperlink ref="U274" r:id="rId693" display="../../../../../../:b:/r/teams/CTM-OTGentStad/Shared Documents/General/EAF/CSI(nieuwe sharepoint)2024/EAF Gentbrugge parking 2 E-17 AB5237 26.02.204.pdf?csf=1&amp;web=1&amp;e=hdXeXc" xr:uid="{31498395-57AA-431C-BD4F-6D9650EFA9DD}"/>
    <hyperlink ref="U19" r:id="rId694" display="../../../../../../:b:/r/teams/CTM-OTGentStad/Shared Documents/General/EAF/CSI(nieuwe sharepoint)2024/EAF Gentsesteenweg Deinze 5042 15012024.pdf?csf=1&amp;web=1&amp;e=1e0liK" xr:uid="{76EA4AB3-8A74-416C-A729-989304C419B8}"/>
    <hyperlink ref="U87" r:id="rId695" display="../../../../../../:b:/r/teams/CTM-OTGentStad/Shared Documents/General/EAF/CSI(nieuwe sharepoint)2024/EAF Heerweg-Noord Zwijnaarde 6357 01.03.2024.pdf?csf=1&amp;web=1&amp;e=W1HcGk" xr:uid="{367F7CB3-0B66-4E21-98A7-D1C95ABF8B3F}"/>
    <hyperlink ref="U169" r:id="rId696" display="../../../../../../:b:/r/teams/CTM-OTGentStad/Shared Documents/General/EAF/CSI(nieuwe sharepoint)2024/EAF Koning Albertlaan Gent 2207 22.04.2024.pdf?csf=1&amp;web=1&amp;e=jni0A6" xr:uid="{DBE9064E-5762-422F-A673-CA86A99FD096}"/>
    <hyperlink ref="U155" r:id="rId697" display="../../../../../../:b:/r/teams/CTM-OTGentStad/Shared Documents/General/EAF/CSI(nieuwe sharepoint)2024/EAF Kouter Gent  5932 15.04.2024.pdf?csf=1&amp;web=1&amp;e=qfdIQv" xr:uid="{FF4FEF07-C2A0-4DEF-84FE-85A322B085BB}"/>
    <hyperlink ref="U184" r:id="rId698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699" display="../../../../../../:b:/r/teams/CTM-OTGentStad/Shared Documents/General/EAF/CSI(nieuwe sharepoint)2024/EAF Nazarethsesteenweg Deinze 5047 22.03.2024.pdf?csf=1&amp;web=1&amp;e=wWmwol" xr:uid="{52214B2E-6C4E-4D11-BA0B-E3F275200E4A}"/>
    <hyperlink ref="U118" r:id="rId700" display="../../../../../../:b:/r/teams/CTM-OTGentStad/Shared Documents/General/EAF/CSI(nieuwe sharepoint)2024/EAF Oktrooiplein Gent AB5233 20.03.2024.pdf?csf=1&amp;web=1&amp;e=84F5v2" xr:uid="{AD71EFBC-FA0D-460E-81FD-1B66350B22A9}"/>
    <hyperlink ref="U78" r:id="rId701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702" display="../../../../../../:b:/r/teams/CTM-OTGentStad/Shared Documents/General/EAF/CSI(nieuwe sharepoint)2024/EAF Segersplein Gent AB2205 16.05.2024.pdf?csf=1&amp;web=1&amp;e=wdPSqn" xr:uid="{AB5EDD5B-138F-4845-BD28-E1625D52C3BF}"/>
    <hyperlink ref="U285" r:id="rId703" display="../../../../../../:b:/r/teams/CTM-OTGentStad/Shared Documents/General/EAF/CSI(nieuwe sharepoint)2024/EAF Tolhuislaan 10072024.pdf?csf=1&amp;web=1&amp;e=mCYWQX" xr:uid="{C516BE93-805F-4415-8FCC-DDE9F785186E}"/>
    <hyperlink ref="U241" r:id="rId704" display="../../../../../../:b:/r/teams/CTM-OTGentStad/Shared Documents/General/EAF/CSI(nieuwe sharepoint)2024/EAF Tolhuislaan Gent AB 2204 10.06.2024.pdf?csf=1&amp;web=1&amp;e=oIGycL" xr:uid="{5D0F0C7F-856F-4DE7-A47A-B95A34EDA6C0}"/>
    <hyperlink ref="U213" r:id="rId705" display="../../../../../../:b:/r/teams/CTM-OTGentStad/Shared Documents/General/EAF/CSI(nieuwe sharepoint)2024/EAF Tolhuislaan Gent AB 5372 23.05.2024.pdf?csf=1&amp;web=1&amp;e=clu0yW" xr:uid="{A6127BC4-E878-47DB-9298-204D8EE6E258}"/>
    <hyperlink ref="U253" r:id="rId706" display="../../../../../../:b:/r/teams/CTM-OTGentStad/Shared Documents/General/EAF/CSI(nieuwe sharepoint)2024/EAF Tolhuislaan Gent AB 5917 15.06.2024.pdf?csf=1&amp;web=1&amp;e=fmyHcw" xr:uid="{6CEDA0A3-D1D1-4D22-8D39-0160865CFF4F}"/>
    <hyperlink ref="U249" r:id="rId707" display="../../../../../../:b:/r/teams/CTM-OTGentStad/Shared Documents/General/EAF/CSI(nieuwe sharepoint)2024/EAF Tolhuislaan Gent AB 222478 13.06.2024.pdf?csf=1&amp;web=1&amp;e=2tz8cF" xr:uid="{9122CEC9-72E5-450E-B445-C420372E7297}"/>
    <hyperlink ref="U174" r:id="rId708" display="../../../../../../:b:/r/teams/CTM-OTGentStad/Shared Documents/General/EAF/CSI(nieuwe sharepoint)2024/EAF Tolhuislaan Gent AB 614040 27.04.2024.pdf?csf=1&amp;web=1&amp;e=f2XmeF" xr:uid="{86F44152-7E08-4DD9-8AD6-405457EC6946}"/>
    <hyperlink ref="U58" r:id="rId709" display="../../../../../../:b:/r/teams/CTM-OTGentStad/Shared Documents/General/EAF/CSI(nieuwe sharepoint)2024/EAF Zwijnaardsesteenweg Gent 5926 13.02.2024.pdf?csf=1&amp;web=1&amp;e=Fa2o2I" xr:uid="{00F39016-44EF-4DC0-8DC0-1A062A0D109F}"/>
    <hyperlink ref="U695" r:id="rId710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711" display="../../../../../../:b:/r/teams/CTM-OTGentStad/Shared Documents/General/EAF/CSI(nieuwe sharepoint) 2025/6. Juni/EAF 5237 Dampoort Gent 05062025.pdf?csf=1&amp;web=1&amp;e=jwbaP7" xr:uid="{D43C5E46-2F5C-474E-B53F-B10A6C41937D}"/>
    <hyperlink ref="U706" r:id="rId712" display="../../../../../../:b:/r/teams/CTM-OTGentStad/Shared Documents/General/EAF/CSI(nieuwe sharepoint) 2025/6. Juni/EAF 5237 Bevrijdingslaan Gent 05062025.pdf?csf=1&amp;web=1&amp;e=84DrjB" xr:uid="{F7B7D7DB-3C89-4B51-91D9-057B39319D6D}"/>
    <hyperlink ref="U732" r:id="rId713" display="../../../../../../:b:/r/teams/CTM-OTGentStad/Shared Documents/General/EAF/CSI(nieuwe sharepoint) 2025/6. Juni/EAF 6323 Gent 05062025 30119 Tom Haerens.pdf?csf=1&amp;web=1&amp;e=uxAmZp" xr:uid="{8E8F84E4-3F7C-4098-B0E1-5FB8600F89A9}"/>
    <hyperlink ref="U733" r:id="rId714" display="../../../../../../:i:/r/teams/CTM-OTGentStad/Shared Documents/General/EAF/CSI(nieuwe sharepoint) 2025/1. Januari/achterkant.jpg?csf=1&amp;web=1&amp;e=DFmah2" xr:uid="{2A7890A2-E16D-471C-A0E4-06FF95500125}"/>
    <hyperlink ref="U734" r:id="rId715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716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717" xr:uid="{F269AA98-610D-4EF5-917F-6A03E5FC89D1}"/>
    <hyperlink ref="U693" r:id="rId718" display="../../../../../../:b:/r/teams/CTM-OTGentStad/Shared Documents/General/EAF/CSI(nieuwe sharepoint) 2025/5. Mei/EAF 26052025.pdf?csf=1&amp;web=1&amp;e=serNyJ" xr:uid="{FE3F1861-E960-4911-BCA7-9BFDA3EBEDB2}"/>
    <hyperlink ref="U737" r:id="rId719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720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721" display="../../../../../../:b:/r/teams/CTM-OTGentStad/Shared Documents/General/EAF/CSI(nieuwe sharepoint) 2025/5. Mei/EAF 39651 23052025 39651.pdf?csf=1&amp;web=1&amp;e=rltYs2" xr:uid="{EEC10412-3EBF-47C0-AA9C-B25202A84328}"/>
    <hyperlink ref="U740" r:id="rId722" display="../../../../../../:b:/r/teams/CTM-OTGentStad/Shared Documents/General/EAF/CSI(nieuwe sharepoint) 2025/6. Juni/EAF Gent 13062025 26695 Miquel Lippens.pdf?csf=1&amp;web=1&amp;e=jQtDtH" xr:uid="{E86CE69C-6BA1-418F-8379-5CB43FE65339}"/>
    <hyperlink ref="U741" r:id="rId723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24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25" display="../../../../../../:b:/r/teams/CTM-OTGentStad/Shared Documents/General/EAF/CSI(nieuwe sharepoint) 2025/6. Juni/EAF Gent 04062025 38481 Sari Devrim.pdf?csf=1&amp;web=1&amp;e=tTHkYC" xr:uid="{D5ED9EEB-8BA4-487C-A82F-111D022D20C8}"/>
    <hyperlink ref="U744" r:id="rId726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27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28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29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30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31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32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33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34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35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36" display="../../../../../../:b:/r/teams/CTM-OTGentStad/Shared Documents/General/EAF/CSI(nieuwe sharepoint) 2025/6. Juni/EAF 6339 Gent 24062025 38634.pdf?csf=1&amp;web=1&amp;e=FwI5Jm" xr:uid="{B2BED56D-A90A-4C2D-BA8D-94C9D64379D6}"/>
    <hyperlink ref="U755" r:id="rId737" display="https://delijn.sharepoint.com/:b:/r/teams/CTM-OTGentStad/Shared Documents/General/EAF/CSI(nieuwe sharepoint) 2025/6. Juni/EAF 28062025 Ozer Mesut.pdf?csf=1&amp;web=1&amp;e=NjfrJo" xr:uid="{B1745EE0-6ABC-411C-A496-B6233CC8B3F8}"/>
    <hyperlink ref="U756" r:id="rId738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39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40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41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42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43" display="../../../../../../:b:/r/teams/CTM-OTGentStad/Shared Documents/General/EAF/CSI(nieuwe sharepoint) 2025/7. Juli/EAF 2193 EKE 03072025.pdf?csf=1&amp;web=1&amp;e=SRKFdu" xr:uid="{99513C75-44E0-417D-B31C-D37487428053}"/>
    <hyperlink ref="U762" r:id="rId744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45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46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47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48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49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50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51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52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53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54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55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56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57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58" display="../../../../../../:b:/r/teams/CTM-OTGentStad/Shared Documents/General/EAF/CSI(nieuwe sharepoint) 2025/7. Juli/EAF 2196 10072025 Gent.pdf?csf=1&amp;web=1&amp;e=Bq1P33" xr:uid="{6D11B542-42BE-42F0-9017-83DB8D686678}"/>
    <hyperlink ref="U777" r:id="rId759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60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61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62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63" display="../../../../../../:b:/r/teams/CTM-OTGentStad/Shared Documents/General/EAF/CSI(nieuwe sharepoint) 2025/7. Juli/EAF 5772 09072025 Gent 4720 De Roo Jo.pdf?csf=1&amp;web=1&amp;e=IjQv3b" xr:uid="{B42818F6-679B-47C4-A75B-38FE31B5ED0D}"/>
    <hyperlink ref="U782" r:id="rId764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65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66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67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68" display="../../../../../../:b:/r/teams/CTM-OTGentStad/Shared Documents/General/EAF/CSI(nieuwe sharepoint) 2025/7. Juli/EAF 5044 Hagelandkaai Gent 15072025.pdf?csf=1&amp;web=1&amp;e=O2LfFe" xr:uid="{5B5ECAFB-BE83-46D4-9ADB-A0B429D4442B}"/>
    <hyperlink ref="U787" r:id="rId769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70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71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72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73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74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75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76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77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78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79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80" display="../../../../../../:b:/r/teams/CTM-OTGentStad/Shared Documents/General/EAF/CSI(nieuwe sharepoint) 2025/7. Juli/EAF 5266 Brugsepoort Gent 19072025.pdf?csf=1&amp;web=1&amp;e=Id9Pcy" xr:uid="{F54093D0-1DC6-45F2-B663-7D9FB5AD2E23}"/>
    <hyperlink ref="U799" r:id="rId781" display="../../../../../../:b:/r/teams/CTM-OTGentStad/Shared Documents/General/EAF/CSI(nieuwe sharepoint) 2025/7. Juli/EAF 2192 28072025 Gent.pdf?csf=1&amp;web=1&amp;e=UsUohr" xr:uid="{842D6684-6951-4CCC-A395-467A381B98ED}"/>
    <hyperlink ref="U800" r:id="rId782" display="../../../../../../:b:/r/teams/CTM-OTGentStad/Shared Documents/General/EAF/CSI(nieuwe sharepoint) 2025/7. Juli/EAF 6325 Gent 29072025 20653 Mestdag.pdf?csf=1&amp;web=1&amp;e=wqwRr0" xr:uid="{AA3D6465-70B9-425B-8AEB-B489B201B063}"/>
    <hyperlink ref="U801" r:id="rId783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84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85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86" xr:uid="{150DA4FD-1711-4867-B634-D05F4AEFF1A7}"/>
    <hyperlink ref="U805" r:id="rId787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88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89" display="../../../../../../:b:/r/teams/CTM-OTGentStad/Shared Documents/General/EAF/CSI(nieuwe sharepoint) 2025/6. Juni/EAF 2209 Oostakker 20062025 Vincent Rodrigue.pdf?csf=1&amp;web=1&amp;e=WVrMc5" xr:uid="{BA975D12-1785-44A8-A7BE-96B3095185DB}"/>
    <hyperlink ref="U552" r:id="rId790" xr:uid="{D4A9EBC2-7040-472D-9CD7-25E0CD73A803}"/>
    <hyperlink ref="U673" r:id="rId791" xr:uid="{863C6FA1-A756-4D70-AC71-51E5A76689C5}"/>
    <hyperlink ref="U536" r:id="rId792" xr:uid="{DACDB412-C833-4291-9C28-79BA532569AA}"/>
    <hyperlink ref="U538" r:id="rId793" xr:uid="{0B00DD93-46E6-429E-BC0E-941F7DDDCE2A}"/>
    <hyperlink ref="U539" r:id="rId794" xr:uid="{91A79747-AF08-4BFD-9DB7-5C2495A93589}"/>
    <hyperlink ref="U513" r:id="rId795" xr:uid="{225EB26C-7772-460F-A73C-0F374D7AF285}"/>
    <hyperlink ref="U514" r:id="rId796" xr:uid="{BD0527B6-7BCC-4011-AFE4-A7A21EEA6DF1}"/>
    <hyperlink ref="U553" r:id="rId797" xr:uid="{C2CD05F9-E24E-4861-A589-1C820F320F9E}"/>
    <hyperlink ref="U515" r:id="rId798" xr:uid="{FE436817-0B4F-438C-A63D-C51B18F105A4}"/>
    <hyperlink ref="U547" r:id="rId799" xr:uid="{4A3BDEF3-14A7-45E2-8146-4BAA33388E54}"/>
    <hyperlink ref="U527" r:id="rId800" xr:uid="{56E8F87E-FC9C-4191-9A01-2285D988C8C0}"/>
    <hyperlink ref="U540" r:id="rId801" xr:uid="{3BF788E9-2462-4020-AC4B-A66BB6793883}"/>
    <hyperlink ref="U525" r:id="rId802" xr:uid="{67C81648-7A07-49F8-9510-14AC3651BFAC}"/>
    <hyperlink ref="U546" r:id="rId803" xr:uid="{D17842E8-28B7-4700-8F51-1BF6AAFEEDED}"/>
    <hyperlink ref="U808" r:id="rId804" xr:uid="{1D07BE5F-6D45-449E-A856-72ABC302C426}"/>
    <hyperlink ref="U809" r:id="rId805" xr:uid="{74CF06CF-A463-4FAA-9D33-6F2484FDFE16}"/>
    <hyperlink ref="U810" r:id="rId806" xr:uid="{4D2D47F3-D93E-4E06-A609-F6F31A503B9E}"/>
    <hyperlink ref="U811" r:id="rId807" xr:uid="{BB3ADF8B-2677-4058-AC30-13299C7C8573}"/>
    <hyperlink ref="U812" r:id="rId808" xr:uid="{F243989D-7F6A-4CAE-A35A-DDFC357040CB}"/>
    <hyperlink ref="U813" r:id="rId809" xr:uid="{E058195F-A560-43AD-B42C-D9F293BF83BE}"/>
    <hyperlink ref="U814" r:id="rId810" xr:uid="{E23FAE86-C71A-42EC-8B47-C80E9CF9E459}"/>
    <hyperlink ref="U815" r:id="rId811" xr:uid="{56031605-4B81-4A26-9C04-859AC6BC7199}"/>
    <hyperlink ref="U816" r:id="rId812" xr:uid="{37F3A534-9157-4431-A907-DA8F76A26E11}"/>
    <hyperlink ref="U817" r:id="rId813" xr:uid="{3B159F39-D1EE-4FFE-B00F-CD5A30667FFD}"/>
  </hyperlinks>
  <pageMargins left="0.7" right="0.7" top="0.75" bottom="0.75" header="0.3" footer="0.3"/>
  <pageSetup paperSize="9" orientation="portrait" verticalDpi="0" r:id="rId814"/>
  <drawing r:id="rId815"/>
  <tableParts count="1">
    <tablePart r:id="rId8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1147</v>
      </c>
    </row>
    <row r="2" spans="1:6" x14ac:dyDescent="0.25">
      <c r="A2">
        <v>39929</v>
      </c>
      <c r="B2" t="e">
        <f>_xlfn.CONCAT(Tabel1[[#This Row],[personeelsnr]]," ",C2," ",D2)</f>
        <v>#N/A</v>
      </c>
      <c r="C2" t="e">
        <f>VLOOKUP(Tabel1[[#This Row],[personeelsnr]],'data hastus'!$A:$C,2,0)</f>
        <v>#N/A</v>
      </c>
      <c r="D2" t="e">
        <f>VLOOKUP(Tabel1[[#This Row],[personeelsnr]],'data hastus'!$A:$C,3,0)</f>
        <v>#N/A</v>
      </c>
      <c r="E2" t="e">
        <f>VLOOKUP(Tabel1[[#This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1148</v>
      </c>
      <c r="C4" t="s">
        <v>1149</v>
      </c>
      <c r="D4" t="s">
        <v>1149</v>
      </c>
      <c r="E4" t="s">
        <v>1150</v>
      </c>
      <c r="F4">
        <v>7</v>
      </c>
    </row>
    <row r="5" spans="1:6" x14ac:dyDescent="0.25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_xlfn.CONCAT(Tabel1[[#This Row],[personeelsnr]]," ",C14," ",D14)</f>
        <v>#N/A</v>
      </c>
      <c r="C14" t="e">
        <f>VLOOKUP(Tabel1[[#This Row],[personeelsnr]],'data hastus'!$A:$C,2,0)</f>
        <v>#N/A</v>
      </c>
      <c r="D14" t="e">
        <f>VLOOKUP(Tabel1[[#This Row],[personeelsnr]],'data hastus'!$A:$C,3,0)</f>
        <v>#N/A</v>
      </c>
      <c r="E14" t="e">
        <f>VLOOKUP(Tabel1[[#This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_xlfn.CONCAT(Tabel1[[#This Row],[personeelsnr]]," ",C15," ",D15)</f>
        <v>#N/A</v>
      </c>
      <c r="C15" t="e">
        <f>VLOOKUP(Tabel1[[#This Row],[personeelsnr]],'data hastus'!$A:$C,2,0)</f>
        <v>#N/A</v>
      </c>
      <c r="D15" t="e">
        <f>VLOOKUP(Tabel1[[#This Row],[personeelsnr]],'data hastus'!$A:$C,3,0)</f>
        <v>#N/A</v>
      </c>
      <c r="E15" t="e">
        <f>VLOOKUP(Tabel1[[#This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_xlfn.CONCAT(Tabel1[[#This Row],[personeelsnr]]," ",C25," ",D25)</f>
        <v>#N/A</v>
      </c>
      <c r="C25" t="e">
        <f>VLOOKUP(Tabel1[[#This Row],[personeelsnr]],'data hastus'!$A:$C,2,0)</f>
        <v>#N/A</v>
      </c>
      <c r="D25" t="e">
        <f>VLOOKUP(Tabel1[[#This Row],[personeelsnr]],'data hastus'!$A:$C,3,0)</f>
        <v>#N/A</v>
      </c>
      <c r="E25" t="e">
        <f>VLOOKUP(Tabel1[[#This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_xlfn.CONCAT(Tabel1[[#This Row],[personeelsnr]]," ",C26," ",D26)</f>
        <v>#N/A</v>
      </c>
      <c r="C26" t="e">
        <f>VLOOKUP(Tabel1[[#This Row],[personeelsnr]],'data hastus'!$A:$C,2,0)</f>
        <v>#N/A</v>
      </c>
      <c r="D26" t="e">
        <f>VLOOKUP(Tabel1[[#This Row],[personeelsnr]],'data hastus'!$A:$C,3,0)</f>
        <v>#N/A</v>
      </c>
      <c r="E26" t="e">
        <f>VLOOKUP(Tabel1[[#This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_xlfn.CONCAT(Tabel1[[#This Row],[personeelsnr]]," ",C28," ",D28)</f>
        <v>#N/A</v>
      </c>
      <c r="C28" t="e">
        <f>VLOOKUP(Tabel1[[#This Row],[personeelsnr]],'data hastus'!$A:$C,2,0)</f>
        <v>#N/A</v>
      </c>
      <c r="D28" t="e">
        <f>VLOOKUP(Tabel1[[#This Row],[personeelsnr]],'data hastus'!$A:$C,3,0)</f>
        <v>#N/A</v>
      </c>
      <c r="E28" t="e">
        <f>VLOOKUP(Tabel1[[#This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_xlfn.CONCAT(Tabel1[[#This Row],[personeelsnr]]," ",C59," ",D59)</f>
        <v>#N/A</v>
      </c>
      <c r="C59" t="e">
        <f>VLOOKUP(Tabel1[[#This Row],[personeelsnr]],'data hastus'!$A:$C,2,0)</f>
        <v>#N/A</v>
      </c>
      <c r="D59" t="e">
        <f>VLOOKUP(Tabel1[[#This Row],[personeelsnr]],'data hastus'!$A:$C,3,0)</f>
        <v>#N/A</v>
      </c>
      <c r="E59" t="e">
        <f>VLOOKUP(Tabel1[[#This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_xlfn.CONCAT(Tabel1[[#This Row],[personeelsnr]]," ",C76," ",D76)</f>
        <v>#N/A</v>
      </c>
      <c r="C76" t="e">
        <f>VLOOKUP(Tabel1[[#This Row],[personeelsnr]],'data hastus'!$A:$C,2,0)</f>
        <v>#N/A</v>
      </c>
      <c r="D76" t="e">
        <f>VLOOKUP(Tabel1[[#This Row],[personeelsnr]],'data hastus'!$A:$C,3,0)</f>
        <v>#N/A</v>
      </c>
      <c r="E76" t="e">
        <f>VLOOKUP(Tabel1[[#This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_xlfn.CONCAT(Tabel1[[#This Row],[personeelsnr]]," ",C97," ",D97)</f>
        <v>#N/A</v>
      </c>
      <c r="C97" t="e">
        <f>VLOOKUP(Tabel1[[#This Row],[personeelsnr]],'data hastus'!$A:$C,2,0)</f>
        <v>#N/A</v>
      </c>
      <c r="D97" t="e">
        <f>VLOOKUP(Tabel1[[#This Row],[personeelsnr]],'data hastus'!$A:$C,3,0)</f>
        <v>#N/A</v>
      </c>
      <c r="E97" t="e">
        <f>VLOOKUP(Tabel1[[#This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_xlfn.CONCAT(Tabel1[[#This Row],[personeelsnr]]," ",C103," ",D103)</f>
        <v>#N/A</v>
      </c>
      <c r="C103" t="e">
        <f>VLOOKUP(Tabel1[[#This Row],[personeelsnr]],'data hastus'!$A:$C,2,0)</f>
        <v>#N/A</v>
      </c>
      <c r="D103" t="e">
        <f>VLOOKUP(Tabel1[[#This Row],[personeelsnr]],'data hastus'!$A:$C,3,0)</f>
        <v>#N/A</v>
      </c>
      <c r="E103" t="e">
        <f>VLOOKUP(Tabel1[[#This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_xlfn.CONCAT(Tabel1[[#This Row],[personeelsnr]]," ",C125," ",D125)</f>
        <v>#N/A</v>
      </c>
      <c r="C125" t="e">
        <f>VLOOKUP(Tabel1[[#This Row],[personeelsnr]],'data hastus'!$A:$C,2,0)</f>
        <v>#N/A</v>
      </c>
      <c r="D125" t="e">
        <f>VLOOKUP(Tabel1[[#This Row],[personeelsnr]],'data hastus'!$A:$C,3,0)</f>
        <v>#N/A</v>
      </c>
      <c r="E125" t="e">
        <f>VLOOKUP(Tabel1[[#This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_xlfn.CONCAT(Tabel1[[#This Row],[personeelsnr]]," ",C134," ",D134)</f>
        <v>#N/A</v>
      </c>
      <c r="C134" t="e">
        <f>VLOOKUP(Tabel1[[#This Row],[personeelsnr]],'data hastus'!$A:$C,2,0)</f>
        <v>#N/A</v>
      </c>
      <c r="D134" t="e">
        <f>VLOOKUP(Tabel1[[#This Row],[personeelsnr]],'data hastus'!$A:$C,3,0)</f>
        <v>#N/A</v>
      </c>
      <c r="E134" t="e">
        <f>VLOOKUP(Tabel1[[#This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_xlfn.CONCAT(Tabel1[[#This Row],[personeelsnr]]," ",C139," ",D139)</f>
        <v>31600 leeg leeg</v>
      </c>
      <c r="C139" t="s">
        <v>1149</v>
      </c>
      <c r="D139" t="s">
        <v>1149</v>
      </c>
      <c r="E139" t="s">
        <v>1150</v>
      </c>
      <c r="F139">
        <v>0</v>
      </c>
    </row>
    <row r="140" spans="1:6" x14ac:dyDescent="0.25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_xlfn.CONCAT(Tabel1[[#This Row],[personeelsnr]]," ",C141," ",D141)</f>
        <v>#N/A</v>
      </c>
      <c r="C141" t="e">
        <f>VLOOKUP(Tabel1[[#This Row],[personeelsnr]],'data hastus'!$A:$C,2,0)</f>
        <v>#N/A</v>
      </c>
      <c r="D141" t="e">
        <f>VLOOKUP(Tabel1[[#This Row],[personeelsnr]],'data hastus'!$A:$C,3,0)</f>
        <v>#N/A</v>
      </c>
      <c r="E141" t="e">
        <f>VLOOKUP(Tabel1[[#This Row],[personeelsnr]],'data hastus'!A:K,11,FALSE)</f>
        <v>#N/A</v>
      </c>
    </row>
    <row r="142" spans="1:6" x14ac:dyDescent="0.25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25">
      <c r="A144">
        <v>21424</v>
      </c>
      <c r="B144" t="e">
        <f>_xlfn.CONCAT(Tabel1[[#This Row],[personeelsnr]]," ",C144," ",D144)</f>
        <v>#N/A</v>
      </c>
      <c r="C144" t="e">
        <f>VLOOKUP(Tabel1[[#This Row],[personeelsnr]],'data hastus'!$A:$C,2,0)</f>
        <v>#N/A</v>
      </c>
      <c r="D144" t="e">
        <f>VLOOKUP(Tabel1[[#This Row],[personeelsnr]],'data hastus'!$A:$C,3,0)</f>
        <v>#N/A</v>
      </c>
      <c r="E144" t="e">
        <f>VLOOKUP(Tabel1[[#This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_xlfn.CONCAT(Tabel1[[#This Row],[personeelsnr]]," ",C148," ",D148)</f>
        <v>#N/A</v>
      </c>
      <c r="C148" t="e">
        <f>VLOOKUP(Tabel1[[#This Row],[personeelsnr]],'data hastus'!$A:$C,2,0)</f>
        <v>#N/A</v>
      </c>
      <c r="D148" t="e">
        <f>VLOOKUP(Tabel1[[#This Row],[personeelsnr]],'data hastus'!$A:$C,3,0)</f>
        <v>#N/A</v>
      </c>
      <c r="E148" t="e">
        <f>VLOOKUP(Tabel1[[#This Row],[personeelsnr]],'data hastus'!A:K,11,FALSE)</f>
        <v>#N/A</v>
      </c>
    </row>
    <row r="149" spans="1:6" x14ac:dyDescent="0.25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25">
      <c r="A150">
        <v>26199</v>
      </c>
      <c r="B150" t="e">
        <f>_xlfn.CONCAT(Tabel1[[#This Row],[personeelsnr]]," ",C150," ",D150)</f>
        <v>#N/A</v>
      </c>
      <c r="C150" t="e">
        <f>VLOOKUP(Tabel1[[#This Row],[personeelsnr]],'data hastus'!$A:$C,2,0)</f>
        <v>#N/A</v>
      </c>
      <c r="D150" t="e">
        <f>VLOOKUP(Tabel1[[#This Row],[personeelsnr]],'data hastus'!$A:$C,3,0)</f>
        <v>#N/A</v>
      </c>
      <c r="E150" t="e">
        <f>VLOOKUP(Tabel1[[#This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25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25">
      <c r="A156">
        <v>99999</v>
      </c>
      <c r="B156" t="str">
        <f>_xlfn.CONCAT(Tabel1[[#This Row],[personeelsnr]]," ",C156," ",D156)</f>
        <v>31733 leeg leeg</v>
      </c>
      <c r="C156" t="s">
        <v>1149</v>
      </c>
      <c r="D156" t="s">
        <v>1149</v>
      </c>
      <c r="E156" t="s">
        <v>1150</v>
      </c>
    </row>
    <row r="157" spans="1:6" x14ac:dyDescent="0.25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25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_xlfn.CONCAT(Tabel1[[#This Row],[personeelsnr]]," ",C167," ",D167)</f>
        <v>#N/A</v>
      </c>
      <c r="C167" t="e">
        <f>VLOOKUP(Tabel1[[#This Row],[personeelsnr]],'data hastus'!$A:$C,2,0)</f>
        <v>#N/A</v>
      </c>
      <c r="D167" t="e">
        <f>VLOOKUP(Tabel1[[#This Row],[personeelsnr]],'data hastus'!$A:$C,3,0)</f>
        <v>#N/A</v>
      </c>
      <c r="E167" t="e">
        <f>VLOOKUP(Tabel1[[#This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_xlfn.CONCAT(Tabel1[[#This Row],[personeelsnr]]," ",C174," ",D174)</f>
        <v>#N/A</v>
      </c>
      <c r="C174" t="e">
        <f>VLOOKUP(Tabel1[[#This Row],[personeelsnr]],'data hastus'!$A:$C,2,0)</f>
        <v>#N/A</v>
      </c>
      <c r="D174" t="e">
        <f>VLOOKUP(Tabel1[[#This Row],[personeelsnr]],'data hastus'!$A:$C,3,0)</f>
        <v>#N/A</v>
      </c>
      <c r="E174" t="e">
        <f>VLOOKUP(Tabel1[[#This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_xlfn.CONCAT(Tabel1[[#This Row],[personeelsnr]]," ",C175," ",D175)</f>
        <v>#N/A</v>
      </c>
      <c r="C175" t="e">
        <f>VLOOKUP(Tabel1[[#This Row],[personeelsnr]],'data hastus'!$A:$C,2,0)</f>
        <v>#N/A</v>
      </c>
      <c r="D175" t="e">
        <f>VLOOKUP(Tabel1[[#This Row],[personeelsnr]],'data hastus'!$A:$C,3,0)</f>
        <v>#N/A</v>
      </c>
      <c r="E175" t="e">
        <f>VLOOKUP(Tabel1[[#This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_xlfn.CONCAT(Tabel1[[#This Row],[personeelsnr]]," ",C179," ",D179)</f>
        <v>#N/A</v>
      </c>
      <c r="C179" t="e">
        <f>VLOOKUP(Tabel1[[#This Row],[personeelsnr]],'data hastus'!$A:$C,2,0)</f>
        <v>#N/A</v>
      </c>
      <c r="D179" t="e">
        <f>VLOOKUP(Tabel1[[#This Row],[personeelsnr]],'data hastus'!$A:$C,3,0)</f>
        <v>#N/A</v>
      </c>
      <c r="E179" t="e">
        <f>VLOOKUP(Tabel1[[#This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25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_xlfn.CONCAT(Tabel1[[#This Row],[personeelsnr]]," ",C194," ",D194)</f>
        <v>#N/A</v>
      </c>
      <c r="C194" t="e">
        <f>VLOOKUP(Tabel1[[#This Row],[personeelsnr]],'data hastus'!$A:$C,2,0)</f>
        <v>#N/A</v>
      </c>
      <c r="D194" t="e">
        <f>VLOOKUP(Tabel1[[#This Row],[personeelsnr]],'data hastus'!$A:$C,3,0)</f>
        <v>#N/A</v>
      </c>
      <c r="E194" t="e">
        <f>VLOOKUP(Tabel1[[#This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_xlfn.CONCAT(Tabel1[[#This Row],[personeelsnr]]," ",C199," ",D199)</f>
        <v>#N/A</v>
      </c>
      <c r="C199" t="e">
        <f>VLOOKUP(Tabel1[[#This Row],[personeelsnr]],'data hastus'!$A:$C,2,0)</f>
        <v>#N/A</v>
      </c>
      <c r="D199" t="e">
        <f>VLOOKUP(Tabel1[[#This Row],[personeelsnr]],'data hastus'!$A:$C,3,0)</f>
        <v>#N/A</v>
      </c>
      <c r="E199" t="e">
        <f>VLOOKUP(Tabel1[[#This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_xlfn.CONCAT(Tabel1[[#This Row],[personeelsnr]]," ",C216," ",D216)</f>
        <v>#N/A</v>
      </c>
      <c r="C216" t="e">
        <f>VLOOKUP(Tabel1[[#This Row],[personeelsnr]],'data hastus'!$A:$C,2,0)</f>
        <v>#N/A</v>
      </c>
      <c r="D216" t="e">
        <f>VLOOKUP(Tabel1[[#This Row],[personeelsnr]],'data hastus'!$A:$C,3,0)</f>
        <v>#N/A</v>
      </c>
      <c r="E216" t="e">
        <f>VLOOKUP(Tabel1[[#This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_xlfn.CONCAT(Tabel1[[#This Row],[personeelsnr]]," ",C218," ",D218)</f>
        <v>#N/A</v>
      </c>
      <c r="C218" t="e">
        <f>VLOOKUP(Tabel1[[#This Row],[personeelsnr]],'data hastus'!$A:$C,2,0)</f>
        <v>#N/A</v>
      </c>
      <c r="D218" t="e">
        <f>VLOOKUP(Tabel1[[#This Row],[personeelsnr]],'data hastus'!$A:$C,3,0)</f>
        <v>#N/A</v>
      </c>
      <c r="E218" t="e">
        <f>VLOOKUP(Tabel1[[#This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_xlfn.CONCAT(Tabel1[[#This Row],[personeelsnr]]," ",C219," ",D219)</f>
        <v>#N/A</v>
      </c>
      <c r="C219" t="e">
        <f>VLOOKUP(Tabel1[[#This Row],[personeelsnr]],'data hastus'!$A:$C,2,0)</f>
        <v>#N/A</v>
      </c>
      <c r="D219" t="e">
        <f>VLOOKUP(Tabel1[[#This Row],[personeelsnr]],'data hastus'!$A:$C,3,0)</f>
        <v>#N/A</v>
      </c>
      <c r="E219" t="e">
        <f>VLOOKUP(Tabel1[[#This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_xlfn.CONCAT(Tabel1[[#This Row],[personeelsnr]]," ",C222," ",D222)</f>
        <v>#N/A</v>
      </c>
      <c r="C222" t="e">
        <f>VLOOKUP(Tabel1[[#This Row],[personeelsnr]],'data hastus'!$A:$C,2,0)</f>
        <v>#N/A</v>
      </c>
      <c r="D222" t="e">
        <f>VLOOKUP(Tabel1[[#This Row],[personeelsnr]],'data hastus'!$A:$C,3,0)</f>
        <v>#N/A</v>
      </c>
      <c r="E222" t="e">
        <f>VLOOKUP(Tabel1[[#This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25">
      <c r="A226">
        <v>39558</v>
      </c>
      <c r="B226" t="e">
        <f>_xlfn.CONCAT(Tabel1[[#This Row],[personeelsnr]]," ",C226," ",D226)</f>
        <v>#N/A</v>
      </c>
      <c r="C226" t="e">
        <f>VLOOKUP(Tabel1[[#This Row],[personeelsnr]],'data hastus'!$A:$C,2,0)</f>
        <v>#N/A</v>
      </c>
      <c r="D226" t="e">
        <f>VLOOKUP(Tabel1[[#This Row],[personeelsnr]],'data hastus'!$A:$C,3,0)</f>
        <v>#N/A</v>
      </c>
      <c r="E226" t="e">
        <f>VLOOKUP(Tabel1[[#This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_xlfn.CONCAT(Tabel1[[#This Row],[personeelsnr]]," ",C234," ",D234)</f>
        <v>#N/A</v>
      </c>
      <c r="C234" t="e">
        <f>VLOOKUP(Tabel1[[#This Row],[personeelsnr]],'data hastus'!$A:$C,2,0)</f>
        <v>#N/A</v>
      </c>
      <c r="D234" t="e">
        <f>VLOOKUP(Tabel1[[#This Row],[personeelsnr]],'data hastus'!$A:$C,3,0)</f>
        <v>#N/A</v>
      </c>
      <c r="E234" t="e">
        <f>VLOOKUP(Tabel1[[#This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_xlfn.CONCAT(Tabel1[[#This Row],[personeelsnr]]," ",C236," ",D236)</f>
        <v>#N/A</v>
      </c>
      <c r="C236" t="e">
        <f>VLOOKUP(Tabel1[[#This Row],[personeelsnr]],'data hastus'!$A:$C,2,0)</f>
        <v>#N/A</v>
      </c>
      <c r="D236" t="e">
        <f>VLOOKUP(Tabel1[[#This Row],[personeelsnr]],'data hastus'!$A:$C,3,0)</f>
        <v>#N/A</v>
      </c>
      <c r="E236" t="e">
        <f>VLOOKUP(Tabel1[[#This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_xlfn.CONCAT(Tabel1[[#This Row],[personeelsnr]]," ",C241," ",D241)</f>
        <v>#N/A</v>
      </c>
      <c r="C241" t="e">
        <f>VLOOKUP(Tabel1[[#This Row],[personeelsnr]],'data hastus'!$A:$C,2,0)</f>
        <v>#N/A</v>
      </c>
      <c r="D241" t="e">
        <f>VLOOKUP(Tabel1[[#This Row],[personeelsnr]],'data hastus'!$A:$C,3,0)</f>
        <v>#N/A</v>
      </c>
      <c r="E241" t="e">
        <f>VLOOKUP(Tabel1[[#This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_xlfn.CONCAT(Tabel1[[#This Row],[personeelsnr]]," ",C243," ",D243)</f>
        <v>#N/A</v>
      </c>
      <c r="C243" t="e">
        <f>VLOOKUP(Tabel1[[#This Row],[personeelsnr]],'data hastus'!$A:$C,2,0)</f>
        <v>#N/A</v>
      </c>
      <c r="D243" t="e">
        <f>VLOOKUP(Tabel1[[#This Row],[personeelsnr]],'data hastus'!$A:$C,3,0)</f>
        <v>#N/A</v>
      </c>
      <c r="E243" t="e">
        <f>VLOOKUP(Tabel1[[#This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25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25">
      <c r="A259">
        <v>16895</v>
      </c>
      <c r="B259" t="e">
        <f>_xlfn.CONCAT(Tabel1[[#This Row],[personeelsnr]]," ",C259," ",D259)</f>
        <v>#N/A</v>
      </c>
      <c r="C259" t="e">
        <f>VLOOKUP(Tabel1[[#This Row],[personeelsnr]],'data hastus'!$A:$C,2,0)</f>
        <v>#N/A</v>
      </c>
      <c r="D259" t="e">
        <f>VLOOKUP(Tabel1[[#This Row],[personeelsnr]],'data hastus'!$A:$C,3,0)</f>
        <v>#N/A</v>
      </c>
      <c r="E259" t="e">
        <f>VLOOKUP(Tabel1[[#This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_xlfn.CONCAT(Tabel1[[#This Row],[personeelsnr]]," ",C261," ",D261)</f>
        <v>#N/A</v>
      </c>
      <c r="C261" t="e">
        <f>VLOOKUP(Tabel1[[#This Row],[personeelsnr]],'data hastus'!$A:$C,2,0)</f>
        <v>#N/A</v>
      </c>
      <c r="D261" t="e">
        <f>VLOOKUP(Tabel1[[#This Row],[personeelsnr]],'data hastus'!$A:$C,3,0)</f>
        <v>#N/A</v>
      </c>
      <c r="E261" t="e">
        <f>VLOOKUP(Tabel1[[#This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_xlfn.CONCAT(Tabel1[[#This Row],[personeelsnr]]," ",C269," ",D269)</f>
        <v>#N/A</v>
      </c>
      <c r="C269" t="e">
        <f>VLOOKUP(Tabel1[[#This Row],[personeelsnr]],'data hastus'!$A:$C,2,0)</f>
        <v>#N/A</v>
      </c>
      <c r="D269" t="e">
        <f>VLOOKUP(Tabel1[[#This Row],[personeelsnr]],'data hastus'!$A:$C,3,0)</f>
        <v>#N/A</v>
      </c>
      <c r="E269" t="e">
        <f>VLOOKUP(Tabel1[[#This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25">
      <c r="A271">
        <v>38551</v>
      </c>
      <c r="B271" t="e">
        <f>_xlfn.CONCAT(Tabel1[[#This Row],[personeelsnr]]," ",C271," ",D271)</f>
        <v>#N/A</v>
      </c>
      <c r="C271" t="e">
        <f>VLOOKUP(Tabel1[[#This Row],[personeelsnr]],'data hastus'!$A:$C,2,0)</f>
        <v>#N/A</v>
      </c>
      <c r="D271" t="e">
        <f>VLOOKUP(Tabel1[[#This Row],[personeelsnr]],'data hastus'!$A:$C,3,0)</f>
        <v>#N/A</v>
      </c>
      <c r="E271" t="e">
        <f>VLOOKUP(Tabel1[[#This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25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25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_xlfn.CONCAT(Tabel1[[#This Row],[personeelsnr]]," ",C279," ",D279)</f>
        <v>#N/A</v>
      </c>
      <c r="C279" t="e">
        <f>VLOOKUP(Tabel1[[#This Row],[personeelsnr]],'data hastus'!$A:$C,2,0)</f>
        <v>#N/A</v>
      </c>
      <c r="D279" t="e">
        <f>VLOOKUP(Tabel1[[#This Row],[personeelsnr]],'data hastus'!$A:$C,3,0)</f>
        <v>#N/A</v>
      </c>
      <c r="E279" t="e">
        <f>VLOOKUP(Tabel1[[#This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_xlfn.CONCAT(Tabel1[[#This Row],[personeelsnr]]," ",C280," ",D280)</f>
        <v>#N/A</v>
      </c>
      <c r="C280" t="e">
        <f>VLOOKUP(Tabel1[[#This Row],[personeelsnr]],'data hastus'!$A:$C,2,0)</f>
        <v>#N/A</v>
      </c>
      <c r="D280" t="e">
        <f>VLOOKUP(Tabel1[[#This Row],[personeelsnr]],'data hastus'!$A:$C,3,0)</f>
        <v>#N/A</v>
      </c>
      <c r="E280" t="e">
        <f>VLOOKUP(Tabel1[[#This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_xlfn.CONCAT(Tabel1[[#This Row],[personeelsnr]]," ",C281," ",D281)</f>
        <v>#N/A</v>
      </c>
      <c r="C281" t="e">
        <f>VLOOKUP(Tabel1[[#This Row],[personeelsnr]],'data hastus'!$A:$C,2,0)</f>
        <v>#N/A</v>
      </c>
      <c r="D281" t="e">
        <f>VLOOKUP(Tabel1[[#This Row],[personeelsnr]],'data hastus'!$A:$C,3,0)</f>
        <v>#N/A</v>
      </c>
      <c r="E281" t="e">
        <f>VLOOKUP(Tabel1[[#This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25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_xlfn.CONCAT(Tabel1[[#This Row],[personeelsnr]]," ",C297," ",D297)</f>
        <v>#N/A</v>
      </c>
      <c r="C297" t="e">
        <f>VLOOKUP(Tabel1[[#This Row],[personeelsnr]],'data hastus'!$A:$C,2,0)</f>
        <v>#N/A</v>
      </c>
      <c r="D297" t="e">
        <f>VLOOKUP(Tabel1[[#This Row],[personeelsnr]],'data hastus'!$A:$C,3,0)</f>
        <v>#N/A</v>
      </c>
      <c r="E297" t="e">
        <f>VLOOKUP(Tabel1[[#This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_xlfn.CONCAT(Tabel1[[#This Row],[personeelsnr]]," ",C313," ",D313)</f>
        <v>#N/A</v>
      </c>
      <c r="C313" t="e">
        <f>VLOOKUP(Tabel1[[#This Row],[personeelsnr]],'data hastus'!$A:$C,2,0)</f>
        <v>#N/A</v>
      </c>
      <c r="D313" t="e">
        <f>VLOOKUP(Tabel1[[#This Row],[personeelsnr]],'data hastus'!$A:$C,3,0)</f>
        <v>#N/A</v>
      </c>
      <c r="E313" t="e">
        <f>VLOOKUP(Tabel1[[#This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_xlfn.CONCAT(Tabel1[[#This Row],[personeelsnr]]," ",C314," ",D314)</f>
        <v>#N/A</v>
      </c>
      <c r="C314" t="e">
        <f>VLOOKUP(Tabel1[[#This Row],[personeelsnr]],'data hastus'!$A:$C,2,0)</f>
        <v>#N/A</v>
      </c>
      <c r="D314" t="e">
        <f>VLOOKUP(Tabel1[[#This Row],[personeelsnr]],'data hastus'!$A:$C,3,0)</f>
        <v>#N/A</v>
      </c>
      <c r="E314" t="e">
        <f>VLOOKUP(Tabel1[[#This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25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_xlfn.CONCAT(Tabel1[[#This Row],[personeelsnr]]," ",C323," ",D323)</f>
        <v>#N/A</v>
      </c>
      <c r="C323" t="e">
        <f>VLOOKUP(Tabel1[[#This Row],[personeelsnr]],'data hastus'!$A:$C,2,0)</f>
        <v>#N/A</v>
      </c>
      <c r="D323" t="e">
        <f>VLOOKUP(Tabel1[[#This Row],[personeelsnr]],'data hastus'!$A:$C,3,0)</f>
        <v>#N/A</v>
      </c>
      <c r="E323" t="e">
        <f>VLOOKUP(Tabel1[[#This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_xlfn.CONCAT(Tabel1[[#This Row],[personeelsnr]]," ",C326," ",D326)</f>
        <v>#N/A</v>
      </c>
      <c r="C326" t="e">
        <f>VLOOKUP(Tabel1[[#This Row],[personeelsnr]],'data hastus'!$A:$C,2,0)</f>
        <v>#N/A</v>
      </c>
      <c r="D326" t="e">
        <f>VLOOKUP(Tabel1[[#This Row],[personeelsnr]],'data hastus'!$A:$C,3,0)</f>
        <v>#N/A</v>
      </c>
      <c r="E326" t="e">
        <f>VLOOKUP(Tabel1[[#This Row],[personeelsnr]],'data hastus'!A:K,11,FALSE)</f>
        <v>#N/A</v>
      </c>
    </row>
    <row r="327" spans="1:6" x14ac:dyDescent="0.25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25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25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25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25">
      <c r="A332">
        <v>99999</v>
      </c>
      <c r="B332" t="str">
        <f>_xlfn.CONCAT(Tabel1[[#This Row],[personeelsnr]]," ",C332," ",D332)</f>
        <v>9999 leeg leeg</v>
      </c>
      <c r="C332" t="s">
        <v>1149</v>
      </c>
      <c r="D332" t="s">
        <v>1149</v>
      </c>
      <c r="E332" t="s">
        <v>1150</v>
      </c>
    </row>
    <row r="333" spans="1:6" x14ac:dyDescent="0.25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25">
      <c r="A334">
        <v>38740</v>
      </c>
      <c r="B334" t="e">
        <f>_xlfn.CONCAT(Tabel1[[#This Row],[personeelsnr]]," ",C334," ",D334)</f>
        <v>#N/A</v>
      </c>
      <c r="C334" t="e">
        <f>VLOOKUP(Tabel1[[#This Row],[personeelsnr]],'data hastus'!$A:$C,2,0)</f>
        <v>#N/A</v>
      </c>
      <c r="D334" t="e">
        <f>VLOOKUP(Tabel1[[#This Row],[personeelsnr]],'data hastus'!$A:$C,3,0)</f>
        <v>#N/A</v>
      </c>
      <c r="E334" t="e">
        <f>VLOOKUP(Tabel1[[#This Row],[personeelsnr]],'data hastus'!A:K,11,FALSE)</f>
        <v>#N/A</v>
      </c>
      <c r="F334">
        <v>0</v>
      </c>
    </row>
    <row r="335" spans="1:6" x14ac:dyDescent="0.25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25">
      <c r="A336">
        <v>39972</v>
      </c>
      <c r="B336" t="str">
        <f>_xlfn.CONCAT(Tabel1[[#This Row],[personeelsnr]]," ",C336," ",D336)</f>
        <v>31668 Repaj Ramazav</v>
      </c>
      <c r="C336" t="s">
        <v>998</v>
      </c>
      <c r="D336" t="s">
        <v>999</v>
      </c>
      <c r="E336" t="s">
        <v>187</v>
      </c>
    </row>
    <row r="337" spans="1:6" x14ac:dyDescent="0.25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25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25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25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25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25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25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25">
      <c r="A345">
        <v>36820</v>
      </c>
      <c r="B345" t="e">
        <f>_xlfn.CONCAT(Tabel1[[#This Row],[personeelsnr]]," ",C345," ",D345)</f>
        <v>#N/A</v>
      </c>
      <c r="C345" t="e">
        <f>VLOOKUP(Tabel1[[#This Row],[personeelsnr]],'data hastus'!$A:$C,2,0)</f>
        <v>#N/A</v>
      </c>
      <c r="D345" t="e">
        <f>VLOOKUP(Tabel1[[#This Row],[personeelsnr]],'data hastus'!$A:$C,3,0)</f>
        <v>#N/A</v>
      </c>
      <c r="E345" t="e">
        <f>VLOOKUP(Tabel1[[#This Row],[personeelsnr]],'data hastus'!A:K,11,FALSE)</f>
        <v>#N/A</v>
      </c>
      <c r="F345">
        <v>0</v>
      </c>
    </row>
    <row r="346" spans="1:6" x14ac:dyDescent="0.25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25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25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25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25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25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25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25">
      <c r="A354">
        <v>32002</v>
      </c>
      <c r="B354" t="e">
        <f>_xlfn.CONCAT(Tabel1[[#This Row],[personeelsnr]]," ",C354," ",D354)</f>
        <v>#N/A</v>
      </c>
      <c r="C354" t="e">
        <f>VLOOKUP(Tabel1[[#This Row],[personeelsnr]],'data hastus'!$A:$C,2,0)</f>
        <v>#N/A</v>
      </c>
      <c r="D354" t="e">
        <f>VLOOKUP(Tabel1[[#This Row],[personeelsnr]],'data hastus'!$A:$C,3,0)</f>
        <v>#N/A</v>
      </c>
      <c r="E354" t="e">
        <f>VLOOKUP(Tabel1[[#This Row],[personeelsnr]],'data hastus'!A:K,11,FALSE)</f>
        <v>#N/A</v>
      </c>
      <c r="F354">
        <v>0</v>
      </c>
    </row>
    <row r="355" spans="1:6" x14ac:dyDescent="0.25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25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25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25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25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25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25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25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25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25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25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25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25">
      <c r="A369">
        <v>41064</v>
      </c>
      <c r="B369" t="e">
        <f>_xlfn.CONCAT(Tabel1[[#This Row],[personeelsnr]]," ",C369," ",D369)</f>
        <v>#N/A</v>
      </c>
      <c r="C369" t="e">
        <f>VLOOKUP(Tabel1[[#This Row],[personeelsnr]],'data hastus'!$A:$C,2,0)</f>
        <v>#N/A</v>
      </c>
      <c r="D369" t="e">
        <f>VLOOKUP(Tabel1[[#This Row],[personeelsnr]],'data hastus'!$A:$C,3,0)</f>
        <v>#N/A</v>
      </c>
      <c r="E369" t="e">
        <f>VLOOKUP(Tabel1[[#This Row],[personeelsnr]],'data hastus'!A:K,11,FALSE)</f>
        <v>#N/A</v>
      </c>
      <c r="F369">
        <v>0</v>
      </c>
    </row>
    <row r="370" spans="1:6" x14ac:dyDescent="0.25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25">
      <c r="A371">
        <v>99999</v>
      </c>
      <c r="B371" t="str">
        <f>_xlfn.CONCAT(Tabel1[[#This Row],[personeelsnr]]," ",C371," ",D371)</f>
        <v>36559 leeg leeg</v>
      </c>
      <c r="C371" t="s">
        <v>1149</v>
      </c>
      <c r="D371" t="s">
        <v>1149</v>
      </c>
      <c r="E371" t="s">
        <v>1150</v>
      </c>
    </row>
    <row r="372" spans="1:6" x14ac:dyDescent="0.25">
      <c r="A372">
        <v>31165</v>
      </c>
      <c r="B372" t="e">
        <f>_xlfn.CONCAT(Tabel1[[#This Row],[personeelsnr]]," ",C372," ",D372)</f>
        <v>#N/A</v>
      </c>
      <c r="C372" t="e">
        <f>VLOOKUP(Tabel1[[#This Row],[personeelsnr]],'data hastus'!$A:$C,2,0)</f>
        <v>#N/A</v>
      </c>
      <c r="D372" t="e">
        <f>VLOOKUP(Tabel1[[#This Row],[personeelsnr]],'data hastus'!$A:$C,3,0)</f>
        <v>#N/A</v>
      </c>
      <c r="E372" t="e">
        <f>VLOOKUP(Tabel1[[#This Row],[personeelsnr]],'data hastus'!A:K,11,FALSE)</f>
        <v>#N/A</v>
      </c>
      <c r="F372">
        <v>0</v>
      </c>
    </row>
    <row r="373" spans="1:6" x14ac:dyDescent="0.25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25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25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25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25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25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25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25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25">
      <c r="A381">
        <v>37908</v>
      </c>
      <c r="B381" t="e">
        <f>_xlfn.CONCAT(Tabel1[[#This Row],[personeelsnr]]," ",C381," ",D381)</f>
        <v>#N/A</v>
      </c>
      <c r="C381" t="e">
        <f>VLOOKUP(Tabel1[[#This Row],[personeelsnr]],'data hastus'!$A:$C,2,0)</f>
        <v>#N/A</v>
      </c>
      <c r="D381" t="e">
        <f>VLOOKUP(Tabel1[[#This Row],[personeelsnr]],'data hastus'!$A:$C,3,0)</f>
        <v>#N/A</v>
      </c>
      <c r="E381" t="e">
        <f>VLOOKUP(Tabel1[[#This Row],[personeelsnr]],'data hastus'!A:K,11,FALSE)</f>
        <v>#N/A</v>
      </c>
    </row>
    <row r="382" spans="1:6" x14ac:dyDescent="0.25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25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25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25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25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25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25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25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_xlfn.CONCAT(Tabel1[[#This Row],[personeelsnr]]," ",C391," ",D391)</f>
        <v>38529 De Weirdt Steph</v>
      </c>
      <c r="C391" t="s">
        <v>936</v>
      </c>
      <c r="D391" t="s">
        <v>937</v>
      </c>
      <c r="E391" t="s">
        <v>397</v>
      </c>
    </row>
    <row r="392" spans="1:6" x14ac:dyDescent="0.25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25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25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25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25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25">
      <c r="A397">
        <v>41710</v>
      </c>
      <c r="B397" t="e">
        <f>_xlfn.CONCAT(Tabel1[[#This Row],[personeelsnr]]," ",C397," ",D397)</f>
        <v>#N/A</v>
      </c>
      <c r="C397" t="e">
        <f>VLOOKUP(Tabel1[[#This Row],[personeelsnr]],'data hastus'!$A:$C,2,0)</f>
        <v>#N/A</v>
      </c>
      <c r="D397" t="e">
        <f>VLOOKUP(Tabel1[[#This Row],[personeelsnr]],'data hastus'!$A:$C,3,0)</f>
        <v>#N/A</v>
      </c>
      <c r="E397" t="e">
        <f>VLOOKUP(Tabel1[[#This Row],[personeelsnr]],'data hastus'!A:K,11,FALSE)</f>
        <v>#N/A</v>
      </c>
    </row>
    <row r="398" spans="1:6" x14ac:dyDescent="0.25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25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25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25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25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25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25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25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25">
      <c r="A406">
        <v>26960</v>
      </c>
      <c r="B406" t="e">
        <f>_xlfn.CONCAT(Tabel1[[#This Row],[personeelsnr]]," ",C406," ",D406)</f>
        <v>#N/A</v>
      </c>
      <c r="C406" t="e">
        <f>VLOOKUP(Tabel1[[#This Row],[personeelsnr]],'data hastus'!$A:$C,2,0)</f>
        <v>#N/A</v>
      </c>
      <c r="D406" t="e">
        <f>VLOOKUP(Tabel1[[#This Row],[personeelsnr]],'data hastus'!$A:$C,3,0)</f>
        <v>#N/A</v>
      </c>
      <c r="E406" t="e">
        <f>VLOOKUP(Tabel1[[#This Row],[personeelsnr]],'data hastus'!A:K,11,FALSE)</f>
        <v>#N/A</v>
      </c>
    </row>
    <row r="407" spans="1:5" x14ac:dyDescent="0.25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25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sqref="A1:T594"/>
    </sheetView>
  </sheetViews>
  <sheetFormatPr defaultRowHeight="15" x14ac:dyDescent="0.25"/>
  <sheetData>
    <row r="1" spans="1:20" x14ac:dyDescent="0.25">
      <c r="A1" t="s">
        <v>1151</v>
      </c>
      <c r="B1" t="s">
        <v>1152</v>
      </c>
      <c r="C1" t="s">
        <v>1153</v>
      </c>
      <c r="D1" t="s">
        <v>1154</v>
      </c>
      <c r="E1" t="s">
        <v>1155</v>
      </c>
      <c r="F1" t="s">
        <v>1156</v>
      </c>
      <c r="G1" t="s">
        <v>1157</v>
      </c>
      <c r="H1" t="s">
        <v>1158</v>
      </c>
      <c r="I1" t="s">
        <v>1159</v>
      </c>
      <c r="J1" t="s">
        <v>1160</v>
      </c>
      <c r="K1" t="s">
        <v>1161</v>
      </c>
      <c r="L1" t="s">
        <v>1162</v>
      </c>
      <c r="M1" t="s">
        <v>1163</v>
      </c>
      <c r="N1" t="s">
        <v>1164</v>
      </c>
      <c r="O1" t="s">
        <v>1165</v>
      </c>
      <c r="P1" t="s">
        <v>1166</v>
      </c>
      <c r="Q1" t="s">
        <v>1167</v>
      </c>
      <c r="R1" t="s">
        <v>1168</v>
      </c>
      <c r="S1" t="s">
        <v>1169</v>
      </c>
      <c r="T1" t="s">
        <v>1170</v>
      </c>
    </row>
    <row r="2" spans="1:20" x14ac:dyDescent="0.25">
      <c r="A2">
        <v>32168</v>
      </c>
      <c r="B2" t="s">
        <v>1171</v>
      </c>
      <c r="C2" t="s">
        <v>1172</v>
      </c>
      <c r="D2" s="3">
        <v>28348</v>
      </c>
      <c r="E2" t="s">
        <v>1173</v>
      </c>
      <c r="F2">
        <v>304</v>
      </c>
      <c r="G2" s="3">
        <v>43045</v>
      </c>
      <c r="H2" t="s">
        <v>1174</v>
      </c>
      <c r="I2" t="s">
        <v>1175</v>
      </c>
      <c r="J2" t="s">
        <v>1176</v>
      </c>
      <c r="K2" t="s">
        <v>195</v>
      </c>
      <c r="L2" s="3">
        <v>46517</v>
      </c>
      <c r="M2" s="3">
        <v>46511</v>
      </c>
      <c r="N2" t="s">
        <v>1177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1178</v>
      </c>
      <c r="C3" t="s">
        <v>1179</v>
      </c>
      <c r="D3" s="3">
        <v>28536</v>
      </c>
      <c r="E3" t="s">
        <v>1173</v>
      </c>
      <c r="G3" s="3">
        <v>45012</v>
      </c>
      <c r="H3" t="s">
        <v>1180</v>
      </c>
      <c r="J3" t="s">
        <v>1181</v>
      </c>
      <c r="K3" t="s">
        <v>187</v>
      </c>
      <c r="L3" s="3">
        <v>46869</v>
      </c>
      <c r="M3" s="3">
        <v>46763</v>
      </c>
      <c r="N3" t="s">
        <v>1182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1183</v>
      </c>
      <c r="C4" t="s">
        <v>1184</v>
      </c>
      <c r="D4" s="3">
        <v>27907</v>
      </c>
      <c r="E4" t="s">
        <v>1173</v>
      </c>
      <c r="F4">
        <v>414</v>
      </c>
      <c r="G4" s="3">
        <v>44067</v>
      </c>
      <c r="H4" t="s">
        <v>1185</v>
      </c>
      <c r="J4" t="s">
        <v>1186</v>
      </c>
      <c r="K4" t="s">
        <v>199</v>
      </c>
      <c r="L4" s="3">
        <v>47602</v>
      </c>
      <c r="M4" s="3">
        <v>47594</v>
      </c>
      <c r="N4" t="s">
        <v>1187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1188</v>
      </c>
      <c r="C5" t="s">
        <v>1189</v>
      </c>
      <c r="D5" s="3">
        <v>35525</v>
      </c>
      <c r="E5" t="s">
        <v>1173</v>
      </c>
      <c r="F5">
        <v>452</v>
      </c>
      <c r="G5" s="3">
        <v>44025</v>
      </c>
      <c r="H5" t="s">
        <v>1190</v>
      </c>
      <c r="I5">
        <v>487773919</v>
      </c>
      <c r="J5" t="s">
        <v>1363</v>
      </c>
      <c r="K5" t="s">
        <v>191</v>
      </c>
      <c r="L5" s="3">
        <v>47610</v>
      </c>
      <c r="M5" s="3">
        <v>47609</v>
      </c>
      <c r="N5" t="s">
        <v>1192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1193</v>
      </c>
      <c r="C6" t="s">
        <v>1194</v>
      </c>
      <c r="D6" s="3">
        <v>24023</v>
      </c>
      <c r="E6" t="s">
        <v>1173</v>
      </c>
      <c r="G6" s="3">
        <v>45749</v>
      </c>
      <c r="H6" t="s">
        <v>1195</v>
      </c>
      <c r="J6" t="s">
        <v>1181</v>
      </c>
      <c r="K6" t="s">
        <v>195</v>
      </c>
      <c r="L6" s="3">
        <v>47596</v>
      </c>
      <c r="M6" s="3">
        <v>47504</v>
      </c>
      <c r="N6" t="s">
        <v>1196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1197</v>
      </c>
      <c r="C7" t="s">
        <v>1194</v>
      </c>
      <c r="D7" s="3">
        <v>26173</v>
      </c>
      <c r="E7" t="s">
        <v>1173</v>
      </c>
      <c r="F7">
        <v>35</v>
      </c>
      <c r="G7" s="3">
        <v>39937</v>
      </c>
      <c r="H7" t="s">
        <v>1198</v>
      </c>
      <c r="J7" t="s">
        <v>1199</v>
      </c>
      <c r="K7" t="s">
        <v>185</v>
      </c>
      <c r="L7" s="3">
        <v>47078</v>
      </c>
      <c r="M7" s="3">
        <v>47072</v>
      </c>
      <c r="N7" t="s">
        <v>1200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1201</v>
      </c>
      <c r="C8" t="s">
        <v>1202</v>
      </c>
      <c r="D8" s="3">
        <v>30614</v>
      </c>
      <c r="E8" t="s">
        <v>1173</v>
      </c>
      <c r="F8">
        <v>469</v>
      </c>
      <c r="G8" s="3">
        <v>43906</v>
      </c>
      <c r="H8" t="s">
        <v>1203</v>
      </c>
      <c r="I8" t="s">
        <v>1204</v>
      </c>
      <c r="J8" t="s">
        <v>1205</v>
      </c>
      <c r="K8" t="s">
        <v>195</v>
      </c>
      <c r="L8" s="3">
        <v>47380</v>
      </c>
      <c r="M8" s="3">
        <v>47351</v>
      </c>
      <c r="N8" t="s">
        <v>1206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1207</v>
      </c>
      <c r="C9" t="s">
        <v>1208</v>
      </c>
      <c r="D9" s="3">
        <v>27187</v>
      </c>
      <c r="E9" t="s">
        <v>1173</v>
      </c>
      <c r="G9" s="3">
        <v>45574</v>
      </c>
      <c r="H9" t="s">
        <v>1209</v>
      </c>
      <c r="J9" t="s">
        <v>1181</v>
      </c>
      <c r="K9" t="s">
        <v>191</v>
      </c>
      <c r="L9" s="3">
        <v>47418</v>
      </c>
      <c r="M9" s="3">
        <v>47371</v>
      </c>
      <c r="N9" t="s">
        <v>1210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1211</v>
      </c>
      <c r="C10" t="s">
        <v>1212</v>
      </c>
      <c r="D10" s="3">
        <v>35872</v>
      </c>
      <c r="E10" t="s">
        <v>1173</v>
      </c>
      <c r="G10" s="3">
        <v>44599</v>
      </c>
      <c r="H10" t="s">
        <v>1213</v>
      </c>
      <c r="J10" t="s">
        <v>1214</v>
      </c>
      <c r="K10" t="s">
        <v>185</v>
      </c>
      <c r="L10" s="3">
        <v>46439</v>
      </c>
      <c r="M10" s="3">
        <v>46404</v>
      </c>
      <c r="N10" t="s">
        <v>1215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1216</v>
      </c>
      <c r="C11" t="s">
        <v>1217</v>
      </c>
      <c r="D11" s="3">
        <v>35989</v>
      </c>
      <c r="E11" t="s">
        <v>1173</v>
      </c>
      <c r="G11" s="3">
        <v>45394</v>
      </c>
      <c r="H11" t="s">
        <v>1218</v>
      </c>
      <c r="J11" t="s">
        <v>1219</v>
      </c>
      <c r="K11" t="s">
        <v>189</v>
      </c>
      <c r="L11" s="3">
        <v>47239</v>
      </c>
      <c r="M11" s="3">
        <v>47143</v>
      </c>
      <c r="N11" t="s">
        <v>1220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1221</v>
      </c>
      <c r="C12" t="s">
        <v>1222</v>
      </c>
      <c r="D12" s="3">
        <v>33938</v>
      </c>
      <c r="E12" t="s">
        <v>1173</v>
      </c>
      <c r="G12" s="3">
        <v>45097</v>
      </c>
      <c r="H12" t="s">
        <v>1223</v>
      </c>
      <c r="J12" t="s">
        <v>1181</v>
      </c>
      <c r="K12" t="s">
        <v>189</v>
      </c>
      <c r="L12" s="3">
        <v>46945</v>
      </c>
      <c r="M12" s="3">
        <v>46897</v>
      </c>
      <c r="N12" t="s">
        <v>1224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1225</v>
      </c>
      <c r="C13" t="s">
        <v>1222</v>
      </c>
      <c r="D13" s="3">
        <v>31632</v>
      </c>
      <c r="E13" t="s">
        <v>1173</v>
      </c>
      <c r="F13">
        <v>141</v>
      </c>
      <c r="G13" s="3">
        <v>39370</v>
      </c>
      <c r="H13" t="s">
        <v>1226</v>
      </c>
      <c r="J13" t="s">
        <v>1227</v>
      </c>
      <c r="K13" t="s">
        <v>199</v>
      </c>
      <c r="L13" s="3">
        <v>72686</v>
      </c>
      <c r="M13" s="3">
        <v>46827</v>
      </c>
      <c r="N13" t="s">
        <v>1228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1229</v>
      </c>
      <c r="C14" t="s">
        <v>1230</v>
      </c>
      <c r="D14" s="3">
        <v>31611</v>
      </c>
      <c r="E14" t="s">
        <v>1173</v>
      </c>
      <c r="F14">
        <v>355</v>
      </c>
      <c r="G14" s="3">
        <v>44070</v>
      </c>
      <c r="H14" t="s">
        <v>1231</v>
      </c>
      <c r="J14" t="s">
        <v>1191</v>
      </c>
      <c r="K14" t="s">
        <v>199</v>
      </c>
      <c r="L14" s="3">
        <v>46876</v>
      </c>
      <c r="M14" s="3">
        <v>46862</v>
      </c>
      <c r="N14" t="s">
        <v>1232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1233</v>
      </c>
      <c r="C15" t="s">
        <v>1234</v>
      </c>
      <c r="D15" s="3">
        <v>36390</v>
      </c>
      <c r="E15" t="s">
        <v>1173</v>
      </c>
      <c r="G15" s="3">
        <v>45798</v>
      </c>
      <c r="H15" t="s">
        <v>1235</v>
      </c>
      <c r="J15" t="s">
        <v>1181</v>
      </c>
      <c r="K15" t="s">
        <v>199</v>
      </c>
      <c r="L15" s="3">
        <v>47645</v>
      </c>
      <c r="M15" s="3">
        <v>46831</v>
      </c>
      <c r="N15" t="s">
        <v>1236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1237</v>
      </c>
      <c r="C16" t="s">
        <v>1238</v>
      </c>
      <c r="D16" s="3">
        <v>36623</v>
      </c>
      <c r="E16" t="s">
        <v>1173</v>
      </c>
      <c r="G16" s="3">
        <v>45663</v>
      </c>
      <c r="H16" t="s">
        <v>1239</v>
      </c>
      <c r="J16" t="s">
        <v>1181</v>
      </c>
      <c r="K16" t="s">
        <v>185</v>
      </c>
      <c r="L16" s="3">
        <v>47506</v>
      </c>
      <c r="M16" s="3">
        <v>47407</v>
      </c>
      <c r="N16" t="s">
        <v>1240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1241</v>
      </c>
      <c r="C17" t="s">
        <v>1242</v>
      </c>
      <c r="D17" s="3">
        <v>24328</v>
      </c>
      <c r="E17" t="s">
        <v>1173</v>
      </c>
      <c r="F17">
        <v>434</v>
      </c>
      <c r="G17" s="3">
        <v>44039</v>
      </c>
      <c r="H17" t="s">
        <v>1243</v>
      </c>
      <c r="J17" t="s">
        <v>1214</v>
      </c>
      <c r="K17" t="s">
        <v>185</v>
      </c>
      <c r="L17" s="3">
        <v>47533</v>
      </c>
      <c r="M17" s="3">
        <v>47517</v>
      </c>
      <c r="N17" t="s">
        <v>1244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1260</v>
      </c>
      <c r="C18" t="s">
        <v>1246</v>
      </c>
      <c r="D18" s="3">
        <v>25268</v>
      </c>
      <c r="E18" t="s">
        <v>1173</v>
      </c>
      <c r="F18">
        <v>332</v>
      </c>
      <c r="G18" s="3">
        <v>35948</v>
      </c>
      <c r="H18" t="s">
        <v>1261</v>
      </c>
      <c r="J18" t="s">
        <v>1262</v>
      </c>
      <c r="K18" t="s">
        <v>187</v>
      </c>
      <c r="L18" s="3">
        <v>73050</v>
      </c>
      <c r="M18" s="3">
        <v>46887</v>
      </c>
      <c r="N18" t="s">
        <v>1263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1245</v>
      </c>
      <c r="C19" t="s">
        <v>1246</v>
      </c>
      <c r="D19" s="3">
        <v>28053</v>
      </c>
      <c r="E19" t="s">
        <v>1173</v>
      </c>
      <c r="F19">
        <v>222</v>
      </c>
      <c r="G19" s="3">
        <v>35796</v>
      </c>
      <c r="H19" t="s">
        <v>1247</v>
      </c>
      <c r="J19" t="s">
        <v>1248</v>
      </c>
      <c r="K19" t="s">
        <v>187</v>
      </c>
      <c r="L19" s="3">
        <v>72686</v>
      </c>
      <c r="M19" s="3">
        <v>46434</v>
      </c>
      <c r="N19" t="s">
        <v>1249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1250</v>
      </c>
      <c r="C20" t="s">
        <v>1246</v>
      </c>
      <c r="D20" s="3">
        <v>25922</v>
      </c>
      <c r="E20" t="s">
        <v>1173</v>
      </c>
      <c r="F20">
        <v>473</v>
      </c>
      <c r="G20" s="3">
        <v>35177</v>
      </c>
      <c r="H20" t="s">
        <v>1251</v>
      </c>
      <c r="J20" t="s">
        <v>1252</v>
      </c>
      <c r="K20" t="s">
        <v>189</v>
      </c>
      <c r="L20" s="3">
        <v>47607</v>
      </c>
      <c r="M20" s="3">
        <v>47573</v>
      </c>
      <c r="N20" t="s">
        <v>1253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3388</v>
      </c>
      <c r="C21" t="s">
        <v>1246</v>
      </c>
      <c r="D21" s="3">
        <v>24230</v>
      </c>
      <c r="E21" t="s">
        <v>1173</v>
      </c>
      <c r="G21" s="3">
        <v>45831</v>
      </c>
      <c r="H21" t="s">
        <v>3389</v>
      </c>
      <c r="J21" t="s">
        <v>1181</v>
      </c>
      <c r="K21" t="s">
        <v>193</v>
      </c>
      <c r="L21" s="3">
        <v>47677</v>
      </c>
      <c r="M21" s="3">
        <v>47610</v>
      </c>
      <c r="N21" t="s">
        <v>3390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1254</v>
      </c>
      <c r="C22" t="s">
        <v>1246</v>
      </c>
      <c r="D22" s="3">
        <v>27082</v>
      </c>
      <c r="E22" t="s">
        <v>1173</v>
      </c>
      <c r="G22" s="3">
        <v>45498</v>
      </c>
      <c r="H22" t="s">
        <v>1255</v>
      </c>
      <c r="J22" t="s">
        <v>1181</v>
      </c>
      <c r="K22" t="s">
        <v>195</v>
      </c>
      <c r="L22" s="3">
        <v>47342</v>
      </c>
      <c r="M22" s="3">
        <v>47303</v>
      </c>
      <c r="N22" t="s">
        <v>1256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1257</v>
      </c>
      <c r="C23" t="s">
        <v>1246</v>
      </c>
      <c r="D23" s="3">
        <v>25785</v>
      </c>
      <c r="E23" t="s">
        <v>1173</v>
      </c>
      <c r="F23">
        <v>465</v>
      </c>
      <c r="G23" s="3">
        <v>43892</v>
      </c>
      <c r="H23" t="s">
        <v>1258</v>
      </c>
      <c r="J23" t="s">
        <v>1181</v>
      </c>
      <c r="K23" t="s">
        <v>197</v>
      </c>
      <c r="L23" s="3">
        <v>47411</v>
      </c>
      <c r="M23" s="3">
        <v>47342</v>
      </c>
      <c r="N23" t="s">
        <v>1259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1264</v>
      </c>
      <c r="C24" t="s">
        <v>1265</v>
      </c>
      <c r="D24" s="3">
        <v>24877</v>
      </c>
      <c r="E24" t="s">
        <v>1173</v>
      </c>
      <c r="G24" s="3">
        <v>44700</v>
      </c>
      <c r="H24" t="s">
        <v>1266</v>
      </c>
      <c r="J24" t="s">
        <v>1176</v>
      </c>
      <c r="K24" t="s">
        <v>185</v>
      </c>
      <c r="L24" s="3">
        <v>46117</v>
      </c>
      <c r="M24" s="3">
        <v>46104</v>
      </c>
      <c r="N24" t="s">
        <v>1267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1268</v>
      </c>
      <c r="C25" t="s">
        <v>1269</v>
      </c>
      <c r="D25" s="3">
        <v>26488</v>
      </c>
      <c r="E25" t="s">
        <v>1173</v>
      </c>
      <c r="G25" s="3">
        <v>45264</v>
      </c>
      <c r="H25" t="s">
        <v>1270</v>
      </c>
      <c r="J25" t="s">
        <v>1181</v>
      </c>
      <c r="K25" t="s">
        <v>185</v>
      </c>
      <c r="L25" s="3">
        <v>47106</v>
      </c>
      <c r="M25" s="3">
        <v>47077</v>
      </c>
      <c r="N25" t="s">
        <v>1271</v>
      </c>
      <c r="O25" s="4">
        <v>1</v>
      </c>
      <c r="P25">
        <v>0</v>
      </c>
      <c r="Q25">
        <v>0</v>
      </c>
      <c r="R25" t="s">
        <v>1272</v>
      </c>
    </row>
    <row r="26" spans="1:18" x14ac:dyDescent="0.25">
      <c r="A26">
        <v>13017</v>
      </c>
      <c r="B26" t="s">
        <v>1273</v>
      </c>
      <c r="C26" t="s">
        <v>568</v>
      </c>
      <c r="D26" s="3">
        <v>28294</v>
      </c>
      <c r="E26" t="s">
        <v>1173</v>
      </c>
      <c r="F26">
        <v>188</v>
      </c>
      <c r="G26" s="3">
        <v>36923</v>
      </c>
      <c r="H26" t="s">
        <v>1274</v>
      </c>
      <c r="J26" t="s">
        <v>1275</v>
      </c>
      <c r="K26" t="s">
        <v>195</v>
      </c>
      <c r="L26" s="3">
        <v>73050</v>
      </c>
      <c r="M26" s="3">
        <v>46866</v>
      </c>
      <c r="N26" t="s">
        <v>1276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1277</v>
      </c>
      <c r="C27" t="s">
        <v>1278</v>
      </c>
      <c r="D27" s="3">
        <v>22761</v>
      </c>
      <c r="E27" t="s">
        <v>1173</v>
      </c>
      <c r="F27">
        <v>428</v>
      </c>
      <c r="G27" s="3">
        <v>39454</v>
      </c>
      <c r="H27" t="s">
        <v>1279</v>
      </c>
      <c r="I27">
        <v>93294697</v>
      </c>
      <c r="J27" t="s">
        <v>1199</v>
      </c>
      <c r="K27" t="s">
        <v>193</v>
      </c>
      <c r="L27" s="3">
        <v>72686</v>
      </c>
      <c r="M27" s="3">
        <v>72686</v>
      </c>
      <c r="N27" t="s">
        <v>1280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1281</v>
      </c>
      <c r="C28" t="s">
        <v>1282</v>
      </c>
      <c r="D28" s="3">
        <v>26831</v>
      </c>
      <c r="E28" t="s">
        <v>1173</v>
      </c>
      <c r="F28">
        <v>644</v>
      </c>
      <c r="G28" s="3">
        <v>40749</v>
      </c>
      <c r="H28" t="s">
        <v>1283</v>
      </c>
      <c r="J28" t="s">
        <v>1284</v>
      </c>
      <c r="K28" t="s">
        <v>195</v>
      </c>
      <c r="L28" s="3">
        <v>46802</v>
      </c>
      <c r="M28" s="3">
        <v>46763</v>
      </c>
      <c r="N28" t="s">
        <v>1285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1286</v>
      </c>
      <c r="C29" t="s">
        <v>1282</v>
      </c>
      <c r="D29" s="3">
        <v>26900</v>
      </c>
      <c r="E29" t="s">
        <v>1173</v>
      </c>
      <c r="F29">
        <v>476</v>
      </c>
      <c r="G29" s="3">
        <v>38810</v>
      </c>
      <c r="H29" t="s">
        <v>1287</v>
      </c>
      <c r="J29" t="s">
        <v>1288</v>
      </c>
      <c r="K29" t="s">
        <v>189</v>
      </c>
      <c r="L29" s="3">
        <v>47652</v>
      </c>
      <c r="M29" s="3">
        <v>47644</v>
      </c>
      <c r="N29" t="s">
        <v>1289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1290</v>
      </c>
      <c r="C30" t="s">
        <v>1282</v>
      </c>
      <c r="D30" s="3">
        <v>29308</v>
      </c>
      <c r="E30" t="s">
        <v>1173</v>
      </c>
      <c r="F30">
        <v>611</v>
      </c>
      <c r="G30" s="3">
        <v>38222</v>
      </c>
      <c r="H30" t="s">
        <v>1291</v>
      </c>
      <c r="J30" t="s">
        <v>1292</v>
      </c>
      <c r="K30" t="s">
        <v>187</v>
      </c>
      <c r="L30" s="3">
        <v>47614</v>
      </c>
      <c r="M30" s="3">
        <v>47021</v>
      </c>
      <c r="N30" t="s">
        <v>1293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1294</v>
      </c>
      <c r="C31" t="s">
        <v>1295</v>
      </c>
      <c r="D31" s="3">
        <v>23621</v>
      </c>
      <c r="E31" t="s">
        <v>1173</v>
      </c>
      <c r="F31">
        <v>7</v>
      </c>
      <c r="G31" s="3">
        <v>37397</v>
      </c>
      <c r="H31" t="s">
        <v>1296</v>
      </c>
      <c r="J31" t="s">
        <v>1297</v>
      </c>
      <c r="K31" t="s">
        <v>197</v>
      </c>
      <c r="L31" s="3">
        <v>45903</v>
      </c>
      <c r="M31" s="3">
        <v>46369</v>
      </c>
      <c r="N31" t="s">
        <v>1298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1299</v>
      </c>
      <c r="C32" t="s">
        <v>1300</v>
      </c>
      <c r="D32" s="3">
        <v>29775</v>
      </c>
      <c r="E32" t="s">
        <v>1173</v>
      </c>
      <c r="F32">
        <v>606</v>
      </c>
      <c r="G32" s="3">
        <v>40455</v>
      </c>
      <c r="H32" t="s">
        <v>1301</v>
      </c>
      <c r="J32" t="s">
        <v>1248</v>
      </c>
      <c r="K32" t="s">
        <v>195</v>
      </c>
      <c r="L32" s="3">
        <v>73050</v>
      </c>
      <c r="M32" s="3">
        <v>73050</v>
      </c>
      <c r="N32" t="s">
        <v>1302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1303</v>
      </c>
      <c r="C33" t="s">
        <v>1304</v>
      </c>
      <c r="D33" s="3">
        <v>31877</v>
      </c>
      <c r="E33" t="s">
        <v>1173</v>
      </c>
      <c r="F33">
        <v>199</v>
      </c>
      <c r="G33" s="3">
        <v>41204</v>
      </c>
      <c r="H33" t="s">
        <v>1305</v>
      </c>
      <c r="J33" t="s">
        <v>1306</v>
      </c>
      <c r="K33" t="s">
        <v>199</v>
      </c>
      <c r="L33" s="3">
        <v>72686</v>
      </c>
      <c r="M33" s="3">
        <v>46476</v>
      </c>
      <c r="N33" t="s">
        <v>1307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1308</v>
      </c>
      <c r="C34" t="s">
        <v>1304</v>
      </c>
      <c r="D34" s="3">
        <v>25538</v>
      </c>
      <c r="E34" t="s">
        <v>1173</v>
      </c>
      <c r="F34">
        <v>97</v>
      </c>
      <c r="G34" s="3">
        <v>38775</v>
      </c>
      <c r="H34" t="s">
        <v>1309</v>
      </c>
      <c r="I34">
        <v>92322233</v>
      </c>
      <c r="J34" t="s">
        <v>1275</v>
      </c>
      <c r="K34" t="s">
        <v>191</v>
      </c>
      <c r="L34" s="3">
        <v>46063</v>
      </c>
      <c r="M34" s="3">
        <v>46014</v>
      </c>
      <c r="N34" t="s">
        <v>1310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1311</v>
      </c>
      <c r="C35" t="s">
        <v>1312</v>
      </c>
      <c r="D35" s="3">
        <v>25671</v>
      </c>
      <c r="E35" t="s">
        <v>1173</v>
      </c>
      <c r="F35">
        <v>328</v>
      </c>
      <c r="G35" s="3">
        <v>39370</v>
      </c>
      <c r="H35" t="s">
        <v>1313</v>
      </c>
      <c r="J35" t="s">
        <v>1252</v>
      </c>
      <c r="K35" t="s">
        <v>191</v>
      </c>
      <c r="L35" s="3">
        <v>46806</v>
      </c>
      <c r="M35" s="3">
        <v>46798</v>
      </c>
      <c r="N35" t="s">
        <v>1314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1315</v>
      </c>
      <c r="C36" t="s">
        <v>1312</v>
      </c>
      <c r="D36" s="3">
        <v>29948</v>
      </c>
      <c r="E36" t="s">
        <v>1173</v>
      </c>
      <c r="F36">
        <v>251</v>
      </c>
      <c r="G36" s="3">
        <v>37788</v>
      </c>
      <c r="H36" t="s">
        <v>1316</v>
      </c>
      <c r="J36" t="s">
        <v>1275</v>
      </c>
      <c r="K36" t="s">
        <v>195</v>
      </c>
      <c r="L36" s="3">
        <v>45885</v>
      </c>
      <c r="M36" s="3">
        <v>46776</v>
      </c>
      <c r="N36" t="s">
        <v>1317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1318</v>
      </c>
      <c r="C37" t="s">
        <v>1319</v>
      </c>
      <c r="D37" s="3">
        <v>23813</v>
      </c>
      <c r="E37" t="s">
        <v>1173</v>
      </c>
      <c r="F37">
        <v>104</v>
      </c>
      <c r="G37" s="3">
        <v>43528</v>
      </c>
      <c r="H37" t="s">
        <v>1320</v>
      </c>
      <c r="J37" t="s">
        <v>1205</v>
      </c>
      <c r="K37" t="s">
        <v>197</v>
      </c>
      <c r="L37" s="3">
        <v>47085</v>
      </c>
      <c r="M37" s="3">
        <v>47051</v>
      </c>
      <c r="N37" t="s">
        <v>1321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1322</v>
      </c>
      <c r="C38" t="s">
        <v>1323</v>
      </c>
      <c r="D38" s="3">
        <v>34859</v>
      </c>
      <c r="E38" t="s">
        <v>1173</v>
      </c>
      <c r="G38" s="3">
        <v>45484</v>
      </c>
      <c r="H38" t="s">
        <v>1324</v>
      </c>
      <c r="J38" t="s">
        <v>1181</v>
      </c>
      <c r="K38" t="s">
        <v>187</v>
      </c>
      <c r="L38" s="3">
        <v>47329</v>
      </c>
      <c r="M38" s="3">
        <v>47300</v>
      </c>
      <c r="N38" t="s">
        <v>1325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1336</v>
      </c>
      <c r="C39" t="s">
        <v>1327</v>
      </c>
      <c r="D39" s="3">
        <v>24256</v>
      </c>
      <c r="E39" t="s">
        <v>1173</v>
      </c>
      <c r="F39">
        <v>107</v>
      </c>
      <c r="G39" s="3">
        <v>35891</v>
      </c>
      <c r="H39" t="s">
        <v>1337</v>
      </c>
      <c r="J39" t="s">
        <v>1275</v>
      </c>
      <c r="K39" t="s">
        <v>199</v>
      </c>
      <c r="L39" s="3">
        <v>73050</v>
      </c>
      <c r="M39" s="3">
        <v>46791</v>
      </c>
      <c r="N39" t="s">
        <v>1338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1326</v>
      </c>
      <c r="C40" t="s">
        <v>1327</v>
      </c>
      <c r="D40" s="3">
        <v>25272</v>
      </c>
      <c r="E40" t="s">
        <v>1173</v>
      </c>
      <c r="G40" s="3">
        <v>45663</v>
      </c>
      <c r="H40" t="s">
        <v>1328</v>
      </c>
      <c r="J40" t="s">
        <v>1181</v>
      </c>
      <c r="K40" t="s">
        <v>191</v>
      </c>
      <c r="L40" s="3">
        <v>47506</v>
      </c>
      <c r="M40" s="3">
        <v>47449</v>
      </c>
      <c r="N40" t="s">
        <v>1329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1330</v>
      </c>
      <c r="C41" t="s">
        <v>1327</v>
      </c>
      <c r="D41" s="3">
        <v>24859</v>
      </c>
      <c r="E41" t="s">
        <v>1173</v>
      </c>
      <c r="F41">
        <v>151</v>
      </c>
      <c r="G41" s="3">
        <v>39895</v>
      </c>
      <c r="H41" t="s">
        <v>1331</v>
      </c>
      <c r="J41" t="s">
        <v>1297</v>
      </c>
      <c r="K41" t="s">
        <v>197</v>
      </c>
      <c r="L41" s="3">
        <v>47043</v>
      </c>
      <c r="M41" s="3">
        <v>47034</v>
      </c>
      <c r="N41" t="s">
        <v>1332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1333</v>
      </c>
      <c r="C42" t="s">
        <v>1327</v>
      </c>
      <c r="D42" s="3">
        <v>28338</v>
      </c>
      <c r="E42" t="s">
        <v>1173</v>
      </c>
      <c r="F42">
        <v>186</v>
      </c>
      <c r="G42" s="3">
        <v>37739</v>
      </c>
      <c r="H42" t="s">
        <v>3391</v>
      </c>
      <c r="J42" t="s">
        <v>1334</v>
      </c>
      <c r="K42" t="s">
        <v>197</v>
      </c>
      <c r="L42" s="3">
        <v>47645</v>
      </c>
      <c r="M42" s="3">
        <v>46434</v>
      </c>
      <c r="N42" t="s">
        <v>1335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1356</v>
      </c>
      <c r="C43" t="s">
        <v>1340</v>
      </c>
      <c r="D43" s="3">
        <v>28780</v>
      </c>
      <c r="E43" t="s">
        <v>1173</v>
      </c>
      <c r="F43">
        <v>397</v>
      </c>
      <c r="G43" s="3">
        <v>36654</v>
      </c>
      <c r="H43" t="s">
        <v>1357</v>
      </c>
      <c r="J43" t="s">
        <v>1358</v>
      </c>
      <c r="K43" t="s">
        <v>199</v>
      </c>
      <c r="L43" s="3">
        <v>73050</v>
      </c>
      <c r="M43" s="3">
        <v>47460</v>
      </c>
      <c r="N43" t="s">
        <v>1359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1339</v>
      </c>
      <c r="C44" t="s">
        <v>1340</v>
      </c>
      <c r="D44" s="3">
        <v>31006</v>
      </c>
      <c r="E44" t="s">
        <v>1173</v>
      </c>
      <c r="F44">
        <v>38</v>
      </c>
      <c r="G44" s="3">
        <v>44025</v>
      </c>
      <c r="H44" t="s">
        <v>1341</v>
      </c>
      <c r="J44" t="s">
        <v>1214</v>
      </c>
      <c r="K44" t="s">
        <v>185</v>
      </c>
      <c r="L44" s="3">
        <v>47610</v>
      </c>
      <c r="M44" s="3">
        <v>47547</v>
      </c>
      <c r="N44" t="s">
        <v>1342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1343</v>
      </c>
      <c r="C45" t="s">
        <v>1340</v>
      </c>
      <c r="D45" s="3">
        <v>31820</v>
      </c>
      <c r="E45" t="s">
        <v>1173</v>
      </c>
      <c r="F45">
        <v>365</v>
      </c>
      <c r="G45" s="3">
        <v>43808</v>
      </c>
      <c r="H45" t="s">
        <v>1344</v>
      </c>
      <c r="I45">
        <v>487367392</v>
      </c>
      <c r="J45" t="s">
        <v>1214</v>
      </c>
      <c r="K45" t="s">
        <v>187</v>
      </c>
      <c r="L45" s="3">
        <v>46251</v>
      </c>
      <c r="M45" s="3">
        <v>47413</v>
      </c>
      <c r="N45" t="s">
        <v>1345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1346</v>
      </c>
      <c r="C46" t="s">
        <v>1340</v>
      </c>
      <c r="D46" s="3">
        <v>31359</v>
      </c>
      <c r="E46" t="s">
        <v>1173</v>
      </c>
      <c r="F46">
        <v>329</v>
      </c>
      <c r="G46" s="3">
        <v>43627</v>
      </c>
      <c r="H46" t="s">
        <v>1347</v>
      </c>
      <c r="I46">
        <v>495418640</v>
      </c>
      <c r="J46" t="s">
        <v>1252</v>
      </c>
      <c r="K46" t="s">
        <v>189</v>
      </c>
      <c r="L46" s="3">
        <v>47051</v>
      </c>
      <c r="M46" s="3">
        <v>47044</v>
      </c>
      <c r="N46" t="s">
        <v>1348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1349</v>
      </c>
      <c r="C47" t="s">
        <v>1340</v>
      </c>
      <c r="D47" s="3">
        <v>32464</v>
      </c>
      <c r="E47" t="s">
        <v>1173</v>
      </c>
      <c r="F47">
        <v>6</v>
      </c>
      <c r="G47" s="3">
        <v>42843</v>
      </c>
      <c r="H47" t="s">
        <v>1350</v>
      </c>
      <c r="J47" t="s">
        <v>1351</v>
      </c>
      <c r="K47" t="s">
        <v>193</v>
      </c>
      <c r="L47" s="3">
        <v>46419</v>
      </c>
      <c r="M47" s="3">
        <v>46418</v>
      </c>
      <c r="N47" t="s">
        <v>1352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1353</v>
      </c>
      <c r="C48" t="s">
        <v>1340</v>
      </c>
      <c r="D48" s="3">
        <v>24008</v>
      </c>
      <c r="E48" t="s">
        <v>1173</v>
      </c>
      <c r="F48">
        <v>143</v>
      </c>
      <c r="G48" s="3">
        <v>42198</v>
      </c>
      <c r="H48" t="s">
        <v>1354</v>
      </c>
      <c r="J48" t="s">
        <v>1248</v>
      </c>
      <c r="K48" t="s">
        <v>185</v>
      </c>
      <c r="L48" s="3">
        <v>47569</v>
      </c>
      <c r="M48" s="3">
        <v>47517</v>
      </c>
      <c r="N48" t="s">
        <v>1355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1360</v>
      </c>
      <c r="C49" t="s">
        <v>1361</v>
      </c>
      <c r="D49" s="3">
        <v>35325</v>
      </c>
      <c r="E49" t="s">
        <v>1173</v>
      </c>
      <c r="F49">
        <v>78</v>
      </c>
      <c r="G49" s="3">
        <v>43003</v>
      </c>
      <c r="H49" t="s">
        <v>1362</v>
      </c>
      <c r="J49" t="s">
        <v>1363</v>
      </c>
      <c r="K49" t="s">
        <v>187</v>
      </c>
      <c r="L49" s="3">
        <v>46622</v>
      </c>
      <c r="M49" s="3">
        <v>46621</v>
      </c>
      <c r="N49" t="s">
        <v>1364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1365</v>
      </c>
      <c r="C50" t="s">
        <v>1366</v>
      </c>
      <c r="D50" s="3">
        <v>34236</v>
      </c>
      <c r="E50" t="s">
        <v>1173</v>
      </c>
      <c r="F50">
        <v>103</v>
      </c>
      <c r="G50" s="3">
        <v>43669</v>
      </c>
      <c r="H50" t="s">
        <v>1367</v>
      </c>
      <c r="I50">
        <v>32478510138</v>
      </c>
      <c r="J50" t="s">
        <v>1186</v>
      </c>
      <c r="K50" t="s">
        <v>191</v>
      </c>
      <c r="L50" s="3">
        <v>47267</v>
      </c>
      <c r="M50" s="3">
        <v>47170</v>
      </c>
      <c r="N50" t="s">
        <v>1368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1369</v>
      </c>
      <c r="C51" t="s">
        <v>1370</v>
      </c>
      <c r="D51" s="3">
        <v>37726</v>
      </c>
      <c r="E51" t="s">
        <v>1173</v>
      </c>
      <c r="G51" s="3">
        <v>45335</v>
      </c>
      <c r="H51" t="s">
        <v>1371</v>
      </c>
      <c r="J51" t="s">
        <v>1181</v>
      </c>
      <c r="K51" t="s">
        <v>189</v>
      </c>
      <c r="L51" s="3">
        <v>47181</v>
      </c>
      <c r="M51" s="3">
        <v>47139</v>
      </c>
      <c r="N51" t="s">
        <v>1372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1373</v>
      </c>
      <c r="C52" t="s">
        <v>1374</v>
      </c>
      <c r="D52" s="3">
        <v>35443</v>
      </c>
      <c r="E52" t="s">
        <v>1173</v>
      </c>
      <c r="G52" s="3">
        <v>45673</v>
      </c>
      <c r="H52" t="s">
        <v>1375</v>
      </c>
      <c r="J52" t="s">
        <v>1181</v>
      </c>
      <c r="K52" t="s">
        <v>189</v>
      </c>
      <c r="L52" s="3">
        <v>47050</v>
      </c>
      <c r="M52" s="3">
        <v>46973</v>
      </c>
      <c r="N52" t="s">
        <v>1376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1377</v>
      </c>
      <c r="C53" t="s">
        <v>1378</v>
      </c>
      <c r="D53" s="3">
        <v>30017</v>
      </c>
      <c r="E53" t="s">
        <v>1173</v>
      </c>
      <c r="F53">
        <v>215</v>
      </c>
      <c r="G53" s="3">
        <v>43605</v>
      </c>
      <c r="H53" t="s">
        <v>1379</v>
      </c>
      <c r="J53" t="s">
        <v>1380</v>
      </c>
      <c r="K53" t="s">
        <v>193</v>
      </c>
      <c r="L53" s="3">
        <v>47229</v>
      </c>
      <c r="M53" s="3">
        <v>47170</v>
      </c>
      <c r="N53" t="s">
        <v>1381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1382</v>
      </c>
      <c r="C54" t="s">
        <v>1383</v>
      </c>
      <c r="D54" s="3">
        <v>37981</v>
      </c>
      <c r="E54" t="s">
        <v>1173</v>
      </c>
      <c r="G54" s="3">
        <v>45677</v>
      </c>
      <c r="H54" t="s">
        <v>1384</v>
      </c>
      <c r="J54" t="s">
        <v>1181</v>
      </c>
      <c r="K54" t="s">
        <v>189</v>
      </c>
      <c r="L54" s="3">
        <v>47520</v>
      </c>
      <c r="M54" s="3">
        <v>47449</v>
      </c>
      <c r="N54" t="s">
        <v>1385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1386</v>
      </c>
      <c r="C55" t="s">
        <v>1387</v>
      </c>
      <c r="D55" s="3">
        <v>36662</v>
      </c>
      <c r="E55" t="s">
        <v>1173</v>
      </c>
      <c r="G55" s="3">
        <v>44886</v>
      </c>
      <c r="H55" t="s">
        <v>1388</v>
      </c>
      <c r="J55" t="s">
        <v>1219</v>
      </c>
      <c r="K55" t="s">
        <v>191</v>
      </c>
      <c r="L55" s="3">
        <v>46726</v>
      </c>
      <c r="M55" s="3">
        <v>46658</v>
      </c>
      <c r="N55" t="s">
        <v>1389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1339</v>
      </c>
      <c r="C56" t="s">
        <v>1390</v>
      </c>
      <c r="D56" s="3">
        <v>27851</v>
      </c>
      <c r="E56" t="s">
        <v>1173</v>
      </c>
      <c r="F56">
        <v>142</v>
      </c>
      <c r="G56" s="3">
        <v>37333</v>
      </c>
      <c r="H56" t="s">
        <v>1391</v>
      </c>
      <c r="J56" t="s">
        <v>1227</v>
      </c>
      <c r="K56" t="s">
        <v>187</v>
      </c>
      <c r="L56" s="3">
        <v>72686</v>
      </c>
      <c r="M56" s="3">
        <v>46798</v>
      </c>
      <c r="N56" t="s">
        <v>1392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1393</v>
      </c>
      <c r="C57" t="s">
        <v>1394</v>
      </c>
      <c r="D57" s="3">
        <v>32853</v>
      </c>
      <c r="E57" t="s">
        <v>1173</v>
      </c>
      <c r="F57">
        <v>648</v>
      </c>
      <c r="G57" s="3">
        <v>40952</v>
      </c>
      <c r="H57" t="s">
        <v>1395</v>
      </c>
      <c r="J57" t="s">
        <v>1396</v>
      </c>
      <c r="K57" t="s">
        <v>189</v>
      </c>
      <c r="L57" s="3">
        <v>46330</v>
      </c>
      <c r="M57" s="3">
        <v>46316</v>
      </c>
      <c r="N57" t="s">
        <v>1397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1346</v>
      </c>
      <c r="C58" t="s">
        <v>1398</v>
      </c>
      <c r="D58" s="3">
        <v>24869</v>
      </c>
      <c r="E58" t="s">
        <v>1173</v>
      </c>
      <c r="F58">
        <v>331</v>
      </c>
      <c r="G58" s="3">
        <v>33546</v>
      </c>
      <c r="H58" t="s">
        <v>1399</v>
      </c>
      <c r="J58" t="s">
        <v>1275</v>
      </c>
      <c r="K58" t="s">
        <v>199</v>
      </c>
      <c r="L58" s="3">
        <v>72686</v>
      </c>
      <c r="M58" s="3">
        <v>46985</v>
      </c>
      <c r="N58" t="s">
        <v>1400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1401</v>
      </c>
      <c r="C59" t="s">
        <v>1398</v>
      </c>
      <c r="D59" s="3">
        <v>22597</v>
      </c>
      <c r="E59" t="s">
        <v>1173</v>
      </c>
      <c r="F59">
        <v>439</v>
      </c>
      <c r="G59" s="3">
        <v>37830</v>
      </c>
      <c r="H59" t="s">
        <v>1402</v>
      </c>
      <c r="J59" t="s">
        <v>1252</v>
      </c>
      <c r="K59" t="s">
        <v>189</v>
      </c>
      <c r="L59" s="3">
        <v>45880</v>
      </c>
      <c r="M59" s="3">
        <v>46665</v>
      </c>
      <c r="N59" t="s">
        <v>1403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1404</v>
      </c>
      <c r="C60" t="s">
        <v>1405</v>
      </c>
      <c r="D60" s="3">
        <v>32903</v>
      </c>
      <c r="E60" t="s">
        <v>1173</v>
      </c>
      <c r="G60" s="3">
        <v>45603</v>
      </c>
      <c r="H60" t="s">
        <v>1406</v>
      </c>
      <c r="J60" t="s">
        <v>1181</v>
      </c>
      <c r="K60" t="s">
        <v>185</v>
      </c>
      <c r="L60" s="3">
        <v>47450</v>
      </c>
      <c r="M60" s="3">
        <v>47386</v>
      </c>
      <c r="N60" t="s">
        <v>1407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1408</v>
      </c>
      <c r="C61" t="s">
        <v>1409</v>
      </c>
      <c r="D61" s="3">
        <v>25028</v>
      </c>
      <c r="E61" t="s">
        <v>1173</v>
      </c>
      <c r="G61" s="3">
        <v>45035</v>
      </c>
      <c r="H61" t="s">
        <v>1410</v>
      </c>
      <c r="J61" t="s">
        <v>1181</v>
      </c>
      <c r="K61" t="s">
        <v>193</v>
      </c>
      <c r="L61" s="3">
        <v>47664</v>
      </c>
      <c r="M61" s="3">
        <v>46447</v>
      </c>
      <c r="N61" t="s">
        <v>1411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1286</v>
      </c>
      <c r="C62" t="s">
        <v>1409</v>
      </c>
      <c r="D62" s="3">
        <v>35578</v>
      </c>
      <c r="E62" t="s">
        <v>1173</v>
      </c>
      <c r="G62" s="3">
        <v>44214</v>
      </c>
      <c r="H62" t="s">
        <v>1412</v>
      </c>
      <c r="J62" t="s">
        <v>1380</v>
      </c>
      <c r="K62" t="s">
        <v>197</v>
      </c>
      <c r="L62" s="3">
        <v>46055</v>
      </c>
      <c r="M62" s="3">
        <v>45930</v>
      </c>
      <c r="N62" t="s">
        <v>1413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1414</v>
      </c>
      <c r="C63" t="s">
        <v>1415</v>
      </c>
      <c r="D63" s="3">
        <v>32321</v>
      </c>
      <c r="E63" t="s">
        <v>1173</v>
      </c>
      <c r="G63" s="3">
        <v>45208</v>
      </c>
      <c r="H63" t="s">
        <v>1416</v>
      </c>
      <c r="J63" t="s">
        <v>1181</v>
      </c>
      <c r="K63" t="s">
        <v>195</v>
      </c>
      <c r="L63" s="3">
        <v>47051</v>
      </c>
      <c r="M63" s="3">
        <v>47027</v>
      </c>
      <c r="N63" t="s">
        <v>1417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1418</v>
      </c>
      <c r="C64" t="s">
        <v>1419</v>
      </c>
      <c r="D64" s="3">
        <v>27824</v>
      </c>
      <c r="E64" t="s">
        <v>1173</v>
      </c>
      <c r="F64">
        <v>449</v>
      </c>
      <c r="G64" s="3">
        <v>39587</v>
      </c>
      <c r="H64" t="s">
        <v>1420</v>
      </c>
      <c r="J64" t="s">
        <v>1288</v>
      </c>
      <c r="K64" t="s">
        <v>189</v>
      </c>
      <c r="L64" s="3">
        <v>46032</v>
      </c>
      <c r="M64" s="3">
        <v>46742</v>
      </c>
      <c r="N64" t="s">
        <v>1421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1422</v>
      </c>
      <c r="C65" t="s">
        <v>1423</v>
      </c>
      <c r="D65" s="3">
        <v>31215</v>
      </c>
      <c r="E65" t="s">
        <v>1173</v>
      </c>
      <c r="G65" s="3">
        <v>44719</v>
      </c>
      <c r="H65" t="s">
        <v>1424</v>
      </c>
      <c r="J65" t="s">
        <v>1191</v>
      </c>
      <c r="K65" t="s">
        <v>187</v>
      </c>
      <c r="L65" s="3">
        <v>46560</v>
      </c>
      <c r="M65" s="3">
        <v>46518</v>
      </c>
      <c r="N65" t="s">
        <v>1425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1426</v>
      </c>
      <c r="C66" t="s">
        <v>1423</v>
      </c>
      <c r="D66" s="3">
        <v>32280</v>
      </c>
      <c r="E66" t="s">
        <v>1427</v>
      </c>
      <c r="F66">
        <v>366</v>
      </c>
      <c r="G66" s="3">
        <v>41981</v>
      </c>
      <c r="H66" t="s">
        <v>1428</v>
      </c>
      <c r="J66" t="s">
        <v>1429</v>
      </c>
      <c r="K66" t="s">
        <v>185</v>
      </c>
      <c r="L66" s="3">
        <v>47341</v>
      </c>
      <c r="M66" s="3">
        <v>47449</v>
      </c>
      <c r="N66" t="s">
        <v>1430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1431</v>
      </c>
      <c r="C67" t="s">
        <v>1423</v>
      </c>
      <c r="D67" s="3">
        <v>23065</v>
      </c>
      <c r="E67" t="s">
        <v>1173</v>
      </c>
      <c r="F67">
        <v>175</v>
      </c>
      <c r="G67" s="3">
        <v>40973</v>
      </c>
      <c r="H67" t="s">
        <v>1432</v>
      </c>
      <c r="J67" t="s">
        <v>1363</v>
      </c>
      <c r="K67" t="s">
        <v>193</v>
      </c>
      <c r="L67" s="3">
        <v>46960</v>
      </c>
      <c r="M67" s="3">
        <v>46210</v>
      </c>
      <c r="N67" t="s">
        <v>1433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1434</v>
      </c>
      <c r="C68" t="s">
        <v>1423</v>
      </c>
      <c r="D68" s="3">
        <v>28045</v>
      </c>
      <c r="E68" t="s">
        <v>1173</v>
      </c>
      <c r="F68">
        <v>54</v>
      </c>
      <c r="G68" s="3">
        <v>40700</v>
      </c>
      <c r="H68" t="s">
        <v>1435</v>
      </c>
      <c r="J68" t="s">
        <v>1292</v>
      </c>
      <c r="K68" t="s">
        <v>193</v>
      </c>
      <c r="L68" s="3">
        <v>46230</v>
      </c>
      <c r="M68" s="3">
        <v>46097</v>
      </c>
      <c r="N68" t="s">
        <v>1436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1437</v>
      </c>
      <c r="C69" t="s">
        <v>1423</v>
      </c>
      <c r="D69" s="3">
        <v>28199</v>
      </c>
      <c r="E69" t="s">
        <v>1173</v>
      </c>
      <c r="F69">
        <v>615</v>
      </c>
      <c r="G69" s="3">
        <v>40637</v>
      </c>
      <c r="H69" t="s">
        <v>1438</v>
      </c>
      <c r="J69" t="s">
        <v>1205</v>
      </c>
      <c r="K69" t="s">
        <v>195</v>
      </c>
      <c r="L69" s="3">
        <v>45993</v>
      </c>
      <c r="M69" s="3">
        <v>47408</v>
      </c>
      <c r="N69" t="s">
        <v>1439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1440</v>
      </c>
      <c r="C70" t="s">
        <v>1441</v>
      </c>
      <c r="D70" s="3">
        <v>28212</v>
      </c>
      <c r="E70" t="s">
        <v>1173</v>
      </c>
      <c r="G70" s="3">
        <v>44284</v>
      </c>
      <c r="H70" t="s">
        <v>1442</v>
      </c>
      <c r="J70" t="s">
        <v>1214</v>
      </c>
      <c r="K70" t="s">
        <v>191</v>
      </c>
      <c r="L70" s="3">
        <v>46127</v>
      </c>
      <c r="M70" s="3">
        <v>45930</v>
      </c>
      <c r="N70" t="s">
        <v>1443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1444</v>
      </c>
      <c r="C71" t="s">
        <v>1441</v>
      </c>
      <c r="D71" s="3">
        <v>30376</v>
      </c>
      <c r="E71" t="s">
        <v>1173</v>
      </c>
      <c r="F71">
        <v>294</v>
      </c>
      <c r="G71" s="3">
        <v>42933</v>
      </c>
      <c r="H71" t="s">
        <v>1445</v>
      </c>
      <c r="J71" t="s">
        <v>1363</v>
      </c>
      <c r="K71" t="s">
        <v>185</v>
      </c>
      <c r="L71" s="3">
        <v>46515</v>
      </c>
      <c r="M71" s="3">
        <v>46477</v>
      </c>
      <c r="N71" t="s">
        <v>1446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1447</v>
      </c>
      <c r="C72" t="s">
        <v>1441</v>
      </c>
      <c r="D72" s="3">
        <v>29470</v>
      </c>
      <c r="E72" t="s">
        <v>1173</v>
      </c>
      <c r="F72">
        <v>81</v>
      </c>
      <c r="G72" s="3">
        <v>39524</v>
      </c>
      <c r="H72" t="s">
        <v>1448</v>
      </c>
      <c r="J72" t="s">
        <v>1199</v>
      </c>
      <c r="K72" t="s">
        <v>199</v>
      </c>
      <c r="L72" s="3">
        <v>72686</v>
      </c>
      <c r="M72" s="3">
        <v>46925</v>
      </c>
      <c r="N72" t="s">
        <v>1449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1450</v>
      </c>
      <c r="C73" t="s">
        <v>1441</v>
      </c>
      <c r="D73" s="3">
        <v>26636</v>
      </c>
      <c r="E73" t="s">
        <v>1173</v>
      </c>
      <c r="F73">
        <v>237</v>
      </c>
      <c r="G73" s="3">
        <v>36998</v>
      </c>
      <c r="I73">
        <v>92300557</v>
      </c>
      <c r="J73" t="s">
        <v>1275</v>
      </c>
      <c r="K73" t="s">
        <v>195</v>
      </c>
      <c r="L73" s="3">
        <v>72686</v>
      </c>
      <c r="M73" s="3">
        <v>46182</v>
      </c>
      <c r="N73" t="s">
        <v>1451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1452</v>
      </c>
      <c r="C74" t="s">
        <v>1453</v>
      </c>
      <c r="D74" s="3">
        <v>25262</v>
      </c>
      <c r="E74" t="s">
        <v>1173</v>
      </c>
      <c r="F74">
        <v>164</v>
      </c>
      <c r="G74" s="3">
        <v>34932</v>
      </c>
      <c r="I74">
        <v>32496401543</v>
      </c>
      <c r="J74" t="s">
        <v>1227</v>
      </c>
      <c r="K74" t="s">
        <v>197</v>
      </c>
      <c r="L74" s="3">
        <v>73050</v>
      </c>
      <c r="M74" s="3">
        <v>47170</v>
      </c>
      <c r="N74" t="s">
        <v>1454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1455</v>
      </c>
      <c r="C75" t="s">
        <v>1456</v>
      </c>
      <c r="D75" s="3">
        <v>26618</v>
      </c>
      <c r="E75" t="s">
        <v>1173</v>
      </c>
      <c r="G75" s="3">
        <v>44664</v>
      </c>
      <c r="H75" t="s">
        <v>1457</v>
      </c>
      <c r="I75">
        <v>32477920791</v>
      </c>
      <c r="J75" t="s">
        <v>1181</v>
      </c>
      <c r="K75" t="s">
        <v>195</v>
      </c>
      <c r="L75" s="3">
        <v>47237</v>
      </c>
      <c r="M75" s="3">
        <v>47230</v>
      </c>
      <c r="N75" t="s">
        <v>1458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1459</v>
      </c>
      <c r="C76" t="s">
        <v>1460</v>
      </c>
      <c r="D76" s="3">
        <v>24366</v>
      </c>
      <c r="E76" t="s">
        <v>1173</v>
      </c>
      <c r="F76">
        <v>479</v>
      </c>
      <c r="G76" s="3">
        <v>40385</v>
      </c>
      <c r="H76" t="s">
        <v>1461</v>
      </c>
      <c r="J76" t="s">
        <v>1262</v>
      </c>
      <c r="K76" t="s">
        <v>199</v>
      </c>
      <c r="L76" s="3">
        <v>73050</v>
      </c>
      <c r="M76" s="3">
        <v>73050</v>
      </c>
      <c r="N76" t="s">
        <v>1462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1463</v>
      </c>
      <c r="C77" t="s">
        <v>1464</v>
      </c>
      <c r="D77" s="3">
        <v>25000</v>
      </c>
      <c r="E77" t="s">
        <v>1173</v>
      </c>
      <c r="F77">
        <v>345</v>
      </c>
      <c r="G77" s="3">
        <v>38929</v>
      </c>
      <c r="H77" t="s">
        <v>1465</v>
      </c>
      <c r="J77" t="s">
        <v>1275</v>
      </c>
      <c r="K77" t="s">
        <v>195</v>
      </c>
      <c r="L77" s="3">
        <v>72686</v>
      </c>
      <c r="M77" s="3">
        <v>46181</v>
      </c>
      <c r="N77" t="s">
        <v>1466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1467</v>
      </c>
      <c r="C78" t="s">
        <v>1468</v>
      </c>
      <c r="D78" s="3">
        <v>26191</v>
      </c>
      <c r="E78" t="s">
        <v>1173</v>
      </c>
      <c r="F78">
        <v>20</v>
      </c>
      <c r="G78" s="3">
        <v>43304</v>
      </c>
      <c r="H78" t="s">
        <v>1469</v>
      </c>
      <c r="J78" t="s">
        <v>1363</v>
      </c>
      <c r="K78" t="s">
        <v>197</v>
      </c>
      <c r="L78" s="3">
        <v>46828</v>
      </c>
      <c r="M78" s="3">
        <v>46810</v>
      </c>
      <c r="N78" t="s">
        <v>1470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1339</v>
      </c>
      <c r="C79" t="s">
        <v>1471</v>
      </c>
      <c r="D79" s="3">
        <v>26466</v>
      </c>
      <c r="E79" t="s">
        <v>1173</v>
      </c>
      <c r="F79">
        <v>424</v>
      </c>
      <c r="G79" s="3">
        <v>37284</v>
      </c>
      <c r="H79" t="s">
        <v>1472</v>
      </c>
      <c r="J79" t="s">
        <v>1473</v>
      </c>
      <c r="K79" t="s">
        <v>191</v>
      </c>
      <c r="L79" s="3">
        <v>45923</v>
      </c>
      <c r="M79" s="3">
        <v>46064</v>
      </c>
      <c r="N79" t="s">
        <v>1474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3392</v>
      </c>
      <c r="C80" t="s">
        <v>3393</v>
      </c>
      <c r="D80" s="3">
        <v>36894</v>
      </c>
      <c r="E80" t="s">
        <v>1173</v>
      </c>
      <c r="G80" s="3">
        <v>45874</v>
      </c>
      <c r="H80" t="s">
        <v>3394</v>
      </c>
      <c r="J80" t="s">
        <v>1186</v>
      </c>
      <c r="K80" t="s">
        <v>199</v>
      </c>
      <c r="L80" s="3">
        <v>1</v>
      </c>
      <c r="M80" s="3">
        <v>1</v>
      </c>
      <c r="N80" t="s">
        <v>3395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1479</v>
      </c>
      <c r="C81" t="s">
        <v>1476</v>
      </c>
      <c r="D81" s="3">
        <v>35955</v>
      </c>
      <c r="E81" t="s">
        <v>1173</v>
      </c>
      <c r="G81" s="3">
        <v>45349</v>
      </c>
      <c r="H81" t="s">
        <v>1480</v>
      </c>
      <c r="J81" t="s">
        <v>1181</v>
      </c>
      <c r="K81" t="s">
        <v>185</v>
      </c>
      <c r="L81" s="3">
        <v>47194</v>
      </c>
      <c r="M81" s="3">
        <v>47161</v>
      </c>
      <c r="N81" t="s">
        <v>1481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1475</v>
      </c>
      <c r="C82" t="s">
        <v>1476</v>
      </c>
      <c r="D82" s="3">
        <v>34917</v>
      </c>
      <c r="E82" t="s">
        <v>1173</v>
      </c>
      <c r="G82" s="3">
        <v>45364</v>
      </c>
      <c r="H82" t="s">
        <v>1477</v>
      </c>
      <c r="J82" t="s">
        <v>1181</v>
      </c>
      <c r="K82" t="s">
        <v>185</v>
      </c>
      <c r="L82" s="3">
        <v>47210</v>
      </c>
      <c r="M82" s="3">
        <v>47141</v>
      </c>
      <c r="N82" t="s">
        <v>1478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1482</v>
      </c>
      <c r="C83" t="s">
        <v>1483</v>
      </c>
      <c r="D83" s="3">
        <v>32321</v>
      </c>
      <c r="E83" t="s">
        <v>1173</v>
      </c>
      <c r="G83" s="3">
        <v>45264</v>
      </c>
      <c r="H83" t="s">
        <v>1484</v>
      </c>
      <c r="J83" t="s">
        <v>1181</v>
      </c>
      <c r="K83" t="s">
        <v>197</v>
      </c>
      <c r="L83" s="3">
        <v>47107</v>
      </c>
      <c r="M83" s="3">
        <v>47072</v>
      </c>
      <c r="N83" t="s">
        <v>1485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1486</v>
      </c>
      <c r="C84" t="s">
        <v>1487</v>
      </c>
      <c r="D84" s="3">
        <v>24380</v>
      </c>
      <c r="E84" t="s">
        <v>1173</v>
      </c>
      <c r="F84">
        <v>42</v>
      </c>
      <c r="G84" s="3">
        <v>40455</v>
      </c>
      <c r="H84" t="s">
        <v>1488</v>
      </c>
      <c r="I84">
        <v>92203627</v>
      </c>
      <c r="J84" t="s">
        <v>1489</v>
      </c>
      <c r="K84" t="s">
        <v>189</v>
      </c>
      <c r="L84" s="3">
        <v>46167</v>
      </c>
      <c r="M84" s="3">
        <v>46609</v>
      </c>
      <c r="N84" t="s">
        <v>1490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1491</v>
      </c>
      <c r="C85" t="s">
        <v>1492</v>
      </c>
      <c r="D85" s="3">
        <v>34332</v>
      </c>
      <c r="E85" t="s">
        <v>1173</v>
      </c>
      <c r="F85">
        <v>248</v>
      </c>
      <c r="G85" s="3">
        <v>42828</v>
      </c>
      <c r="H85" t="s">
        <v>1493</v>
      </c>
      <c r="J85" t="s">
        <v>1351</v>
      </c>
      <c r="K85" t="s">
        <v>185</v>
      </c>
      <c r="L85" s="3">
        <v>46455</v>
      </c>
      <c r="M85" s="3">
        <v>46453</v>
      </c>
      <c r="N85" t="s">
        <v>1494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1495</v>
      </c>
      <c r="C86" t="s">
        <v>1496</v>
      </c>
      <c r="D86" s="3">
        <v>34749</v>
      </c>
      <c r="E86" t="s">
        <v>1173</v>
      </c>
      <c r="G86" s="3">
        <v>45027</v>
      </c>
      <c r="H86" t="s">
        <v>1497</v>
      </c>
      <c r="J86" t="s">
        <v>1191</v>
      </c>
      <c r="K86" t="s">
        <v>193</v>
      </c>
      <c r="L86" s="3">
        <v>46869</v>
      </c>
      <c r="M86" s="3">
        <v>46776</v>
      </c>
      <c r="N86" t="s">
        <v>1498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1499</v>
      </c>
      <c r="C87" t="s">
        <v>1500</v>
      </c>
      <c r="D87" s="3">
        <v>35419</v>
      </c>
      <c r="E87" t="s">
        <v>1173</v>
      </c>
      <c r="G87" s="3">
        <v>45618</v>
      </c>
      <c r="H87" t="s">
        <v>1501</v>
      </c>
      <c r="J87" t="s">
        <v>1181</v>
      </c>
      <c r="K87" t="s">
        <v>185</v>
      </c>
      <c r="L87" s="3">
        <v>47463</v>
      </c>
      <c r="M87" s="3">
        <v>47364</v>
      </c>
      <c r="N87" t="s">
        <v>1502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1503</v>
      </c>
      <c r="C88" t="s">
        <v>1504</v>
      </c>
      <c r="D88" s="3">
        <v>24440</v>
      </c>
      <c r="E88" t="s">
        <v>1173</v>
      </c>
      <c r="F88">
        <v>168</v>
      </c>
      <c r="G88" s="3">
        <v>43150</v>
      </c>
      <c r="H88" t="s">
        <v>1505</v>
      </c>
      <c r="I88">
        <v>489745145</v>
      </c>
      <c r="J88" t="s">
        <v>1186</v>
      </c>
      <c r="K88" t="s">
        <v>193</v>
      </c>
      <c r="L88" s="3">
        <v>46595</v>
      </c>
      <c r="M88" s="3">
        <v>47594</v>
      </c>
      <c r="N88" t="s">
        <v>1506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1507</v>
      </c>
      <c r="C89" t="s">
        <v>1508</v>
      </c>
      <c r="D89" s="3">
        <v>31065</v>
      </c>
      <c r="E89" t="s">
        <v>1173</v>
      </c>
      <c r="F89">
        <v>369</v>
      </c>
      <c r="G89" s="3">
        <v>42282</v>
      </c>
      <c r="H89" t="s">
        <v>1509</v>
      </c>
      <c r="J89" t="s">
        <v>1248</v>
      </c>
      <c r="K89" t="s">
        <v>185</v>
      </c>
      <c r="L89" s="3">
        <v>73050</v>
      </c>
      <c r="M89" s="3">
        <v>73050</v>
      </c>
      <c r="N89" t="s">
        <v>1510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1511</v>
      </c>
      <c r="C90" t="s">
        <v>1512</v>
      </c>
      <c r="D90" s="3">
        <v>37866</v>
      </c>
      <c r="E90" t="s">
        <v>1173</v>
      </c>
      <c r="G90" s="3">
        <v>45530</v>
      </c>
      <c r="H90" t="s">
        <v>1513</v>
      </c>
      <c r="J90" t="s">
        <v>1181</v>
      </c>
      <c r="K90" t="s">
        <v>195</v>
      </c>
      <c r="L90" s="3">
        <v>47373</v>
      </c>
      <c r="M90" s="3">
        <v>47348</v>
      </c>
      <c r="N90" t="s">
        <v>1514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1408</v>
      </c>
      <c r="C91" t="s">
        <v>1515</v>
      </c>
      <c r="D91" s="3">
        <v>29647</v>
      </c>
      <c r="E91" t="s">
        <v>1173</v>
      </c>
      <c r="G91" s="3">
        <v>44984</v>
      </c>
      <c r="H91" t="s">
        <v>1516</v>
      </c>
      <c r="J91" t="s">
        <v>1284</v>
      </c>
      <c r="K91" t="s">
        <v>189</v>
      </c>
      <c r="L91" s="3">
        <v>46826</v>
      </c>
      <c r="M91" s="3">
        <v>46735</v>
      </c>
      <c r="N91" t="s">
        <v>1517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1518</v>
      </c>
      <c r="C92" t="s">
        <v>1519</v>
      </c>
      <c r="D92" s="3">
        <v>27145</v>
      </c>
      <c r="E92" t="s">
        <v>1173</v>
      </c>
      <c r="F92">
        <v>50</v>
      </c>
      <c r="G92" s="3">
        <v>42646</v>
      </c>
      <c r="H92" t="s">
        <v>1520</v>
      </c>
      <c r="J92" t="s">
        <v>1205</v>
      </c>
      <c r="K92" t="s">
        <v>197</v>
      </c>
      <c r="L92" s="3">
        <v>46238</v>
      </c>
      <c r="M92" s="3">
        <v>46210</v>
      </c>
      <c r="N92" t="s">
        <v>1521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1522</v>
      </c>
      <c r="C93" t="s">
        <v>1523</v>
      </c>
      <c r="D93" s="3">
        <v>26380</v>
      </c>
      <c r="E93" t="s">
        <v>1173</v>
      </c>
      <c r="F93">
        <v>272</v>
      </c>
      <c r="G93" s="3">
        <v>35219</v>
      </c>
      <c r="J93" t="s">
        <v>1275</v>
      </c>
      <c r="K93" t="s">
        <v>199</v>
      </c>
      <c r="L93" s="3">
        <v>73050</v>
      </c>
      <c r="M93" s="3">
        <v>45909</v>
      </c>
      <c r="N93" t="s">
        <v>1524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1525</v>
      </c>
      <c r="C94" t="s">
        <v>1523</v>
      </c>
      <c r="D94" s="3">
        <v>25160</v>
      </c>
      <c r="E94" t="s">
        <v>1173</v>
      </c>
      <c r="F94">
        <v>210</v>
      </c>
      <c r="G94" s="3">
        <v>32951</v>
      </c>
      <c r="H94" t="s">
        <v>1526</v>
      </c>
      <c r="J94" t="s">
        <v>1489</v>
      </c>
      <c r="K94" t="s">
        <v>197</v>
      </c>
      <c r="L94" s="3">
        <v>47588</v>
      </c>
      <c r="M94" s="3">
        <v>46453</v>
      </c>
      <c r="N94" t="s">
        <v>1527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1528</v>
      </c>
      <c r="C95" t="s">
        <v>1523</v>
      </c>
      <c r="D95" s="3">
        <v>26869</v>
      </c>
      <c r="E95" t="s">
        <v>1173</v>
      </c>
      <c r="G95" s="3">
        <v>45335</v>
      </c>
      <c r="H95" t="s">
        <v>1529</v>
      </c>
      <c r="I95">
        <v>93577730</v>
      </c>
      <c r="J95" t="s">
        <v>1181</v>
      </c>
      <c r="K95" t="s">
        <v>189</v>
      </c>
      <c r="L95" s="3">
        <v>47180</v>
      </c>
      <c r="M95" s="3">
        <v>47141</v>
      </c>
      <c r="N95" t="s">
        <v>1530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1531</v>
      </c>
      <c r="C96" t="s">
        <v>1523</v>
      </c>
      <c r="D96" s="3">
        <v>27176</v>
      </c>
      <c r="E96" t="s">
        <v>1173</v>
      </c>
      <c r="G96" s="3">
        <v>44347</v>
      </c>
      <c r="H96" t="s">
        <v>1532</v>
      </c>
      <c r="J96" t="s">
        <v>1380</v>
      </c>
      <c r="K96" t="s">
        <v>195</v>
      </c>
      <c r="L96" s="3">
        <v>46188</v>
      </c>
      <c r="M96" s="3">
        <v>46145</v>
      </c>
      <c r="N96" t="s">
        <v>1533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1534</v>
      </c>
      <c r="C97" t="s">
        <v>1523</v>
      </c>
      <c r="D97" s="3">
        <v>26097</v>
      </c>
      <c r="E97" t="s">
        <v>1173</v>
      </c>
      <c r="F97">
        <v>334</v>
      </c>
      <c r="G97" s="3">
        <v>39188</v>
      </c>
      <c r="H97" t="s">
        <v>1535</v>
      </c>
      <c r="J97" t="s">
        <v>1199</v>
      </c>
      <c r="K97" t="s">
        <v>199</v>
      </c>
      <c r="L97" s="3">
        <v>46042</v>
      </c>
      <c r="M97" s="3">
        <v>46418</v>
      </c>
      <c r="N97" t="s">
        <v>1536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1537</v>
      </c>
      <c r="C98" t="s">
        <v>1538</v>
      </c>
      <c r="D98" s="3">
        <v>29675</v>
      </c>
      <c r="E98" t="s">
        <v>1173</v>
      </c>
      <c r="F98">
        <v>375</v>
      </c>
      <c r="G98" s="3">
        <v>41904</v>
      </c>
      <c r="H98" t="s">
        <v>1539</v>
      </c>
      <c r="J98" t="s">
        <v>1191</v>
      </c>
      <c r="K98" t="s">
        <v>187</v>
      </c>
      <c r="L98" s="3">
        <v>47427</v>
      </c>
      <c r="M98" s="3">
        <v>47338</v>
      </c>
      <c r="N98" t="s">
        <v>1540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1541</v>
      </c>
      <c r="C99" t="s">
        <v>1542</v>
      </c>
      <c r="D99" s="3">
        <v>35351</v>
      </c>
      <c r="E99" t="s">
        <v>1173</v>
      </c>
      <c r="G99" s="3">
        <v>44347</v>
      </c>
      <c r="H99" t="s">
        <v>1543</v>
      </c>
      <c r="J99" t="s">
        <v>1181</v>
      </c>
      <c r="K99" t="s">
        <v>197</v>
      </c>
      <c r="L99" s="3">
        <v>46189</v>
      </c>
      <c r="M99" s="3">
        <v>46133</v>
      </c>
      <c r="N99" t="s">
        <v>1544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1545</v>
      </c>
      <c r="C100" t="s">
        <v>1546</v>
      </c>
      <c r="D100" s="3">
        <v>23866</v>
      </c>
      <c r="E100" t="s">
        <v>1173</v>
      </c>
      <c r="G100" s="3">
        <v>45062</v>
      </c>
      <c r="H100" t="s">
        <v>1547</v>
      </c>
      <c r="J100" t="s">
        <v>1181</v>
      </c>
      <c r="K100" t="s">
        <v>189</v>
      </c>
      <c r="L100" s="3">
        <v>46895</v>
      </c>
      <c r="M100" s="3">
        <v>47594</v>
      </c>
      <c r="N100" t="s">
        <v>1548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1549</v>
      </c>
      <c r="C101" t="s">
        <v>1550</v>
      </c>
      <c r="D101" s="3">
        <v>24400</v>
      </c>
      <c r="E101" t="s">
        <v>1173</v>
      </c>
      <c r="F101">
        <v>393</v>
      </c>
      <c r="G101" s="3">
        <v>44075</v>
      </c>
      <c r="I101">
        <v>492421081</v>
      </c>
      <c r="J101" t="s">
        <v>1191</v>
      </c>
      <c r="K101" t="s">
        <v>191</v>
      </c>
      <c r="L101" s="3">
        <v>46905</v>
      </c>
      <c r="M101" s="3">
        <v>46853</v>
      </c>
      <c r="N101" t="s">
        <v>1551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1552</v>
      </c>
      <c r="C102" t="s">
        <v>1553</v>
      </c>
      <c r="D102" s="3">
        <v>36424</v>
      </c>
      <c r="E102" t="s">
        <v>1173</v>
      </c>
      <c r="G102" s="3">
        <v>44998</v>
      </c>
      <c r="H102" t="s">
        <v>1554</v>
      </c>
      <c r="J102" t="s">
        <v>1181</v>
      </c>
      <c r="K102" t="s">
        <v>193</v>
      </c>
      <c r="L102" s="3">
        <v>46840</v>
      </c>
      <c r="M102" s="3">
        <v>46760</v>
      </c>
      <c r="N102" t="s">
        <v>1555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1281</v>
      </c>
      <c r="C103" t="s">
        <v>1556</v>
      </c>
      <c r="D103" s="3">
        <v>27962</v>
      </c>
      <c r="E103" t="s">
        <v>1173</v>
      </c>
      <c r="F103">
        <v>350</v>
      </c>
      <c r="G103" s="3">
        <v>43969</v>
      </c>
      <c r="H103" t="s">
        <v>1557</v>
      </c>
      <c r="J103" t="s">
        <v>1219</v>
      </c>
      <c r="K103" t="s">
        <v>191</v>
      </c>
      <c r="L103" s="3">
        <v>47485</v>
      </c>
      <c r="M103" s="3">
        <v>47441</v>
      </c>
      <c r="N103" t="s">
        <v>1558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1559</v>
      </c>
      <c r="C104" t="s">
        <v>1560</v>
      </c>
      <c r="D104" s="3">
        <v>32357</v>
      </c>
      <c r="E104" t="s">
        <v>1173</v>
      </c>
      <c r="G104" s="3">
        <v>45783</v>
      </c>
      <c r="H104" t="s">
        <v>1561</v>
      </c>
      <c r="J104" t="s">
        <v>1181</v>
      </c>
      <c r="K104" t="s">
        <v>187</v>
      </c>
      <c r="L104" s="3">
        <v>47628</v>
      </c>
      <c r="M104" s="3">
        <v>47518</v>
      </c>
      <c r="N104" t="s">
        <v>1562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1563</v>
      </c>
      <c r="C105" t="s">
        <v>1564</v>
      </c>
      <c r="D105" s="3">
        <v>30399</v>
      </c>
      <c r="E105" t="s">
        <v>1173</v>
      </c>
      <c r="F105">
        <v>602</v>
      </c>
      <c r="G105" s="3">
        <v>41372</v>
      </c>
      <c r="H105" t="s">
        <v>1565</v>
      </c>
      <c r="J105" t="s">
        <v>1429</v>
      </c>
      <c r="K105" t="s">
        <v>193</v>
      </c>
      <c r="L105" s="3">
        <v>46817</v>
      </c>
      <c r="M105" s="3">
        <v>46735</v>
      </c>
      <c r="N105" t="s">
        <v>1566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1567</v>
      </c>
      <c r="C106" t="s">
        <v>1568</v>
      </c>
      <c r="D106" s="3">
        <v>31148</v>
      </c>
      <c r="E106" t="s">
        <v>1173</v>
      </c>
      <c r="G106" s="3">
        <v>45538</v>
      </c>
      <c r="H106" t="s">
        <v>1569</v>
      </c>
      <c r="J106" t="s">
        <v>1181</v>
      </c>
      <c r="K106" t="s">
        <v>195</v>
      </c>
      <c r="L106" s="3">
        <v>46847</v>
      </c>
      <c r="M106" s="3">
        <v>46684</v>
      </c>
      <c r="N106" t="s">
        <v>1570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1571</v>
      </c>
      <c r="C107" t="s">
        <v>1572</v>
      </c>
      <c r="D107" s="3">
        <v>24961</v>
      </c>
      <c r="E107" t="s">
        <v>1173</v>
      </c>
      <c r="F107">
        <v>19</v>
      </c>
      <c r="G107" s="3">
        <v>33742</v>
      </c>
      <c r="H107" t="s">
        <v>1573</v>
      </c>
      <c r="J107" t="s">
        <v>1473</v>
      </c>
      <c r="K107" t="s">
        <v>197</v>
      </c>
      <c r="L107" s="3">
        <v>72686</v>
      </c>
      <c r="M107" s="3">
        <v>46308</v>
      </c>
      <c r="N107" t="s">
        <v>1574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1575</v>
      </c>
      <c r="C108" t="s">
        <v>1572</v>
      </c>
      <c r="D108" s="3">
        <v>26839</v>
      </c>
      <c r="E108" t="s">
        <v>1173</v>
      </c>
      <c r="F108">
        <v>208</v>
      </c>
      <c r="G108" s="3">
        <v>37214</v>
      </c>
      <c r="H108" t="s">
        <v>1576</v>
      </c>
      <c r="J108" t="s">
        <v>1473</v>
      </c>
      <c r="K108" t="s">
        <v>193</v>
      </c>
      <c r="L108" s="3">
        <v>72686</v>
      </c>
      <c r="M108" s="3">
        <v>46887</v>
      </c>
      <c r="N108" t="s">
        <v>1577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1578</v>
      </c>
      <c r="C109" t="s">
        <v>1579</v>
      </c>
      <c r="D109" s="3">
        <v>27446</v>
      </c>
      <c r="E109" t="s">
        <v>1173</v>
      </c>
      <c r="G109" s="3">
        <v>45166</v>
      </c>
      <c r="H109" t="s">
        <v>1580</v>
      </c>
      <c r="J109" t="s">
        <v>1181</v>
      </c>
      <c r="K109" t="s">
        <v>189</v>
      </c>
      <c r="L109" s="3">
        <v>47371</v>
      </c>
      <c r="M109" s="3">
        <v>47351</v>
      </c>
      <c r="N109" t="s">
        <v>1581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3396</v>
      </c>
      <c r="C110" t="s">
        <v>3397</v>
      </c>
      <c r="D110" s="3">
        <v>30683</v>
      </c>
      <c r="E110" t="s">
        <v>1173</v>
      </c>
      <c r="G110" s="3">
        <v>45831</v>
      </c>
      <c r="H110" t="s">
        <v>3398</v>
      </c>
      <c r="J110" t="s">
        <v>1181</v>
      </c>
      <c r="K110" t="s">
        <v>189</v>
      </c>
      <c r="L110" s="3">
        <v>47673</v>
      </c>
      <c r="M110" s="3">
        <v>47608</v>
      </c>
      <c r="N110" t="s">
        <v>3399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1582</v>
      </c>
      <c r="C111" t="s">
        <v>1583</v>
      </c>
      <c r="D111" s="3">
        <v>32284</v>
      </c>
      <c r="E111" t="s">
        <v>1173</v>
      </c>
      <c r="G111" s="3">
        <v>44670</v>
      </c>
      <c r="H111" t="s">
        <v>1584</v>
      </c>
      <c r="J111" t="s">
        <v>1214</v>
      </c>
      <c r="K111" t="s">
        <v>187</v>
      </c>
      <c r="L111" s="3">
        <v>46515</v>
      </c>
      <c r="M111" s="3">
        <v>46470</v>
      </c>
      <c r="N111" t="s">
        <v>1585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1586</v>
      </c>
      <c r="C112" t="s">
        <v>1587</v>
      </c>
      <c r="D112" s="3">
        <v>26137</v>
      </c>
      <c r="E112" t="s">
        <v>1173</v>
      </c>
      <c r="F112">
        <v>273</v>
      </c>
      <c r="G112" s="3">
        <v>37886</v>
      </c>
      <c r="H112" t="s">
        <v>1588</v>
      </c>
      <c r="J112" t="s">
        <v>1275</v>
      </c>
      <c r="K112" t="s">
        <v>195</v>
      </c>
      <c r="L112" s="3">
        <v>72686</v>
      </c>
      <c r="M112" s="3">
        <v>47498</v>
      </c>
      <c r="N112" t="s">
        <v>1589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1528</v>
      </c>
      <c r="C113" t="s">
        <v>1590</v>
      </c>
      <c r="D113" s="3">
        <v>24694</v>
      </c>
      <c r="E113" t="s">
        <v>1173</v>
      </c>
      <c r="F113">
        <v>171</v>
      </c>
      <c r="G113" s="3">
        <v>38404</v>
      </c>
      <c r="H113" t="s">
        <v>1591</v>
      </c>
      <c r="I113">
        <v>92306884</v>
      </c>
      <c r="J113" t="s">
        <v>1334</v>
      </c>
      <c r="K113" t="s">
        <v>197</v>
      </c>
      <c r="L113" s="3">
        <v>47316</v>
      </c>
      <c r="M113" s="3">
        <v>47306</v>
      </c>
      <c r="N113" t="s">
        <v>1592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1593</v>
      </c>
      <c r="C114" t="s">
        <v>1594</v>
      </c>
      <c r="D114" s="3">
        <v>24767</v>
      </c>
      <c r="E114" t="s">
        <v>1173</v>
      </c>
      <c r="G114" s="3">
        <v>45720</v>
      </c>
      <c r="H114" t="s">
        <v>1595</v>
      </c>
      <c r="J114" t="s">
        <v>1181</v>
      </c>
      <c r="K114" t="s">
        <v>187</v>
      </c>
      <c r="L114" s="3">
        <v>47562</v>
      </c>
      <c r="M114" s="3">
        <v>47533</v>
      </c>
      <c r="N114" t="s">
        <v>1596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1597</v>
      </c>
      <c r="C115" t="s">
        <v>1598</v>
      </c>
      <c r="D115" s="3">
        <v>35806</v>
      </c>
      <c r="E115" t="s">
        <v>1173</v>
      </c>
      <c r="G115" s="3">
        <v>44333</v>
      </c>
      <c r="H115" t="s">
        <v>1599</v>
      </c>
      <c r="I115" t="s">
        <v>1600</v>
      </c>
      <c r="J115" t="s">
        <v>1181</v>
      </c>
      <c r="K115" t="s">
        <v>195</v>
      </c>
      <c r="L115" s="3">
        <v>46174</v>
      </c>
      <c r="M115" s="3">
        <v>46097</v>
      </c>
      <c r="N115" t="s">
        <v>1601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1602</v>
      </c>
      <c r="C116" t="s">
        <v>1603</v>
      </c>
      <c r="D116" s="3">
        <v>24253</v>
      </c>
      <c r="E116" t="s">
        <v>1173</v>
      </c>
      <c r="F116">
        <v>380</v>
      </c>
      <c r="G116" s="3">
        <v>37991</v>
      </c>
      <c r="H116" t="s">
        <v>1604</v>
      </c>
      <c r="J116" t="s">
        <v>1252</v>
      </c>
      <c r="K116" t="s">
        <v>189</v>
      </c>
      <c r="L116" s="3">
        <v>47671</v>
      </c>
      <c r="M116" s="3">
        <v>46726</v>
      </c>
      <c r="N116" t="s">
        <v>1605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1606</v>
      </c>
      <c r="C117" t="s">
        <v>1607</v>
      </c>
      <c r="D117" s="3">
        <v>32327</v>
      </c>
      <c r="E117" t="s">
        <v>1173</v>
      </c>
      <c r="F117">
        <v>399</v>
      </c>
      <c r="G117" s="3">
        <v>43850</v>
      </c>
      <c r="H117" t="s">
        <v>1608</v>
      </c>
      <c r="J117" t="s">
        <v>1191</v>
      </c>
      <c r="K117" t="s">
        <v>199</v>
      </c>
      <c r="L117" s="3">
        <v>47434</v>
      </c>
      <c r="M117" s="3">
        <v>47377</v>
      </c>
      <c r="N117" t="s">
        <v>1609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936</v>
      </c>
      <c r="C118" t="s">
        <v>1610</v>
      </c>
      <c r="D118" s="3">
        <v>26119</v>
      </c>
      <c r="E118" t="s">
        <v>1173</v>
      </c>
      <c r="F118">
        <v>180</v>
      </c>
      <c r="G118" s="3">
        <v>35513</v>
      </c>
      <c r="I118">
        <v>93572444</v>
      </c>
      <c r="J118" t="s">
        <v>1275</v>
      </c>
      <c r="K118" t="s">
        <v>199</v>
      </c>
      <c r="L118" s="3">
        <v>72686</v>
      </c>
      <c r="M118" s="3">
        <v>46834</v>
      </c>
      <c r="N118" t="s">
        <v>1611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1612</v>
      </c>
      <c r="C119" t="s">
        <v>1610</v>
      </c>
      <c r="D119" s="3">
        <v>26590</v>
      </c>
      <c r="E119" t="s">
        <v>1173</v>
      </c>
      <c r="F119">
        <v>291</v>
      </c>
      <c r="G119" s="3">
        <v>39356</v>
      </c>
      <c r="H119" t="s">
        <v>1613</v>
      </c>
      <c r="I119">
        <v>92303180</v>
      </c>
      <c r="J119" t="s">
        <v>1262</v>
      </c>
      <c r="K119" t="s">
        <v>195</v>
      </c>
      <c r="L119" s="3">
        <v>72686</v>
      </c>
      <c r="M119" s="3">
        <v>47533</v>
      </c>
      <c r="N119" t="s">
        <v>1614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1615</v>
      </c>
      <c r="C120" t="s">
        <v>1610</v>
      </c>
      <c r="D120" s="3">
        <v>25829</v>
      </c>
      <c r="E120" t="s">
        <v>1173</v>
      </c>
      <c r="F120">
        <v>578</v>
      </c>
      <c r="G120" s="3">
        <v>37018</v>
      </c>
      <c r="H120" t="s">
        <v>1616</v>
      </c>
      <c r="J120" t="s">
        <v>1284</v>
      </c>
      <c r="K120" t="s">
        <v>195</v>
      </c>
      <c r="L120" s="3">
        <v>47607</v>
      </c>
      <c r="M120" s="3">
        <v>46005</v>
      </c>
      <c r="N120" t="s">
        <v>1617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3400</v>
      </c>
      <c r="C121" t="s">
        <v>3401</v>
      </c>
      <c r="D121" s="3">
        <v>30767</v>
      </c>
      <c r="E121" t="s">
        <v>1173</v>
      </c>
      <c r="G121" s="3">
        <v>45870</v>
      </c>
      <c r="H121" t="s">
        <v>3402</v>
      </c>
      <c r="I121" t="s">
        <v>3403</v>
      </c>
      <c r="J121" t="s">
        <v>3404</v>
      </c>
      <c r="K121" t="s">
        <v>185</v>
      </c>
      <c r="L121" s="3">
        <v>46301</v>
      </c>
      <c r="M121" s="3">
        <v>47644</v>
      </c>
      <c r="N121" t="s">
        <v>3405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1618</v>
      </c>
      <c r="C122" t="s">
        <v>1619</v>
      </c>
      <c r="D122" s="3">
        <v>29917</v>
      </c>
      <c r="E122" t="s">
        <v>1173</v>
      </c>
      <c r="F122">
        <v>556</v>
      </c>
      <c r="G122" s="3">
        <v>37718</v>
      </c>
      <c r="H122" t="s">
        <v>1620</v>
      </c>
      <c r="J122" t="s">
        <v>1292</v>
      </c>
      <c r="K122" t="s">
        <v>187</v>
      </c>
      <c r="L122" s="3">
        <v>47650</v>
      </c>
      <c r="M122" s="3">
        <v>46466</v>
      </c>
      <c r="N122" t="s">
        <v>1621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1622</v>
      </c>
      <c r="C123" t="s">
        <v>1623</v>
      </c>
      <c r="D123" s="3">
        <v>24555</v>
      </c>
      <c r="E123" t="s">
        <v>1427</v>
      </c>
      <c r="F123">
        <v>100</v>
      </c>
      <c r="G123" s="3">
        <v>35065</v>
      </c>
      <c r="H123" t="s">
        <v>1624</v>
      </c>
      <c r="J123" t="s">
        <v>1473</v>
      </c>
      <c r="K123" t="s">
        <v>185</v>
      </c>
      <c r="L123" s="3">
        <v>72686</v>
      </c>
      <c r="M123" s="3">
        <v>46146</v>
      </c>
      <c r="N123" t="s">
        <v>1625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1626</v>
      </c>
      <c r="C124" t="s">
        <v>1623</v>
      </c>
      <c r="D124" s="3">
        <v>22939</v>
      </c>
      <c r="E124" t="s">
        <v>1173</v>
      </c>
      <c r="F124">
        <v>61</v>
      </c>
      <c r="G124" s="3">
        <v>40623</v>
      </c>
      <c r="H124" t="s">
        <v>1627</v>
      </c>
      <c r="J124" t="s">
        <v>1248</v>
      </c>
      <c r="K124" t="s">
        <v>199</v>
      </c>
      <c r="L124" s="3">
        <v>45948</v>
      </c>
      <c r="M124" s="3">
        <v>46046</v>
      </c>
      <c r="N124" t="s">
        <v>1628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1629</v>
      </c>
      <c r="C125" t="s">
        <v>1630</v>
      </c>
      <c r="D125" s="3">
        <v>30329</v>
      </c>
      <c r="E125" t="s">
        <v>1173</v>
      </c>
      <c r="G125" s="3">
        <v>44389</v>
      </c>
      <c r="H125" t="s">
        <v>1631</v>
      </c>
      <c r="J125" t="s">
        <v>1219</v>
      </c>
      <c r="K125" t="s">
        <v>195</v>
      </c>
      <c r="L125" s="3">
        <v>46293</v>
      </c>
      <c r="M125" s="3">
        <v>46260</v>
      </c>
      <c r="N125" t="s">
        <v>1632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1633</v>
      </c>
      <c r="C126" t="s">
        <v>1634</v>
      </c>
      <c r="D126" s="3">
        <v>28307</v>
      </c>
      <c r="E126" t="s">
        <v>1173</v>
      </c>
      <c r="G126" s="3">
        <v>45293</v>
      </c>
      <c r="H126" t="s">
        <v>1635</v>
      </c>
      <c r="J126" t="s">
        <v>1181</v>
      </c>
      <c r="K126" t="s">
        <v>199</v>
      </c>
      <c r="L126" s="3">
        <v>47140</v>
      </c>
      <c r="M126" s="3">
        <v>47090</v>
      </c>
      <c r="N126" t="s">
        <v>1636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1637</v>
      </c>
      <c r="C127" t="s">
        <v>1638</v>
      </c>
      <c r="D127" s="3">
        <v>29923</v>
      </c>
      <c r="E127" t="s">
        <v>1173</v>
      </c>
      <c r="F127">
        <v>533</v>
      </c>
      <c r="G127" s="3">
        <v>39881</v>
      </c>
      <c r="H127" t="s">
        <v>1639</v>
      </c>
      <c r="J127" t="s">
        <v>1292</v>
      </c>
      <c r="K127" t="s">
        <v>187</v>
      </c>
      <c r="L127" s="3">
        <v>46987</v>
      </c>
      <c r="M127" s="3">
        <v>46916</v>
      </c>
      <c r="N127" t="s">
        <v>1640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1641</v>
      </c>
      <c r="C128" t="s">
        <v>1642</v>
      </c>
      <c r="D128" s="3">
        <v>32979</v>
      </c>
      <c r="E128" t="s">
        <v>1173</v>
      </c>
      <c r="F128">
        <v>225</v>
      </c>
      <c r="G128" s="3">
        <v>42843</v>
      </c>
      <c r="H128" t="s">
        <v>1643</v>
      </c>
      <c r="J128" t="s">
        <v>1248</v>
      </c>
      <c r="K128" t="s">
        <v>185</v>
      </c>
      <c r="L128" s="3">
        <v>46434</v>
      </c>
      <c r="M128" s="3">
        <v>46418</v>
      </c>
      <c r="N128" t="s">
        <v>1644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1645</v>
      </c>
      <c r="C129" t="s">
        <v>1646</v>
      </c>
      <c r="D129" s="3">
        <v>28385</v>
      </c>
      <c r="E129" t="s">
        <v>1173</v>
      </c>
      <c r="F129">
        <v>184</v>
      </c>
      <c r="G129" s="3">
        <v>41617</v>
      </c>
      <c r="H129" t="s">
        <v>1647</v>
      </c>
      <c r="I129">
        <v>92315307</v>
      </c>
      <c r="J129" t="s">
        <v>1396</v>
      </c>
      <c r="K129" t="s">
        <v>191</v>
      </c>
      <c r="L129" s="3">
        <v>47034</v>
      </c>
      <c r="M129" s="3">
        <v>46925</v>
      </c>
      <c r="N129" t="s">
        <v>1648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1649</v>
      </c>
      <c r="C130" t="s">
        <v>1650</v>
      </c>
      <c r="D130" s="3">
        <v>35891</v>
      </c>
      <c r="E130" t="s">
        <v>1173</v>
      </c>
      <c r="G130" s="3">
        <v>44655</v>
      </c>
      <c r="H130" t="s">
        <v>1651</v>
      </c>
      <c r="J130" t="s">
        <v>1181</v>
      </c>
      <c r="K130" t="s">
        <v>197</v>
      </c>
      <c r="L130" s="3">
        <v>46502</v>
      </c>
      <c r="M130" s="3">
        <v>46400</v>
      </c>
      <c r="N130" t="s">
        <v>1652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1653</v>
      </c>
      <c r="C131" t="s">
        <v>1654</v>
      </c>
      <c r="D131" s="3">
        <v>22889</v>
      </c>
      <c r="E131" t="s">
        <v>1173</v>
      </c>
      <c r="F131">
        <v>312</v>
      </c>
      <c r="G131" s="3">
        <v>38222</v>
      </c>
      <c r="H131" t="s">
        <v>1655</v>
      </c>
      <c r="J131" t="s">
        <v>1275</v>
      </c>
      <c r="K131" t="s">
        <v>187</v>
      </c>
      <c r="L131" s="3">
        <v>72686</v>
      </c>
      <c r="M131" s="3">
        <v>47163</v>
      </c>
      <c r="N131" t="s">
        <v>1656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1657</v>
      </c>
      <c r="C132" t="s">
        <v>1658</v>
      </c>
      <c r="D132" s="3">
        <v>36729</v>
      </c>
      <c r="E132" t="s">
        <v>1173</v>
      </c>
      <c r="G132" s="3">
        <v>44585</v>
      </c>
      <c r="H132" t="s">
        <v>3406</v>
      </c>
      <c r="J132" t="s">
        <v>1363</v>
      </c>
      <c r="K132" t="s">
        <v>195</v>
      </c>
      <c r="L132" s="3">
        <v>46425</v>
      </c>
      <c r="M132" s="3">
        <v>46033</v>
      </c>
      <c r="N132" t="s">
        <v>1659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1660</v>
      </c>
      <c r="C133" t="s">
        <v>1661</v>
      </c>
      <c r="D133" s="3">
        <v>35422</v>
      </c>
      <c r="E133" t="s">
        <v>1173</v>
      </c>
      <c r="G133" s="3">
        <v>44333</v>
      </c>
      <c r="H133" t="s">
        <v>1662</v>
      </c>
      <c r="J133" t="s">
        <v>1191</v>
      </c>
      <c r="K133" t="s">
        <v>195</v>
      </c>
      <c r="L133" s="3">
        <v>46174</v>
      </c>
      <c r="M133" s="3">
        <v>46124</v>
      </c>
      <c r="N133" t="s">
        <v>1663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1664</v>
      </c>
      <c r="C134" t="s">
        <v>1665</v>
      </c>
      <c r="D134" s="3">
        <v>33510</v>
      </c>
      <c r="E134" t="s">
        <v>1173</v>
      </c>
      <c r="G134" s="3">
        <v>44312</v>
      </c>
      <c r="H134" t="s">
        <v>1666</v>
      </c>
      <c r="J134" t="s">
        <v>1214</v>
      </c>
      <c r="K134" t="s">
        <v>197</v>
      </c>
      <c r="L134" s="3">
        <v>46152</v>
      </c>
      <c r="M134" s="3">
        <v>46084</v>
      </c>
      <c r="N134" t="s">
        <v>1667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1668</v>
      </c>
      <c r="C135" t="s">
        <v>1669</v>
      </c>
      <c r="D135" s="3">
        <v>35947</v>
      </c>
      <c r="E135" t="s">
        <v>1173</v>
      </c>
      <c r="G135" s="3">
        <v>45692</v>
      </c>
      <c r="H135" t="s">
        <v>1670</v>
      </c>
      <c r="J135" t="s">
        <v>1181</v>
      </c>
      <c r="K135" t="s">
        <v>187</v>
      </c>
      <c r="L135" s="3">
        <v>47538</v>
      </c>
      <c r="M135" s="3">
        <v>47407</v>
      </c>
      <c r="N135" t="s">
        <v>1671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998</v>
      </c>
      <c r="C136" t="s">
        <v>1669</v>
      </c>
      <c r="D136" s="3">
        <v>35461</v>
      </c>
      <c r="E136" t="s">
        <v>1173</v>
      </c>
      <c r="G136" s="3">
        <v>45236</v>
      </c>
      <c r="H136" t="s">
        <v>1672</v>
      </c>
      <c r="J136" t="s">
        <v>1181</v>
      </c>
      <c r="K136" t="s">
        <v>187</v>
      </c>
      <c r="L136" s="3">
        <v>47077</v>
      </c>
      <c r="M136" s="3">
        <v>47034</v>
      </c>
      <c r="N136" t="s">
        <v>1673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1418</v>
      </c>
      <c r="C137" t="s">
        <v>1669</v>
      </c>
      <c r="D137" s="3">
        <v>28371</v>
      </c>
      <c r="E137" t="s">
        <v>1173</v>
      </c>
      <c r="F137">
        <v>340</v>
      </c>
      <c r="G137" s="3">
        <v>37047</v>
      </c>
      <c r="H137" t="s">
        <v>1674</v>
      </c>
      <c r="J137" t="s">
        <v>1358</v>
      </c>
      <c r="K137" t="s">
        <v>185</v>
      </c>
      <c r="L137" s="3">
        <v>45892</v>
      </c>
      <c r="M137" s="3">
        <v>46028</v>
      </c>
      <c r="N137" t="s">
        <v>1675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1676</v>
      </c>
      <c r="C138" t="s">
        <v>1677</v>
      </c>
      <c r="D138" s="3">
        <v>33604</v>
      </c>
      <c r="E138" t="s">
        <v>1173</v>
      </c>
      <c r="G138" s="3">
        <v>45307</v>
      </c>
      <c r="H138" t="s">
        <v>1678</v>
      </c>
      <c r="J138" t="s">
        <v>1181</v>
      </c>
      <c r="K138" t="s">
        <v>189</v>
      </c>
      <c r="L138" s="3">
        <v>47154</v>
      </c>
      <c r="M138" s="3">
        <v>47100</v>
      </c>
      <c r="N138" t="s">
        <v>1679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1680</v>
      </c>
      <c r="C139" t="s">
        <v>1681</v>
      </c>
      <c r="D139" s="3">
        <v>25554</v>
      </c>
      <c r="E139" t="s">
        <v>1173</v>
      </c>
      <c r="F139">
        <v>46</v>
      </c>
      <c r="G139" s="3">
        <v>43031</v>
      </c>
      <c r="H139" t="s">
        <v>1682</v>
      </c>
      <c r="J139" t="s">
        <v>1363</v>
      </c>
      <c r="K139" t="s">
        <v>199</v>
      </c>
      <c r="L139" s="3">
        <v>46637</v>
      </c>
      <c r="M139" s="3">
        <v>46637</v>
      </c>
      <c r="N139" t="s">
        <v>1683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1684</v>
      </c>
      <c r="C140" t="s">
        <v>1685</v>
      </c>
      <c r="D140" s="3">
        <v>32358</v>
      </c>
      <c r="E140" t="s">
        <v>1173</v>
      </c>
      <c r="G140" s="3">
        <v>45236</v>
      </c>
      <c r="H140" t="s">
        <v>1686</v>
      </c>
      <c r="J140" t="s">
        <v>1181</v>
      </c>
      <c r="K140" t="s">
        <v>189</v>
      </c>
      <c r="L140" s="3">
        <v>47077</v>
      </c>
      <c r="M140" s="3">
        <v>46981</v>
      </c>
      <c r="N140" t="s">
        <v>1687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1688</v>
      </c>
      <c r="C141" t="s">
        <v>1689</v>
      </c>
      <c r="D141" s="3">
        <v>28070</v>
      </c>
      <c r="E141" t="s">
        <v>1173</v>
      </c>
      <c r="F141">
        <v>537</v>
      </c>
      <c r="G141" s="3">
        <v>39643</v>
      </c>
      <c r="H141" t="s">
        <v>1690</v>
      </c>
      <c r="J141" t="s">
        <v>1396</v>
      </c>
      <c r="K141" t="s">
        <v>187</v>
      </c>
      <c r="L141" s="3">
        <v>47610</v>
      </c>
      <c r="M141" s="3">
        <v>46637</v>
      </c>
      <c r="N141" t="s">
        <v>1691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1692</v>
      </c>
      <c r="C142" t="s">
        <v>1693</v>
      </c>
      <c r="D142" s="3">
        <v>24551</v>
      </c>
      <c r="E142" t="s">
        <v>1173</v>
      </c>
      <c r="F142">
        <v>386</v>
      </c>
      <c r="G142" s="3">
        <v>33609</v>
      </c>
      <c r="H142" t="s">
        <v>1694</v>
      </c>
      <c r="I142">
        <v>93572595</v>
      </c>
      <c r="J142" t="s">
        <v>1275</v>
      </c>
      <c r="K142" t="s">
        <v>199</v>
      </c>
      <c r="L142" s="3">
        <v>73050</v>
      </c>
      <c r="M142" s="3">
        <v>46853</v>
      </c>
      <c r="N142" t="s">
        <v>1695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1696</v>
      </c>
      <c r="C143" t="s">
        <v>1693</v>
      </c>
      <c r="D143" s="3">
        <v>26073</v>
      </c>
      <c r="E143" t="s">
        <v>1173</v>
      </c>
      <c r="G143" s="3">
        <v>45749</v>
      </c>
      <c r="H143" t="s">
        <v>1697</v>
      </c>
      <c r="J143" t="s">
        <v>1181</v>
      </c>
      <c r="K143" t="s">
        <v>195</v>
      </c>
      <c r="L143" s="3">
        <v>47594</v>
      </c>
      <c r="M143" s="3">
        <v>47503</v>
      </c>
      <c r="N143" t="s">
        <v>1698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1699</v>
      </c>
      <c r="C144" t="s">
        <v>1700</v>
      </c>
      <c r="D144" s="3">
        <v>33365</v>
      </c>
      <c r="E144" t="s">
        <v>1173</v>
      </c>
      <c r="G144" s="3">
        <v>45307</v>
      </c>
      <c r="H144" t="s">
        <v>1701</v>
      </c>
      <c r="J144" t="s">
        <v>1702</v>
      </c>
      <c r="K144" t="s">
        <v>189</v>
      </c>
      <c r="L144" s="3">
        <v>47154</v>
      </c>
      <c r="M144" s="3">
        <v>47126</v>
      </c>
      <c r="N144" t="s">
        <v>1703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1704</v>
      </c>
      <c r="C145" t="s">
        <v>1700</v>
      </c>
      <c r="D145" s="3">
        <v>22295</v>
      </c>
      <c r="E145" t="s">
        <v>1173</v>
      </c>
      <c r="G145" s="3">
        <v>44473</v>
      </c>
      <c r="H145" t="s">
        <v>1705</v>
      </c>
      <c r="I145">
        <v>93720791</v>
      </c>
      <c r="J145" t="s">
        <v>1181</v>
      </c>
      <c r="K145" t="s">
        <v>199</v>
      </c>
      <c r="L145" s="3">
        <v>46300</v>
      </c>
      <c r="M145" s="3">
        <v>46236</v>
      </c>
      <c r="N145" t="s">
        <v>1706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1707</v>
      </c>
      <c r="C146" t="s">
        <v>1700</v>
      </c>
      <c r="D146" s="3">
        <v>29490</v>
      </c>
      <c r="E146" t="s">
        <v>1173</v>
      </c>
      <c r="F146">
        <v>558</v>
      </c>
      <c r="G146" s="3">
        <v>37424</v>
      </c>
      <c r="H146" t="s">
        <v>1708</v>
      </c>
      <c r="J146" t="s">
        <v>1292</v>
      </c>
      <c r="K146" t="s">
        <v>187</v>
      </c>
      <c r="L146" s="3">
        <v>45915</v>
      </c>
      <c r="M146" s="3">
        <v>46273</v>
      </c>
      <c r="N146" t="s">
        <v>1709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1710</v>
      </c>
      <c r="C147" t="s">
        <v>1711</v>
      </c>
      <c r="D147" s="3">
        <v>23504</v>
      </c>
      <c r="E147" t="s">
        <v>1173</v>
      </c>
      <c r="F147">
        <v>289</v>
      </c>
      <c r="G147" s="3">
        <v>34078</v>
      </c>
      <c r="J147" t="s">
        <v>1358</v>
      </c>
      <c r="K147" t="s">
        <v>193</v>
      </c>
      <c r="L147" s="3">
        <v>72686</v>
      </c>
      <c r="M147" s="3">
        <v>46140</v>
      </c>
      <c r="N147" t="s">
        <v>1712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1286</v>
      </c>
      <c r="C148" t="s">
        <v>1711</v>
      </c>
      <c r="D148" s="3">
        <v>24557</v>
      </c>
      <c r="E148" t="s">
        <v>1173</v>
      </c>
      <c r="F148">
        <v>649</v>
      </c>
      <c r="G148" s="3">
        <v>33287</v>
      </c>
      <c r="I148">
        <v>93300995</v>
      </c>
      <c r="J148" t="s">
        <v>1284</v>
      </c>
      <c r="K148" t="s">
        <v>195</v>
      </c>
      <c r="L148" s="3">
        <v>47672</v>
      </c>
      <c r="M148" s="3">
        <v>46665</v>
      </c>
      <c r="N148" t="s">
        <v>1713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1714</v>
      </c>
      <c r="C149" t="s">
        <v>1711</v>
      </c>
      <c r="D149" s="3">
        <v>29706</v>
      </c>
      <c r="E149" t="s">
        <v>1173</v>
      </c>
      <c r="G149" s="3">
        <v>44284</v>
      </c>
      <c r="H149" t="s">
        <v>1715</v>
      </c>
      <c r="J149" t="s">
        <v>1284</v>
      </c>
      <c r="K149" t="s">
        <v>197</v>
      </c>
      <c r="L149" s="3">
        <v>46125</v>
      </c>
      <c r="M149" s="3">
        <v>45985</v>
      </c>
      <c r="N149" t="s">
        <v>1716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1431</v>
      </c>
      <c r="C150" t="s">
        <v>1711</v>
      </c>
      <c r="D150" s="3">
        <v>23387</v>
      </c>
      <c r="E150" t="s">
        <v>1173</v>
      </c>
      <c r="F150">
        <v>131</v>
      </c>
      <c r="G150" s="3">
        <v>39538</v>
      </c>
      <c r="H150" t="s">
        <v>1717</v>
      </c>
      <c r="I150">
        <v>93306518</v>
      </c>
      <c r="J150" t="s">
        <v>1292</v>
      </c>
      <c r="K150" t="s">
        <v>193</v>
      </c>
      <c r="L150" s="3">
        <v>47616</v>
      </c>
      <c r="M150" s="3">
        <v>47568</v>
      </c>
      <c r="N150" t="s">
        <v>1718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1719</v>
      </c>
      <c r="C151" t="s">
        <v>1711</v>
      </c>
      <c r="D151" s="3">
        <v>29547</v>
      </c>
      <c r="E151" t="s">
        <v>1173</v>
      </c>
      <c r="F151">
        <v>562</v>
      </c>
      <c r="G151" s="3">
        <v>38789</v>
      </c>
      <c r="H151" t="s">
        <v>1720</v>
      </c>
      <c r="J151" t="s">
        <v>1429</v>
      </c>
      <c r="K151" t="s">
        <v>191</v>
      </c>
      <c r="L151" s="3">
        <v>47635</v>
      </c>
      <c r="M151" s="3">
        <v>47608</v>
      </c>
      <c r="N151" t="s">
        <v>1721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1722</v>
      </c>
      <c r="C152" t="s">
        <v>1711</v>
      </c>
      <c r="D152" s="3">
        <v>24895</v>
      </c>
      <c r="E152" t="s">
        <v>1173</v>
      </c>
      <c r="F152">
        <v>579</v>
      </c>
      <c r="G152" s="3">
        <v>37830</v>
      </c>
      <c r="H152" t="s">
        <v>1723</v>
      </c>
      <c r="J152" t="s">
        <v>1292</v>
      </c>
      <c r="K152" t="s">
        <v>195</v>
      </c>
      <c r="L152" s="3">
        <v>47678</v>
      </c>
      <c r="M152" s="3">
        <v>46686</v>
      </c>
      <c r="N152" t="s">
        <v>1724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1725</v>
      </c>
      <c r="C153" t="s">
        <v>1711</v>
      </c>
      <c r="D153" s="3">
        <v>29607</v>
      </c>
      <c r="E153" t="s">
        <v>1173</v>
      </c>
      <c r="F153">
        <v>314</v>
      </c>
      <c r="G153" s="3">
        <v>37543</v>
      </c>
      <c r="H153" t="s">
        <v>1726</v>
      </c>
      <c r="J153" t="s">
        <v>1275</v>
      </c>
      <c r="K153" t="s">
        <v>187</v>
      </c>
      <c r="L153" s="3">
        <v>72686</v>
      </c>
      <c r="M153" s="3">
        <v>46693</v>
      </c>
      <c r="N153" t="s">
        <v>1727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1728</v>
      </c>
      <c r="C154" t="s">
        <v>1729</v>
      </c>
      <c r="D154" s="3">
        <v>25171</v>
      </c>
      <c r="E154" t="s">
        <v>1173</v>
      </c>
      <c r="G154" s="3">
        <v>44347</v>
      </c>
      <c r="H154" t="s">
        <v>1730</v>
      </c>
      <c r="J154" t="s">
        <v>1363</v>
      </c>
      <c r="K154" t="s">
        <v>199</v>
      </c>
      <c r="L154" s="3">
        <v>46190</v>
      </c>
      <c r="M154" s="3">
        <v>46119</v>
      </c>
      <c r="N154" t="s">
        <v>1731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1732</v>
      </c>
      <c r="C155" t="s">
        <v>1733</v>
      </c>
      <c r="D155" s="3">
        <v>20716</v>
      </c>
      <c r="E155" t="s">
        <v>1173</v>
      </c>
      <c r="G155" s="3">
        <v>45407</v>
      </c>
      <c r="H155" t="s">
        <v>1734</v>
      </c>
      <c r="J155" t="s">
        <v>1735</v>
      </c>
      <c r="K155" t="s">
        <v>197</v>
      </c>
      <c r="L155" s="3">
        <v>1</v>
      </c>
      <c r="M155" s="3">
        <v>1</v>
      </c>
      <c r="N155" t="s">
        <v>1736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1737</v>
      </c>
      <c r="C156" t="s">
        <v>1738</v>
      </c>
      <c r="D156" s="3">
        <v>34182</v>
      </c>
      <c r="E156" t="s">
        <v>1173</v>
      </c>
      <c r="F156">
        <v>430</v>
      </c>
      <c r="G156" s="3">
        <v>43486</v>
      </c>
      <c r="H156" t="s">
        <v>1739</v>
      </c>
      <c r="J156" t="s">
        <v>1363</v>
      </c>
      <c r="K156" t="s">
        <v>191</v>
      </c>
      <c r="L156" s="3">
        <v>47139</v>
      </c>
      <c r="M156" s="3">
        <v>46897</v>
      </c>
      <c r="N156" t="s">
        <v>1740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1741</v>
      </c>
      <c r="C157" t="s">
        <v>1742</v>
      </c>
      <c r="D157" s="3">
        <v>23710</v>
      </c>
      <c r="E157" t="s">
        <v>1173</v>
      </c>
      <c r="F157">
        <v>224</v>
      </c>
      <c r="G157" s="3">
        <v>44123</v>
      </c>
      <c r="H157" t="s">
        <v>1743</v>
      </c>
      <c r="I157" t="s">
        <v>1744</v>
      </c>
      <c r="J157" t="s">
        <v>1186</v>
      </c>
      <c r="K157" t="s">
        <v>193</v>
      </c>
      <c r="L157" s="3">
        <v>47573</v>
      </c>
      <c r="M157" s="3">
        <v>47533</v>
      </c>
      <c r="N157" t="s">
        <v>1745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1746</v>
      </c>
      <c r="C158" t="s">
        <v>1742</v>
      </c>
      <c r="D158" s="3">
        <v>25094</v>
      </c>
      <c r="E158" t="s">
        <v>1173</v>
      </c>
      <c r="F158">
        <v>167</v>
      </c>
      <c r="G158" s="3">
        <v>43528</v>
      </c>
      <c r="H158" t="s">
        <v>1747</v>
      </c>
      <c r="I158">
        <v>486762575</v>
      </c>
      <c r="J158" t="s">
        <v>1219</v>
      </c>
      <c r="K158" t="s">
        <v>199</v>
      </c>
      <c r="L158" s="3">
        <v>47141</v>
      </c>
      <c r="M158" s="3">
        <v>47141</v>
      </c>
      <c r="N158" t="s">
        <v>1748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1749</v>
      </c>
      <c r="C159" t="s">
        <v>1742</v>
      </c>
      <c r="D159" s="3">
        <v>25527</v>
      </c>
      <c r="E159" t="s">
        <v>1173</v>
      </c>
      <c r="F159">
        <v>60</v>
      </c>
      <c r="G159" s="3">
        <v>43108</v>
      </c>
      <c r="H159" t="s">
        <v>1750</v>
      </c>
      <c r="I159" t="s">
        <v>1751</v>
      </c>
      <c r="J159" t="s">
        <v>1191</v>
      </c>
      <c r="K159" t="s">
        <v>191</v>
      </c>
      <c r="L159" s="3">
        <v>46593</v>
      </c>
      <c r="M159" s="3">
        <v>46546</v>
      </c>
      <c r="N159" t="s">
        <v>1752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1753</v>
      </c>
      <c r="C160" t="s">
        <v>1742</v>
      </c>
      <c r="D160" s="3">
        <v>24762</v>
      </c>
      <c r="E160" t="s">
        <v>1173</v>
      </c>
      <c r="F160">
        <v>317</v>
      </c>
      <c r="G160" s="3">
        <v>39433</v>
      </c>
      <c r="H160" t="s">
        <v>1754</v>
      </c>
      <c r="K160" t="s">
        <v>199</v>
      </c>
      <c r="L160" s="3">
        <v>72686</v>
      </c>
      <c r="M160" s="3">
        <v>47338</v>
      </c>
      <c r="N160" t="s">
        <v>1755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1756</v>
      </c>
      <c r="C161" t="s">
        <v>1742</v>
      </c>
      <c r="D161" s="3">
        <v>22969</v>
      </c>
      <c r="E161" t="s">
        <v>1173</v>
      </c>
      <c r="F161">
        <v>166</v>
      </c>
      <c r="G161" s="3">
        <v>39405</v>
      </c>
      <c r="H161" t="s">
        <v>1757</v>
      </c>
      <c r="J161" t="s">
        <v>1199</v>
      </c>
      <c r="K161" t="s">
        <v>199</v>
      </c>
      <c r="L161" s="3">
        <v>47602</v>
      </c>
      <c r="M161" s="3">
        <v>46476</v>
      </c>
      <c r="N161" t="s">
        <v>1758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1759</v>
      </c>
      <c r="C162" t="s">
        <v>1742</v>
      </c>
      <c r="D162" s="3">
        <v>22573</v>
      </c>
      <c r="E162" t="s">
        <v>1173</v>
      </c>
      <c r="F162">
        <v>353</v>
      </c>
      <c r="G162" s="3">
        <v>38992</v>
      </c>
      <c r="I162">
        <v>92313309</v>
      </c>
      <c r="J162" t="s">
        <v>1248</v>
      </c>
      <c r="K162" t="s">
        <v>199</v>
      </c>
      <c r="L162" s="3">
        <v>72686</v>
      </c>
      <c r="M162" s="3">
        <v>47034</v>
      </c>
      <c r="N162" t="s">
        <v>1760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1761</v>
      </c>
      <c r="C163" t="s">
        <v>1742</v>
      </c>
      <c r="D163" s="3">
        <v>25880</v>
      </c>
      <c r="E163" t="s">
        <v>1173</v>
      </c>
      <c r="F163">
        <v>420</v>
      </c>
      <c r="G163" s="3">
        <v>37886</v>
      </c>
      <c r="H163" t="s">
        <v>1762</v>
      </c>
      <c r="J163" t="s">
        <v>1275</v>
      </c>
      <c r="K163" t="s">
        <v>193</v>
      </c>
      <c r="L163" s="3">
        <v>72686</v>
      </c>
      <c r="M163" s="3">
        <v>46820</v>
      </c>
      <c r="N163" t="s">
        <v>1763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1764</v>
      </c>
      <c r="C164" t="s">
        <v>1742</v>
      </c>
      <c r="D164" s="3">
        <v>29405</v>
      </c>
      <c r="E164" t="s">
        <v>1173</v>
      </c>
      <c r="F164">
        <v>501</v>
      </c>
      <c r="G164" s="3">
        <v>37767</v>
      </c>
      <c r="H164" t="s">
        <v>1765</v>
      </c>
      <c r="J164" t="s">
        <v>1396</v>
      </c>
      <c r="K164" t="s">
        <v>187</v>
      </c>
      <c r="L164" s="3">
        <v>45969</v>
      </c>
      <c r="M164" s="3">
        <v>46686</v>
      </c>
      <c r="N164" t="s">
        <v>1766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1767</v>
      </c>
      <c r="C165" t="s">
        <v>1768</v>
      </c>
      <c r="D165" s="3">
        <v>23786</v>
      </c>
      <c r="E165" t="s">
        <v>1173</v>
      </c>
      <c r="G165" s="3">
        <v>45286</v>
      </c>
      <c r="H165" t="s">
        <v>1769</v>
      </c>
      <c r="J165" t="s">
        <v>1380</v>
      </c>
      <c r="K165" t="s">
        <v>189</v>
      </c>
      <c r="L165" s="3">
        <v>45934</v>
      </c>
      <c r="M165" s="3">
        <v>47621</v>
      </c>
      <c r="N165" t="s">
        <v>1770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1771</v>
      </c>
      <c r="C166" t="s">
        <v>1772</v>
      </c>
      <c r="D166" s="3">
        <v>25815</v>
      </c>
      <c r="E166" t="s">
        <v>1173</v>
      </c>
      <c r="F166">
        <v>8</v>
      </c>
      <c r="G166" s="3">
        <v>40637</v>
      </c>
      <c r="H166" t="s">
        <v>1773</v>
      </c>
      <c r="J166" t="s">
        <v>1262</v>
      </c>
      <c r="K166" t="s">
        <v>189</v>
      </c>
      <c r="L166" s="3">
        <v>46043</v>
      </c>
      <c r="M166" s="3">
        <v>46014</v>
      </c>
      <c r="N166" t="s">
        <v>1774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1788</v>
      </c>
      <c r="C167" t="s">
        <v>1776</v>
      </c>
      <c r="D167" s="3">
        <v>25467</v>
      </c>
      <c r="E167" t="s">
        <v>1173</v>
      </c>
      <c r="F167">
        <v>165</v>
      </c>
      <c r="G167" s="3">
        <v>36542</v>
      </c>
      <c r="H167" t="s">
        <v>1789</v>
      </c>
      <c r="J167" t="s">
        <v>1358</v>
      </c>
      <c r="K167" t="s">
        <v>197</v>
      </c>
      <c r="L167" s="3">
        <v>47338</v>
      </c>
      <c r="M167" s="3">
        <v>47251</v>
      </c>
      <c r="N167" t="s">
        <v>1790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1775</v>
      </c>
      <c r="C168" t="s">
        <v>1776</v>
      </c>
      <c r="D168" s="3">
        <v>23986</v>
      </c>
      <c r="E168" t="s">
        <v>1173</v>
      </c>
      <c r="F168">
        <v>216</v>
      </c>
      <c r="G168" s="3">
        <v>33868</v>
      </c>
      <c r="H168" t="s">
        <v>1777</v>
      </c>
      <c r="I168">
        <v>93285775</v>
      </c>
      <c r="J168" t="s">
        <v>1358</v>
      </c>
      <c r="K168" t="s">
        <v>199</v>
      </c>
      <c r="L168" s="3">
        <v>72686</v>
      </c>
      <c r="M168" s="3">
        <v>72686</v>
      </c>
      <c r="N168" t="s">
        <v>1778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1779</v>
      </c>
      <c r="C169" t="s">
        <v>1776</v>
      </c>
      <c r="D169" s="3">
        <v>28695</v>
      </c>
      <c r="E169" t="s">
        <v>1173</v>
      </c>
      <c r="F169">
        <v>228</v>
      </c>
      <c r="G169" s="3">
        <v>42751</v>
      </c>
      <c r="H169" t="s">
        <v>1780</v>
      </c>
      <c r="J169" t="s">
        <v>1363</v>
      </c>
      <c r="K169" t="s">
        <v>191</v>
      </c>
      <c r="L169" s="3">
        <v>46754</v>
      </c>
      <c r="M169" s="3">
        <v>46960</v>
      </c>
      <c r="N169" t="s">
        <v>1781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1782</v>
      </c>
      <c r="C170" t="s">
        <v>1776</v>
      </c>
      <c r="D170" s="3">
        <v>23837</v>
      </c>
      <c r="E170" t="s">
        <v>1173</v>
      </c>
      <c r="F170">
        <v>511</v>
      </c>
      <c r="G170" s="3">
        <v>40679</v>
      </c>
      <c r="H170" t="s">
        <v>1783</v>
      </c>
      <c r="J170" t="s">
        <v>1396</v>
      </c>
      <c r="K170" t="s">
        <v>187</v>
      </c>
      <c r="L170" s="3">
        <v>46162</v>
      </c>
      <c r="M170" s="3">
        <v>47337</v>
      </c>
      <c r="N170" t="s">
        <v>1784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1785</v>
      </c>
      <c r="C171" t="s">
        <v>1776</v>
      </c>
      <c r="D171" s="3">
        <v>28068</v>
      </c>
      <c r="E171" t="s">
        <v>1173</v>
      </c>
      <c r="F171">
        <v>302</v>
      </c>
      <c r="G171" s="3">
        <v>39573</v>
      </c>
      <c r="H171" t="s">
        <v>1786</v>
      </c>
      <c r="J171" t="s">
        <v>1334</v>
      </c>
      <c r="K171" t="s">
        <v>199</v>
      </c>
      <c r="L171" s="3">
        <v>45886</v>
      </c>
      <c r="M171" s="3">
        <v>46797</v>
      </c>
      <c r="N171" t="s">
        <v>1787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1791</v>
      </c>
      <c r="C172" t="s">
        <v>1792</v>
      </c>
      <c r="D172" s="3">
        <v>30873</v>
      </c>
      <c r="E172" t="s">
        <v>1173</v>
      </c>
      <c r="F172">
        <v>292</v>
      </c>
      <c r="G172" s="3">
        <v>43178</v>
      </c>
      <c r="H172" t="s">
        <v>1793</v>
      </c>
      <c r="J172" t="s">
        <v>1351</v>
      </c>
      <c r="K172" t="s">
        <v>195</v>
      </c>
      <c r="L172" s="3">
        <v>46685</v>
      </c>
      <c r="M172" s="3">
        <v>46672</v>
      </c>
      <c r="N172" t="s">
        <v>1794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1795</v>
      </c>
      <c r="C173" t="s">
        <v>1796</v>
      </c>
      <c r="D173" s="3">
        <v>33204</v>
      </c>
      <c r="E173" t="s">
        <v>1173</v>
      </c>
      <c r="G173" s="3">
        <v>45770</v>
      </c>
      <c r="H173" t="s">
        <v>1797</v>
      </c>
      <c r="J173" t="s">
        <v>1181</v>
      </c>
      <c r="K173" t="s">
        <v>187</v>
      </c>
      <c r="L173" s="3">
        <v>47050</v>
      </c>
      <c r="M173" s="3">
        <v>47044</v>
      </c>
      <c r="N173" t="s">
        <v>1798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3191</v>
      </c>
      <c r="C174" t="s">
        <v>3407</v>
      </c>
      <c r="D174" s="3">
        <v>37796</v>
      </c>
      <c r="E174" t="s">
        <v>1173</v>
      </c>
      <c r="G174" s="3">
        <v>45853</v>
      </c>
      <c r="H174" t="s">
        <v>3408</v>
      </c>
      <c r="J174" t="s">
        <v>1181</v>
      </c>
      <c r="K174" t="s">
        <v>185</v>
      </c>
      <c r="L174" s="3">
        <v>1</v>
      </c>
      <c r="M174" s="3">
        <v>1</v>
      </c>
      <c r="N174" t="s">
        <v>3409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1799</v>
      </c>
      <c r="C175" t="s">
        <v>1800</v>
      </c>
      <c r="D175" s="3">
        <v>30034</v>
      </c>
      <c r="E175" t="s">
        <v>1173</v>
      </c>
      <c r="F175">
        <v>144</v>
      </c>
      <c r="G175" s="3">
        <v>41743</v>
      </c>
      <c r="H175" t="s">
        <v>1801</v>
      </c>
      <c r="J175" t="s">
        <v>1429</v>
      </c>
      <c r="K175" t="s">
        <v>187</v>
      </c>
      <c r="L175" s="3">
        <v>47216</v>
      </c>
      <c r="M175" s="3">
        <v>47195</v>
      </c>
      <c r="N175" t="s">
        <v>1802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1803</v>
      </c>
      <c r="C176" t="s">
        <v>1804</v>
      </c>
      <c r="D176" s="3">
        <v>28837</v>
      </c>
      <c r="E176" t="s">
        <v>1173</v>
      </c>
      <c r="G176" s="3">
        <v>45735</v>
      </c>
      <c r="H176" t="s">
        <v>1805</v>
      </c>
      <c r="J176" t="s">
        <v>1181</v>
      </c>
      <c r="K176" t="s">
        <v>187</v>
      </c>
      <c r="L176" s="3">
        <v>47579</v>
      </c>
      <c r="M176" s="3">
        <v>47460</v>
      </c>
      <c r="N176" t="s">
        <v>1806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1807</v>
      </c>
      <c r="C177" t="s">
        <v>1804</v>
      </c>
      <c r="D177" s="3">
        <v>29202</v>
      </c>
      <c r="E177" t="s">
        <v>1173</v>
      </c>
      <c r="F177">
        <v>105</v>
      </c>
      <c r="G177" s="3">
        <v>40525</v>
      </c>
      <c r="H177" t="s">
        <v>1808</v>
      </c>
      <c r="J177" t="s">
        <v>1429</v>
      </c>
      <c r="K177" t="s">
        <v>191</v>
      </c>
      <c r="L177" s="3">
        <v>45922</v>
      </c>
      <c r="M177" s="3">
        <v>45916</v>
      </c>
      <c r="N177" t="s">
        <v>1809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1810</v>
      </c>
      <c r="C178" t="s">
        <v>1811</v>
      </c>
      <c r="D178" s="3">
        <v>36632</v>
      </c>
      <c r="E178" t="s">
        <v>1173</v>
      </c>
      <c r="F178">
        <v>87</v>
      </c>
      <c r="G178" s="3">
        <v>45208</v>
      </c>
      <c r="H178" t="s">
        <v>1812</v>
      </c>
      <c r="J178" t="s">
        <v>1181</v>
      </c>
      <c r="K178" t="s">
        <v>189</v>
      </c>
      <c r="L178" s="3">
        <v>47049</v>
      </c>
      <c r="M178" s="3">
        <v>46981</v>
      </c>
      <c r="N178" t="s">
        <v>1813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1814</v>
      </c>
      <c r="C179" t="s">
        <v>1815</v>
      </c>
      <c r="D179" s="3">
        <v>34483</v>
      </c>
      <c r="E179" t="s">
        <v>1173</v>
      </c>
      <c r="F179">
        <v>111</v>
      </c>
      <c r="G179" s="3">
        <v>42863</v>
      </c>
      <c r="H179" t="s">
        <v>1816</v>
      </c>
      <c r="J179" t="s">
        <v>1396</v>
      </c>
      <c r="K179" t="s">
        <v>191</v>
      </c>
      <c r="L179" s="3">
        <v>46488</v>
      </c>
      <c r="M179" s="3">
        <v>46469</v>
      </c>
      <c r="N179" t="s">
        <v>1817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1822</v>
      </c>
      <c r="C180" t="s">
        <v>1819</v>
      </c>
      <c r="D180" s="3">
        <v>28038</v>
      </c>
      <c r="E180" t="s">
        <v>1173</v>
      </c>
      <c r="F180">
        <v>534</v>
      </c>
      <c r="G180" s="3">
        <v>35948</v>
      </c>
      <c r="H180" t="s">
        <v>1823</v>
      </c>
      <c r="J180" t="s">
        <v>1396</v>
      </c>
      <c r="K180" t="s">
        <v>187</v>
      </c>
      <c r="L180" s="3">
        <v>45928</v>
      </c>
      <c r="M180" s="3">
        <v>46623</v>
      </c>
      <c r="N180" t="s">
        <v>1824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1818</v>
      </c>
      <c r="C181" t="s">
        <v>1819</v>
      </c>
      <c r="D181" s="3">
        <v>25346</v>
      </c>
      <c r="E181" t="s">
        <v>1173</v>
      </c>
      <c r="F181">
        <v>39</v>
      </c>
      <c r="G181" s="3">
        <v>40861</v>
      </c>
      <c r="H181" t="s">
        <v>1820</v>
      </c>
      <c r="J181" t="s">
        <v>1489</v>
      </c>
      <c r="K181" t="s">
        <v>185</v>
      </c>
      <c r="L181" s="3">
        <v>46259</v>
      </c>
      <c r="M181" s="3">
        <v>46210</v>
      </c>
      <c r="N181" t="s">
        <v>1821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1825</v>
      </c>
      <c r="C182" t="s">
        <v>1826</v>
      </c>
      <c r="D182" s="3">
        <v>29494</v>
      </c>
      <c r="E182" t="s">
        <v>1173</v>
      </c>
      <c r="F182">
        <v>619</v>
      </c>
      <c r="G182" s="3">
        <v>41722</v>
      </c>
      <c r="H182" t="s">
        <v>1827</v>
      </c>
      <c r="J182" t="s">
        <v>1284</v>
      </c>
      <c r="K182" t="s">
        <v>189</v>
      </c>
      <c r="L182" s="3">
        <v>47108</v>
      </c>
      <c r="M182" s="3">
        <v>47034</v>
      </c>
      <c r="N182" t="s">
        <v>1828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3410</v>
      </c>
      <c r="C183" t="s">
        <v>3411</v>
      </c>
      <c r="D183" s="3">
        <v>28657</v>
      </c>
      <c r="E183" t="s">
        <v>1173</v>
      </c>
      <c r="G183" s="3">
        <v>45860</v>
      </c>
      <c r="H183" t="s">
        <v>3412</v>
      </c>
      <c r="J183" t="s">
        <v>1181</v>
      </c>
      <c r="K183" t="s">
        <v>199</v>
      </c>
      <c r="L183" s="3">
        <v>1</v>
      </c>
      <c r="M183" s="3">
        <v>1</v>
      </c>
      <c r="N183" t="s">
        <v>3413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1829</v>
      </c>
      <c r="C184" t="s">
        <v>1830</v>
      </c>
      <c r="D184" s="3">
        <v>28723</v>
      </c>
      <c r="E184" t="s">
        <v>1173</v>
      </c>
      <c r="G184" s="3">
        <v>45364</v>
      </c>
      <c r="H184" t="s">
        <v>3414</v>
      </c>
      <c r="J184" t="s">
        <v>1181</v>
      </c>
      <c r="K184" t="s">
        <v>185</v>
      </c>
      <c r="L184" s="3">
        <v>47210</v>
      </c>
      <c r="M184" s="3">
        <v>47092</v>
      </c>
      <c r="N184" t="s">
        <v>1831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1832</v>
      </c>
      <c r="C185" t="s">
        <v>1833</v>
      </c>
      <c r="D185" s="3">
        <v>36719</v>
      </c>
      <c r="E185" t="s">
        <v>1173</v>
      </c>
      <c r="G185" s="3">
        <v>45618</v>
      </c>
      <c r="H185" t="s">
        <v>1834</v>
      </c>
      <c r="J185" t="s">
        <v>1181</v>
      </c>
      <c r="K185" t="s">
        <v>189</v>
      </c>
      <c r="L185" s="3">
        <v>47462</v>
      </c>
      <c r="M185" s="3">
        <v>47433</v>
      </c>
      <c r="N185" t="s">
        <v>1835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1836</v>
      </c>
      <c r="C186" t="s">
        <v>1837</v>
      </c>
      <c r="D186" s="3">
        <v>28962</v>
      </c>
      <c r="E186" t="s">
        <v>1173</v>
      </c>
      <c r="F186">
        <v>419</v>
      </c>
      <c r="G186" s="3">
        <v>42604</v>
      </c>
      <c r="H186" t="s">
        <v>1838</v>
      </c>
      <c r="I186">
        <v>486365426</v>
      </c>
      <c r="J186" t="s">
        <v>1205</v>
      </c>
      <c r="K186" t="s">
        <v>191</v>
      </c>
      <c r="L186" s="3">
        <v>46316</v>
      </c>
      <c r="M186" s="3">
        <v>46181</v>
      </c>
      <c r="N186" t="s">
        <v>1839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1840</v>
      </c>
      <c r="C187" t="s">
        <v>1841</v>
      </c>
      <c r="D187" s="3">
        <v>31809</v>
      </c>
      <c r="E187" t="s">
        <v>1173</v>
      </c>
      <c r="F187">
        <v>41</v>
      </c>
      <c r="G187" s="3">
        <v>41701</v>
      </c>
      <c r="H187" t="s">
        <v>1842</v>
      </c>
      <c r="J187" t="s">
        <v>1351</v>
      </c>
      <c r="K187" t="s">
        <v>197</v>
      </c>
      <c r="L187" s="3">
        <v>47128</v>
      </c>
      <c r="M187" s="3">
        <v>47077</v>
      </c>
      <c r="N187" t="s">
        <v>1843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1851</v>
      </c>
      <c r="C188" t="s">
        <v>1845</v>
      </c>
      <c r="D188" s="3">
        <v>27991</v>
      </c>
      <c r="E188" t="s">
        <v>1173</v>
      </c>
      <c r="F188">
        <v>333</v>
      </c>
      <c r="G188" s="3">
        <v>36388</v>
      </c>
      <c r="H188" t="s">
        <v>1852</v>
      </c>
      <c r="I188">
        <v>92324068</v>
      </c>
      <c r="J188" t="s">
        <v>1288</v>
      </c>
      <c r="K188" t="s">
        <v>197</v>
      </c>
      <c r="L188" s="3">
        <v>47639</v>
      </c>
      <c r="M188" s="3">
        <v>46974</v>
      </c>
      <c r="N188" t="s">
        <v>1853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1844</v>
      </c>
      <c r="C189" t="s">
        <v>1845</v>
      </c>
      <c r="D189" s="3">
        <v>29705</v>
      </c>
      <c r="E189" t="s">
        <v>1173</v>
      </c>
      <c r="G189" s="3">
        <v>44704</v>
      </c>
      <c r="H189" t="s">
        <v>1846</v>
      </c>
      <c r="J189" t="s">
        <v>1191</v>
      </c>
      <c r="K189" t="s">
        <v>197</v>
      </c>
      <c r="L189" s="3">
        <v>46546</v>
      </c>
      <c r="M189" s="3">
        <v>46497</v>
      </c>
      <c r="N189" t="s">
        <v>1847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1848</v>
      </c>
      <c r="C190" t="s">
        <v>1845</v>
      </c>
      <c r="D190" s="3">
        <v>27833</v>
      </c>
      <c r="E190" t="s">
        <v>1173</v>
      </c>
      <c r="G190" s="3">
        <v>44333</v>
      </c>
      <c r="H190" t="s">
        <v>1849</v>
      </c>
      <c r="J190" t="s">
        <v>1363</v>
      </c>
      <c r="K190" t="s">
        <v>191</v>
      </c>
      <c r="L190" s="3">
        <v>46175</v>
      </c>
      <c r="M190" s="3">
        <v>45936</v>
      </c>
      <c r="N190" t="s">
        <v>1850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1854</v>
      </c>
      <c r="C191" t="s">
        <v>1855</v>
      </c>
      <c r="D191" s="3">
        <v>34724</v>
      </c>
      <c r="E191" t="s">
        <v>1173</v>
      </c>
      <c r="G191" s="3">
        <v>45763</v>
      </c>
      <c r="H191" t="s">
        <v>1856</v>
      </c>
      <c r="J191" t="s">
        <v>1181</v>
      </c>
      <c r="K191" t="s">
        <v>189</v>
      </c>
      <c r="L191" s="3">
        <v>47611</v>
      </c>
      <c r="M191" s="3">
        <v>47561</v>
      </c>
      <c r="N191" t="s">
        <v>1857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1858</v>
      </c>
      <c r="C192" t="s">
        <v>1855</v>
      </c>
      <c r="D192" s="3">
        <v>28234</v>
      </c>
      <c r="E192" t="s">
        <v>1427</v>
      </c>
      <c r="F192">
        <v>62</v>
      </c>
      <c r="G192" s="3">
        <v>42758</v>
      </c>
      <c r="H192" t="s">
        <v>1859</v>
      </c>
      <c r="J192" t="s">
        <v>1351</v>
      </c>
      <c r="K192" t="s">
        <v>185</v>
      </c>
      <c r="L192" s="3">
        <v>46330</v>
      </c>
      <c r="M192" s="3">
        <v>46320</v>
      </c>
      <c r="N192" t="s">
        <v>1860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1861</v>
      </c>
      <c r="C193" t="s">
        <v>1862</v>
      </c>
      <c r="D193" s="3">
        <v>31961</v>
      </c>
      <c r="E193" t="s">
        <v>1173</v>
      </c>
      <c r="G193" s="3">
        <v>45530</v>
      </c>
      <c r="H193" t="s">
        <v>1863</v>
      </c>
      <c r="J193" t="s">
        <v>1181</v>
      </c>
      <c r="K193" t="s">
        <v>185</v>
      </c>
      <c r="L193" s="3">
        <v>47463</v>
      </c>
      <c r="M193" s="3">
        <v>46678</v>
      </c>
      <c r="N193" t="s">
        <v>1864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1865</v>
      </c>
      <c r="C194" t="s">
        <v>1866</v>
      </c>
      <c r="D194" s="3">
        <v>37200</v>
      </c>
      <c r="E194" t="s">
        <v>1173</v>
      </c>
      <c r="G194" s="3">
        <v>44683</v>
      </c>
      <c r="H194" t="s">
        <v>1867</v>
      </c>
      <c r="J194" t="s">
        <v>1181</v>
      </c>
      <c r="K194" t="s">
        <v>191</v>
      </c>
      <c r="L194" s="3">
        <v>46524</v>
      </c>
      <c r="M194" s="3">
        <v>46476</v>
      </c>
      <c r="N194" t="s">
        <v>1868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1869</v>
      </c>
      <c r="C195" t="s">
        <v>1870</v>
      </c>
      <c r="D195" s="3">
        <v>25363</v>
      </c>
      <c r="E195" t="s">
        <v>1173</v>
      </c>
      <c r="F195">
        <v>560</v>
      </c>
      <c r="G195" s="3">
        <v>38019</v>
      </c>
      <c r="H195" t="s">
        <v>1871</v>
      </c>
      <c r="J195" t="s">
        <v>1292</v>
      </c>
      <c r="K195" t="s">
        <v>191</v>
      </c>
      <c r="L195" s="3">
        <v>45865</v>
      </c>
      <c r="M195" s="3">
        <v>46827</v>
      </c>
      <c r="N195" t="s">
        <v>1872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1873</v>
      </c>
      <c r="C196" t="s">
        <v>1874</v>
      </c>
      <c r="D196" s="3">
        <v>29763</v>
      </c>
      <c r="E196" t="s">
        <v>1173</v>
      </c>
      <c r="G196" s="3">
        <v>45076</v>
      </c>
      <c r="H196" t="s">
        <v>1875</v>
      </c>
      <c r="J196" t="s">
        <v>1181</v>
      </c>
      <c r="K196" t="s">
        <v>189</v>
      </c>
      <c r="L196" s="3">
        <v>47048</v>
      </c>
      <c r="M196" s="3">
        <v>46959</v>
      </c>
      <c r="N196" t="s">
        <v>1876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1877</v>
      </c>
      <c r="C197" t="s">
        <v>1874</v>
      </c>
      <c r="D197" s="3">
        <v>29946</v>
      </c>
      <c r="E197" t="s">
        <v>1173</v>
      </c>
      <c r="G197" s="3">
        <v>44795</v>
      </c>
      <c r="H197" t="s">
        <v>1878</v>
      </c>
      <c r="J197" t="s">
        <v>1176</v>
      </c>
      <c r="K197" t="s">
        <v>191</v>
      </c>
      <c r="L197" s="3">
        <v>46637</v>
      </c>
      <c r="M197" s="3">
        <v>46504</v>
      </c>
      <c r="N197" t="s">
        <v>1879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1880</v>
      </c>
      <c r="C198" t="s">
        <v>1874</v>
      </c>
      <c r="D198" s="3">
        <v>35810</v>
      </c>
      <c r="E198" t="s">
        <v>1173</v>
      </c>
      <c r="G198" s="3">
        <v>44655</v>
      </c>
      <c r="H198" t="s">
        <v>1881</v>
      </c>
      <c r="J198" t="s">
        <v>1181</v>
      </c>
      <c r="K198" t="s">
        <v>195</v>
      </c>
      <c r="L198" s="3">
        <v>46497</v>
      </c>
      <c r="M198" s="3">
        <v>46445</v>
      </c>
      <c r="N198" t="s">
        <v>1882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1883</v>
      </c>
      <c r="C199" t="s">
        <v>1874</v>
      </c>
      <c r="D199" s="3">
        <v>31020</v>
      </c>
      <c r="E199" t="s">
        <v>1173</v>
      </c>
      <c r="F199">
        <v>450</v>
      </c>
      <c r="G199" s="3">
        <v>43850</v>
      </c>
      <c r="H199" t="s">
        <v>1884</v>
      </c>
      <c r="J199" t="s">
        <v>1191</v>
      </c>
      <c r="K199" t="s">
        <v>187</v>
      </c>
      <c r="L199" s="3">
        <v>47239</v>
      </c>
      <c r="M199" s="3">
        <v>47237</v>
      </c>
      <c r="N199" t="s">
        <v>1885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1799</v>
      </c>
      <c r="C200" t="s">
        <v>1874</v>
      </c>
      <c r="D200" s="3">
        <v>25613</v>
      </c>
      <c r="E200" t="s">
        <v>1173</v>
      </c>
      <c r="F200">
        <v>51</v>
      </c>
      <c r="G200" s="3">
        <v>42429</v>
      </c>
      <c r="H200" t="s">
        <v>1886</v>
      </c>
      <c r="J200" t="s">
        <v>1351</v>
      </c>
      <c r="K200" t="s">
        <v>195</v>
      </c>
      <c r="L200" s="3">
        <v>45966</v>
      </c>
      <c r="M200" s="3">
        <v>45958</v>
      </c>
      <c r="N200" t="s">
        <v>1887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1888</v>
      </c>
      <c r="C201" t="s">
        <v>1874</v>
      </c>
      <c r="D201" s="3">
        <v>30706</v>
      </c>
      <c r="E201" t="s">
        <v>1173</v>
      </c>
      <c r="F201">
        <v>427</v>
      </c>
      <c r="G201" s="3">
        <v>39895</v>
      </c>
      <c r="H201" t="s">
        <v>1889</v>
      </c>
      <c r="J201" t="s">
        <v>1334</v>
      </c>
      <c r="K201" t="s">
        <v>189</v>
      </c>
      <c r="L201" s="3">
        <v>46985</v>
      </c>
      <c r="M201" s="3">
        <v>46981</v>
      </c>
      <c r="N201" t="s">
        <v>1890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1891</v>
      </c>
      <c r="C202" t="s">
        <v>1892</v>
      </c>
      <c r="D202" s="3">
        <v>33643</v>
      </c>
      <c r="E202" t="s">
        <v>1173</v>
      </c>
      <c r="F202">
        <v>388</v>
      </c>
      <c r="G202" s="3">
        <v>42023</v>
      </c>
      <c r="H202" t="s">
        <v>1893</v>
      </c>
      <c r="J202" t="s">
        <v>1176</v>
      </c>
      <c r="K202" t="s">
        <v>189</v>
      </c>
      <c r="L202" s="3">
        <v>47399</v>
      </c>
      <c r="M202" s="3">
        <v>47369</v>
      </c>
      <c r="N202" t="s">
        <v>1894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1877</v>
      </c>
      <c r="C203" t="s">
        <v>1895</v>
      </c>
      <c r="D203" s="3">
        <v>31706</v>
      </c>
      <c r="E203" t="s">
        <v>1173</v>
      </c>
      <c r="F203">
        <v>36</v>
      </c>
      <c r="G203" s="3">
        <v>40658</v>
      </c>
      <c r="H203" t="s">
        <v>1896</v>
      </c>
      <c r="J203" t="s">
        <v>1262</v>
      </c>
      <c r="K203" t="s">
        <v>191</v>
      </c>
      <c r="L203" s="3">
        <v>72686</v>
      </c>
      <c r="M203" s="3">
        <v>46838</v>
      </c>
      <c r="N203" t="s">
        <v>1897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1898</v>
      </c>
      <c r="C204" t="s">
        <v>1895</v>
      </c>
      <c r="D204" s="3">
        <v>28705</v>
      </c>
      <c r="E204" t="s">
        <v>1173</v>
      </c>
      <c r="F204">
        <v>244</v>
      </c>
      <c r="G204" s="3">
        <v>39272</v>
      </c>
      <c r="H204" t="s">
        <v>1899</v>
      </c>
      <c r="J204" t="s">
        <v>1199</v>
      </c>
      <c r="K204" t="s">
        <v>193</v>
      </c>
      <c r="L204" s="3">
        <v>46680</v>
      </c>
      <c r="M204" s="3">
        <v>46679</v>
      </c>
      <c r="N204" t="s">
        <v>1900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1901</v>
      </c>
      <c r="C205" t="s">
        <v>1902</v>
      </c>
      <c r="D205" s="3">
        <v>35158</v>
      </c>
      <c r="E205" t="s">
        <v>1173</v>
      </c>
      <c r="G205" s="3">
        <v>45264</v>
      </c>
      <c r="H205" t="s">
        <v>1903</v>
      </c>
      <c r="J205" t="s">
        <v>1181</v>
      </c>
      <c r="K205" t="s">
        <v>193</v>
      </c>
      <c r="L205" s="3">
        <v>47106</v>
      </c>
      <c r="M205" s="3">
        <v>47072</v>
      </c>
      <c r="N205" t="s">
        <v>1904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1905</v>
      </c>
      <c r="C206" t="s">
        <v>1906</v>
      </c>
      <c r="D206" s="3">
        <v>31149</v>
      </c>
      <c r="E206" t="s">
        <v>1173</v>
      </c>
      <c r="F206">
        <v>163</v>
      </c>
      <c r="G206" s="3">
        <v>43605</v>
      </c>
      <c r="H206" t="s">
        <v>1907</v>
      </c>
      <c r="J206" t="s">
        <v>1205</v>
      </c>
      <c r="K206" t="s">
        <v>195</v>
      </c>
      <c r="L206" s="3">
        <v>47162</v>
      </c>
      <c r="M206" s="3">
        <v>47126</v>
      </c>
      <c r="N206" t="s">
        <v>1908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1909</v>
      </c>
      <c r="C207" t="s">
        <v>1910</v>
      </c>
      <c r="D207" s="3">
        <v>34795</v>
      </c>
      <c r="E207" t="s">
        <v>1173</v>
      </c>
      <c r="G207" s="3">
        <v>45027</v>
      </c>
      <c r="H207" t="s">
        <v>1911</v>
      </c>
      <c r="J207" t="s">
        <v>1181</v>
      </c>
      <c r="K207" t="s">
        <v>197</v>
      </c>
      <c r="L207" s="3">
        <v>46874</v>
      </c>
      <c r="M207" s="3">
        <v>46774</v>
      </c>
      <c r="N207" t="s">
        <v>1912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1913</v>
      </c>
      <c r="C208" t="s">
        <v>1914</v>
      </c>
      <c r="D208" s="3">
        <v>33855</v>
      </c>
      <c r="E208" t="s">
        <v>1173</v>
      </c>
      <c r="G208" s="3">
        <v>45250</v>
      </c>
      <c r="H208" t="s">
        <v>1915</v>
      </c>
      <c r="J208" t="s">
        <v>1181</v>
      </c>
      <c r="K208" t="s">
        <v>187</v>
      </c>
      <c r="L208" s="3">
        <v>47093</v>
      </c>
      <c r="M208" s="3">
        <v>47051</v>
      </c>
      <c r="N208" t="s">
        <v>1916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1917</v>
      </c>
      <c r="C209" t="s">
        <v>1918</v>
      </c>
      <c r="D209" s="3">
        <v>35029</v>
      </c>
      <c r="E209" t="s">
        <v>1173</v>
      </c>
      <c r="G209" s="3">
        <v>44571</v>
      </c>
      <c r="H209" t="s">
        <v>1919</v>
      </c>
      <c r="J209" t="s">
        <v>1252</v>
      </c>
      <c r="K209" t="s">
        <v>187</v>
      </c>
      <c r="L209" s="3">
        <v>46411</v>
      </c>
      <c r="M209" s="3">
        <v>46340</v>
      </c>
      <c r="N209" t="s">
        <v>1920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1921</v>
      </c>
      <c r="C210" t="s">
        <v>1922</v>
      </c>
      <c r="D210" s="3">
        <v>31192</v>
      </c>
      <c r="E210" t="s">
        <v>1173</v>
      </c>
      <c r="F210">
        <v>385</v>
      </c>
      <c r="G210" s="3">
        <v>43724</v>
      </c>
      <c r="H210" t="s">
        <v>1923</v>
      </c>
      <c r="I210">
        <v>485827666</v>
      </c>
      <c r="J210" t="s">
        <v>1214</v>
      </c>
      <c r="K210" t="s">
        <v>199</v>
      </c>
      <c r="L210" s="3">
        <v>47280</v>
      </c>
      <c r="M210" s="3">
        <v>47216</v>
      </c>
      <c r="N210" t="s">
        <v>1924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1925</v>
      </c>
      <c r="C211" t="s">
        <v>1926</v>
      </c>
      <c r="D211" s="3">
        <v>29324</v>
      </c>
      <c r="E211" t="s">
        <v>1173</v>
      </c>
      <c r="F211">
        <v>441</v>
      </c>
      <c r="G211" s="3">
        <v>39496</v>
      </c>
      <c r="H211" t="s">
        <v>1927</v>
      </c>
      <c r="J211" t="s">
        <v>1262</v>
      </c>
      <c r="K211" t="s">
        <v>185</v>
      </c>
      <c r="L211" s="3">
        <v>72686</v>
      </c>
      <c r="M211" s="3">
        <v>46672</v>
      </c>
      <c r="N211" t="s">
        <v>1928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1188</v>
      </c>
      <c r="C212" t="s">
        <v>1929</v>
      </c>
      <c r="D212" s="3">
        <v>32970</v>
      </c>
      <c r="E212" t="s">
        <v>1173</v>
      </c>
      <c r="F212">
        <v>411</v>
      </c>
      <c r="G212" s="3">
        <v>40861</v>
      </c>
      <c r="I212">
        <v>485002480</v>
      </c>
      <c r="J212" t="s">
        <v>1429</v>
      </c>
      <c r="K212" t="s">
        <v>191</v>
      </c>
      <c r="L212" s="3">
        <v>45952</v>
      </c>
      <c r="M212" s="3">
        <v>45944</v>
      </c>
      <c r="N212" t="s">
        <v>1930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1931</v>
      </c>
      <c r="C213" t="s">
        <v>1932</v>
      </c>
      <c r="D213" s="3">
        <v>31775</v>
      </c>
      <c r="E213" t="s">
        <v>1173</v>
      </c>
      <c r="F213">
        <v>28</v>
      </c>
      <c r="G213" s="3">
        <v>45194</v>
      </c>
      <c r="H213" t="s">
        <v>1933</v>
      </c>
      <c r="J213" t="s">
        <v>1181</v>
      </c>
      <c r="K213" t="s">
        <v>189</v>
      </c>
      <c r="L213" s="3">
        <v>47036</v>
      </c>
      <c r="M213" s="3">
        <v>46946</v>
      </c>
      <c r="N213" t="s">
        <v>1934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1935</v>
      </c>
      <c r="C214" t="s">
        <v>1936</v>
      </c>
      <c r="D214" s="3">
        <v>28226</v>
      </c>
      <c r="E214" t="s">
        <v>1173</v>
      </c>
      <c r="F214">
        <v>33</v>
      </c>
      <c r="G214" s="3">
        <v>42643</v>
      </c>
      <c r="H214" t="s">
        <v>1937</v>
      </c>
      <c r="I214">
        <v>94306073</v>
      </c>
      <c r="J214" t="s">
        <v>1396</v>
      </c>
      <c r="K214" t="s">
        <v>195</v>
      </c>
      <c r="L214" s="3">
        <v>46286</v>
      </c>
      <c r="M214" s="3">
        <v>46187</v>
      </c>
      <c r="N214" t="s">
        <v>1938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1939</v>
      </c>
      <c r="C215" t="s">
        <v>1940</v>
      </c>
      <c r="D215" s="3">
        <v>27642</v>
      </c>
      <c r="E215" t="s">
        <v>1173</v>
      </c>
      <c r="F215">
        <v>17</v>
      </c>
      <c r="G215" s="3">
        <v>41680</v>
      </c>
      <c r="H215" t="s">
        <v>1941</v>
      </c>
      <c r="J215" t="s">
        <v>1351</v>
      </c>
      <c r="K215" t="s">
        <v>197</v>
      </c>
      <c r="L215" s="3">
        <v>47174</v>
      </c>
      <c r="M215" s="3">
        <v>47615</v>
      </c>
      <c r="N215" t="s">
        <v>1942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1943</v>
      </c>
      <c r="C216" t="s">
        <v>1944</v>
      </c>
      <c r="D216" s="3">
        <v>32073</v>
      </c>
      <c r="E216" t="s">
        <v>1173</v>
      </c>
      <c r="F216">
        <v>307</v>
      </c>
      <c r="G216" s="3">
        <v>40728</v>
      </c>
      <c r="H216" t="s">
        <v>1945</v>
      </c>
      <c r="J216" t="s">
        <v>1248</v>
      </c>
      <c r="K216" t="s">
        <v>191</v>
      </c>
      <c r="L216" s="3">
        <v>72686</v>
      </c>
      <c r="M216" s="3">
        <v>47135</v>
      </c>
      <c r="N216" t="s">
        <v>1946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1947</v>
      </c>
      <c r="C217" t="s">
        <v>1948</v>
      </c>
      <c r="D217" s="3">
        <v>37565</v>
      </c>
      <c r="E217" t="s">
        <v>1173</v>
      </c>
      <c r="G217" s="3">
        <v>45783</v>
      </c>
      <c r="H217" t="s">
        <v>1949</v>
      </c>
      <c r="J217" t="s">
        <v>1181</v>
      </c>
      <c r="K217" t="s">
        <v>199</v>
      </c>
      <c r="L217" s="3">
        <v>47629</v>
      </c>
      <c r="M217" s="3">
        <v>47596</v>
      </c>
      <c r="N217" t="s">
        <v>1950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1951</v>
      </c>
      <c r="C218" t="s">
        <v>1948</v>
      </c>
      <c r="D218" s="3">
        <v>36488</v>
      </c>
      <c r="E218" t="s">
        <v>1173</v>
      </c>
      <c r="G218" s="3">
        <v>44480</v>
      </c>
      <c r="H218" t="s">
        <v>1952</v>
      </c>
      <c r="J218" t="s">
        <v>1219</v>
      </c>
      <c r="K218" t="s">
        <v>185</v>
      </c>
      <c r="L218" s="3">
        <v>47338</v>
      </c>
      <c r="M218" s="3">
        <v>47350</v>
      </c>
      <c r="N218" t="s">
        <v>1953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3415</v>
      </c>
      <c r="C219" t="s">
        <v>1955</v>
      </c>
      <c r="D219" s="3">
        <v>34485</v>
      </c>
      <c r="E219" t="s">
        <v>1173</v>
      </c>
      <c r="G219" s="3">
        <v>45868</v>
      </c>
      <c r="H219" t="s">
        <v>3416</v>
      </c>
      <c r="J219" t="s">
        <v>1186</v>
      </c>
      <c r="K219" t="s">
        <v>189</v>
      </c>
      <c r="L219" s="3">
        <v>47428</v>
      </c>
      <c r="M219" s="3">
        <v>47243</v>
      </c>
      <c r="N219" t="s">
        <v>3417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3418</v>
      </c>
      <c r="C220" t="s">
        <v>1955</v>
      </c>
      <c r="D220" s="3">
        <v>32049</v>
      </c>
      <c r="E220" t="s">
        <v>1173</v>
      </c>
      <c r="G220" s="3">
        <v>45845</v>
      </c>
      <c r="H220" t="s">
        <v>3419</v>
      </c>
      <c r="J220" t="s">
        <v>1181</v>
      </c>
      <c r="K220" t="s">
        <v>189</v>
      </c>
      <c r="L220" s="3">
        <v>47688</v>
      </c>
      <c r="M220" s="3">
        <v>47616</v>
      </c>
      <c r="N220" t="s">
        <v>3420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1954</v>
      </c>
      <c r="C221" t="s">
        <v>1955</v>
      </c>
      <c r="D221" s="3">
        <v>30571</v>
      </c>
      <c r="E221" t="s">
        <v>1173</v>
      </c>
      <c r="F221">
        <v>309</v>
      </c>
      <c r="G221" s="3">
        <v>39286</v>
      </c>
      <c r="H221" t="s">
        <v>1956</v>
      </c>
      <c r="J221" t="s">
        <v>1199</v>
      </c>
      <c r="K221" t="s">
        <v>195</v>
      </c>
      <c r="L221" s="3">
        <v>72686</v>
      </c>
      <c r="M221" s="3">
        <v>46504</v>
      </c>
      <c r="N221" t="s">
        <v>1957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1958</v>
      </c>
      <c r="C222" t="s">
        <v>1959</v>
      </c>
      <c r="D222" s="3">
        <v>31035</v>
      </c>
      <c r="E222" t="s">
        <v>1173</v>
      </c>
      <c r="F222">
        <v>119</v>
      </c>
      <c r="G222" s="3">
        <v>40771</v>
      </c>
      <c r="H222" t="s">
        <v>1960</v>
      </c>
      <c r="J222" t="s">
        <v>1288</v>
      </c>
      <c r="K222" t="s">
        <v>189</v>
      </c>
      <c r="L222" s="3">
        <v>46085</v>
      </c>
      <c r="M222" s="3">
        <v>46028</v>
      </c>
      <c r="N222" t="s">
        <v>1961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1962</v>
      </c>
      <c r="C223" t="s">
        <v>1963</v>
      </c>
      <c r="D223" s="3">
        <v>34219</v>
      </c>
      <c r="E223" t="s">
        <v>1173</v>
      </c>
      <c r="F223">
        <v>238</v>
      </c>
      <c r="G223" s="3">
        <v>42863</v>
      </c>
      <c r="H223" t="s">
        <v>1964</v>
      </c>
      <c r="J223" t="s">
        <v>1219</v>
      </c>
      <c r="K223" t="s">
        <v>191</v>
      </c>
      <c r="L223" s="3">
        <v>46377</v>
      </c>
      <c r="M223" s="3">
        <v>46369</v>
      </c>
      <c r="N223" t="s">
        <v>1965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1966</v>
      </c>
      <c r="C224" t="s">
        <v>1967</v>
      </c>
      <c r="D224" s="3">
        <v>30190</v>
      </c>
      <c r="E224" t="s">
        <v>1173</v>
      </c>
      <c r="F224">
        <v>13</v>
      </c>
      <c r="G224" s="3">
        <v>42618</v>
      </c>
      <c r="H224" t="s">
        <v>1968</v>
      </c>
      <c r="J224" t="s">
        <v>1205</v>
      </c>
      <c r="K224" t="s">
        <v>193</v>
      </c>
      <c r="L224" s="3">
        <v>46218</v>
      </c>
      <c r="M224" s="3">
        <v>46182</v>
      </c>
      <c r="N224" t="s">
        <v>1969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1970</v>
      </c>
      <c r="C225" t="s">
        <v>1971</v>
      </c>
      <c r="D225" s="3">
        <v>24757</v>
      </c>
      <c r="E225" t="s">
        <v>1173</v>
      </c>
      <c r="F225">
        <v>96</v>
      </c>
      <c r="G225" s="3">
        <v>41253</v>
      </c>
      <c r="H225" t="s">
        <v>1972</v>
      </c>
      <c r="J225" t="s">
        <v>1248</v>
      </c>
      <c r="K225" t="s">
        <v>193</v>
      </c>
      <c r="L225" s="3">
        <v>46735</v>
      </c>
      <c r="M225" s="3">
        <v>46254</v>
      </c>
      <c r="N225" t="s">
        <v>1973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1974</v>
      </c>
      <c r="C226" t="s">
        <v>1975</v>
      </c>
      <c r="D226" s="3">
        <v>28898</v>
      </c>
      <c r="E226" t="s">
        <v>1173</v>
      </c>
      <c r="G226" s="3">
        <v>45481</v>
      </c>
      <c r="H226" t="s">
        <v>1976</v>
      </c>
      <c r="J226" t="s">
        <v>1181</v>
      </c>
      <c r="K226" t="s">
        <v>185</v>
      </c>
      <c r="L226" s="3">
        <v>45959</v>
      </c>
      <c r="M226" s="3">
        <v>45923</v>
      </c>
      <c r="N226" t="s">
        <v>1977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1978</v>
      </c>
      <c r="C227" t="s">
        <v>1979</v>
      </c>
      <c r="D227" s="3">
        <v>33333</v>
      </c>
      <c r="E227" t="s">
        <v>1173</v>
      </c>
      <c r="G227" s="3">
        <v>45335</v>
      </c>
      <c r="H227" t="s">
        <v>1980</v>
      </c>
      <c r="J227" t="s">
        <v>1181</v>
      </c>
      <c r="K227" t="s">
        <v>189</v>
      </c>
      <c r="L227" s="3">
        <v>47181</v>
      </c>
      <c r="M227" s="3">
        <v>47143</v>
      </c>
      <c r="N227" t="s">
        <v>1981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1982</v>
      </c>
      <c r="C228" t="s">
        <v>1979</v>
      </c>
      <c r="D228" s="3">
        <v>33185</v>
      </c>
      <c r="E228" t="s">
        <v>1173</v>
      </c>
      <c r="G228" s="3">
        <v>44823</v>
      </c>
      <c r="H228" t="s">
        <v>1983</v>
      </c>
      <c r="J228" t="s">
        <v>1191</v>
      </c>
      <c r="K228" t="s">
        <v>199</v>
      </c>
      <c r="L228" s="3">
        <v>46664</v>
      </c>
      <c r="M228" s="3">
        <v>46518</v>
      </c>
      <c r="N228" t="s">
        <v>1984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1985</v>
      </c>
      <c r="C229" t="s">
        <v>1986</v>
      </c>
      <c r="D229" s="3">
        <v>24630</v>
      </c>
      <c r="E229" t="s">
        <v>1173</v>
      </c>
      <c r="F229">
        <v>403</v>
      </c>
      <c r="G229" s="3">
        <v>39300</v>
      </c>
      <c r="H229" t="s">
        <v>1987</v>
      </c>
      <c r="I229">
        <v>93285584</v>
      </c>
      <c r="J229" t="s">
        <v>1199</v>
      </c>
      <c r="K229" t="s">
        <v>199</v>
      </c>
      <c r="L229" s="3">
        <v>72686</v>
      </c>
      <c r="M229" s="3">
        <v>46476</v>
      </c>
      <c r="N229" t="s">
        <v>1988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1791</v>
      </c>
      <c r="C230" t="s">
        <v>1989</v>
      </c>
      <c r="D230" s="3">
        <v>30289</v>
      </c>
      <c r="E230" t="s">
        <v>1173</v>
      </c>
      <c r="F230">
        <v>455</v>
      </c>
      <c r="G230" s="3">
        <v>42051</v>
      </c>
      <c r="H230" t="s">
        <v>1990</v>
      </c>
      <c r="J230" t="s">
        <v>1252</v>
      </c>
      <c r="K230" t="s">
        <v>185</v>
      </c>
      <c r="L230" s="3">
        <v>47471</v>
      </c>
      <c r="M230" s="3">
        <v>47462</v>
      </c>
      <c r="N230" t="s">
        <v>1991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1637</v>
      </c>
      <c r="C231" t="s">
        <v>1992</v>
      </c>
      <c r="D231" s="3">
        <v>37138</v>
      </c>
      <c r="E231" t="s">
        <v>1173</v>
      </c>
      <c r="G231" s="3">
        <v>45544</v>
      </c>
      <c r="H231" t="s">
        <v>1993</v>
      </c>
      <c r="J231" t="s">
        <v>1181</v>
      </c>
      <c r="K231" t="s">
        <v>199</v>
      </c>
      <c r="L231" s="3">
        <v>47390</v>
      </c>
      <c r="M231" s="3">
        <v>47357</v>
      </c>
      <c r="N231" t="s">
        <v>1994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1995</v>
      </c>
      <c r="C232" t="s">
        <v>1996</v>
      </c>
      <c r="D232" s="3">
        <v>36459</v>
      </c>
      <c r="E232" t="s">
        <v>1173</v>
      </c>
      <c r="F232">
        <v>421</v>
      </c>
      <c r="G232" s="3">
        <v>43892</v>
      </c>
      <c r="H232" t="s">
        <v>1997</v>
      </c>
      <c r="J232" t="s">
        <v>1214</v>
      </c>
      <c r="K232" t="s">
        <v>197</v>
      </c>
      <c r="L232" s="3">
        <v>47611</v>
      </c>
      <c r="M232" s="3">
        <v>47441</v>
      </c>
      <c r="N232" t="s">
        <v>1998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1999</v>
      </c>
      <c r="C233" t="s">
        <v>2000</v>
      </c>
      <c r="D233" s="3">
        <v>29117</v>
      </c>
      <c r="E233" t="s">
        <v>1173</v>
      </c>
      <c r="G233" s="3">
        <v>44585</v>
      </c>
      <c r="H233" t="s">
        <v>2001</v>
      </c>
      <c r="J233" t="s">
        <v>1186</v>
      </c>
      <c r="K233" t="s">
        <v>195</v>
      </c>
      <c r="L233" s="3">
        <v>46431</v>
      </c>
      <c r="M233" s="3">
        <v>46210</v>
      </c>
      <c r="N233" t="s">
        <v>2002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2003</v>
      </c>
      <c r="C234" t="s">
        <v>2004</v>
      </c>
      <c r="D234" s="3">
        <v>27618</v>
      </c>
      <c r="E234" t="s">
        <v>1173</v>
      </c>
      <c r="G234" s="3">
        <v>44704</v>
      </c>
      <c r="H234" t="s">
        <v>2005</v>
      </c>
      <c r="J234" t="s">
        <v>1186</v>
      </c>
      <c r="K234" t="s">
        <v>187</v>
      </c>
      <c r="L234" s="3">
        <v>46546</v>
      </c>
      <c r="M234" s="3">
        <v>46431</v>
      </c>
      <c r="N234" t="s">
        <v>2006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2007</v>
      </c>
      <c r="C235" t="s">
        <v>2008</v>
      </c>
      <c r="D235" s="3">
        <v>25181</v>
      </c>
      <c r="E235" t="s">
        <v>1173</v>
      </c>
      <c r="F235">
        <v>269</v>
      </c>
      <c r="G235" s="3">
        <v>42877</v>
      </c>
      <c r="H235" t="s">
        <v>2009</v>
      </c>
      <c r="I235" t="s">
        <v>2010</v>
      </c>
      <c r="J235" t="s">
        <v>1363</v>
      </c>
      <c r="K235" t="s">
        <v>185</v>
      </c>
      <c r="L235" s="3">
        <v>46454</v>
      </c>
      <c r="M235" s="3">
        <v>47470</v>
      </c>
      <c r="N235" t="s">
        <v>2011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2012</v>
      </c>
      <c r="C236" t="s">
        <v>2013</v>
      </c>
      <c r="D236" s="3">
        <v>33578</v>
      </c>
      <c r="E236" t="s">
        <v>1173</v>
      </c>
      <c r="F236">
        <v>114</v>
      </c>
      <c r="G236" s="3">
        <v>43944</v>
      </c>
      <c r="H236" t="s">
        <v>2014</v>
      </c>
      <c r="I236">
        <v>92788949</v>
      </c>
      <c r="J236" t="s">
        <v>1191</v>
      </c>
      <c r="K236" t="s">
        <v>191</v>
      </c>
      <c r="L236" s="3">
        <v>46384</v>
      </c>
      <c r="M236" s="3">
        <v>46378</v>
      </c>
      <c r="N236" t="s">
        <v>2015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2016</v>
      </c>
      <c r="C237" t="s">
        <v>2017</v>
      </c>
      <c r="D237" s="3">
        <v>30867</v>
      </c>
      <c r="E237" t="s">
        <v>1173</v>
      </c>
      <c r="F237">
        <v>268</v>
      </c>
      <c r="G237" s="3">
        <v>43514</v>
      </c>
      <c r="H237" t="s">
        <v>2018</v>
      </c>
      <c r="J237" t="s">
        <v>1191</v>
      </c>
      <c r="K237" t="s">
        <v>195</v>
      </c>
      <c r="L237" s="3">
        <v>47135</v>
      </c>
      <c r="M237" s="3">
        <v>47072</v>
      </c>
      <c r="N237" t="s">
        <v>2019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2020</v>
      </c>
      <c r="C238" t="s">
        <v>2017</v>
      </c>
      <c r="D238" s="3">
        <v>34452</v>
      </c>
      <c r="E238" t="s">
        <v>1173</v>
      </c>
      <c r="F238">
        <v>374</v>
      </c>
      <c r="G238" s="3">
        <v>42324</v>
      </c>
      <c r="H238" t="s">
        <v>2021</v>
      </c>
      <c r="K238" t="s">
        <v>197</v>
      </c>
      <c r="L238" s="3">
        <v>45993</v>
      </c>
      <c r="M238" s="3">
        <v>45993</v>
      </c>
      <c r="N238" t="s">
        <v>2022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2023</v>
      </c>
      <c r="C239" t="s">
        <v>2024</v>
      </c>
      <c r="D239" s="3">
        <v>32105</v>
      </c>
      <c r="E239" t="s">
        <v>1173</v>
      </c>
      <c r="G239" s="3">
        <v>44970</v>
      </c>
      <c r="H239" t="s">
        <v>2025</v>
      </c>
      <c r="J239" t="s">
        <v>1181</v>
      </c>
      <c r="K239" t="s">
        <v>193</v>
      </c>
      <c r="L239" s="3">
        <v>46810</v>
      </c>
      <c r="M239" s="3">
        <v>46770</v>
      </c>
      <c r="N239" t="s">
        <v>2026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2027</v>
      </c>
      <c r="C240" t="s">
        <v>2028</v>
      </c>
      <c r="D240" s="3">
        <v>30816</v>
      </c>
      <c r="E240" t="s">
        <v>1173</v>
      </c>
      <c r="G240" s="3">
        <v>43710</v>
      </c>
      <c r="H240" t="s">
        <v>2029</v>
      </c>
      <c r="J240" t="s">
        <v>1186</v>
      </c>
      <c r="K240" t="s">
        <v>199</v>
      </c>
      <c r="L240" s="3">
        <v>47267</v>
      </c>
      <c r="M240" s="3">
        <v>47216</v>
      </c>
      <c r="N240" t="s">
        <v>2030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2031</v>
      </c>
      <c r="C241" t="s">
        <v>2032</v>
      </c>
      <c r="D241" s="3">
        <v>27600</v>
      </c>
      <c r="E241" t="s">
        <v>1173</v>
      </c>
      <c r="G241" s="3">
        <v>44867</v>
      </c>
      <c r="H241" t="s">
        <v>2033</v>
      </c>
      <c r="J241" t="s">
        <v>1181</v>
      </c>
      <c r="K241" t="s">
        <v>189</v>
      </c>
      <c r="L241" s="3">
        <v>46831</v>
      </c>
      <c r="M241" s="3">
        <v>46084</v>
      </c>
      <c r="N241" t="s">
        <v>2034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2035</v>
      </c>
      <c r="C242" t="s">
        <v>2036</v>
      </c>
      <c r="D242" s="3">
        <v>27133</v>
      </c>
      <c r="E242" t="s">
        <v>1173</v>
      </c>
      <c r="G242" s="3">
        <v>44389</v>
      </c>
      <c r="H242" t="s">
        <v>2037</v>
      </c>
      <c r="I242" t="s">
        <v>2038</v>
      </c>
      <c r="J242" t="s">
        <v>1214</v>
      </c>
      <c r="K242" t="s">
        <v>193</v>
      </c>
      <c r="L242" s="3">
        <v>46231</v>
      </c>
      <c r="M242" s="3">
        <v>46140</v>
      </c>
      <c r="N242" t="s">
        <v>2039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2040</v>
      </c>
      <c r="C243" t="s">
        <v>2036</v>
      </c>
      <c r="D243" s="3">
        <v>23480</v>
      </c>
      <c r="E243" t="s">
        <v>1173</v>
      </c>
      <c r="F243">
        <v>633</v>
      </c>
      <c r="G243" s="3">
        <v>36815</v>
      </c>
      <c r="H243" t="s">
        <v>2041</v>
      </c>
      <c r="J243" t="s">
        <v>1292</v>
      </c>
      <c r="K243" t="s">
        <v>191</v>
      </c>
      <c r="L243" s="3">
        <v>45963</v>
      </c>
      <c r="M243" s="3">
        <v>45944</v>
      </c>
      <c r="N243" t="s">
        <v>2042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2043</v>
      </c>
      <c r="C244" t="s">
        <v>2044</v>
      </c>
      <c r="D244" s="3">
        <v>23986</v>
      </c>
      <c r="E244" t="s">
        <v>1173</v>
      </c>
      <c r="F244">
        <v>181</v>
      </c>
      <c r="G244" s="3">
        <v>36227</v>
      </c>
      <c r="H244" t="s">
        <v>2045</v>
      </c>
      <c r="I244">
        <v>93622072</v>
      </c>
      <c r="J244" t="s">
        <v>1275</v>
      </c>
      <c r="K244" t="s">
        <v>199</v>
      </c>
      <c r="L244" s="3">
        <v>73050</v>
      </c>
      <c r="M244" s="3">
        <v>45902</v>
      </c>
      <c r="N244" t="s">
        <v>2046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2047</v>
      </c>
      <c r="C245" t="s">
        <v>2048</v>
      </c>
      <c r="D245" s="3">
        <v>30553</v>
      </c>
      <c r="E245" t="s">
        <v>1173</v>
      </c>
      <c r="G245" s="3">
        <v>45299</v>
      </c>
      <c r="H245" t="s">
        <v>2049</v>
      </c>
      <c r="J245" t="s">
        <v>1181</v>
      </c>
      <c r="K245" t="s">
        <v>189</v>
      </c>
      <c r="L245" s="3">
        <v>46530</v>
      </c>
      <c r="M245" s="3">
        <v>45999</v>
      </c>
      <c r="N245" t="s">
        <v>2050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2051</v>
      </c>
      <c r="C246" t="s">
        <v>2052</v>
      </c>
      <c r="D246" s="3">
        <v>29923</v>
      </c>
      <c r="E246" t="s">
        <v>1173</v>
      </c>
      <c r="F246">
        <v>341</v>
      </c>
      <c r="G246" s="3">
        <v>39204</v>
      </c>
      <c r="H246" t="s">
        <v>2053</v>
      </c>
      <c r="J246" t="s">
        <v>1199</v>
      </c>
      <c r="K246" t="s">
        <v>187</v>
      </c>
      <c r="L246" s="3">
        <v>72686</v>
      </c>
      <c r="M246" s="3">
        <v>46191</v>
      </c>
      <c r="N246" t="s">
        <v>2054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2055</v>
      </c>
      <c r="C247" t="s">
        <v>2056</v>
      </c>
      <c r="D247" s="3">
        <v>27418</v>
      </c>
      <c r="E247" t="s">
        <v>1173</v>
      </c>
      <c r="F247">
        <v>138</v>
      </c>
      <c r="G247" s="3">
        <v>40567</v>
      </c>
      <c r="H247" t="s">
        <v>2057</v>
      </c>
      <c r="J247" t="s">
        <v>1214</v>
      </c>
      <c r="K247" t="s">
        <v>193</v>
      </c>
      <c r="L247" s="3">
        <v>46063</v>
      </c>
      <c r="M247" s="3">
        <v>46497</v>
      </c>
      <c r="N247" t="s">
        <v>2058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2059</v>
      </c>
      <c r="C248" t="s">
        <v>2056</v>
      </c>
      <c r="D248" s="3">
        <v>26892</v>
      </c>
      <c r="E248" t="s">
        <v>1173</v>
      </c>
      <c r="F248">
        <v>155</v>
      </c>
      <c r="G248" s="3">
        <v>39132</v>
      </c>
      <c r="H248" t="s">
        <v>2060</v>
      </c>
      <c r="J248" t="s">
        <v>1275</v>
      </c>
      <c r="K248" t="s">
        <v>199</v>
      </c>
      <c r="L248" s="3">
        <v>45951</v>
      </c>
      <c r="M248" s="3">
        <v>46364</v>
      </c>
      <c r="N248" t="s">
        <v>2061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2062</v>
      </c>
      <c r="C249" t="s">
        <v>2063</v>
      </c>
      <c r="D249" s="3">
        <v>28290</v>
      </c>
      <c r="E249" t="s">
        <v>1173</v>
      </c>
      <c r="F249">
        <v>202</v>
      </c>
      <c r="G249" s="3">
        <v>42919</v>
      </c>
      <c r="H249" t="s">
        <v>2064</v>
      </c>
      <c r="J249" t="s">
        <v>1702</v>
      </c>
      <c r="K249" t="s">
        <v>191</v>
      </c>
      <c r="L249" s="3">
        <v>46466</v>
      </c>
      <c r="M249" s="3">
        <v>46460</v>
      </c>
      <c r="N249" t="s">
        <v>2065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2066</v>
      </c>
      <c r="C250" t="s">
        <v>2067</v>
      </c>
      <c r="D250" s="3">
        <v>28007</v>
      </c>
      <c r="E250" t="s">
        <v>1173</v>
      </c>
      <c r="F250">
        <v>282</v>
      </c>
      <c r="G250" s="3">
        <v>44039</v>
      </c>
      <c r="H250" t="s">
        <v>2068</v>
      </c>
      <c r="J250" t="s">
        <v>1186</v>
      </c>
      <c r="K250" t="s">
        <v>197</v>
      </c>
      <c r="L250" s="3">
        <v>47568</v>
      </c>
      <c r="M250" s="3">
        <v>47561</v>
      </c>
      <c r="N250" t="s">
        <v>2069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2070</v>
      </c>
      <c r="C251" t="s">
        <v>2071</v>
      </c>
      <c r="D251" s="3">
        <v>36922</v>
      </c>
      <c r="E251" t="s">
        <v>1173</v>
      </c>
      <c r="G251" s="3">
        <v>45427</v>
      </c>
      <c r="H251" t="s">
        <v>2072</v>
      </c>
      <c r="J251" t="s">
        <v>1181</v>
      </c>
      <c r="K251" t="s">
        <v>189</v>
      </c>
      <c r="L251" s="3">
        <v>47273</v>
      </c>
      <c r="M251" s="3">
        <v>47230</v>
      </c>
      <c r="N251" t="s">
        <v>2073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2074</v>
      </c>
      <c r="C252" t="s">
        <v>2075</v>
      </c>
      <c r="D252" s="3">
        <v>23172</v>
      </c>
      <c r="E252" t="s">
        <v>1173</v>
      </c>
      <c r="F252">
        <v>429</v>
      </c>
      <c r="G252" s="3">
        <v>35394</v>
      </c>
      <c r="H252" t="s">
        <v>2076</v>
      </c>
      <c r="J252" t="s">
        <v>1489</v>
      </c>
      <c r="K252" t="s">
        <v>195</v>
      </c>
      <c r="L252" s="3">
        <v>46000</v>
      </c>
      <c r="M252" s="3">
        <v>46019</v>
      </c>
      <c r="N252" t="s">
        <v>2077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1286</v>
      </c>
      <c r="C253" t="s">
        <v>2075</v>
      </c>
      <c r="D253" s="3">
        <v>21648</v>
      </c>
      <c r="E253" t="s">
        <v>1173</v>
      </c>
      <c r="F253">
        <v>306</v>
      </c>
      <c r="G253" s="3">
        <v>29885</v>
      </c>
      <c r="H253" t="s">
        <v>2078</v>
      </c>
      <c r="I253">
        <v>93240876</v>
      </c>
      <c r="J253" t="s">
        <v>1306</v>
      </c>
      <c r="K253" t="s">
        <v>187</v>
      </c>
      <c r="L253" s="3">
        <v>72686</v>
      </c>
      <c r="M253" s="3">
        <v>46827</v>
      </c>
      <c r="N253" t="s">
        <v>2079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2080</v>
      </c>
      <c r="C254" t="s">
        <v>2075</v>
      </c>
      <c r="D254" s="3">
        <v>21595</v>
      </c>
      <c r="E254" t="s">
        <v>1173</v>
      </c>
      <c r="G254" s="3">
        <v>44440</v>
      </c>
      <c r="J254" t="s">
        <v>1735</v>
      </c>
      <c r="K254" t="s">
        <v>197</v>
      </c>
      <c r="L254" s="3">
        <v>45948</v>
      </c>
      <c r="M254" s="3">
        <v>45930</v>
      </c>
      <c r="N254" t="s">
        <v>2081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2082</v>
      </c>
      <c r="C255" t="s">
        <v>2075</v>
      </c>
      <c r="D255" s="3">
        <v>27768</v>
      </c>
      <c r="E255" t="s">
        <v>1173</v>
      </c>
      <c r="F255">
        <v>281</v>
      </c>
      <c r="G255" s="3">
        <v>39356</v>
      </c>
      <c r="H255" t="s">
        <v>2083</v>
      </c>
      <c r="J255" t="s">
        <v>1199</v>
      </c>
      <c r="K255" t="s">
        <v>193</v>
      </c>
      <c r="L255" s="3">
        <v>72686</v>
      </c>
      <c r="M255" s="3">
        <v>46838</v>
      </c>
      <c r="N255" t="s">
        <v>2084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2085</v>
      </c>
      <c r="C256" t="s">
        <v>2086</v>
      </c>
      <c r="D256" s="3">
        <v>31437</v>
      </c>
      <c r="E256" t="s">
        <v>1173</v>
      </c>
      <c r="G256" s="3">
        <v>44984</v>
      </c>
      <c r="H256" t="s">
        <v>2087</v>
      </c>
      <c r="J256" t="s">
        <v>1186</v>
      </c>
      <c r="K256" t="s">
        <v>191</v>
      </c>
      <c r="L256" s="3">
        <v>46825</v>
      </c>
      <c r="M256" s="3">
        <v>46735</v>
      </c>
      <c r="N256" t="s">
        <v>2088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2089</v>
      </c>
      <c r="C257" t="s">
        <v>2090</v>
      </c>
      <c r="D257" s="3">
        <v>27167</v>
      </c>
      <c r="E257" t="s">
        <v>1173</v>
      </c>
      <c r="G257" s="3">
        <v>45450</v>
      </c>
      <c r="H257" t="s">
        <v>2091</v>
      </c>
      <c r="J257" t="s">
        <v>1181</v>
      </c>
      <c r="K257" t="s">
        <v>185</v>
      </c>
      <c r="L257" s="3">
        <v>47286</v>
      </c>
      <c r="M257" s="3">
        <v>47267</v>
      </c>
      <c r="N257" t="s">
        <v>2092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2093</v>
      </c>
      <c r="C258" t="s">
        <v>2090</v>
      </c>
      <c r="D258" s="3">
        <v>37624</v>
      </c>
      <c r="E258" t="s">
        <v>1173</v>
      </c>
      <c r="G258" s="3">
        <v>45408</v>
      </c>
      <c r="H258" t="s">
        <v>2094</v>
      </c>
      <c r="J258" t="s">
        <v>1181</v>
      </c>
      <c r="K258" t="s">
        <v>187</v>
      </c>
      <c r="L258" s="3">
        <v>47245</v>
      </c>
      <c r="M258" s="3">
        <v>47225</v>
      </c>
      <c r="N258" t="s">
        <v>2095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2096</v>
      </c>
      <c r="C259" t="s">
        <v>2090</v>
      </c>
      <c r="D259" s="3">
        <v>30468</v>
      </c>
      <c r="E259" t="s">
        <v>1173</v>
      </c>
      <c r="G259" s="3">
        <v>45321</v>
      </c>
      <c r="H259" t="s">
        <v>2097</v>
      </c>
      <c r="J259" t="s">
        <v>1181</v>
      </c>
      <c r="K259" t="s">
        <v>189</v>
      </c>
      <c r="L259" s="3">
        <v>47164</v>
      </c>
      <c r="M259" s="3">
        <v>47092</v>
      </c>
      <c r="N259" t="s">
        <v>2098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2099</v>
      </c>
      <c r="C260" t="s">
        <v>2090</v>
      </c>
      <c r="D260" s="3">
        <v>34121</v>
      </c>
      <c r="E260" t="s">
        <v>1173</v>
      </c>
      <c r="F260">
        <v>22</v>
      </c>
      <c r="G260" s="3">
        <v>44025</v>
      </c>
      <c r="H260" t="s">
        <v>3421</v>
      </c>
      <c r="J260" t="s">
        <v>1186</v>
      </c>
      <c r="K260" t="s">
        <v>195</v>
      </c>
      <c r="L260" s="3">
        <v>47554</v>
      </c>
      <c r="M260" s="3">
        <v>47547</v>
      </c>
      <c r="N260" t="s">
        <v>2100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2101</v>
      </c>
      <c r="C261" t="s">
        <v>2102</v>
      </c>
      <c r="D261" s="3">
        <v>29509</v>
      </c>
      <c r="E261" t="s">
        <v>1173</v>
      </c>
      <c r="F261">
        <v>260</v>
      </c>
      <c r="G261" s="3">
        <v>44039</v>
      </c>
      <c r="H261" t="s">
        <v>2103</v>
      </c>
      <c r="J261" t="s">
        <v>1191</v>
      </c>
      <c r="K261" t="s">
        <v>191</v>
      </c>
      <c r="L261" s="3">
        <v>47617</v>
      </c>
      <c r="M261" s="3">
        <v>47579</v>
      </c>
      <c r="N261" t="s">
        <v>2104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2105</v>
      </c>
      <c r="C262" t="s">
        <v>2102</v>
      </c>
      <c r="D262" s="3">
        <v>29586</v>
      </c>
      <c r="E262" t="s">
        <v>1173</v>
      </c>
      <c r="F262">
        <v>514</v>
      </c>
      <c r="G262" s="3">
        <v>39552</v>
      </c>
      <c r="H262" t="s">
        <v>3422</v>
      </c>
      <c r="I262">
        <v>32479391613</v>
      </c>
      <c r="J262" t="s">
        <v>1292</v>
      </c>
      <c r="K262" t="s">
        <v>191</v>
      </c>
      <c r="L262" s="3">
        <v>47665</v>
      </c>
      <c r="M262" s="3">
        <v>46665</v>
      </c>
      <c r="N262" t="s">
        <v>2106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2107</v>
      </c>
      <c r="C263" t="s">
        <v>2108</v>
      </c>
      <c r="D263" s="3">
        <v>35670</v>
      </c>
      <c r="E263" t="s">
        <v>1173</v>
      </c>
      <c r="G263" s="3">
        <v>45321</v>
      </c>
      <c r="H263" t="s">
        <v>2109</v>
      </c>
      <c r="J263" t="s">
        <v>1181</v>
      </c>
      <c r="K263" t="s">
        <v>189</v>
      </c>
      <c r="L263" s="3">
        <v>47165</v>
      </c>
      <c r="M263" s="3">
        <v>47105</v>
      </c>
      <c r="N263" t="s">
        <v>2110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2111</v>
      </c>
      <c r="C264" t="s">
        <v>2112</v>
      </c>
      <c r="D264" s="3">
        <v>22884</v>
      </c>
      <c r="E264" t="s">
        <v>1173</v>
      </c>
      <c r="F264">
        <v>634</v>
      </c>
      <c r="G264" s="3">
        <v>38593</v>
      </c>
      <c r="H264" t="s">
        <v>2113</v>
      </c>
      <c r="I264" t="s">
        <v>2114</v>
      </c>
      <c r="J264" t="s">
        <v>1292</v>
      </c>
      <c r="K264" t="s">
        <v>187</v>
      </c>
      <c r="L264" s="3">
        <v>46007</v>
      </c>
      <c r="M264" s="3">
        <v>46065</v>
      </c>
      <c r="N264" t="s">
        <v>2115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2116</v>
      </c>
      <c r="C265" t="s">
        <v>2117</v>
      </c>
      <c r="D265" s="3">
        <v>24596</v>
      </c>
      <c r="E265" t="s">
        <v>1173</v>
      </c>
      <c r="F265">
        <v>68</v>
      </c>
      <c r="G265" s="3">
        <v>38460</v>
      </c>
      <c r="H265" t="s">
        <v>2118</v>
      </c>
      <c r="J265" t="s">
        <v>1252</v>
      </c>
      <c r="K265" t="s">
        <v>189</v>
      </c>
      <c r="L265" s="3">
        <v>47527</v>
      </c>
      <c r="M265" s="3">
        <v>47524</v>
      </c>
      <c r="N265" t="s">
        <v>2119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2120</v>
      </c>
      <c r="C266" t="s">
        <v>2121</v>
      </c>
      <c r="D266" s="3">
        <v>36725</v>
      </c>
      <c r="E266" t="s">
        <v>1173</v>
      </c>
      <c r="G266" s="3">
        <v>45559</v>
      </c>
      <c r="H266" t="s">
        <v>2122</v>
      </c>
      <c r="J266" t="s">
        <v>1181</v>
      </c>
      <c r="K266" t="s">
        <v>191</v>
      </c>
      <c r="L266" s="3">
        <v>47404</v>
      </c>
      <c r="M266" s="3">
        <v>47371</v>
      </c>
      <c r="N266" t="s">
        <v>2123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2124</v>
      </c>
      <c r="C267" t="s">
        <v>2125</v>
      </c>
      <c r="D267" s="3">
        <v>24187</v>
      </c>
      <c r="E267" t="s">
        <v>1173</v>
      </c>
      <c r="F267">
        <v>325</v>
      </c>
      <c r="G267" s="3">
        <v>36262</v>
      </c>
      <c r="H267" t="s">
        <v>2126</v>
      </c>
      <c r="J267" t="s">
        <v>1473</v>
      </c>
      <c r="K267" t="s">
        <v>197</v>
      </c>
      <c r="L267" s="3">
        <v>45938</v>
      </c>
      <c r="M267" s="3">
        <v>46938</v>
      </c>
      <c r="N267" t="s">
        <v>2127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2128</v>
      </c>
      <c r="C268" t="s">
        <v>2129</v>
      </c>
      <c r="D268" s="3">
        <v>23313</v>
      </c>
      <c r="E268" t="s">
        <v>1173</v>
      </c>
      <c r="F268">
        <v>257</v>
      </c>
      <c r="G268" s="3">
        <v>40679</v>
      </c>
      <c r="H268" t="s">
        <v>2130</v>
      </c>
      <c r="J268" t="s">
        <v>1306</v>
      </c>
      <c r="K268" t="s">
        <v>191</v>
      </c>
      <c r="L268" s="3">
        <v>72686</v>
      </c>
      <c r="M268" s="3">
        <v>46140</v>
      </c>
      <c r="N268" t="s">
        <v>2131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2132</v>
      </c>
      <c r="C269" t="s">
        <v>2129</v>
      </c>
      <c r="D269" s="3">
        <v>23057</v>
      </c>
      <c r="E269" t="s">
        <v>1173</v>
      </c>
      <c r="F269">
        <v>423</v>
      </c>
      <c r="G269" s="3">
        <v>38103</v>
      </c>
      <c r="H269" t="s">
        <v>2133</v>
      </c>
      <c r="J269" t="s">
        <v>1199</v>
      </c>
      <c r="K269" t="s">
        <v>199</v>
      </c>
      <c r="L269" s="3">
        <v>72686</v>
      </c>
      <c r="M269" s="3">
        <v>47201</v>
      </c>
      <c r="N269" t="s">
        <v>2134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2135</v>
      </c>
      <c r="C270" t="s">
        <v>2136</v>
      </c>
      <c r="D270" s="3">
        <v>30517</v>
      </c>
      <c r="E270" t="s">
        <v>1173</v>
      </c>
      <c r="G270" s="3">
        <v>44599</v>
      </c>
      <c r="H270" t="s">
        <v>2137</v>
      </c>
      <c r="J270" t="s">
        <v>1181</v>
      </c>
      <c r="K270" t="s">
        <v>191</v>
      </c>
      <c r="L270" s="3">
        <v>46440</v>
      </c>
      <c r="M270" s="3">
        <v>46340</v>
      </c>
      <c r="N270" t="s">
        <v>2138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2139</v>
      </c>
      <c r="C271" t="s">
        <v>2140</v>
      </c>
      <c r="D271" s="3">
        <v>31306</v>
      </c>
      <c r="E271" t="s">
        <v>1173</v>
      </c>
      <c r="G271" s="3">
        <v>45464</v>
      </c>
      <c r="H271" t="s">
        <v>2141</v>
      </c>
      <c r="J271" t="s">
        <v>1181</v>
      </c>
      <c r="K271" t="s">
        <v>187</v>
      </c>
      <c r="L271" s="3">
        <v>47300</v>
      </c>
      <c r="M271" s="3">
        <v>47243</v>
      </c>
      <c r="N271" t="s">
        <v>2142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2143</v>
      </c>
      <c r="C272" t="s">
        <v>2144</v>
      </c>
      <c r="D272" s="3">
        <v>35555</v>
      </c>
      <c r="E272" t="s">
        <v>1173</v>
      </c>
      <c r="G272" s="3">
        <v>45222</v>
      </c>
      <c r="H272" t="s">
        <v>2145</v>
      </c>
      <c r="J272" t="s">
        <v>1181</v>
      </c>
      <c r="K272" t="s">
        <v>195</v>
      </c>
      <c r="L272" s="3">
        <v>47065</v>
      </c>
      <c r="M272" s="3">
        <v>47016</v>
      </c>
      <c r="N272" t="s">
        <v>2146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2147</v>
      </c>
      <c r="C273" t="s">
        <v>2148</v>
      </c>
      <c r="D273" s="3">
        <v>36481</v>
      </c>
      <c r="E273" t="s">
        <v>1173</v>
      </c>
      <c r="G273" s="3">
        <v>45194</v>
      </c>
      <c r="H273" t="s">
        <v>2149</v>
      </c>
      <c r="J273" t="s">
        <v>1219</v>
      </c>
      <c r="K273" t="s">
        <v>193</v>
      </c>
      <c r="L273" s="3">
        <v>47036</v>
      </c>
      <c r="M273" s="3">
        <v>47009</v>
      </c>
      <c r="N273" t="s">
        <v>2150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2151</v>
      </c>
      <c r="C274" t="s">
        <v>2152</v>
      </c>
      <c r="D274" s="3">
        <v>27391</v>
      </c>
      <c r="E274" t="s">
        <v>1427</v>
      </c>
      <c r="F274">
        <v>402</v>
      </c>
      <c r="G274" s="3">
        <v>39132</v>
      </c>
      <c r="H274" t="s">
        <v>2153</v>
      </c>
      <c r="J274" t="s">
        <v>1275</v>
      </c>
      <c r="K274" t="s">
        <v>185</v>
      </c>
      <c r="L274" s="3">
        <v>72686</v>
      </c>
      <c r="M274" s="3">
        <v>46427</v>
      </c>
      <c r="N274" t="s">
        <v>2154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2155</v>
      </c>
      <c r="C275" t="s">
        <v>2156</v>
      </c>
      <c r="D275" s="3">
        <v>22706</v>
      </c>
      <c r="E275" t="s">
        <v>1173</v>
      </c>
      <c r="F275">
        <v>55</v>
      </c>
      <c r="G275" s="3">
        <v>41771</v>
      </c>
      <c r="H275" t="s">
        <v>2157</v>
      </c>
      <c r="J275" t="s">
        <v>1363</v>
      </c>
      <c r="K275" t="s">
        <v>189</v>
      </c>
      <c r="L275" s="3">
        <v>45543</v>
      </c>
      <c r="M275" s="3">
        <v>45306</v>
      </c>
      <c r="N275" t="s">
        <v>2158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2159</v>
      </c>
      <c r="C276" t="s">
        <v>2160</v>
      </c>
      <c r="D276" s="3">
        <v>25648</v>
      </c>
      <c r="E276" t="s">
        <v>1173</v>
      </c>
      <c r="F276">
        <v>221</v>
      </c>
      <c r="G276" s="3">
        <v>41313</v>
      </c>
      <c r="H276" t="s">
        <v>2161</v>
      </c>
      <c r="J276" t="s">
        <v>1248</v>
      </c>
      <c r="K276" t="s">
        <v>193</v>
      </c>
      <c r="L276" s="3">
        <v>46166</v>
      </c>
      <c r="M276" s="3">
        <v>47135</v>
      </c>
      <c r="N276" t="s">
        <v>2162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2163</v>
      </c>
      <c r="C277" t="s">
        <v>2164</v>
      </c>
      <c r="D277" s="3">
        <v>25585</v>
      </c>
      <c r="E277" t="s">
        <v>1173</v>
      </c>
      <c r="F277">
        <v>179</v>
      </c>
      <c r="G277" s="3">
        <v>41372</v>
      </c>
      <c r="H277" t="s">
        <v>2165</v>
      </c>
      <c r="J277" t="s">
        <v>1288</v>
      </c>
      <c r="K277" t="s">
        <v>197</v>
      </c>
      <c r="L277" s="3">
        <v>46877</v>
      </c>
      <c r="M277" s="3">
        <v>47083</v>
      </c>
      <c r="N277" t="s">
        <v>2166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2167</v>
      </c>
      <c r="C278" t="s">
        <v>2168</v>
      </c>
      <c r="D278" s="3">
        <v>36757</v>
      </c>
      <c r="E278" t="s">
        <v>1173</v>
      </c>
      <c r="G278" s="3">
        <v>45076</v>
      </c>
      <c r="H278" t="s">
        <v>2169</v>
      </c>
      <c r="J278" t="s">
        <v>1219</v>
      </c>
      <c r="K278" t="s">
        <v>187</v>
      </c>
      <c r="L278" s="3">
        <v>46923</v>
      </c>
      <c r="M278" s="3">
        <v>46860</v>
      </c>
      <c r="N278" t="s">
        <v>2170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2183</v>
      </c>
      <c r="C279" t="s">
        <v>2172</v>
      </c>
      <c r="D279" s="3">
        <v>23853</v>
      </c>
      <c r="E279" t="s">
        <v>1173</v>
      </c>
      <c r="F279">
        <v>214</v>
      </c>
      <c r="G279" s="3">
        <v>36612</v>
      </c>
      <c r="H279" t="s">
        <v>2184</v>
      </c>
      <c r="I279">
        <v>92312370</v>
      </c>
      <c r="J279" t="s">
        <v>1429</v>
      </c>
      <c r="K279" t="s">
        <v>197</v>
      </c>
      <c r="L279" s="3">
        <v>47400</v>
      </c>
      <c r="M279" s="3">
        <v>47399</v>
      </c>
      <c r="N279" t="s">
        <v>2185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2171</v>
      </c>
      <c r="C280" t="s">
        <v>2172</v>
      </c>
      <c r="D280" s="3">
        <v>24255</v>
      </c>
      <c r="E280" t="s">
        <v>1173</v>
      </c>
      <c r="G280" s="3">
        <v>44375</v>
      </c>
      <c r="H280" t="s">
        <v>2173</v>
      </c>
      <c r="I280">
        <v>3254255856</v>
      </c>
      <c r="J280" t="s">
        <v>1191</v>
      </c>
      <c r="K280" t="s">
        <v>185</v>
      </c>
      <c r="L280" s="3">
        <v>46208</v>
      </c>
      <c r="M280" s="3">
        <v>46138</v>
      </c>
      <c r="N280" t="s">
        <v>2174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1326</v>
      </c>
      <c r="C281" t="s">
        <v>2172</v>
      </c>
      <c r="D281" s="3">
        <v>25640</v>
      </c>
      <c r="E281" t="s">
        <v>1173</v>
      </c>
      <c r="F281">
        <v>3</v>
      </c>
      <c r="G281" s="3">
        <v>41421</v>
      </c>
      <c r="H281" t="s">
        <v>2175</v>
      </c>
      <c r="I281">
        <v>55427502</v>
      </c>
      <c r="J281" t="s">
        <v>1489</v>
      </c>
      <c r="K281" t="s">
        <v>193</v>
      </c>
      <c r="L281" s="3">
        <v>46777</v>
      </c>
      <c r="M281" s="3">
        <v>46763</v>
      </c>
      <c r="N281" t="s">
        <v>2176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2177</v>
      </c>
      <c r="C282" t="s">
        <v>2172</v>
      </c>
      <c r="D282" s="3">
        <v>23889</v>
      </c>
      <c r="E282" t="s">
        <v>1173</v>
      </c>
      <c r="F282">
        <v>172</v>
      </c>
      <c r="G282" s="3">
        <v>39146</v>
      </c>
      <c r="H282" t="s">
        <v>2178</v>
      </c>
      <c r="I282">
        <v>55424915</v>
      </c>
      <c r="J282" t="s">
        <v>1292</v>
      </c>
      <c r="K282" t="s">
        <v>193</v>
      </c>
      <c r="L282" s="3">
        <v>47629</v>
      </c>
      <c r="M282" s="3">
        <v>46378</v>
      </c>
      <c r="N282" t="s">
        <v>2179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2180</v>
      </c>
      <c r="C283" t="s">
        <v>2172</v>
      </c>
      <c r="D283" s="3">
        <v>24575</v>
      </c>
      <c r="E283" t="s">
        <v>1173</v>
      </c>
      <c r="F283">
        <v>348</v>
      </c>
      <c r="G283" s="3">
        <v>38460</v>
      </c>
      <c r="H283" t="s">
        <v>2181</v>
      </c>
      <c r="J283" t="s">
        <v>1275</v>
      </c>
      <c r="K283" t="s">
        <v>187</v>
      </c>
      <c r="L283" s="3">
        <v>72686</v>
      </c>
      <c r="M283" s="3">
        <v>46467</v>
      </c>
      <c r="N283" t="s">
        <v>2182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2186</v>
      </c>
      <c r="C284" t="s">
        <v>2187</v>
      </c>
      <c r="D284" s="3">
        <v>26952</v>
      </c>
      <c r="E284" t="s">
        <v>1173</v>
      </c>
      <c r="F284">
        <v>373</v>
      </c>
      <c r="G284" s="3">
        <v>37564</v>
      </c>
      <c r="H284" t="s">
        <v>2188</v>
      </c>
      <c r="J284" t="s">
        <v>1489</v>
      </c>
      <c r="K284" t="s">
        <v>195</v>
      </c>
      <c r="L284" s="3">
        <v>47639</v>
      </c>
      <c r="M284" s="3">
        <v>46201</v>
      </c>
      <c r="N284" t="s">
        <v>2189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2190</v>
      </c>
      <c r="C285" t="s">
        <v>2191</v>
      </c>
      <c r="D285" s="3">
        <v>30582</v>
      </c>
      <c r="E285" t="s">
        <v>1427</v>
      </c>
      <c r="F285">
        <v>231</v>
      </c>
      <c r="G285" s="3">
        <v>42919</v>
      </c>
      <c r="H285" t="s">
        <v>2192</v>
      </c>
      <c r="I285">
        <v>477594505</v>
      </c>
      <c r="J285" t="s">
        <v>1284</v>
      </c>
      <c r="K285" t="s">
        <v>185</v>
      </c>
      <c r="L285" s="3">
        <v>46537</v>
      </c>
      <c r="M285" s="3">
        <v>46497</v>
      </c>
      <c r="N285" t="s">
        <v>2193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2196</v>
      </c>
      <c r="C286" t="s">
        <v>2197</v>
      </c>
      <c r="D286" s="3">
        <v>26051</v>
      </c>
      <c r="E286" t="s">
        <v>1173</v>
      </c>
      <c r="F286">
        <v>161</v>
      </c>
      <c r="G286" s="3">
        <v>38971</v>
      </c>
      <c r="H286" t="s">
        <v>2198</v>
      </c>
      <c r="J286" t="s">
        <v>1473</v>
      </c>
      <c r="K286" t="s">
        <v>185</v>
      </c>
      <c r="L286" s="3">
        <v>72686</v>
      </c>
      <c r="M286" s="3">
        <v>46820</v>
      </c>
      <c r="N286" t="s">
        <v>2199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2200</v>
      </c>
      <c r="C287" t="s">
        <v>2201</v>
      </c>
      <c r="D287" s="3">
        <v>30190</v>
      </c>
      <c r="E287" t="s">
        <v>1173</v>
      </c>
      <c r="F287">
        <v>274</v>
      </c>
      <c r="G287" s="3">
        <v>39405</v>
      </c>
      <c r="H287" t="s">
        <v>2202</v>
      </c>
      <c r="J287" t="s">
        <v>1262</v>
      </c>
      <c r="K287" t="s">
        <v>185</v>
      </c>
      <c r="L287" s="3">
        <v>72686</v>
      </c>
      <c r="M287" s="3">
        <v>46201</v>
      </c>
      <c r="N287" t="s">
        <v>2203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2204</v>
      </c>
      <c r="C288" t="s">
        <v>2201</v>
      </c>
      <c r="D288" s="3">
        <v>29721</v>
      </c>
      <c r="E288" t="s">
        <v>1173</v>
      </c>
      <c r="F288">
        <v>52</v>
      </c>
      <c r="G288" s="3">
        <v>38908</v>
      </c>
      <c r="H288" t="s">
        <v>2205</v>
      </c>
      <c r="I288">
        <v>55613250</v>
      </c>
      <c r="J288" t="s">
        <v>1363</v>
      </c>
      <c r="K288" t="s">
        <v>193</v>
      </c>
      <c r="L288" s="3">
        <v>45923</v>
      </c>
      <c r="M288" s="3">
        <v>46005</v>
      </c>
      <c r="N288" t="s">
        <v>2206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2207</v>
      </c>
      <c r="C289" t="s">
        <v>2208</v>
      </c>
      <c r="D289" s="3">
        <v>27365</v>
      </c>
      <c r="E289" t="s">
        <v>1173</v>
      </c>
      <c r="F289">
        <v>315</v>
      </c>
      <c r="G289" s="3">
        <v>41204</v>
      </c>
      <c r="H289" t="s">
        <v>2209</v>
      </c>
      <c r="J289" t="s">
        <v>1248</v>
      </c>
      <c r="K289" t="s">
        <v>189</v>
      </c>
      <c r="L289" s="3">
        <v>46505</v>
      </c>
      <c r="M289" s="3">
        <v>46497</v>
      </c>
      <c r="N289" t="s">
        <v>2210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2211</v>
      </c>
      <c r="C290" t="s">
        <v>2208</v>
      </c>
      <c r="D290" s="3">
        <v>26728</v>
      </c>
      <c r="E290" t="s">
        <v>1173</v>
      </c>
      <c r="F290">
        <v>507</v>
      </c>
      <c r="G290" s="3">
        <v>40000</v>
      </c>
      <c r="H290" t="s">
        <v>2212</v>
      </c>
      <c r="J290" t="s">
        <v>1248</v>
      </c>
      <c r="K290" t="s">
        <v>191</v>
      </c>
      <c r="L290" s="3">
        <v>73050</v>
      </c>
      <c r="M290" s="3">
        <v>46279</v>
      </c>
      <c r="N290" t="s">
        <v>2213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2214</v>
      </c>
      <c r="C291" t="s">
        <v>2208</v>
      </c>
      <c r="D291" s="3">
        <v>28506</v>
      </c>
      <c r="E291" t="s">
        <v>1173</v>
      </c>
      <c r="F291">
        <v>249</v>
      </c>
      <c r="G291" s="3">
        <v>37214</v>
      </c>
      <c r="H291" t="s">
        <v>2215</v>
      </c>
      <c r="J291" t="s">
        <v>1275</v>
      </c>
      <c r="K291" t="s">
        <v>197</v>
      </c>
      <c r="L291" s="3">
        <v>45840</v>
      </c>
      <c r="M291" s="3">
        <v>46152</v>
      </c>
      <c r="N291" t="s">
        <v>2216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2217</v>
      </c>
      <c r="C292" t="s">
        <v>2218</v>
      </c>
      <c r="D292" s="3">
        <v>36852</v>
      </c>
      <c r="E292" t="s">
        <v>1173</v>
      </c>
      <c r="G292" s="3">
        <v>45236</v>
      </c>
      <c r="H292" t="s">
        <v>2219</v>
      </c>
      <c r="J292" t="s">
        <v>1181</v>
      </c>
      <c r="K292" t="s">
        <v>197</v>
      </c>
      <c r="L292" s="3">
        <v>47077</v>
      </c>
      <c r="M292" s="3">
        <v>47016</v>
      </c>
      <c r="N292" t="s">
        <v>2220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2221</v>
      </c>
      <c r="C293" t="s">
        <v>2222</v>
      </c>
      <c r="D293" s="3">
        <v>37300</v>
      </c>
      <c r="E293" t="s">
        <v>1173</v>
      </c>
      <c r="G293" s="3">
        <v>45408</v>
      </c>
      <c r="H293" t="s">
        <v>2223</v>
      </c>
      <c r="J293" t="s">
        <v>1181</v>
      </c>
      <c r="K293" t="s">
        <v>199</v>
      </c>
      <c r="L293" s="3">
        <v>47259</v>
      </c>
      <c r="M293" s="3">
        <v>47216</v>
      </c>
      <c r="N293" t="s">
        <v>2224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2225</v>
      </c>
      <c r="C294" t="s">
        <v>2226</v>
      </c>
      <c r="D294" s="3">
        <v>33970</v>
      </c>
      <c r="E294" t="s">
        <v>1173</v>
      </c>
      <c r="G294" s="3">
        <v>45345</v>
      </c>
      <c r="H294" t="s">
        <v>2227</v>
      </c>
      <c r="J294" t="s">
        <v>1181</v>
      </c>
      <c r="K294" t="s">
        <v>185</v>
      </c>
      <c r="L294" s="3">
        <v>46719</v>
      </c>
      <c r="M294" s="3">
        <v>46616</v>
      </c>
      <c r="N294" t="s">
        <v>2228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2229</v>
      </c>
      <c r="C295" t="s">
        <v>2230</v>
      </c>
      <c r="D295" s="3">
        <v>31748</v>
      </c>
      <c r="E295" t="s">
        <v>1173</v>
      </c>
      <c r="G295" s="3">
        <v>44312</v>
      </c>
      <c r="H295" t="s">
        <v>2231</v>
      </c>
      <c r="J295" t="s">
        <v>1176</v>
      </c>
      <c r="K295" t="s">
        <v>195</v>
      </c>
      <c r="L295" s="3">
        <v>46152</v>
      </c>
      <c r="M295" s="3">
        <v>46897</v>
      </c>
      <c r="N295" t="s">
        <v>2232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3333</v>
      </c>
      <c r="C296" t="s">
        <v>2234</v>
      </c>
      <c r="D296" s="3">
        <v>37670</v>
      </c>
      <c r="E296" t="s">
        <v>1173</v>
      </c>
      <c r="G296" s="3">
        <v>45814</v>
      </c>
      <c r="H296" t="s">
        <v>3423</v>
      </c>
      <c r="J296" t="s">
        <v>1181</v>
      </c>
      <c r="K296" t="s">
        <v>191</v>
      </c>
      <c r="L296" s="3">
        <v>47660</v>
      </c>
      <c r="M296" s="3">
        <v>47622</v>
      </c>
      <c r="N296" t="s">
        <v>3424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2233</v>
      </c>
      <c r="C297" t="s">
        <v>2234</v>
      </c>
      <c r="D297" s="3">
        <v>34969</v>
      </c>
      <c r="E297" t="s">
        <v>1173</v>
      </c>
      <c r="F297">
        <v>300</v>
      </c>
      <c r="G297" s="3">
        <v>43640</v>
      </c>
      <c r="H297" t="s">
        <v>2235</v>
      </c>
      <c r="I297">
        <v>494587601</v>
      </c>
      <c r="J297" t="s">
        <v>1252</v>
      </c>
      <c r="K297" t="s">
        <v>189</v>
      </c>
      <c r="L297" s="3">
        <v>47215</v>
      </c>
      <c r="M297" s="3">
        <v>47170</v>
      </c>
      <c r="N297" t="s">
        <v>2236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2237</v>
      </c>
      <c r="C298" t="s">
        <v>2234</v>
      </c>
      <c r="D298" s="3">
        <v>34149</v>
      </c>
      <c r="E298" t="s">
        <v>1173</v>
      </c>
      <c r="F298">
        <v>389</v>
      </c>
      <c r="G298" s="3">
        <v>42604</v>
      </c>
      <c r="H298" t="s">
        <v>2238</v>
      </c>
      <c r="J298" t="s">
        <v>1363</v>
      </c>
      <c r="K298" t="s">
        <v>197</v>
      </c>
      <c r="L298" s="3">
        <v>46081</v>
      </c>
      <c r="M298" s="3">
        <v>46056</v>
      </c>
      <c r="N298" t="s">
        <v>2239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1343</v>
      </c>
      <c r="C299" t="s">
        <v>2240</v>
      </c>
      <c r="D299" s="3">
        <v>30433</v>
      </c>
      <c r="E299" t="s">
        <v>1173</v>
      </c>
      <c r="G299" s="3">
        <v>44809</v>
      </c>
      <c r="H299" t="s">
        <v>2241</v>
      </c>
      <c r="J299" t="s">
        <v>1181</v>
      </c>
      <c r="K299" t="s">
        <v>199</v>
      </c>
      <c r="L299" s="3">
        <v>46650</v>
      </c>
      <c r="M299" s="3">
        <v>46504</v>
      </c>
      <c r="N299" t="s">
        <v>2242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2243</v>
      </c>
      <c r="C300" t="s">
        <v>2240</v>
      </c>
      <c r="D300" s="3">
        <v>34283</v>
      </c>
      <c r="E300" t="s">
        <v>1173</v>
      </c>
      <c r="F300">
        <v>158</v>
      </c>
      <c r="G300" s="3">
        <v>43781</v>
      </c>
      <c r="H300" t="s">
        <v>2244</v>
      </c>
      <c r="J300" t="s">
        <v>1214</v>
      </c>
      <c r="K300" t="s">
        <v>199</v>
      </c>
      <c r="L300" s="3">
        <v>47357</v>
      </c>
      <c r="M300" s="3">
        <v>47357</v>
      </c>
      <c r="N300" t="s">
        <v>2245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2246</v>
      </c>
      <c r="C301" t="s">
        <v>2240</v>
      </c>
      <c r="D301" s="3">
        <v>31239</v>
      </c>
      <c r="E301" t="s">
        <v>1173</v>
      </c>
      <c r="F301">
        <v>239</v>
      </c>
      <c r="G301" s="3">
        <v>43150</v>
      </c>
      <c r="H301" t="s">
        <v>2247</v>
      </c>
      <c r="I301" t="s">
        <v>2248</v>
      </c>
      <c r="J301" t="s">
        <v>1227</v>
      </c>
      <c r="K301" t="s">
        <v>185</v>
      </c>
      <c r="L301" s="3">
        <v>46673</v>
      </c>
      <c r="M301" s="3">
        <v>46665</v>
      </c>
      <c r="N301" t="s">
        <v>2249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2250</v>
      </c>
      <c r="C302" t="s">
        <v>2251</v>
      </c>
      <c r="D302" s="3">
        <v>32677</v>
      </c>
      <c r="E302" t="s">
        <v>1173</v>
      </c>
      <c r="F302">
        <v>44</v>
      </c>
      <c r="G302" s="3">
        <v>42877</v>
      </c>
      <c r="H302" t="s">
        <v>2252</v>
      </c>
      <c r="J302" t="s">
        <v>1380</v>
      </c>
      <c r="K302" t="s">
        <v>187</v>
      </c>
      <c r="L302" s="3">
        <v>46461</v>
      </c>
      <c r="M302" s="3">
        <v>46460</v>
      </c>
      <c r="N302" t="s">
        <v>2253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2256</v>
      </c>
      <c r="C303" t="s">
        <v>2251</v>
      </c>
      <c r="D303" s="3">
        <v>23779</v>
      </c>
      <c r="E303" t="s">
        <v>1173</v>
      </c>
      <c r="F303">
        <v>157</v>
      </c>
      <c r="G303" s="3">
        <v>39146</v>
      </c>
      <c r="H303" t="s">
        <v>2257</v>
      </c>
      <c r="J303" t="s">
        <v>1306</v>
      </c>
      <c r="K303" t="s">
        <v>185</v>
      </c>
      <c r="L303" s="3">
        <v>72686</v>
      </c>
      <c r="M303" s="3">
        <v>46343</v>
      </c>
      <c r="N303" t="s">
        <v>2258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1171</v>
      </c>
      <c r="C304" t="s">
        <v>2251</v>
      </c>
      <c r="D304" s="3">
        <v>26247</v>
      </c>
      <c r="E304" t="s">
        <v>1173</v>
      </c>
      <c r="F304">
        <v>218</v>
      </c>
      <c r="G304" s="3">
        <v>39146</v>
      </c>
      <c r="H304" t="s">
        <v>2254</v>
      </c>
      <c r="J304" t="s">
        <v>1252</v>
      </c>
      <c r="K304" t="s">
        <v>189</v>
      </c>
      <c r="L304" s="3">
        <v>45956</v>
      </c>
      <c r="M304" s="3">
        <v>46306</v>
      </c>
      <c r="N304" t="s">
        <v>2255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2035</v>
      </c>
      <c r="C305" t="s">
        <v>2251</v>
      </c>
      <c r="D305" s="3">
        <v>28745</v>
      </c>
      <c r="E305" t="s">
        <v>1173</v>
      </c>
      <c r="F305">
        <v>417</v>
      </c>
      <c r="G305" s="3">
        <v>36759</v>
      </c>
      <c r="H305" t="s">
        <v>2259</v>
      </c>
      <c r="J305" t="s">
        <v>1227</v>
      </c>
      <c r="K305" t="s">
        <v>197</v>
      </c>
      <c r="L305" s="3">
        <v>47356</v>
      </c>
      <c r="M305" s="3">
        <v>47351</v>
      </c>
      <c r="N305" t="s">
        <v>2260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2261</v>
      </c>
      <c r="C306" t="s">
        <v>2262</v>
      </c>
      <c r="D306" s="3">
        <v>31471</v>
      </c>
      <c r="E306" t="s">
        <v>1173</v>
      </c>
      <c r="G306" s="3">
        <v>45783</v>
      </c>
      <c r="H306" t="s">
        <v>2263</v>
      </c>
      <c r="J306" t="s">
        <v>1181</v>
      </c>
      <c r="K306" t="s">
        <v>193</v>
      </c>
      <c r="L306" s="3">
        <v>47628</v>
      </c>
      <c r="M306" s="3">
        <v>47524</v>
      </c>
      <c r="N306" t="s">
        <v>2264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2265</v>
      </c>
      <c r="C307" t="s">
        <v>2262</v>
      </c>
      <c r="D307" s="3">
        <v>29906</v>
      </c>
      <c r="E307" t="s">
        <v>1173</v>
      </c>
      <c r="G307" s="3">
        <v>45264</v>
      </c>
      <c r="H307" t="s">
        <v>2266</v>
      </c>
      <c r="J307" t="s">
        <v>1181</v>
      </c>
      <c r="K307" t="s">
        <v>187</v>
      </c>
      <c r="L307" s="3">
        <v>47106</v>
      </c>
      <c r="M307" s="3">
        <v>47083</v>
      </c>
      <c r="N307" t="s">
        <v>2267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2268</v>
      </c>
      <c r="C308" t="s">
        <v>2262</v>
      </c>
      <c r="D308" s="3">
        <v>30913</v>
      </c>
      <c r="E308" t="s">
        <v>1173</v>
      </c>
      <c r="G308" s="3">
        <v>45061</v>
      </c>
      <c r="H308" t="s">
        <v>2269</v>
      </c>
      <c r="J308" t="s">
        <v>1288</v>
      </c>
      <c r="K308" t="s">
        <v>197</v>
      </c>
      <c r="L308" s="3">
        <v>46904</v>
      </c>
      <c r="M308" s="3">
        <v>46862</v>
      </c>
      <c r="N308" t="s">
        <v>2270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1482</v>
      </c>
      <c r="C309" t="s">
        <v>2271</v>
      </c>
      <c r="D309" s="3">
        <v>33202</v>
      </c>
      <c r="E309" t="s">
        <v>1173</v>
      </c>
      <c r="G309" s="3">
        <v>44790</v>
      </c>
      <c r="H309" t="s">
        <v>2272</v>
      </c>
      <c r="J309" t="s">
        <v>1181</v>
      </c>
      <c r="K309" t="s">
        <v>199</v>
      </c>
      <c r="L309" s="3">
        <v>46421</v>
      </c>
      <c r="M309" s="3">
        <v>46120</v>
      </c>
      <c r="N309" t="s">
        <v>2273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1746</v>
      </c>
      <c r="C310" t="s">
        <v>2274</v>
      </c>
      <c r="D310" s="3">
        <v>27197</v>
      </c>
      <c r="E310" t="s">
        <v>1173</v>
      </c>
      <c r="G310" s="3">
        <v>44942</v>
      </c>
      <c r="H310" t="s">
        <v>2275</v>
      </c>
      <c r="J310" t="s">
        <v>1219</v>
      </c>
      <c r="K310" t="s">
        <v>193</v>
      </c>
      <c r="L310" s="3">
        <v>46782</v>
      </c>
      <c r="M310" s="3">
        <v>46665</v>
      </c>
      <c r="N310" t="s">
        <v>2276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2277</v>
      </c>
      <c r="C311" t="s">
        <v>2274</v>
      </c>
      <c r="D311" s="3">
        <v>26171</v>
      </c>
      <c r="E311" t="s">
        <v>1173</v>
      </c>
      <c r="F311">
        <v>383</v>
      </c>
      <c r="G311" s="3">
        <v>37543</v>
      </c>
      <c r="H311" t="s">
        <v>2278</v>
      </c>
      <c r="J311" t="s">
        <v>1358</v>
      </c>
      <c r="K311" t="s">
        <v>185</v>
      </c>
      <c r="L311" s="3">
        <v>45902</v>
      </c>
      <c r="M311" s="3">
        <v>46434</v>
      </c>
      <c r="N311" t="s">
        <v>2279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2280</v>
      </c>
      <c r="C312" t="s">
        <v>2281</v>
      </c>
      <c r="D312" s="3">
        <v>24404</v>
      </c>
      <c r="E312" t="s">
        <v>1173</v>
      </c>
      <c r="F312">
        <v>173</v>
      </c>
      <c r="G312" s="3">
        <v>42107</v>
      </c>
      <c r="H312" t="s">
        <v>2282</v>
      </c>
      <c r="I312">
        <v>56371827</v>
      </c>
      <c r="J312" t="s">
        <v>1288</v>
      </c>
      <c r="K312" t="s">
        <v>195</v>
      </c>
      <c r="L312" s="3">
        <v>47322</v>
      </c>
      <c r="M312" s="3">
        <v>47306</v>
      </c>
      <c r="N312" t="s">
        <v>2283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2284</v>
      </c>
      <c r="C313" t="s">
        <v>2285</v>
      </c>
      <c r="D313" s="3">
        <v>26235</v>
      </c>
      <c r="E313" t="s">
        <v>1173</v>
      </c>
      <c r="F313">
        <v>422</v>
      </c>
      <c r="G313" s="3">
        <v>39587</v>
      </c>
      <c r="H313" t="s">
        <v>2286</v>
      </c>
      <c r="J313" t="s">
        <v>1199</v>
      </c>
      <c r="K313" t="s">
        <v>193</v>
      </c>
      <c r="L313" s="3">
        <v>72686</v>
      </c>
      <c r="M313" s="3">
        <v>46897</v>
      </c>
      <c r="N313" t="s">
        <v>2287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1741</v>
      </c>
      <c r="C314" t="s">
        <v>2288</v>
      </c>
      <c r="D314" s="3">
        <v>24420</v>
      </c>
      <c r="E314" t="s">
        <v>1173</v>
      </c>
      <c r="F314">
        <v>313</v>
      </c>
      <c r="G314" s="3">
        <v>33308</v>
      </c>
      <c r="H314" t="s">
        <v>2289</v>
      </c>
      <c r="I314">
        <v>92370122</v>
      </c>
      <c r="J314" t="s">
        <v>1288</v>
      </c>
      <c r="K314" t="s">
        <v>191</v>
      </c>
      <c r="L314" s="3">
        <v>47635</v>
      </c>
      <c r="M314" s="3">
        <v>46882</v>
      </c>
      <c r="N314" t="s">
        <v>2290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3425</v>
      </c>
      <c r="C315" t="s">
        <v>3426</v>
      </c>
      <c r="D315" s="3">
        <v>33500</v>
      </c>
      <c r="E315" t="s">
        <v>1173</v>
      </c>
      <c r="G315" s="3">
        <v>45854</v>
      </c>
      <c r="H315" t="s">
        <v>3427</v>
      </c>
      <c r="J315" t="s">
        <v>1181</v>
      </c>
      <c r="K315" t="s">
        <v>185</v>
      </c>
      <c r="L315" s="3">
        <v>46678</v>
      </c>
      <c r="M315" s="3">
        <v>46606</v>
      </c>
      <c r="N315" t="s">
        <v>3428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2291</v>
      </c>
      <c r="C316" t="s">
        <v>2292</v>
      </c>
      <c r="D316" s="3">
        <v>25938</v>
      </c>
      <c r="E316" t="s">
        <v>1173</v>
      </c>
      <c r="F316">
        <v>160</v>
      </c>
      <c r="G316" s="3">
        <v>43906</v>
      </c>
      <c r="H316" t="s">
        <v>2293</v>
      </c>
      <c r="J316" t="s">
        <v>1191</v>
      </c>
      <c r="K316" t="s">
        <v>191</v>
      </c>
      <c r="L316" s="3">
        <v>47517</v>
      </c>
      <c r="M316" s="3">
        <v>47441</v>
      </c>
      <c r="N316" t="s">
        <v>2294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3429</v>
      </c>
      <c r="C317" t="s">
        <v>3430</v>
      </c>
      <c r="D317" s="3">
        <v>34251</v>
      </c>
      <c r="E317" t="s">
        <v>1173</v>
      </c>
      <c r="G317" s="3">
        <v>45874</v>
      </c>
      <c r="H317" t="s">
        <v>3431</v>
      </c>
      <c r="J317" t="s">
        <v>1186</v>
      </c>
      <c r="K317" t="s">
        <v>199</v>
      </c>
      <c r="L317" s="3">
        <v>1</v>
      </c>
      <c r="M317" s="3">
        <v>1</v>
      </c>
      <c r="N317" t="s">
        <v>3432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2295</v>
      </c>
      <c r="C318" t="s">
        <v>2296</v>
      </c>
      <c r="D318" s="3">
        <v>35465</v>
      </c>
      <c r="E318" t="s">
        <v>1173</v>
      </c>
      <c r="G318" s="3">
        <v>44389</v>
      </c>
      <c r="H318" t="s">
        <v>2297</v>
      </c>
      <c r="J318" t="s">
        <v>1219</v>
      </c>
      <c r="K318" t="s">
        <v>193</v>
      </c>
      <c r="L318" s="3">
        <v>46230</v>
      </c>
      <c r="M318" s="3">
        <v>46126</v>
      </c>
      <c r="N318" t="s">
        <v>2298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2299</v>
      </c>
      <c r="C319" t="s">
        <v>2296</v>
      </c>
      <c r="D319" s="3">
        <v>30809</v>
      </c>
      <c r="E319" t="s">
        <v>1173</v>
      </c>
      <c r="F319">
        <v>297</v>
      </c>
      <c r="G319" s="3">
        <v>38852</v>
      </c>
      <c r="H319" t="s">
        <v>2300</v>
      </c>
      <c r="J319" t="s">
        <v>1334</v>
      </c>
      <c r="K319" t="s">
        <v>197</v>
      </c>
      <c r="L319" s="3">
        <v>45889</v>
      </c>
      <c r="M319" s="3">
        <v>46000</v>
      </c>
      <c r="N319" t="s">
        <v>2301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2302</v>
      </c>
      <c r="C320" t="s">
        <v>2303</v>
      </c>
      <c r="D320" s="3">
        <v>27707</v>
      </c>
      <c r="E320" t="s">
        <v>1173</v>
      </c>
      <c r="F320">
        <v>445</v>
      </c>
      <c r="G320" s="3">
        <v>43710</v>
      </c>
      <c r="H320" t="s">
        <v>2304</v>
      </c>
      <c r="I320">
        <v>32496141860</v>
      </c>
      <c r="J320" t="s">
        <v>1248</v>
      </c>
      <c r="K320" t="s">
        <v>195</v>
      </c>
      <c r="L320" s="3">
        <v>48784</v>
      </c>
      <c r="M320" s="3">
        <v>46892</v>
      </c>
      <c r="N320" t="s">
        <v>2305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2306</v>
      </c>
      <c r="C321" t="s">
        <v>2303</v>
      </c>
      <c r="D321" s="3">
        <v>26011</v>
      </c>
      <c r="E321" t="s">
        <v>1173</v>
      </c>
      <c r="F321">
        <v>384</v>
      </c>
      <c r="G321" s="3">
        <v>38124</v>
      </c>
      <c r="H321" t="s">
        <v>2307</v>
      </c>
      <c r="J321" t="s">
        <v>1358</v>
      </c>
      <c r="K321" t="s">
        <v>187</v>
      </c>
      <c r="L321" s="3">
        <v>72686</v>
      </c>
      <c r="M321" s="3">
        <v>47231</v>
      </c>
      <c r="N321" t="s">
        <v>2308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2309</v>
      </c>
      <c r="C322" t="s">
        <v>2310</v>
      </c>
      <c r="D322" s="3">
        <v>26572</v>
      </c>
      <c r="E322" t="s">
        <v>1173</v>
      </c>
      <c r="F322">
        <v>75</v>
      </c>
      <c r="G322" s="3">
        <v>39979</v>
      </c>
      <c r="H322" t="s">
        <v>2311</v>
      </c>
      <c r="J322" t="s">
        <v>1199</v>
      </c>
      <c r="K322" t="s">
        <v>189</v>
      </c>
      <c r="L322" s="3">
        <v>47362</v>
      </c>
      <c r="M322" s="3">
        <v>46399</v>
      </c>
      <c r="N322" t="s">
        <v>2312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2313</v>
      </c>
      <c r="C323" t="s">
        <v>2314</v>
      </c>
      <c r="D323" s="3">
        <v>32793</v>
      </c>
      <c r="E323" t="s">
        <v>1173</v>
      </c>
      <c r="G323" s="3">
        <v>45364</v>
      </c>
      <c r="H323" t="s">
        <v>2315</v>
      </c>
      <c r="J323" t="s">
        <v>1181</v>
      </c>
      <c r="K323" t="s">
        <v>189</v>
      </c>
      <c r="L323" s="3">
        <v>47224</v>
      </c>
      <c r="M323" s="3">
        <v>47167</v>
      </c>
      <c r="N323" t="s">
        <v>2316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2317</v>
      </c>
      <c r="C324" t="s">
        <v>2318</v>
      </c>
      <c r="D324" s="3">
        <v>34161</v>
      </c>
      <c r="E324" t="s">
        <v>1173</v>
      </c>
      <c r="G324" s="3">
        <v>45307</v>
      </c>
      <c r="H324" t="s">
        <v>2319</v>
      </c>
      <c r="J324" t="s">
        <v>1181</v>
      </c>
      <c r="K324" t="s">
        <v>189</v>
      </c>
      <c r="L324" s="3">
        <v>47150</v>
      </c>
      <c r="M324" s="3">
        <v>47092</v>
      </c>
      <c r="N324" t="s">
        <v>2320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2321</v>
      </c>
      <c r="C325" t="s">
        <v>2322</v>
      </c>
      <c r="D325" s="3">
        <v>34983</v>
      </c>
      <c r="E325" t="s">
        <v>1173</v>
      </c>
      <c r="G325" s="3">
        <v>45663</v>
      </c>
      <c r="H325" t="s">
        <v>2323</v>
      </c>
      <c r="J325" t="s">
        <v>1181</v>
      </c>
      <c r="K325" t="s">
        <v>191</v>
      </c>
      <c r="L325" s="3">
        <v>46391</v>
      </c>
      <c r="M325" s="3">
        <v>46389</v>
      </c>
      <c r="N325" t="s">
        <v>2324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2325</v>
      </c>
      <c r="C326" t="s">
        <v>2326</v>
      </c>
      <c r="D326" s="3">
        <v>35752</v>
      </c>
      <c r="E326" t="s">
        <v>1173</v>
      </c>
      <c r="G326" s="3">
        <v>44347</v>
      </c>
      <c r="H326" t="s">
        <v>2327</v>
      </c>
      <c r="J326" t="s">
        <v>1181</v>
      </c>
      <c r="K326" t="s">
        <v>191</v>
      </c>
      <c r="L326" s="3">
        <v>46188</v>
      </c>
      <c r="M326" s="3">
        <v>46145</v>
      </c>
      <c r="N326" t="s">
        <v>2328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2329</v>
      </c>
      <c r="C327" t="s">
        <v>2330</v>
      </c>
      <c r="D327" s="3">
        <v>24261</v>
      </c>
      <c r="E327" t="s">
        <v>1173</v>
      </c>
      <c r="G327" s="3">
        <v>38852</v>
      </c>
      <c r="H327" t="s">
        <v>2331</v>
      </c>
      <c r="J327" t="s">
        <v>1191</v>
      </c>
      <c r="K327" t="s">
        <v>185</v>
      </c>
      <c r="L327" s="3">
        <v>47637</v>
      </c>
      <c r="M327" s="3">
        <v>47628</v>
      </c>
      <c r="N327" t="s">
        <v>2332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2333</v>
      </c>
      <c r="C328" t="s">
        <v>2334</v>
      </c>
      <c r="D328" s="3">
        <v>22649</v>
      </c>
      <c r="E328" t="s">
        <v>1173</v>
      </c>
      <c r="G328" s="3">
        <v>38957</v>
      </c>
      <c r="H328" t="s">
        <v>2335</v>
      </c>
      <c r="J328" t="s">
        <v>1176</v>
      </c>
      <c r="K328" t="s">
        <v>187</v>
      </c>
      <c r="L328" s="3">
        <v>47497</v>
      </c>
      <c r="M328" s="3">
        <v>47470</v>
      </c>
      <c r="N328" t="s">
        <v>2336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2337</v>
      </c>
      <c r="C329" t="s">
        <v>2338</v>
      </c>
      <c r="D329" s="3">
        <v>23029</v>
      </c>
      <c r="E329" t="s">
        <v>1173</v>
      </c>
      <c r="F329">
        <v>410</v>
      </c>
      <c r="G329" s="3">
        <v>32644</v>
      </c>
      <c r="H329" t="s">
        <v>2339</v>
      </c>
      <c r="J329" t="s">
        <v>1297</v>
      </c>
      <c r="K329" t="s">
        <v>197</v>
      </c>
      <c r="L329" s="3">
        <v>47573</v>
      </c>
      <c r="M329" s="3">
        <v>46306</v>
      </c>
      <c r="N329" t="s">
        <v>2340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2341</v>
      </c>
      <c r="C330" t="s">
        <v>2338</v>
      </c>
      <c r="D330" s="3">
        <v>25679</v>
      </c>
      <c r="E330" t="s">
        <v>1173</v>
      </c>
      <c r="F330">
        <v>187</v>
      </c>
      <c r="G330" s="3">
        <v>42534</v>
      </c>
      <c r="H330" t="s">
        <v>2342</v>
      </c>
      <c r="J330" t="s">
        <v>1284</v>
      </c>
      <c r="K330" t="s">
        <v>193</v>
      </c>
      <c r="L330" s="3">
        <v>46134</v>
      </c>
      <c r="M330" s="3">
        <v>46097</v>
      </c>
      <c r="N330" t="s">
        <v>2343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2344</v>
      </c>
      <c r="C331" t="s">
        <v>2338</v>
      </c>
      <c r="D331" s="3">
        <v>25646</v>
      </c>
      <c r="E331" t="s">
        <v>1173</v>
      </c>
      <c r="F331">
        <v>72</v>
      </c>
      <c r="G331" s="3">
        <v>41113</v>
      </c>
      <c r="H331" t="s">
        <v>2345</v>
      </c>
      <c r="J331" t="s">
        <v>1248</v>
      </c>
      <c r="K331" t="s">
        <v>189</v>
      </c>
      <c r="L331" s="3">
        <v>1</v>
      </c>
      <c r="M331" s="3">
        <v>46427</v>
      </c>
      <c r="N331" t="s">
        <v>2346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2347</v>
      </c>
      <c r="C332" t="s">
        <v>2338</v>
      </c>
      <c r="D332" s="3">
        <v>30532</v>
      </c>
      <c r="E332" t="s">
        <v>1173</v>
      </c>
      <c r="F332">
        <v>80</v>
      </c>
      <c r="G332" s="3">
        <v>39664</v>
      </c>
      <c r="H332" t="s">
        <v>2348</v>
      </c>
      <c r="J332" t="s">
        <v>1262</v>
      </c>
      <c r="K332" t="s">
        <v>185</v>
      </c>
      <c r="L332" s="3">
        <v>72686</v>
      </c>
      <c r="M332" s="3">
        <v>46679</v>
      </c>
      <c r="N332" t="s">
        <v>2349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2350</v>
      </c>
      <c r="C333" t="s">
        <v>2351</v>
      </c>
      <c r="D333" s="3">
        <v>36222</v>
      </c>
      <c r="E333" t="s">
        <v>1173</v>
      </c>
      <c r="G333" s="3">
        <v>45222</v>
      </c>
      <c r="H333" t="s">
        <v>2352</v>
      </c>
      <c r="J333" t="s">
        <v>1181</v>
      </c>
      <c r="K333" t="s">
        <v>195</v>
      </c>
      <c r="L333" s="3">
        <v>47064</v>
      </c>
      <c r="M333" s="3">
        <v>47030</v>
      </c>
      <c r="N333" t="s">
        <v>2353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2354</v>
      </c>
      <c r="C334" t="s">
        <v>2355</v>
      </c>
      <c r="D334" s="3">
        <v>25627</v>
      </c>
      <c r="E334" t="s">
        <v>1173</v>
      </c>
      <c r="F334">
        <v>508</v>
      </c>
      <c r="G334" s="3">
        <v>35219</v>
      </c>
      <c r="I334">
        <v>474276343</v>
      </c>
      <c r="J334" t="s">
        <v>1292</v>
      </c>
      <c r="K334" t="s">
        <v>191</v>
      </c>
      <c r="L334" s="3">
        <v>47566</v>
      </c>
      <c r="M334" s="3">
        <v>47561</v>
      </c>
      <c r="N334" t="s">
        <v>2356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1732</v>
      </c>
      <c r="C335" t="s">
        <v>2357</v>
      </c>
      <c r="D335" s="3">
        <v>24146</v>
      </c>
      <c r="E335" t="s">
        <v>1173</v>
      </c>
      <c r="F335">
        <v>509</v>
      </c>
      <c r="G335" s="3">
        <v>32797</v>
      </c>
      <c r="J335" t="s">
        <v>1292</v>
      </c>
      <c r="K335" t="s">
        <v>191</v>
      </c>
      <c r="L335" s="3">
        <v>47602</v>
      </c>
      <c r="M335" s="3">
        <v>46399</v>
      </c>
      <c r="N335" t="s">
        <v>2358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2359</v>
      </c>
      <c r="C336" t="s">
        <v>2360</v>
      </c>
      <c r="D336" s="3">
        <v>29195</v>
      </c>
      <c r="E336" t="s">
        <v>1173</v>
      </c>
      <c r="G336" s="3">
        <v>45124</v>
      </c>
      <c r="H336" t="s">
        <v>2361</v>
      </c>
      <c r="J336" t="s">
        <v>1181</v>
      </c>
      <c r="K336" t="s">
        <v>189</v>
      </c>
      <c r="L336" s="3">
        <v>47526</v>
      </c>
      <c r="M336" s="3">
        <v>47460</v>
      </c>
      <c r="N336" t="s">
        <v>2362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2363</v>
      </c>
      <c r="C337" t="s">
        <v>2364</v>
      </c>
      <c r="D337" s="3">
        <v>27407</v>
      </c>
      <c r="E337" t="s">
        <v>1173</v>
      </c>
      <c r="F337">
        <v>118</v>
      </c>
      <c r="G337" s="3">
        <v>39370</v>
      </c>
      <c r="H337" t="s">
        <v>2365</v>
      </c>
      <c r="J337" t="s">
        <v>1334</v>
      </c>
      <c r="K337" t="s">
        <v>193</v>
      </c>
      <c r="L337" s="3">
        <v>47094</v>
      </c>
      <c r="M337" s="3">
        <v>47083</v>
      </c>
      <c r="N337" t="s">
        <v>2366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2367</v>
      </c>
      <c r="C338" t="s">
        <v>2368</v>
      </c>
      <c r="D338" s="3">
        <v>31566</v>
      </c>
      <c r="E338" t="s">
        <v>1173</v>
      </c>
      <c r="F338">
        <v>207</v>
      </c>
      <c r="G338" s="3">
        <v>40602</v>
      </c>
      <c r="H338" t="s">
        <v>2369</v>
      </c>
      <c r="J338" t="s">
        <v>1205</v>
      </c>
      <c r="K338" t="s">
        <v>193</v>
      </c>
      <c r="L338" s="3">
        <v>47548</v>
      </c>
      <c r="M338" s="3">
        <v>47533</v>
      </c>
      <c r="N338" t="s">
        <v>2370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2371</v>
      </c>
      <c r="C339" t="s">
        <v>2372</v>
      </c>
      <c r="D339" s="3">
        <v>28323</v>
      </c>
      <c r="E339" t="s">
        <v>1173</v>
      </c>
      <c r="G339" s="3">
        <v>45603</v>
      </c>
      <c r="H339" t="s">
        <v>2373</v>
      </c>
      <c r="J339" t="s">
        <v>1181</v>
      </c>
      <c r="K339" t="s">
        <v>185</v>
      </c>
      <c r="L339" s="3">
        <v>47448</v>
      </c>
      <c r="M339" s="3">
        <v>47407</v>
      </c>
      <c r="N339" t="s">
        <v>2374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1722</v>
      </c>
      <c r="C340" t="s">
        <v>2372</v>
      </c>
      <c r="D340" s="3">
        <v>31836</v>
      </c>
      <c r="E340" t="s">
        <v>1173</v>
      </c>
      <c r="F340">
        <v>266</v>
      </c>
      <c r="G340" s="3">
        <v>42268</v>
      </c>
      <c r="H340" t="s">
        <v>2375</v>
      </c>
      <c r="J340" t="s">
        <v>1297</v>
      </c>
      <c r="K340" t="s">
        <v>193</v>
      </c>
      <c r="L340" s="3">
        <v>47576</v>
      </c>
      <c r="M340" s="3">
        <v>47524</v>
      </c>
      <c r="N340" t="s">
        <v>2376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2377</v>
      </c>
      <c r="C341" t="s">
        <v>2372</v>
      </c>
      <c r="D341" s="3">
        <v>27290</v>
      </c>
      <c r="E341" t="s">
        <v>1173</v>
      </c>
      <c r="F341">
        <v>198</v>
      </c>
      <c r="G341" s="3">
        <v>37830</v>
      </c>
      <c r="H341" t="s">
        <v>2378</v>
      </c>
      <c r="J341" t="s">
        <v>1489</v>
      </c>
      <c r="K341" t="s">
        <v>195</v>
      </c>
      <c r="L341" s="3">
        <v>47611</v>
      </c>
      <c r="M341" s="3">
        <v>46518</v>
      </c>
      <c r="N341" t="s">
        <v>2379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1237</v>
      </c>
      <c r="C342" t="s">
        <v>2380</v>
      </c>
      <c r="D342" s="3">
        <v>36104</v>
      </c>
      <c r="E342" t="s">
        <v>1173</v>
      </c>
      <c r="G342" s="3">
        <v>45173</v>
      </c>
      <c r="H342" t="s">
        <v>2381</v>
      </c>
      <c r="J342" t="s">
        <v>1181</v>
      </c>
      <c r="K342" t="s">
        <v>189</v>
      </c>
      <c r="L342" s="3">
        <v>47014</v>
      </c>
      <c r="M342" s="3">
        <v>46903</v>
      </c>
      <c r="N342" t="s">
        <v>2382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2383</v>
      </c>
      <c r="C343" t="s">
        <v>2380</v>
      </c>
      <c r="D343" s="3">
        <v>30718</v>
      </c>
      <c r="E343" t="s">
        <v>1173</v>
      </c>
      <c r="G343" s="3">
        <v>45090</v>
      </c>
      <c r="H343" t="s">
        <v>2384</v>
      </c>
      <c r="J343" t="s">
        <v>1363</v>
      </c>
      <c r="K343" t="s">
        <v>193</v>
      </c>
      <c r="L343" s="3">
        <v>46933</v>
      </c>
      <c r="M343" s="3">
        <v>46810</v>
      </c>
      <c r="N343" t="s">
        <v>2385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2386</v>
      </c>
      <c r="C344" t="s">
        <v>2387</v>
      </c>
      <c r="D344" s="3">
        <v>27316</v>
      </c>
      <c r="E344" t="s">
        <v>1173</v>
      </c>
      <c r="F344">
        <v>9</v>
      </c>
      <c r="G344" s="3">
        <v>36227</v>
      </c>
      <c r="H344" t="s">
        <v>2388</v>
      </c>
      <c r="J344" t="s">
        <v>1358</v>
      </c>
      <c r="K344" t="s">
        <v>191</v>
      </c>
      <c r="L344" s="3">
        <v>46880</v>
      </c>
      <c r="M344" s="3">
        <v>46853</v>
      </c>
      <c r="N344" t="s">
        <v>2389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2390</v>
      </c>
      <c r="C345" t="s">
        <v>2391</v>
      </c>
      <c r="D345" s="3">
        <v>24328</v>
      </c>
      <c r="E345" t="s">
        <v>1173</v>
      </c>
      <c r="F345">
        <v>259</v>
      </c>
      <c r="G345" s="3">
        <v>39958</v>
      </c>
      <c r="H345" t="s">
        <v>2392</v>
      </c>
      <c r="J345" t="s">
        <v>1489</v>
      </c>
      <c r="K345" t="s">
        <v>185</v>
      </c>
      <c r="L345" s="3">
        <v>47106</v>
      </c>
      <c r="M345" s="3">
        <v>47105</v>
      </c>
      <c r="N345" t="s">
        <v>2393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2394</v>
      </c>
      <c r="C346" t="s">
        <v>2395</v>
      </c>
      <c r="D346" s="3">
        <v>33354</v>
      </c>
      <c r="E346" t="s">
        <v>1173</v>
      </c>
      <c r="F346">
        <v>223</v>
      </c>
      <c r="G346" s="3">
        <v>42892</v>
      </c>
      <c r="H346" t="s">
        <v>2396</v>
      </c>
      <c r="J346" t="s">
        <v>1351</v>
      </c>
      <c r="K346" t="s">
        <v>199</v>
      </c>
      <c r="L346" s="3">
        <v>46531</v>
      </c>
      <c r="M346" s="3">
        <v>46504</v>
      </c>
      <c r="N346" t="s">
        <v>2397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2398</v>
      </c>
      <c r="C347" t="s">
        <v>2399</v>
      </c>
      <c r="D347" s="3">
        <v>32844</v>
      </c>
      <c r="E347" t="s">
        <v>1173</v>
      </c>
      <c r="G347" s="3">
        <v>42562</v>
      </c>
      <c r="H347" t="s">
        <v>2400</v>
      </c>
      <c r="J347" t="s">
        <v>1363</v>
      </c>
      <c r="K347" t="s">
        <v>191</v>
      </c>
      <c r="L347" s="3">
        <v>46159</v>
      </c>
      <c r="M347" s="3">
        <v>46147</v>
      </c>
      <c r="N347" t="s">
        <v>2401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2402</v>
      </c>
      <c r="C348" t="s">
        <v>2403</v>
      </c>
      <c r="D348" s="3">
        <v>34393</v>
      </c>
      <c r="E348" t="s">
        <v>1173</v>
      </c>
      <c r="G348" s="3">
        <v>45544</v>
      </c>
      <c r="H348" t="s">
        <v>2404</v>
      </c>
      <c r="J348" t="s">
        <v>1181</v>
      </c>
      <c r="K348" t="s">
        <v>193</v>
      </c>
      <c r="L348" s="3">
        <v>47390</v>
      </c>
      <c r="M348" s="3">
        <v>47267</v>
      </c>
      <c r="N348" t="s">
        <v>2405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3433</v>
      </c>
      <c r="C349" t="s">
        <v>3434</v>
      </c>
      <c r="D349" s="3">
        <v>37799</v>
      </c>
      <c r="E349" t="s">
        <v>1173</v>
      </c>
      <c r="G349" s="3">
        <v>45860</v>
      </c>
      <c r="H349" t="s">
        <v>3435</v>
      </c>
      <c r="J349" t="s">
        <v>1181</v>
      </c>
      <c r="K349" t="s">
        <v>193</v>
      </c>
      <c r="L349" s="3">
        <v>1</v>
      </c>
      <c r="M349" s="3">
        <v>1</v>
      </c>
      <c r="N349" t="s">
        <v>3436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2406</v>
      </c>
      <c r="C350" t="s">
        <v>2407</v>
      </c>
      <c r="D350" s="3">
        <v>30245</v>
      </c>
      <c r="E350" t="s">
        <v>1173</v>
      </c>
      <c r="G350" s="3">
        <v>44956</v>
      </c>
      <c r="H350" t="s">
        <v>2408</v>
      </c>
      <c r="J350" t="s">
        <v>1181</v>
      </c>
      <c r="K350" t="s">
        <v>193</v>
      </c>
      <c r="L350" s="3">
        <v>46796</v>
      </c>
      <c r="M350" s="3">
        <v>46644</v>
      </c>
      <c r="N350" t="s">
        <v>2409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2410</v>
      </c>
      <c r="C351" t="s">
        <v>2407</v>
      </c>
      <c r="D351" s="3">
        <v>28532</v>
      </c>
      <c r="E351" t="s">
        <v>1173</v>
      </c>
      <c r="F351">
        <v>330</v>
      </c>
      <c r="G351" s="3">
        <v>41981</v>
      </c>
      <c r="H351" t="s">
        <v>2411</v>
      </c>
      <c r="J351" t="s">
        <v>1284</v>
      </c>
      <c r="K351" t="s">
        <v>197</v>
      </c>
      <c r="L351" s="3">
        <v>47335</v>
      </c>
      <c r="M351" s="3">
        <v>47293</v>
      </c>
      <c r="N351" t="s">
        <v>2412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2413</v>
      </c>
      <c r="C352" t="s">
        <v>2407</v>
      </c>
      <c r="D352" s="3">
        <v>30888</v>
      </c>
      <c r="E352" t="s">
        <v>1173</v>
      </c>
      <c r="F352">
        <v>431</v>
      </c>
      <c r="G352" s="3">
        <v>39468</v>
      </c>
      <c r="H352" t="s">
        <v>2414</v>
      </c>
      <c r="J352" t="s">
        <v>1205</v>
      </c>
      <c r="K352" t="s">
        <v>193</v>
      </c>
      <c r="L352" s="3">
        <v>47064</v>
      </c>
      <c r="M352" s="3">
        <v>47044</v>
      </c>
      <c r="N352" t="s">
        <v>2415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1264</v>
      </c>
      <c r="C353" t="s">
        <v>2407</v>
      </c>
      <c r="D353" s="3">
        <v>29008</v>
      </c>
      <c r="E353" t="s">
        <v>1173</v>
      </c>
      <c r="F353">
        <v>140</v>
      </c>
      <c r="G353" s="3">
        <v>36948</v>
      </c>
      <c r="I353">
        <v>477886484</v>
      </c>
      <c r="J353" t="s">
        <v>1214</v>
      </c>
      <c r="K353" t="s">
        <v>189</v>
      </c>
      <c r="L353" s="3">
        <v>47635</v>
      </c>
      <c r="M353" s="3">
        <v>47615</v>
      </c>
      <c r="N353" t="s">
        <v>2416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2417</v>
      </c>
      <c r="C354" t="s">
        <v>2418</v>
      </c>
      <c r="D354" s="3">
        <v>29587</v>
      </c>
      <c r="E354" t="s">
        <v>1173</v>
      </c>
      <c r="G354" s="3">
        <v>45313</v>
      </c>
      <c r="H354" t="s">
        <v>2419</v>
      </c>
      <c r="J354" t="s">
        <v>1181</v>
      </c>
      <c r="K354" t="s">
        <v>195</v>
      </c>
      <c r="L354" s="3">
        <v>46313</v>
      </c>
      <c r="M354" s="3">
        <v>45873</v>
      </c>
      <c r="N354" t="s">
        <v>2420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2421</v>
      </c>
      <c r="C355" t="s">
        <v>2422</v>
      </c>
      <c r="D355" s="3">
        <v>34727</v>
      </c>
      <c r="E355" t="s">
        <v>1173</v>
      </c>
      <c r="G355" s="3">
        <v>45307</v>
      </c>
      <c r="H355" t="s">
        <v>2423</v>
      </c>
      <c r="J355" t="s">
        <v>1181</v>
      </c>
      <c r="K355" t="s">
        <v>189</v>
      </c>
      <c r="L355" s="3">
        <v>46999</v>
      </c>
      <c r="M355" s="3">
        <v>46999</v>
      </c>
      <c r="N355" t="s">
        <v>2424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1201</v>
      </c>
      <c r="C356" t="s">
        <v>2425</v>
      </c>
      <c r="D356" s="3">
        <v>33077</v>
      </c>
      <c r="E356" t="s">
        <v>1173</v>
      </c>
      <c r="G356" s="3">
        <v>43325</v>
      </c>
      <c r="H356" t="s">
        <v>2426</v>
      </c>
      <c r="J356" t="s">
        <v>1181</v>
      </c>
      <c r="K356" t="s">
        <v>195</v>
      </c>
      <c r="L356" s="3">
        <v>47294</v>
      </c>
      <c r="M356" s="3">
        <v>47233</v>
      </c>
      <c r="N356" t="s">
        <v>2427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2428</v>
      </c>
      <c r="C357" t="s">
        <v>2429</v>
      </c>
      <c r="D357" s="3">
        <v>35965</v>
      </c>
      <c r="E357" t="s">
        <v>1173</v>
      </c>
      <c r="G357" s="3">
        <v>45222</v>
      </c>
      <c r="H357" t="s">
        <v>2430</v>
      </c>
      <c r="J357" t="s">
        <v>1181</v>
      </c>
      <c r="K357" t="s">
        <v>193</v>
      </c>
      <c r="L357" s="3">
        <v>47064</v>
      </c>
      <c r="M357" s="3">
        <v>47009</v>
      </c>
      <c r="N357" t="s">
        <v>2431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2432</v>
      </c>
      <c r="C358" t="s">
        <v>2433</v>
      </c>
      <c r="D358" s="3">
        <v>33523</v>
      </c>
      <c r="E358" t="s">
        <v>1173</v>
      </c>
      <c r="G358" s="3">
        <v>45498</v>
      </c>
      <c r="H358" t="s">
        <v>2434</v>
      </c>
      <c r="J358" t="s">
        <v>1181</v>
      </c>
      <c r="K358" t="s">
        <v>187</v>
      </c>
      <c r="L358" s="3">
        <v>47342</v>
      </c>
      <c r="M358" s="3">
        <v>47594</v>
      </c>
      <c r="N358" t="s">
        <v>2435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2436</v>
      </c>
      <c r="C359" t="s">
        <v>2433</v>
      </c>
      <c r="D359" s="3">
        <v>30660</v>
      </c>
      <c r="E359" t="s">
        <v>1173</v>
      </c>
      <c r="F359">
        <v>347</v>
      </c>
      <c r="G359" s="3">
        <v>38929</v>
      </c>
      <c r="H359" t="s">
        <v>2437</v>
      </c>
      <c r="J359" t="s">
        <v>1248</v>
      </c>
      <c r="K359" t="s">
        <v>199</v>
      </c>
      <c r="L359" s="3">
        <v>72686</v>
      </c>
      <c r="M359" s="3">
        <v>46042</v>
      </c>
      <c r="N359" t="s">
        <v>2438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2439</v>
      </c>
      <c r="C360" t="s">
        <v>2440</v>
      </c>
      <c r="D360" s="3">
        <v>34204</v>
      </c>
      <c r="E360" t="s">
        <v>1173</v>
      </c>
      <c r="G360" s="3">
        <v>42296</v>
      </c>
      <c r="H360" t="s">
        <v>2441</v>
      </c>
      <c r="I360">
        <v>0</v>
      </c>
      <c r="J360" t="s">
        <v>1214</v>
      </c>
      <c r="K360" t="s">
        <v>195</v>
      </c>
      <c r="L360" s="3">
        <v>46181</v>
      </c>
      <c r="M360" s="3">
        <v>46105</v>
      </c>
      <c r="N360" t="s">
        <v>2442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2443</v>
      </c>
      <c r="C361" t="s">
        <v>2444</v>
      </c>
      <c r="D361" s="3">
        <v>36352</v>
      </c>
      <c r="E361" t="s">
        <v>1173</v>
      </c>
      <c r="G361" s="3">
        <v>44837</v>
      </c>
      <c r="H361" t="s">
        <v>2445</v>
      </c>
      <c r="J361" t="s">
        <v>1181</v>
      </c>
      <c r="K361" t="s">
        <v>187</v>
      </c>
      <c r="L361" s="3">
        <v>46678</v>
      </c>
      <c r="M361" s="3">
        <v>46552</v>
      </c>
      <c r="N361" t="s">
        <v>2446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2447</v>
      </c>
      <c r="C362" t="s">
        <v>2448</v>
      </c>
      <c r="D362" s="3">
        <v>27842</v>
      </c>
      <c r="E362" t="s">
        <v>1173</v>
      </c>
      <c r="F362">
        <v>293</v>
      </c>
      <c r="G362" s="3">
        <v>37886</v>
      </c>
      <c r="H362" t="s">
        <v>2449</v>
      </c>
      <c r="J362" t="s">
        <v>1227</v>
      </c>
      <c r="K362" t="s">
        <v>197</v>
      </c>
      <c r="L362" s="3">
        <v>47275</v>
      </c>
      <c r="M362" s="3">
        <v>47237</v>
      </c>
      <c r="N362" t="s">
        <v>2450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2451</v>
      </c>
      <c r="C363" t="s">
        <v>2452</v>
      </c>
      <c r="D363" s="3">
        <v>25098</v>
      </c>
      <c r="E363" t="s">
        <v>1173</v>
      </c>
      <c r="F363">
        <v>189</v>
      </c>
      <c r="G363" s="3">
        <v>33707</v>
      </c>
      <c r="H363" t="s">
        <v>2453</v>
      </c>
      <c r="I363">
        <v>93848830</v>
      </c>
      <c r="J363" t="s">
        <v>1489</v>
      </c>
      <c r="K363" t="s">
        <v>195</v>
      </c>
      <c r="L363" s="3">
        <v>45872</v>
      </c>
      <c r="M363" s="3">
        <v>46318</v>
      </c>
      <c r="N363" t="s">
        <v>2454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2455</v>
      </c>
      <c r="C364" t="s">
        <v>2456</v>
      </c>
      <c r="D364" s="3">
        <v>27384</v>
      </c>
      <c r="E364" t="s">
        <v>1173</v>
      </c>
      <c r="F364">
        <v>48</v>
      </c>
      <c r="G364" s="3">
        <v>36080</v>
      </c>
      <c r="H364" t="s">
        <v>2457</v>
      </c>
      <c r="J364" t="s">
        <v>1227</v>
      </c>
      <c r="K364" t="s">
        <v>195</v>
      </c>
      <c r="L364" s="3">
        <v>47614</v>
      </c>
      <c r="M364" s="3">
        <v>46704</v>
      </c>
      <c r="N364" t="s">
        <v>2458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2459</v>
      </c>
      <c r="C365" t="s">
        <v>2460</v>
      </c>
      <c r="D365" s="3">
        <v>34663</v>
      </c>
      <c r="E365" t="s">
        <v>1173</v>
      </c>
      <c r="F365">
        <v>132</v>
      </c>
      <c r="G365" s="3">
        <v>43752</v>
      </c>
      <c r="H365" t="s">
        <v>2461</v>
      </c>
      <c r="I365">
        <v>498707898</v>
      </c>
      <c r="J365" t="s">
        <v>1380</v>
      </c>
      <c r="K365" t="s">
        <v>185</v>
      </c>
      <c r="L365" s="3">
        <v>47274</v>
      </c>
      <c r="M365" s="3">
        <v>47237</v>
      </c>
      <c r="N365" t="s">
        <v>2462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2463</v>
      </c>
      <c r="C366" t="s">
        <v>2464</v>
      </c>
      <c r="D366" s="3">
        <v>24788</v>
      </c>
      <c r="E366" t="s">
        <v>1173</v>
      </c>
      <c r="F366">
        <v>290</v>
      </c>
      <c r="G366" s="3">
        <v>39174</v>
      </c>
      <c r="H366" t="s">
        <v>2465</v>
      </c>
      <c r="J366" t="s">
        <v>1199</v>
      </c>
      <c r="K366" t="s">
        <v>195</v>
      </c>
      <c r="L366" s="3">
        <v>72686</v>
      </c>
      <c r="M366" s="3">
        <v>72686</v>
      </c>
      <c r="N366" t="s">
        <v>2466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2467</v>
      </c>
      <c r="C367" t="s">
        <v>2468</v>
      </c>
      <c r="D367" s="3">
        <v>36357</v>
      </c>
      <c r="E367" t="s">
        <v>1173</v>
      </c>
      <c r="G367" s="3">
        <v>45798</v>
      </c>
      <c r="H367" t="s">
        <v>2469</v>
      </c>
      <c r="J367" t="s">
        <v>1181</v>
      </c>
      <c r="K367" t="s">
        <v>185</v>
      </c>
      <c r="L367" s="3">
        <v>47645</v>
      </c>
      <c r="M367" s="3">
        <v>47538</v>
      </c>
      <c r="N367" t="s">
        <v>2470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2471</v>
      </c>
      <c r="C368" t="s">
        <v>2472</v>
      </c>
      <c r="D368" s="3">
        <v>37767</v>
      </c>
      <c r="E368" t="s">
        <v>1173</v>
      </c>
      <c r="G368" s="3">
        <v>45735</v>
      </c>
      <c r="H368" t="s">
        <v>2473</v>
      </c>
      <c r="J368" t="s">
        <v>1181</v>
      </c>
      <c r="K368" t="s">
        <v>195</v>
      </c>
      <c r="L368" s="3">
        <v>47582</v>
      </c>
      <c r="M368" s="3">
        <v>47538</v>
      </c>
      <c r="N368" t="s">
        <v>2474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2443</v>
      </c>
      <c r="C369" t="s">
        <v>2475</v>
      </c>
      <c r="D369" s="3">
        <v>33856</v>
      </c>
      <c r="E369" t="s">
        <v>1173</v>
      </c>
      <c r="F369">
        <v>324</v>
      </c>
      <c r="G369" s="3">
        <v>44067</v>
      </c>
      <c r="H369" t="s">
        <v>2476</v>
      </c>
      <c r="J369" t="s">
        <v>1181</v>
      </c>
      <c r="K369" t="s">
        <v>193</v>
      </c>
      <c r="L369" s="3">
        <v>45916</v>
      </c>
      <c r="M369" s="3">
        <v>45874</v>
      </c>
      <c r="N369" t="s">
        <v>2477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2478</v>
      </c>
      <c r="C370" t="s">
        <v>2479</v>
      </c>
      <c r="D370" s="3">
        <v>34087</v>
      </c>
      <c r="E370" t="s">
        <v>1173</v>
      </c>
      <c r="G370" s="3">
        <v>44417</v>
      </c>
      <c r="H370" t="s">
        <v>2480</v>
      </c>
      <c r="J370" t="s">
        <v>1181</v>
      </c>
      <c r="K370" t="s">
        <v>195</v>
      </c>
      <c r="L370" s="3">
        <v>46257</v>
      </c>
      <c r="M370" s="3">
        <v>46147</v>
      </c>
      <c r="N370" t="s">
        <v>2481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2482</v>
      </c>
      <c r="C371" t="s">
        <v>2483</v>
      </c>
      <c r="D371" s="3">
        <v>30458</v>
      </c>
      <c r="E371" t="s">
        <v>1173</v>
      </c>
      <c r="F371">
        <v>400</v>
      </c>
      <c r="G371" s="3">
        <v>43997</v>
      </c>
      <c r="H371" t="s">
        <v>2484</v>
      </c>
      <c r="J371" t="s">
        <v>1219</v>
      </c>
      <c r="K371" t="s">
        <v>193</v>
      </c>
      <c r="L371" s="3">
        <v>47581</v>
      </c>
      <c r="M371" s="3">
        <v>47533</v>
      </c>
      <c r="N371" t="s">
        <v>2485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2486</v>
      </c>
      <c r="C372" t="s">
        <v>2483</v>
      </c>
      <c r="D372" s="3">
        <v>24507</v>
      </c>
      <c r="E372" t="s">
        <v>1173</v>
      </c>
      <c r="F372">
        <v>220</v>
      </c>
      <c r="G372" s="3">
        <v>43556</v>
      </c>
      <c r="H372" t="s">
        <v>2487</v>
      </c>
      <c r="I372">
        <v>499245846</v>
      </c>
      <c r="J372" t="s">
        <v>1191</v>
      </c>
      <c r="K372" t="s">
        <v>199</v>
      </c>
      <c r="L372" s="3">
        <v>47222</v>
      </c>
      <c r="M372" s="3">
        <v>46404</v>
      </c>
      <c r="N372" t="s">
        <v>2488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2489</v>
      </c>
      <c r="C373" t="s">
        <v>2490</v>
      </c>
      <c r="D373" s="3">
        <v>35740</v>
      </c>
      <c r="E373" t="s">
        <v>1173</v>
      </c>
      <c r="G373" s="3">
        <v>44298</v>
      </c>
      <c r="H373" t="s">
        <v>2491</v>
      </c>
      <c r="I373">
        <v>471573703</v>
      </c>
      <c r="J373" t="s">
        <v>1181</v>
      </c>
      <c r="K373" t="s">
        <v>191</v>
      </c>
      <c r="L373" s="3">
        <v>46138</v>
      </c>
      <c r="M373" s="3">
        <v>45923</v>
      </c>
      <c r="N373" t="s">
        <v>2492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2493</v>
      </c>
      <c r="C374" t="s">
        <v>2494</v>
      </c>
      <c r="D374" s="3">
        <v>26648</v>
      </c>
      <c r="E374" t="s">
        <v>1173</v>
      </c>
      <c r="F374">
        <v>190</v>
      </c>
      <c r="G374" s="3">
        <v>37424</v>
      </c>
      <c r="H374" t="s">
        <v>2495</v>
      </c>
      <c r="J374" t="s">
        <v>1473</v>
      </c>
      <c r="K374" t="s">
        <v>193</v>
      </c>
      <c r="L374" s="3">
        <v>72686</v>
      </c>
      <c r="M374" s="3">
        <v>46369</v>
      </c>
      <c r="N374" t="s">
        <v>2496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2497</v>
      </c>
      <c r="C375" t="s">
        <v>2498</v>
      </c>
      <c r="D375" s="3">
        <v>26731</v>
      </c>
      <c r="E375" t="s">
        <v>1173</v>
      </c>
      <c r="G375" s="3">
        <v>44893</v>
      </c>
      <c r="H375" t="s">
        <v>2499</v>
      </c>
      <c r="I375">
        <v>93280697</v>
      </c>
      <c r="J375" t="s">
        <v>1191</v>
      </c>
      <c r="K375" t="s">
        <v>195</v>
      </c>
      <c r="L375" s="3">
        <v>46734</v>
      </c>
      <c r="M375" s="3">
        <v>46616</v>
      </c>
      <c r="N375" t="s">
        <v>2500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2501</v>
      </c>
      <c r="C376" t="s">
        <v>2502</v>
      </c>
      <c r="D376" s="3">
        <v>23792</v>
      </c>
      <c r="E376" t="s">
        <v>1173</v>
      </c>
      <c r="F376">
        <v>217</v>
      </c>
      <c r="G376" s="3">
        <v>43108</v>
      </c>
      <c r="H376" t="s">
        <v>2503</v>
      </c>
      <c r="J376" t="s">
        <v>1363</v>
      </c>
      <c r="K376" t="s">
        <v>199</v>
      </c>
      <c r="L376" s="3">
        <v>46620</v>
      </c>
      <c r="M376" s="3">
        <v>46616</v>
      </c>
      <c r="N376" t="s">
        <v>2504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2505</v>
      </c>
      <c r="C377" t="s">
        <v>2506</v>
      </c>
      <c r="D377" s="3">
        <v>29573</v>
      </c>
      <c r="E377" t="s">
        <v>1173</v>
      </c>
      <c r="G377" s="3">
        <v>45408</v>
      </c>
      <c r="H377" t="s">
        <v>2507</v>
      </c>
      <c r="J377" t="s">
        <v>1181</v>
      </c>
      <c r="K377" t="s">
        <v>193</v>
      </c>
      <c r="L377" s="3">
        <v>47258</v>
      </c>
      <c r="M377" s="3">
        <v>47225</v>
      </c>
      <c r="N377" t="s">
        <v>2508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2509</v>
      </c>
      <c r="C378" t="s">
        <v>2510</v>
      </c>
      <c r="D378" s="3">
        <v>25391</v>
      </c>
      <c r="E378" t="s">
        <v>1173</v>
      </c>
      <c r="G378" s="3">
        <v>45236</v>
      </c>
      <c r="H378" t="s">
        <v>2511</v>
      </c>
      <c r="J378" t="s">
        <v>1181</v>
      </c>
      <c r="K378" t="s">
        <v>191</v>
      </c>
      <c r="L378" s="3">
        <v>47110</v>
      </c>
      <c r="M378" s="3">
        <v>47030</v>
      </c>
      <c r="N378" t="s">
        <v>2512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2513</v>
      </c>
      <c r="C379" t="s">
        <v>2514</v>
      </c>
      <c r="D379" s="3">
        <v>26130</v>
      </c>
      <c r="E379" t="s">
        <v>1173</v>
      </c>
      <c r="F379">
        <v>204</v>
      </c>
      <c r="G379" s="3">
        <v>42989</v>
      </c>
      <c r="H379" t="s">
        <v>2515</v>
      </c>
      <c r="J379" t="s">
        <v>1248</v>
      </c>
      <c r="K379" t="s">
        <v>199</v>
      </c>
      <c r="L379" s="3">
        <v>46518</v>
      </c>
      <c r="M379" s="3">
        <v>46511</v>
      </c>
      <c r="N379" t="s">
        <v>2516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2517</v>
      </c>
      <c r="C380" t="s">
        <v>2518</v>
      </c>
      <c r="D380" s="3">
        <v>21893</v>
      </c>
      <c r="E380" t="s">
        <v>1173</v>
      </c>
      <c r="F380">
        <v>437</v>
      </c>
      <c r="G380" s="3">
        <v>41946</v>
      </c>
      <c r="H380" t="s">
        <v>2519</v>
      </c>
      <c r="J380" t="s">
        <v>1306</v>
      </c>
      <c r="K380" t="s">
        <v>193</v>
      </c>
      <c r="L380" s="3">
        <v>47509</v>
      </c>
      <c r="M380" s="3">
        <v>47460</v>
      </c>
      <c r="N380" t="s">
        <v>2520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2521</v>
      </c>
      <c r="C381" t="s">
        <v>2522</v>
      </c>
      <c r="D381" s="3">
        <v>28038</v>
      </c>
      <c r="E381" t="s">
        <v>1173</v>
      </c>
      <c r="F381">
        <v>335</v>
      </c>
      <c r="G381" s="3">
        <v>43980</v>
      </c>
      <c r="H381" t="s">
        <v>2523</v>
      </c>
      <c r="J381" t="s">
        <v>1380</v>
      </c>
      <c r="K381" t="s">
        <v>199</v>
      </c>
      <c r="L381" s="3">
        <v>73050</v>
      </c>
      <c r="M381" s="3">
        <v>47460</v>
      </c>
      <c r="N381" t="s">
        <v>2524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2525</v>
      </c>
      <c r="C382" t="s">
        <v>2526</v>
      </c>
      <c r="D382" s="3">
        <v>25055</v>
      </c>
      <c r="E382" t="s">
        <v>1173</v>
      </c>
      <c r="F382">
        <v>53</v>
      </c>
      <c r="G382" s="3">
        <v>38390</v>
      </c>
      <c r="H382" t="s">
        <v>2527</v>
      </c>
      <c r="I382" t="s">
        <v>2528</v>
      </c>
      <c r="J382" t="s">
        <v>1199</v>
      </c>
      <c r="K382" t="s">
        <v>193</v>
      </c>
      <c r="L382" s="3">
        <v>72686</v>
      </c>
      <c r="M382" s="3">
        <v>47323</v>
      </c>
      <c r="N382" t="s">
        <v>2529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2530</v>
      </c>
      <c r="C383" t="s">
        <v>2531</v>
      </c>
      <c r="D383" s="3">
        <v>25000</v>
      </c>
      <c r="E383" t="s">
        <v>1173</v>
      </c>
      <c r="G383" s="3">
        <v>44683</v>
      </c>
      <c r="H383" t="s">
        <v>2532</v>
      </c>
      <c r="J383" t="s">
        <v>1181</v>
      </c>
      <c r="K383" t="s">
        <v>187</v>
      </c>
      <c r="L383" s="3">
        <v>46524</v>
      </c>
      <c r="M383" s="3">
        <v>46470</v>
      </c>
      <c r="N383" t="s">
        <v>2533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2534</v>
      </c>
      <c r="C384" t="s">
        <v>2535</v>
      </c>
      <c r="D384" s="3">
        <v>36537</v>
      </c>
      <c r="E384" t="s">
        <v>1173</v>
      </c>
      <c r="G384" s="3">
        <v>45798</v>
      </c>
      <c r="H384" t="s">
        <v>2536</v>
      </c>
      <c r="J384" t="s">
        <v>1181</v>
      </c>
      <c r="K384" t="s">
        <v>185</v>
      </c>
      <c r="L384" s="3">
        <v>47645</v>
      </c>
      <c r="M384" s="3">
        <v>47615</v>
      </c>
      <c r="N384" t="s">
        <v>2537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2538</v>
      </c>
      <c r="C385" t="s">
        <v>2539</v>
      </c>
      <c r="D385" s="3">
        <v>33351</v>
      </c>
      <c r="E385" t="s">
        <v>1173</v>
      </c>
      <c r="G385" s="3">
        <v>45061</v>
      </c>
      <c r="H385" t="s">
        <v>2540</v>
      </c>
      <c r="J385" t="s">
        <v>1181</v>
      </c>
      <c r="K385" t="s">
        <v>197</v>
      </c>
      <c r="L385" s="3">
        <v>46904</v>
      </c>
      <c r="M385" s="3">
        <v>46838</v>
      </c>
      <c r="N385" t="s">
        <v>2541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2542</v>
      </c>
      <c r="C386" t="s">
        <v>2543</v>
      </c>
      <c r="D386" s="3">
        <v>34089</v>
      </c>
      <c r="E386" t="s">
        <v>1173</v>
      </c>
      <c r="F386">
        <v>351</v>
      </c>
      <c r="G386" s="3">
        <v>43710</v>
      </c>
      <c r="H386" t="s">
        <v>2544</v>
      </c>
      <c r="I386">
        <v>488372246</v>
      </c>
      <c r="J386" t="s">
        <v>1214</v>
      </c>
      <c r="K386" t="s">
        <v>199</v>
      </c>
      <c r="L386" s="3">
        <v>47281</v>
      </c>
      <c r="M386" s="3">
        <v>47267</v>
      </c>
      <c r="N386" t="s">
        <v>2545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2546</v>
      </c>
      <c r="C387" t="s">
        <v>2547</v>
      </c>
      <c r="D387" s="3">
        <v>27937</v>
      </c>
      <c r="E387" t="s">
        <v>1173</v>
      </c>
      <c r="G387" s="3">
        <v>45076</v>
      </c>
      <c r="H387" t="s">
        <v>2548</v>
      </c>
      <c r="J387" t="s">
        <v>1181</v>
      </c>
      <c r="K387" t="s">
        <v>193</v>
      </c>
      <c r="L387" s="3">
        <v>46923</v>
      </c>
      <c r="M387" s="3">
        <v>46827</v>
      </c>
      <c r="N387" t="s">
        <v>2549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1233</v>
      </c>
      <c r="C388" t="s">
        <v>2550</v>
      </c>
      <c r="D388" s="3">
        <v>25777</v>
      </c>
      <c r="E388" t="s">
        <v>1173</v>
      </c>
      <c r="F388">
        <v>393</v>
      </c>
      <c r="G388" s="3">
        <v>39706</v>
      </c>
      <c r="H388" t="s">
        <v>2551</v>
      </c>
      <c r="J388" t="s">
        <v>1396</v>
      </c>
      <c r="K388" t="s">
        <v>193</v>
      </c>
      <c r="L388" s="3">
        <v>47665</v>
      </c>
      <c r="M388" s="3">
        <v>46791</v>
      </c>
      <c r="N388" t="s">
        <v>2552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2553</v>
      </c>
      <c r="C389" t="s">
        <v>2554</v>
      </c>
      <c r="D389" s="3">
        <v>29127</v>
      </c>
      <c r="E389" t="s">
        <v>1173</v>
      </c>
      <c r="F389">
        <v>580</v>
      </c>
      <c r="G389" s="3">
        <v>38481</v>
      </c>
      <c r="H389" t="s">
        <v>2555</v>
      </c>
      <c r="J389" t="s">
        <v>1284</v>
      </c>
      <c r="K389" t="s">
        <v>195</v>
      </c>
      <c r="L389" s="3">
        <v>47434</v>
      </c>
      <c r="M389" s="3">
        <v>47408</v>
      </c>
      <c r="N389" t="s">
        <v>2556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2557</v>
      </c>
      <c r="C390" t="s">
        <v>2558</v>
      </c>
      <c r="D390" s="3">
        <v>27019</v>
      </c>
      <c r="E390" t="s">
        <v>1173</v>
      </c>
      <c r="F390">
        <v>246</v>
      </c>
      <c r="G390" s="3">
        <v>36311</v>
      </c>
      <c r="H390" t="s">
        <v>2559</v>
      </c>
      <c r="J390" t="s">
        <v>1473</v>
      </c>
      <c r="K390" t="s">
        <v>187</v>
      </c>
      <c r="L390" s="3">
        <v>72686</v>
      </c>
      <c r="M390" s="3">
        <v>47189</v>
      </c>
      <c r="N390" t="s">
        <v>2560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2561</v>
      </c>
      <c r="C391" t="s">
        <v>2562</v>
      </c>
      <c r="D391" s="3">
        <v>22990</v>
      </c>
      <c r="E391" t="s">
        <v>1173</v>
      </c>
      <c r="F391">
        <v>368</v>
      </c>
      <c r="G391" s="3">
        <v>33098</v>
      </c>
      <c r="H391" t="s">
        <v>2563</v>
      </c>
      <c r="I391">
        <v>93290244</v>
      </c>
      <c r="J391" t="s">
        <v>1358</v>
      </c>
      <c r="K391" t="s">
        <v>193</v>
      </c>
      <c r="L391" s="3">
        <v>72686</v>
      </c>
      <c r="M391" s="3">
        <v>47046</v>
      </c>
      <c r="N391" t="s">
        <v>2564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2565</v>
      </c>
      <c r="C392" t="s">
        <v>2566</v>
      </c>
      <c r="D392" s="3">
        <v>33504</v>
      </c>
      <c r="E392" t="s">
        <v>1173</v>
      </c>
      <c r="G392" s="3">
        <v>44641</v>
      </c>
      <c r="H392" t="s">
        <v>2567</v>
      </c>
      <c r="J392" t="s">
        <v>1186</v>
      </c>
      <c r="K392" t="s">
        <v>195</v>
      </c>
      <c r="L392" s="3">
        <v>46482</v>
      </c>
      <c r="M392" s="3">
        <v>46364</v>
      </c>
      <c r="N392" t="s">
        <v>2568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1741</v>
      </c>
      <c r="C393" t="s">
        <v>2569</v>
      </c>
      <c r="D393" s="3">
        <v>34034</v>
      </c>
      <c r="E393" t="s">
        <v>1173</v>
      </c>
      <c r="G393" s="3">
        <v>45408</v>
      </c>
      <c r="H393" t="s">
        <v>2570</v>
      </c>
      <c r="J393" t="s">
        <v>1181</v>
      </c>
      <c r="K393" t="s">
        <v>193</v>
      </c>
      <c r="L393" s="3">
        <v>47253</v>
      </c>
      <c r="M393" s="3">
        <v>47225</v>
      </c>
      <c r="N393" t="s">
        <v>2571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2572</v>
      </c>
      <c r="C394" t="s">
        <v>2569</v>
      </c>
      <c r="D394" s="3">
        <v>32368</v>
      </c>
      <c r="E394" t="s">
        <v>1173</v>
      </c>
      <c r="G394" s="3">
        <v>45222</v>
      </c>
      <c r="H394" t="s">
        <v>2573</v>
      </c>
      <c r="J394" t="s">
        <v>1181</v>
      </c>
      <c r="K394" t="s">
        <v>187</v>
      </c>
      <c r="L394" s="3">
        <v>47064</v>
      </c>
      <c r="M394" s="3">
        <v>47027</v>
      </c>
      <c r="N394" t="s">
        <v>2574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1844</v>
      </c>
      <c r="C395" t="s">
        <v>2569</v>
      </c>
      <c r="D395" s="3">
        <v>33879</v>
      </c>
      <c r="E395" t="s">
        <v>1173</v>
      </c>
      <c r="F395">
        <v>435</v>
      </c>
      <c r="G395" s="3">
        <v>44039</v>
      </c>
      <c r="H395" t="s">
        <v>2575</v>
      </c>
      <c r="J395" t="s">
        <v>1186</v>
      </c>
      <c r="K395" t="s">
        <v>197</v>
      </c>
      <c r="L395" s="3">
        <v>47635</v>
      </c>
      <c r="M395" s="3">
        <v>47547</v>
      </c>
      <c r="N395" t="s">
        <v>2576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1741</v>
      </c>
      <c r="C396" t="s">
        <v>2577</v>
      </c>
      <c r="D396" s="3">
        <v>36483</v>
      </c>
      <c r="E396" t="s">
        <v>1173</v>
      </c>
      <c r="G396" s="3">
        <v>45470</v>
      </c>
      <c r="H396" t="s">
        <v>2578</v>
      </c>
      <c r="J396" t="s">
        <v>1181</v>
      </c>
      <c r="K396" t="s">
        <v>191</v>
      </c>
      <c r="L396" s="3">
        <v>47314</v>
      </c>
      <c r="M396" s="3">
        <v>47314</v>
      </c>
      <c r="N396" t="s">
        <v>2579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2580</v>
      </c>
      <c r="C397" t="s">
        <v>2581</v>
      </c>
      <c r="D397" s="3">
        <v>34310</v>
      </c>
      <c r="E397" t="s">
        <v>1173</v>
      </c>
      <c r="G397" s="3">
        <v>43605</v>
      </c>
      <c r="H397" t="s">
        <v>2582</v>
      </c>
      <c r="I397">
        <v>471897684</v>
      </c>
      <c r="J397" t="s">
        <v>1191</v>
      </c>
      <c r="K397" t="s">
        <v>195</v>
      </c>
      <c r="L397" s="3">
        <v>47202</v>
      </c>
      <c r="M397" s="3">
        <v>47170</v>
      </c>
      <c r="N397" t="s">
        <v>2583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3437</v>
      </c>
      <c r="C398" t="s">
        <v>3438</v>
      </c>
      <c r="D398" s="3">
        <v>28890</v>
      </c>
      <c r="E398" t="s">
        <v>1173</v>
      </c>
      <c r="G398" s="3">
        <v>45874</v>
      </c>
      <c r="H398" t="s">
        <v>3439</v>
      </c>
      <c r="J398" t="s">
        <v>3404</v>
      </c>
      <c r="K398" t="s">
        <v>197</v>
      </c>
      <c r="L398" s="3">
        <v>1</v>
      </c>
      <c r="M398" s="3">
        <v>1</v>
      </c>
      <c r="N398" t="s">
        <v>3440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2584</v>
      </c>
      <c r="C399" t="s">
        <v>2585</v>
      </c>
      <c r="D399" s="3">
        <v>22566</v>
      </c>
      <c r="E399" t="s">
        <v>1173</v>
      </c>
      <c r="G399" s="3">
        <v>44336</v>
      </c>
      <c r="H399" t="s">
        <v>2586</v>
      </c>
      <c r="J399" t="s">
        <v>1186</v>
      </c>
      <c r="K399" t="s">
        <v>197</v>
      </c>
      <c r="L399" s="3">
        <v>47576</v>
      </c>
      <c r="M399" s="3">
        <v>47547</v>
      </c>
      <c r="N399" t="s">
        <v>2587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2588</v>
      </c>
      <c r="C400" t="s">
        <v>2589</v>
      </c>
      <c r="D400" s="3">
        <v>24034</v>
      </c>
      <c r="E400" t="s">
        <v>1173</v>
      </c>
      <c r="F400">
        <v>203</v>
      </c>
      <c r="G400" s="3">
        <v>40812</v>
      </c>
      <c r="H400" t="s">
        <v>2590</v>
      </c>
      <c r="I400">
        <v>93348063</v>
      </c>
      <c r="J400" t="s">
        <v>1429</v>
      </c>
      <c r="K400" t="s">
        <v>197</v>
      </c>
      <c r="L400" s="3">
        <v>46870</v>
      </c>
      <c r="M400" s="3">
        <v>46862</v>
      </c>
      <c r="N400" t="s">
        <v>2591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2592</v>
      </c>
      <c r="C401" t="s">
        <v>2593</v>
      </c>
      <c r="D401" s="3">
        <v>33868</v>
      </c>
      <c r="E401" t="s">
        <v>1173</v>
      </c>
      <c r="G401" s="3">
        <v>42065</v>
      </c>
      <c r="H401" t="s">
        <v>2594</v>
      </c>
      <c r="J401" t="s">
        <v>1181</v>
      </c>
      <c r="K401" t="s">
        <v>185</v>
      </c>
      <c r="L401" s="3">
        <v>47499</v>
      </c>
      <c r="M401" s="3">
        <v>47441</v>
      </c>
      <c r="N401" t="s">
        <v>2595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2596</v>
      </c>
      <c r="C402" t="s">
        <v>2597</v>
      </c>
      <c r="D402" s="3">
        <v>24001</v>
      </c>
      <c r="E402" t="s">
        <v>1173</v>
      </c>
      <c r="F402">
        <v>16</v>
      </c>
      <c r="G402" s="3">
        <v>32489</v>
      </c>
      <c r="H402" t="s">
        <v>2598</v>
      </c>
      <c r="J402" t="s">
        <v>1489</v>
      </c>
      <c r="K402" t="s">
        <v>195</v>
      </c>
      <c r="L402" s="3">
        <v>47590</v>
      </c>
      <c r="M402" s="3">
        <v>46960</v>
      </c>
      <c r="N402" t="s">
        <v>2599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2600</v>
      </c>
      <c r="C403" t="s">
        <v>2597</v>
      </c>
      <c r="D403" s="3">
        <v>27001</v>
      </c>
      <c r="E403" t="s">
        <v>1173</v>
      </c>
      <c r="F403">
        <v>211</v>
      </c>
      <c r="G403" s="3">
        <v>40749</v>
      </c>
      <c r="H403" t="s">
        <v>2601</v>
      </c>
      <c r="J403" t="s">
        <v>1334</v>
      </c>
      <c r="K403" t="s">
        <v>185</v>
      </c>
      <c r="L403" s="3">
        <v>46175</v>
      </c>
      <c r="M403" s="3">
        <v>45996</v>
      </c>
      <c r="N403" t="s">
        <v>2602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2603</v>
      </c>
      <c r="C404" t="s">
        <v>2597</v>
      </c>
      <c r="D404" s="3">
        <v>23931</v>
      </c>
      <c r="E404" t="s">
        <v>1173</v>
      </c>
      <c r="F404">
        <v>613</v>
      </c>
      <c r="G404" s="3">
        <v>40350</v>
      </c>
      <c r="H404" t="s">
        <v>2604</v>
      </c>
      <c r="I404">
        <v>53622213</v>
      </c>
      <c r="J404" t="s">
        <v>1248</v>
      </c>
      <c r="K404" t="s">
        <v>195</v>
      </c>
      <c r="L404" s="3">
        <v>72686</v>
      </c>
      <c r="M404" s="3">
        <v>47189</v>
      </c>
      <c r="N404" t="s">
        <v>2605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2606</v>
      </c>
      <c r="C405" t="s">
        <v>2597</v>
      </c>
      <c r="D405" s="3">
        <v>23793</v>
      </c>
      <c r="E405" t="s">
        <v>1173</v>
      </c>
      <c r="F405">
        <v>461</v>
      </c>
      <c r="G405" s="3">
        <v>38831</v>
      </c>
      <c r="H405" t="s">
        <v>2607</v>
      </c>
      <c r="J405" t="s">
        <v>1297</v>
      </c>
      <c r="K405" t="s">
        <v>197</v>
      </c>
      <c r="L405" s="3">
        <v>47588</v>
      </c>
      <c r="M405" s="3">
        <v>47573</v>
      </c>
      <c r="N405" t="s">
        <v>2608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2609</v>
      </c>
      <c r="C406" t="s">
        <v>2610</v>
      </c>
      <c r="D406" s="3">
        <v>25646</v>
      </c>
      <c r="E406" t="s">
        <v>1173</v>
      </c>
      <c r="G406" s="3">
        <v>45478</v>
      </c>
      <c r="H406" t="s">
        <v>2611</v>
      </c>
      <c r="J406" t="s">
        <v>1181</v>
      </c>
      <c r="K406" t="s">
        <v>185</v>
      </c>
      <c r="L406" s="3">
        <v>46733</v>
      </c>
      <c r="M406" s="3">
        <v>46040</v>
      </c>
      <c r="N406" t="s">
        <v>2612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2613</v>
      </c>
      <c r="C407" t="s">
        <v>2614</v>
      </c>
      <c r="D407" s="3">
        <v>29887</v>
      </c>
      <c r="E407" t="s">
        <v>1173</v>
      </c>
      <c r="F407">
        <v>277</v>
      </c>
      <c r="G407" s="3">
        <v>41141</v>
      </c>
      <c r="H407" t="s">
        <v>2615</v>
      </c>
      <c r="J407" t="s">
        <v>1248</v>
      </c>
      <c r="K407" t="s">
        <v>195</v>
      </c>
      <c r="L407" s="3">
        <v>72686</v>
      </c>
      <c r="M407" s="3">
        <v>46621</v>
      </c>
      <c r="N407" t="s">
        <v>2616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2617</v>
      </c>
      <c r="C408" t="s">
        <v>2618</v>
      </c>
      <c r="D408" s="3">
        <v>33168</v>
      </c>
      <c r="E408" t="s">
        <v>1173</v>
      </c>
      <c r="F408">
        <v>308</v>
      </c>
      <c r="G408" s="3">
        <v>44151</v>
      </c>
      <c r="H408" t="s">
        <v>2619</v>
      </c>
      <c r="J408" t="s">
        <v>1205</v>
      </c>
      <c r="K408" t="s">
        <v>197</v>
      </c>
      <c r="L408" s="3">
        <v>45992</v>
      </c>
      <c r="M408" s="3">
        <v>45915</v>
      </c>
      <c r="N408" t="s">
        <v>2620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2621</v>
      </c>
      <c r="C409" t="s">
        <v>2618</v>
      </c>
      <c r="D409" s="3">
        <v>27176</v>
      </c>
      <c r="E409" t="s">
        <v>1173</v>
      </c>
      <c r="F409">
        <v>279</v>
      </c>
      <c r="G409" s="3">
        <v>39188</v>
      </c>
      <c r="J409" t="s">
        <v>1248</v>
      </c>
      <c r="K409" t="s">
        <v>199</v>
      </c>
      <c r="L409" s="3">
        <v>72686</v>
      </c>
      <c r="M409" s="3">
        <v>46182</v>
      </c>
      <c r="N409" t="s">
        <v>2622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2623</v>
      </c>
      <c r="C410" t="s">
        <v>2624</v>
      </c>
      <c r="D410" s="3">
        <v>29751</v>
      </c>
      <c r="E410" t="s">
        <v>1173</v>
      </c>
      <c r="F410">
        <v>617</v>
      </c>
      <c r="G410" s="3">
        <v>40525</v>
      </c>
      <c r="H410" t="s">
        <v>2625</v>
      </c>
      <c r="J410" t="s">
        <v>1292</v>
      </c>
      <c r="K410" t="s">
        <v>195</v>
      </c>
      <c r="L410" s="3">
        <v>47657</v>
      </c>
      <c r="M410" s="3">
        <v>47611</v>
      </c>
      <c r="N410" t="s">
        <v>2626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1602</v>
      </c>
      <c r="C411" t="s">
        <v>2627</v>
      </c>
      <c r="D411" s="3">
        <v>23283</v>
      </c>
      <c r="E411" t="s">
        <v>1173</v>
      </c>
      <c r="F411">
        <v>632</v>
      </c>
      <c r="G411" s="3">
        <v>36332</v>
      </c>
      <c r="H411" t="s">
        <v>2631</v>
      </c>
      <c r="J411" t="s">
        <v>1292</v>
      </c>
      <c r="K411" t="s">
        <v>187</v>
      </c>
      <c r="L411" s="3">
        <v>47659</v>
      </c>
      <c r="M411" s="3">
        <v>46974</v>
      </c>
      <c r="N411" t="s">
        <v>2632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1534</v>
      </c>
      <c r="C412" t="s">
        <v>2627</v>
      </c>
      <c r="D412" s="3">
        <v>18345</v>
      </c>
      <c r="E412" t="s">
        <v>1173</v>
      </c>
      <c r="G412" s="3">
        <v>43993</v>
      </c>
      <c r="J412" t="s">
        <v>1735</v>
      </c>
      <c r="K412" t="s">
        <v>197</v>
      </c>
      <c r="L412" s="3">
        <v>47664</v>
      </c>
      <c r="M412" s="3">
        <v>46186</v>
      </c>
      <c r="N412" t="s">
        <v>2628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2629</v>
      </c>
      <c r="C413" t="s">
        <v>2627</v>
      </c>
      <c r="D413" s="3">
        <v>24194</v>
      </c>
      <c r="E413" t="s">
        <v>1173</v>
      </c>
      <c r="F413">
        <v>213</v>
      </c>
      <c r="G413" s="3">
        <v>38103</v>
      </c>
      <c r="I413">
        <v>93572904</v>
      </c>
      <c r="J413" t="s">
        <v>1199</v>
      </c>
      <c r="K413" t="s">
        <v>187</v>
      </c>
      <c r="L413" s="3">
        <v>72686</v>
      </c>
      <c r="M413" s="3">
        <v>72686</v>
      </c>
      <c r="N413" t="s">
        <v>2630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2633</v>
      </c>
      <c r="C414" t="s">
        <v>2634</v>
      </c>
      <c r="D414" s="3">
        <v>25391</v>
      </c>
      <c r="E414" t="s">
        <v>1173</v>
      </c>
      <c r="F414">
        <v>339</v>
      </c>
      <c r="G414" s="3">
        <v>41827</v>
      </c>
      <c r="H414" t="s">
        <v>2635</v>
      </c>
      <c r="J414" t="s">
        <v>1363</v>
      </c>
      <c r="K414" t="s">
        <v>187</v>
      </c>
      <c r="L414" s="3">
        <v>47243</v>
      </c>
      <c r="M414" s="3">
        <v>47196</v>
      </c>
      <c r="N414" t="s">
        <v>2636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2637</v>
      </c>
      <c r="C415" t="s">
        <v>2634</v>
      </c>
      <c r="D415" s="3">
        <v>23749</v>
      </c>
      <c r="E415" t="s">
        <v>1173</v>
      </c>
      <c r="F415">
        <v>109</v>
      </c>
      <c r="G415" s="3">
        <v>40637</v>
      </c>
      <c r="H415" t="s">
        <v>2638</v>
      </c>
      <c r="I415">
        <v>92257858</v>
      </c>
      <c r="J415" t="s">
        <v>1199</v>
      </c>
      <c r="K415" t="s">
        <v>191</v>
      </c>
      <c r="L415" s="3">
        <v>72686</v>
      </c>
      <c r="M415" s="3">
        <v>46210</v>
      </c>
      <c r="N415" t="s">
        <v>2639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2640</v>
      </c>
      <c r="C416" t="s">
        <v>2634</v>
      </c>
      <c r="D416" s="3">
        <v>26100</v>
      </c>
      <c r="E416" t="s">
        <v>1173</v>
      </c>
      <c r="F416">
        <v>148</v>
      </c>
      <c r="G416" s="3">
        <v>39433</v>
      </c>
      <c r="H416" t="s">
        <v>2641</v>
      </c>
      <c r="J416" t="s">
        <v>1297</v>
      </c>
      <c r="K416" t="s">
        <v>197</v>
      </c>
      <c r="L416" s="3">
        <v>47602</v>
      </c>
      <c r="M416" s="3">
        <v>46511</v>
      </c>
      <c r="N416" t="s">
        <v>2642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1597</v>
      </c>
      <c r="C417" t="s">
        <v>2643</v>
      </c>
      <c r="D417" s="3">
        <v>24576</v>
      </c>
      <c r="E417" t="s">
        <v>1173</v>
      </c>
      <c r="G417" s="3">
        <v>44753</v>
      </c>
      <c r="H417" t="s">
        <v>2644</v>
      </c>
      <c r="J417" t="s">
        <v>1176</v>
      </c>
      <c r="K417" t="s">
        <v>185</v>
      </c>
      <c r="L417" s="3">
        <v>46595</v>
      </c>
      <c r="M417" s="3">
        <v>46530</v>
      </c>
      <c r="N417" t="s">
        <v>2645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2646</v>
      </c>
      <c r="C418" t="s">
        <v>2643</v>
      </c>
      <c r="D418" s="3">
        <v>24135</v>
      </c>
      <c r="E418" t="s">
        <v>1173</v>
      </c>
      <c r="F418">
        <v>532</v>
      </c>
      <c r="G418" s="3">
        <v>39006</v>
      </c>
      <c r="H418" t="s">
        <v>2647</v>
      </c>
      <c r="J418" t="s">
        <v>1396</v>
      </c>
      <c r="K418" t="s">
        <v>187</v>
      </c>
      <c r="L418" s="3">
        <v>47467</v>
      </c>
      <c r="M418" s="3">
        <v>46729</v>
      </c>
      <c r="N418" t="s">
        <v>2648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2649</v>
      </c>
      <c r="C419" t="s">
        <v>2643</v>
      </c>
      <c r="D419" s="3">
        <v>24476</v>
      </c>
      <c r="E419" t="s">
        <v>1173</v>
      </c>
      <c r="F419">
        <v>503</v>
      </c>
      <c r="G419" s="3">
        <v>37634</v>
      </c>
      <c r="H419" t="s">
        <v>2650</v>
      </c>
      <c r="J419" t="s">
        <v>1292</v>
      </c>
      <c r="K419" t="s">
        <v>187</v>
      </c>
      <c r="L419" s="3">
        <v>47541</v>
      </c>
      <c r="M419" s="3">
        <v>46772</v>
      </c>
      <c r="N419" t="s">
        <v>2651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2652</v>
      </c>
      <c r="C420" t="s">
        <v>2653</v>
      </c>
      <c r="D420" s="3">
        <v>30353</v>
      </c>
      <c r="E420" t="s">
        <v>1173</v>
      </c>
      <c r="G420" s="3">
        <v>45378</v>
      </c>
      <c r="H420" t="s">
        <v>2654</v>
      </c>
      <c r="J420" t="s">
        <v>1181</v>
      </c>
      <c r="K420" t="s">
        <v>189</v>
      </c>
      <c r="L420" s="3">
        <v>47229</v>
      </c>
      <c r="M420" s="3">
        <v>47167</v>
      </c>
      <c r="N420" t="s">
        <v>2655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1330</v>
      </c>
      <c r="C421" t="s">
        <v>2656</v>
      </c>
      <c r="D421" s="3">
        <v>29005</v>
      </c>
      <c r="E421" t="s">
        <v>1173</v>
      </c>
      <c r="F421">
        <v>298</v>
      </c>
      <c r="G421" s="3">
        <v>41855</v>
      </c>
      <c r="H421" t="s">
        <v>2657</v>
      </c>
      <c r="J421" t="s">
        <v>1396</v>
      </c>
      <c r="K421" t="s">
        <v>193</v>
      </c>
      <c r="L421" s="3">
        <v>47205</v>
      </c>
      <c r="M421" s="3">
        <v>47195</v>
      </c>
      <c r="N421" t="s">
        <v>2658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2659</v>
      </c>
      <c r="C422" t="s">
        <v>2656</v>
      </c>
      <c r="D422" s="3">
        <v>24058</v>
      </c>
      <c r="E422" t="s">
        <v>1173</v>
      </c>
      <c r="F422">
        <v>76</v>
      </c>
      <c r="G422" s="3">
        <v>38446</v>
      </c>
      <c r="H422" t="s">
        <v>2660</v>
      </c>
      <c r="I422">
        <v>92783143</v>
      </c>
      <c r="J422" t="s">
        <v>1489</v>
      </c>
      <c r="K422" t="s">
        <v>189</v>
      </c>
      <c r="L422" s="3">
        <v>45983</v>
      </c>
      <c r="M422" s="3">
        <v>45936</v>
      </c>
      <c r="N422" t="s">
        <v>2661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1982</v>
      </c>
      <c r="C423" t="s">
        <v>2656</v>
      </c>
      <c r="D423" s="3">
        <v>28129</v>
      </c>
      <c r="E423" t="s">
        <v>1173</v>
      </c>
      <c r="F423">
        <v>561</v>
      </c>
      <c r="G423" s="3">
        <v>37585</v>
      </c>
      <c r="H423" t="s">
        <v>2662</v>
      </c>
      <c r="J423" t="s">
        <v>1429</v>
      </c>
      <c r="K423" t="s">
        <v>191</v>
      </c>
      <c r="L423" s="3">
        <v>47679</v>
      </c>
      <c r="M423" s="3">
        <v>46511</v>
      </c>
      <c r="N423" t="s">
        <v>2663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1921</v>
      </c>
      <c r="C424" t="s">
        <v>2664</v>
      </c>
      <c r="D424" s="3">
        <v>25405</v>
      </c>
      <c r="E424" t="s">
        <v>1173</v>
      </c>
      <c r="G424" s="3">
        <v>45735</v>
      </c>
      <c r="H424" t="s">
        <v>2665</v>
      </c>
      <c r="J424" t="s">
        <v>1181</v>
      </c>
      <c r="K424" t="s">
        <v>191</v>
      </c>
      <c r="L424" s="3">
        <v>47581</v>
      </c>
      <c r="M424" s="3">
        <v>46817</v>
      </c>
      <c r="N424" t="s">
        <v>2666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2443</v>
      </c>
      <c r="C425" t="s">
        <v>2667</v>
      </c>
      <c r="D425" s="3">
        <v>34227</v>
      </c>
      <c r="E425" t="s">
        <v>1173</v>
      </c>
      <c r="F425">
        <v>229</v>
      </c>
      <c r="G425" s="3">
        <v>42744</v>
      </c>
      <c r="H425" t="s">
        <v>2668</v>
      </c>
      <c r="J425" t="s">
        <v>1351</v>
      </c>
      <c r="K425" t="s">
        <v>185</v>
      </c>
      <c r="L425" s="3">
        <v>46279</v>
      </c>
      <c r="M425" s="3">
        <v>46201</v>
      </c>
      <c r="N425" t="s">
        <v>2669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2670</v>
      </c>
      <c r="C426" t="s">
        <v>2667</v>
      </c>
      <c r="D426" s="3">
        <v>29408</v>
      </c>
      <c r="E426" t="s">
        <v>1173</v>
      </c>
      <c r="F426">
        <v>128</v>
      </c>
      <c r="G426" s="3">
        <v>42548</v>
      </c>
      <c r="H426" t="s">
        <v>2671</v>
      </c>
      <c r="J426" t="s">
        <v>1429</v>
      </c>
      <c r="K426" t="s">
        <v>185</v>
      </c>
      <c r="L426" s="3">
        <v>46207</v>
      </c>
      <c r="M426" s="3">
        <v>45935</v>
      </c>
      <c r="N426" t="s">
        <v>2672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2673</v>
      </c>
      <c r="C427" t="s">
        <v>2674</v>
      </c>
      <c r="D427" s="3">
        <v>27314</v>
      </c>
      <c r="E427" t="s">
        <v>1173</v>
      </c>
      <c r="G427" s="3">
        <v>40959</v>
      </c>
      <c r="H427" t="s">
        <v>2675</v>
      </c>
      <c r="J427" t="s">
        <v>1181</v>
      </c>
      <c r="K427" t="s">
        <v>189</v>
      </c>
      <c r="L427" s="3">
        <v>46272</v>
      </c>
      <c r="M427" s="3">
        <v>46266</v>
      </c>
      <c r="N427" t="s">
        <v>2676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2677</v>
      </c>
      <c r="C428" t="s">
        <v>2678</v>
      </c>
      <c r="D428" s="3">
        <v>24617</v>
      </c>
      <c r="E428" t="s">
        <v>1173</v>
      </c>
      <c r="F428">
        <v>346</v>
      </c>
      <c r="G428" s="3">
        <v>42121</v>
      </c>
      <c r="H428" t="s">
        <v>2679</v>
      </c>
      <c r="I428">
        <v>0</v>
      </c>
      <c r="J428" t="s">
        <v>1227</v>
      </c>
      <c r="K428" t="s">
        <v>185</v>
      </c>
      <c r="L428" s="3">
        <v>47614</v>
      </c>
      <c r="M428" s="3">
        <v>47195</v>
      </c>
      <c r="N428" t="s">
        <v>2680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2681</v>
      </c>
      <c r="C429" t="s">
        <v>2682</v>
      </c>
      <c r="D429" s="3">
        <v>25610</v>
      </c>
      <c r="E429" t="s">
        <v>1173</v>
      </c>
      <c r="F429">
        <v>467</v>
      </c>
      <c r="G429" s="3">
        <v>33848</v>
      </c>
      <c r="H429" t="s">
        <v>2683</v>
      </c>
      <c r="J429" t="s">
        <v>1297</v>
      </c>
      <c r="K429" t="s">
        <v>197</v>
      </c>
      <c r="L429" s="3">
        <v>45894</v>
      </c>
      <c r="M429" s="3">
        <v>46152</v>
      </c>
      <c r="N429" t="s">
        <v>2684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2685</v>
      </c>
      <c r="C430" t="s">
        <v>2686</v>
      </c>
      <c r="D430" s="3">
        <v>36438</v>
      </c>
      <c r="E430" t="s">
        <v>1173</v>
      </c>
      <c r="G430" s="3">
        <v>45040</v>
      </c>
      <c r="H430" t="s">
        <v>2687</v>
      </c>
      <c r="J430" t="s">
        <v>1181</v>
      </c>
      <c r="K430" t="s">
        <v>187</v>
      </c>
      <c r="L430" s="3">
        <v>46882</v>
      </c>
      <c r="M430" s="3">
        <v>46842</v>
      </c>
      <c r="N430" t="s">
        <v>2688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2689</v>
      </c>
      <c r="C431" t="s">
        <v>2690</v>
      </c>
      <c r="D431" s="3">
        <v>35772</v>
      </c>
      <c r="E431" t="s">
        <v>1173</v>
      </c>
      <c r="G431" s="3">
        <v>45408</v>
      </c>
      <c r="H431" t="s">
        <v>2691</v>
      </c>
      <c r="J431" t="s">
        <v>1181</v>
      </c>
      <c r="K431" t="s">
        <v>185</v>
      </c>
      <c r="L431" s="3">
        <v>47258</v>
      </c>
      <c r="M431" s="3">
        <v>47204</v>
      </c>
      <c r="N431" t="s">
        <v>2692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2693</v>
      </c>
      <c r="C432" t="s">
        <v>2694</v>
      </c>
      <c r="D432" s="3">
        <v>34746</v>
      </c>
      <c r="E432" t="s">
        <v>1173</v>
      </c>
      <c r="G432" s="3">
        <v>44599</v>
      </c>
      <c r="H432" t="s">
        <v>2695</v>
      </c>
      <c r="J432" t="s">
        <v>1181</v>
      </c>
      <c r="K432" t="s">
        <v>185</v>
      </c>
      <c r="L432" s="3">
        <v>46439</v>
      </c>
      <c r="M432" s="3">
        <v>46320</v>
      </c>
      <c r="N432" t="s">
        <v>2696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2697</v>
      </c>
      <c r="C433" t="s">
        <v>2698</v>
      </c>
      <c r="D433" s="3">
        <v>24848</v>
      </c>
      <c r="E433" t="s">
        <v>1173</v>
      </c>
      <c r="F433">
        <v>535</v>
      </c>
      <c r="G433" s="3">
        <v>37991</v>
      </c>
      <c r="H433" t="s">
        <v>2699</v>
      </c>
      <c r="I433">
        <v>93557570</v>
      </c>
      <c r="J433" t="s">
        <v>1292</v>
      </c>
      <c r="K433" t="s">
        <v>187</v>
      </c>
      <c r="L433" s="3">
        <v>46889</v>
      </c>
      <c r="M433" s="3">
        <v>46882</v>
      </c>
      <c r="N433" t="s">
        <v>2700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2701</v>
      </c>
      <c r="C434" t="s">
        <v>2702</v>
      </c>
      <c r="D434" s="3">
        <v>24539</v>
      </c>
      <c r="E434" t="s">
        <v>1173</v>
      </c>
      <c r="F434">
        <v>539</v>
      </c>
      <c r="G434" s="3">
        <v>32924</v>
      </c>
      <c r="H434" t="s">
        <v>2703</v>
      </c>
      <c r="J434" t="s">
        <v>1292</v>
      </c>
      <c r="K434" t="s">
        <v>187</v>
      </c>
      <c r="L434" s="3">
        <v>45943</v>
      </c>
      <c r="M434" s="3">
        <v>46637</v>
      </c>
      <c r="N434" t="s">
        <v>2704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2705</v>
      </c>
      <c r="C435" t="s">
        <v>2702</v>
      </c>
      <c r="D435" s="3">
        <v>30153</v>
      </c>
      <c r="E435" t="s">
        <v>1427</v>
      </c>
      <c r="F435">
        <v>83</v>
      </c>
      <c r="G435" s="3">
        <v>39160</v>
      </c>
      <c r="H435" t="s">
        <v>2706</v>
      </c>
      <c r="J435" t="s">
        <v>1275</v>
      </c>
      <c r="K435" t="s">
        <v>185</v>
      </c>
      <c r="L435" s="3">
        <v>72686</v>
      </c>
      <c r="M435" s="3">
        <v>46838</v>
      </c>
      <c r="N435" t="s">
        <v>2707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2171</v>
      </c>
      <c r="C436" t="s">
        <v>2708</v>
      </c>
      <c r="D436" s="3">
        <v>23784</v>
      </c>
      <c r="E436" t="s">
        <v>1173</v>
      </c>
      <c r="F436">
        <v>192</v>
      </c>
      <c r="G436" s="3">
        <v>35723</v>
      </c>
      <c r="H436" t="s">
        <v>2709</v>
      </c>
      <c r="J436" t="s">
        <v>1275</v>
      </c>
      <c r="K436" t="s">
        <v>199</v>
      </c>
      <c r="L436" s="3">
        <v>72686</v>
      </c>
      <c r="M436" s="3">
        <v>46236</v>
      </c>
      <c r="N436" t="s">
        <v>2710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2711</v>
      </c>
      <c r="C437" t="s">
        <v>2708</v>
      </c>
      <c r="D437" s="3">
        <v>20536</v>
      </c>
      <c r="E437" t="s">
        <v>1173</v>
      </c>
      <c r="G437" s="3">
        <v>45407</v>
      </c>
      <c r="J437" t="s">
        <v>1735</v>
      </c>
      <c r="K437" t="s">
        <v>197</v>
      </c>
      <c r="L437" s="3">
        <v>1</v>
      </c>
      <c r="M437" s="3">
        <v>1</v>
      </c>
      <c r="N437" t="s">
        <v>2712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2713</v>
      </c>
      <c r="C438" t="s">
        <v>2708</v>
      </c>
      <c r="D438" s="3">
        <v>19500</v>
      </c>
      <c r="E438" t="s">
        <v>1173</v>
      </c>
      <c r="G438" s="3">
        <v>43891</v>
      </c>
      <c r="H438" t="s">
        <v>2714</v>
      </c>
      <c r="J438" t="s">
        <v>1735</v>
      </c>
      <c r="K438" t="s">
        <v>197</v>
      </c>
      <c r="L438" s="3">
        <v>1</v>
      </c>
      <c r="M438" s="3">
        <v>1</v>
      </c>
      <c r="N438" t="s">
        <v>2715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2716</v>
      </c>
      <c r="C439" t="s">
        <v>2717</v>
      </c>
      <c r="D439" s="3">
        <v>29257</v>
      </c>
      <c r="E439" t="s">
        <v>1173</v>
      </c>
      <c r="F439">
        <v>69</v>
      </c>
      <c r="G439" s="3">
        <v>43003</v>
      </c>
      <c r="H439" t="s">
        <v>2718</v>
      </c>
      <c r="I439">
        <v>474517590</v>
      </c>
      <c r="J439" t="s">
        <v>1214</v>
      </c>
      <c r="K439" t="s">
        <v>195</v>
      </c>
      <c r="L439" s="3">
        <v>46610</v>
      </c>
      <c r="M439" s="3">
        <v>46565</v>
      </c>
      <c r="N439" t="s">
        <v>2719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2720</v>
      </c>
      <c r="C440" t="s">
        <v>2721</v>
      </c>
      <c r="D440" s="3">
        <v>31215</v>
      </c>
      <c r="E440" t="s">
        <v>1173</v>
      </c>
      <c r="F440">
        <v>267</v>
      </c>
      <c r="G440" s="3">
        <v>39174</v>
      </c>
      <c r="H440" t="s">
        <v>2722</v>
      </c>
      <c r="J440" t="s">
        <v>1176</v>
      </c>
      <c r="K440" t="s">
        <v>193</v>
      </c>
      <c r="L440" s="3">
        <v>46187</v>
      </c>
      <c r="M440" s="3">
        <v>46274</v>
      </c>
      <c r="N440" t="s">
        <v>2723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2451</v>
      </c>
      <c r="C441" t="s">
        <v>2725</v>
      </c>
      <c r="D441" s="3">
        <v>27229</v>
      </c>
      <c r="E441" t="s">
        <v>1173</v>
      </c>
      <c r="F441">
        <v>25</v>
      </c>
      <c r="G441" s="3">
        <v>41659</v>
      </c>
      <c r="H441" t="s">
        <v>2728</v>
      </c>
      <c r="J441" t="s">
        <v>1205</v>
      </c>
      <c r="K441" t="s">
        <v>197</v>
      </c>
      <c r="L441" s="3">
        <v>46859</v>
      </c>
      <c r="M441" s="3">
        <v>46853</v>
      </c>
      <c r="N441" t="s">
        <v>2729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2724</v>
      </c>
      <c r="C442" t="s">
        <v>2725</v>
      </c>
      <c r="D442" s="3">
        <v>27974</v>
      </c>
      <c r="E442" t="s">
        <v>1173</v>
      </c>
      <c r="F442">
        <v>652</v>
      </c>
      <c r="G442" s="3">
        <v>41708</v>
      </c>
      <c r="H442" t="s">
        <v>2726</v>
      </c>
      <c r="J442" t="s">
        <v>1396</v>
      </c>
      <c r="K442" t="s">
        <v>187</v>
      </c>
      <c r="L442" s="3">
        <v>47643</v>
      </c>
      <c r="M442" s="3">
        <v>46974</v>
      </c>
      <c r="N442" t="s">
        <v>2727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2730</v>
      </c>
      <c r="C443" t="s">
        <v>2731</v>
      </c>
      <c r="D443" s="3">
        <v>36686</v>
      </c>
      <c r="E443" t="s">
        <v>1173</v>
      </c>
      <c r="G443" s="3">
        <v>45264</v>
      </c>
      <c r="H443" t="s">
        <v>2732</v>
      </c>
      <c r="J443" t="s">
        <v>1181</v>
      </c>
      <c r="K443" t="s">
        <v>193</v>
      </c>
      <c r="L443" s="3">
        <v>47107</v>
      </c>
      <c r="M443" s="3">
        <v>47072</v>
      </c>
      <c r="N443" t="s">
        <v>2733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2734</v>
      </c>
      <c r="C444" t="s">
        <v>2735</v>
      </c>
      <c r="D444" s="3">
        <v>36236</v>
      </c>
      <c r="E444" t="s">
        <v>1173</v>
      </c>
      <c r="G444" s="3">
        <v>44270</v>
      </c>
      <c r="H444" t="s">
        <v>2736</v>
      </c>
      <c r="J444" t="s">
        <v>1181</v>
      </c>
      <c r="K444" t="s">
        <v>193</v>
      </c>
      <c r="L444" s="3">
        <v>46112</v>
      </c>
      <c r="M444" s="3">
        <v>46064</v>
      </c>
      <c r="N444" t="s">
        <v>2737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2277</v>
      </c>
      <c r="C445" t="s">
        <v>2738</v>
      </c>
      <c r="D445" s="3">
        <v>29830</v>
      </c>
      <c r="E445" t="s">
        <v>1173</v>
      </c>
      <c r="F445">
        <v>438</v>
      </c>
      <c r="G445" s="3">
        <v>39496</v>
      </c>
      <c r="H445" t="s">
        <v>2739</v>
      </c>
      <c r="J445" t="s">
        <v>1227</v>
      </c>
      <c r="K445" t="s">
        <v>193</v>
      </c>
      <c r="L445" s="3">
        <v>47454</v>
      </c>
      <c r="M445" s="3">
        <v>47272</v>
      </c>
      <c r="N445" t="s">
        <v>2740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2741</v>
      </c>
      <c r="C446" t="s">
        <v>2742</v>
      </c>
      <c r="D446" s="3">
        <v>35347</v>
      </c>
      <c r="E446" t="s">
        <v>1173</v>
      </c>
      <c r="F446">
        <v>296</v>
      </c>
      <c r="G446" s="3">
        <v>43193</v>
      </c>
      <c r="H446" t="s">
        <v>2743</v>
      </c>
      <c r="J446" t="s">
        <v>1248</v>
      </c>
      <c r="K446" t="s">
        <v>191</v>
      </c>
      <c r="L446" s="3">
        <v>46856</v>
      </c>
      <c r="M446" s="3">
        <v>45944</v>
      </c>
      <c r="N446" t="s">
        <v>2744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2745</v>
      </c>
      <c r="C447" t="s">
        <v>2746</v>
      </c>
      <c r="D447" s="3">
        <v>23958</v>
      </c>
      <c r="E447" t="s">
        <v>1173</v>
      </c>
      <c r="F447">
        <v>446</v>
      </c>
      <c r="G447" s="3">
        <v>32223</v>
      </c>
      <c r="H447" t="s">
        <v>2747</v>
      </c>
      <c r="I447">
        <v>93365628</v>
      </c>
      <c r="J447" t="s">
        <v>1297</v>
      </c>
      <c r="K447" t="s">
        <v>197</v>
      </c>
      <c r="L447" s="3">
        <v>46863</v>
      </c>
      <c r="M447" s="3">
        <v>46838</v>
      </c>
      <c r="N447" t="s">
        <v>2748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3441</v>
      </c>
      <c r="C448" t="s">
        <v>2750</v>
      </c>
      <c r="D448" s="3">
        <v>38832</v>
      </c>
      <c r="E448" t="s">
        <v>1173</v>
      </c>
      <c r="G448" s="3">
        <v>45860</v>
      </c>
      <c r="H448" t="s">
        <v>3442</v>
      </c>
      <c r="J448" t="s">
        <v>1181</v>
      </c>
      <c r="K448" t="s">
        <v>195</v>
      </c>
      <c r="L448" s="3">
        <v>1</v>
      </c>
      <c r="M448" s="3">
        <v>1</v>
      </c>
      <c r="N448" t="s">
        <v>3443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2749</v>
      </c>
      <c r="C449" t="s">
        <v>2750</v>
      </c>
      <c r="D449" s="3">
        <v>34406</v>
      </c>
      <c r="E449" t="s">
        <v>1173</v>
      </c>
      <c r="G449" s="3">
        <v>44704</v>
      </c>
      <c r="H449" t="s">
        <v>2751</v>
      </c>
      <c r="J449" t="s">
        <v>1181</v>
      </c>
      <c r="K449" t="s">
        <v>195</v>
      </c>
      <c r="L449" s="3">
        <v>46547</v>
      </c>
      <c r="M449" s="3">
        <v>46497</v>
      </c>
      <c r="N449" t="s">
        <v>2752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2753</v>
      </c>
      <c r="C450" t="s">
        <v>2750</v>
      </c>
      <c r="D450" s="3">
        <v>34747</v>
      </c>
      <c r="E450" t="s">
        <v>1173</v>
      </c>
      <c r="F450">
        <v>89</v>
      </c>
      <c r="G450" s="3">
        <v>42674</v>
      </c>
      <c r="H450" t="s">
        <v>2754</v>
      </c>
      <c r="J450" t="s">
        <v>1181</v>
      </c>
      <c r="K450" t="s">
        <v>191</v>
      </c>
      <c r="L450" s="3">
        <v>46263</v>
      </c>
      <c r="M450" s="3">
        <v>46210</v>
      </c>
      <c r="N450" t="s">
        <v>2755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2756</v>
      </c>
      <c r="C451" t="s">
        <v>2757</v>
      </c>
      <c r="D451" s="3">
        <v>32059</v>
      </c>
      <c r="E451" t="s">
        <v>1173</v>
      </c>
      <c r="F451">
        <v>276</v>
      </c>
      <c r="G451" s="3">
        <v>41827</v>
      </c>
      <c r="H451" t="s">
        <v>2758</v>
      </c>
      <c r="I451" t="s">
        <v>2759</v>
      </c>
      <c r="J451" t="s">
        <v>1351</v>
      </c>
      <c r="K451" t="s">
        <v>193</v>
      </c>
      <c r="L451" s="3">
        <v>47278</v>
      </c>
      <c r="M451" s="3">
        <v>46042</v>
      </c>
      <c r="N451" t="s">
        <v>2760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2761</v>
      </c>
      <c r="C452" t="s">
        <v>2762</v>
      </c>
      <c r="D452" s="3">
        <v>29089</v>
      </c>
      <c r="E452" t="s">
        <v>1173</v>
      </c>
      <c r="G452" s="3">
        <v>45574</v>
      </c>
      <c r="H452" t="s">
        <v>2763</v>
      </c>
      <c r="J452" t="s">
        <v>1181</v>
      </c>
      <c r="K452" t="s">
        <v>185</v>
      </c>
      <c r="L452" s="3">
        <v>47418</v>
      </c>
      <c r="M452" s="3">
        <v>47379</v>
      </c>
      <c r="N452" t="s">
        <v>2764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2592</v>
      </c>
      <c r="C453" t="s">
        <v>2765</v>
      </c>
      <c r="D453" s="3">
        <v>26956</v>
      </c>
      <c r="E453" t="s">
        <v>1173</v>
      </c>
      <c r="F453">
        <v>557</v>
      </c>
      <c r="G453" s="3">
        <v>34834</v>
      </c>
      <c r="H453" t="s">
        <v>2766</v>
      </c>
      <c r="J453" t="s">
        <v>1292</v>
      </c>
      <c r="K453" t="s">
        <v>187</v>
      </c>
      <c r="L453" s="3">
        <v>45850</v>
      </c>
      <c r="M453" s="3">
        <v>45993</v>
      </c>
      <c r="N453" t="s">
        <v>2767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2768</v>
      </c>
      <c r="C454" t="s">
        <v>2765</v>
      </c>
      <c r="D454" s="3">
        <v>32283</v>
      </c>
      <c r="E454" t="s">
        <v>1173</v>
      </c>
      <c r="G454" s="3">
        <v>44599</v>
      </c>
      <c r="H454" t="s">
        <v>2769</v>
      </c>
      <c r="J454" t="s">
        <v>1181</v>
      </c>
      <c r="K454" t="s">
        <v>197</v>
      </c>
      <c r="L454" s="3">
        <v>46439</v>
      </c>
      <c r="M454" s="3">
        <v>46236</v>
      </c>
      <c r="N454" t="s">
        <v>2770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2771</v>
      </c>
      <c r="C455" t="s">
        <v>2765</v>
      </c>
      <c r="D455" s="3">
        <v>26227</v>
      </c>
      <c r="E455" t="s">
        <v>1173</v>
      </c>
      <c r="F455">
        <v>311</v>
      </c>
      <c r="G455" s="3">
        <v>43864</v>
      </c>
      <c r="H455" t="s">
        <v>2772</v>
      </c>
      <c r="J455" t="s">
        <v>1186</v>
      </c>
      <c r="K455" t="s">
        <v>187</v>
      </c>
      <c r="L455" s="3">
        <v>47485</v>
      </c>
      <c r="M455" s="3">
        <v>47441</v>
      </c>
      <c r="N455" t="s">
        <v>2773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2774</v>
      </c>
      <c r="C456" t="s">
        <v>2765</v>
      </c>
      <c r="D456" s="3">
        <v>26166</v>
      </c>
      <c r="E456" t="s">
        <v>1173</v>
      </c>
      <c r="G456" s="3">
        <v>37718</v>
      </c>
      <c r="H456" t="s">
        <v>2775</v>
      </c>
      <c r="J456" t="s">
        <v>1351</v>
      </c>
      <c r="K456" t="s">
        <v>195</v>
      </c>
      <c r="L456" s="3">
        <v>46168</v>
      </c>
      <c r="M456" s="3">
        <v>46056</v>
      </c>
      <c r="N456" t="s">
        <v>2776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2777</v>
      </c>
      <c r="C457" t="s">
        <v>2778</v>
      </c>
      <c r="D457" s="3">
        <v>26311</v>
      </c>
      <c r="E457" t="s">
        <v>1173</v>
      </c>
      <c r="F457">
        <v>608</v>
      </c>
      <c r="G457" s="3">
        <v>35667</v>
      </c>
      <c r="H457" t="s">
        <v>2779</v>
      </c>
      <c r="J457" t="s">
        <v>1473</v>
      </c>
      <c r="K457" t="s">
        <v>195</v>
      </c>
      <c r="L457" s="3">
        <v>47558</v>
      </c>
      <c r="M457" s="3">
        <v>46369</v>
      </c>
      <c r="N457" t="s">
        <v>2780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2781</v>
      </c>
      <c r="C458" t="s">
        <v>2782</v>
      </c>
      <c r="D458" s="3">
        <v>34274</v>
      </c>
      <c r="E458" t="s">
        <v>1173</v>
      </c>
      <c r="G458" s="3">
        <v>45456</v>
      </c>
      <c r="H458" t="s">
        <v>2783</v>
      </c>
      <c r="J458" t="s">
        <v>1181</v>
      </c>
      <c r="K458" t="s">
        <v>197</v>
      </c>
      <c r="L458" s="3">
        <v>47300</v>
      </c>
      <c r="M458" s="3">
        <v>47272</v>
      </c>
      <c r="N458" t="s">
        <v>2784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2785</v>
      </c>
      <c r="C459" t="s">
        <v>2786</v>
      </c>
      <c r="D459" s="3">
        <v>29733</v>
      </c>
      <c r="E459" t="s">
        <v>1173</v>
      </c>
      <c r="F459">
        <v>310</v>
      </c>
      <c r="G459" s="3">
        <v>38754</v>
      </c>
      <c r="H459" t="s">
        <v>2787</v>
      </c>
      <c r="J459" t="s">
        <v>1489</v>
      </c>
      <c r="K459" t="s">
        <v>199</v>
      </c>
      <c r="L459" s="3">
        <v>45895</v>
      </c>
      <c r="M459" s="3">
        <v>45973</v>
      </c>
      <c r="N459" t="s">
        <v>2788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2789</v>
      </c>
      <c r="C460" t="s">
        <v>2790</v>
      </c>
      <c r="D460" s="3">
        <v>29517</v>
      </c>
      <c r="E460" t="s">
        <v>1173</v>
      </c>
      <c r="F460">
        <v>457</v>
      </c>
      <c r="G460" s="3">
        <v>39601</v>
      </c>
      <c r="H460" t="s">
        <v>2791</v>
      </c>
      <c r="J460" t="s">
        <v>1199</v>
      </c>
      <c r="K460" t="s">
        <v>193</v>
      </c>
      <c r="L460" s="3">
        <v>72686</v>
      </c>
      <c r="M460" s="3">
        <v>47615</v>
      </c>
      <c r="N460" t="s">
        <v>2792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2793</v>
      </c>
      <c r="C461" t="s">
        <v>2794</v>
      </c>
      <c r="D461" s="3">
        <v>26147</v>
      </c>
      <c r="E461" t="s">
        <v>1173</v>
      </c>
      <c r="F461">
        <v>413</v>
      </c>
      <c r="G461" s="3">
        <v>34078</v>
      </c>
      <c r="H461" t="s">
        <v>2795</v>
      </c>
      <c r="J461" t="s">
        <v>1334</v>
      </c>
      <c r="K461" t="s">
        <v>195</v>
      </c>
      <c r="L461" s="3">
        <v>47594</v>
      </c>
      <c r="M461" s="3">
        <v>46497</v>
      </c>
      <c r="N461" t="s">
        <v>2796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2797</v>
      </c>
      <c r="C462" t="s">
        <v>2794</v>
      </c>
      <c r="D462" s="3">
        <v>25087</v>
      </c>
      <c r="E462" t="s">
        <v>1173</v>
      </c>
      <c r="G462" s="3">
        <v>45616</v>
      </c>
      <c r="H462" t="s">
        <v>2798</v>
      </c>
      <c r="J462" t="s">
        <v>1181</v>
      </c>
      <c r="K462" t="s">
        <v>185</v>
      </c>
      <c r="L462" s="3">
        <v>46896</v>
      </c>
      <c r="M462" s="3">
        <v>46165</v>
      </c>
      <c r="N462" t="s">
        <v>2799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2800</v>
      </c>
      <c r="C463" t="s">
        <v>2794</v>
      </c>
      <c r="D463" s="3">
        <v>22829</v>
      </c>
      <c r="E463" t="s">
        <v>1173</v>
      </c>
      <c r="F463">
        <v>28</v>
      </c>
      <c r="G463" s="3">
        <v>44011</v>
      </c>
      <c r="H463" t="s">
        <v>2801</v>
      </c>
      <c r="J463" t="s">
        <v>1186</v>
      </c>
      <c r="K463" t="s">
        <v>191</v>
      </c>
      <c r="L463" s="3">
        <v>47587</v>
      </c>
      <c r="M463" s="3">
        <v>47568</v>
      </c>
      <c r="N463" t="s">
        <v>2802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2803</v>
      </c>
      <c r="C464" t="s">
        <v>2794</v>
      </c>
      <c r="D464" s="3">
        <v>24920</v>
      </c>
      <c r="E464" t="s">
        <v>1173</v>
      </c>
      <c r="F464">
        <v>205</v>
      </c>
      <c r="G464" s="3">
        <v>43318</v>
      </c>
      <c r="H464" t="s">
        <v>2804</v>
      </c>
      <c r="J464" t="s">
        <v>1380</v>
      </c>
      <c r="K464" t="s">
        <v>195</v>
      </c>
      <c r="L464" s="3">
        <v>46915</v>
      </c>
      <c r="M464" s="3">
        <v>46166</v>
      </c>
      <c r="N464" t="s">
        <v>2805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2806</v>
      </c>
      <c r="C465" t="s">
        <v>2794</v>
      </c>
      <c r="D465" s="3">
        <v>24300</v>
      </c>
      <c r="E465" t="s">
        <v>1173</v>
      </c>
      <c r="F465">
        <v>505</v>
      </c>
      <c r="G465" s="3">
        <v>37501</v>
      </c>
      <c r="H465" t="s">
        <v>2807</v>
      </c>
      <c r="I465">
        <v>92365262</v>
      </c>
      <c r="J465" t="s">
        <v>1292</v>
      </c>
      <c r="K465" t="s">
        <v>191</v>
      </c>
      <c r="L465" s="3">
        <v>47652</v>
      </c>
      <c r="M465" s="3">
        <v>46279</v>
      </c>
      <c r="N465" t="s">
        <v>2808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2317</v>
      </c>
      <c r="C466" t="s">
        <v>3444</v>
      </c>
      <c r="D466" s="3">
        <v>26685</v>
      </c>
      <c r="E466" t="s">
        <v>1173</v>
      </c>
      <c r="G466" s="3">
        <v>42975</v>
      </c>
      <c r="H466" t="s">
        <v>3445</v>
      </c>
      <c r="J466" t="s">
        <v>3404</v>
      </c>
      <c r="K466" t="s">
        <v>187</v>
      </c>
      <c r="L466" s="3">
        <v>46565</v>
      </c>
      <c r="M466" s="3">
        <v>46494</v>
      </c>
      <c r="N466" t="s">
        <v>3446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2809</v>
      </c>
      <c r="C467" t="s">
        <v>2810</v>
      </c>
      <c r="D467" s="3">
        <v>30035</v>
      </c>
      <c r="E467" t="s">
        <v>1173</v>
      </c>
      <c r="G467" s="3">
        <v>44333</v>
      </c>
      <c r="H467" t="s">
        <v>2811</v>
      </c>
      <c r="J467" t="s">
        <v>1181</v>
      </c>
      <c r="K467" t="s">
        <v>189</v>
      </c>
      <c r="L467" s="3">
        <v>46174</v>
      </c>
      <c r="M467" s="3">
        <v>46004</v>
      </c>
      <c r="N467" t="s">
        <v>2812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2813</v>
      </c>
      <c r="C468" t="s">
        <v>2814</v>
      </c>
      <c r="D468" s="3">
        <v>30411</v>
      </c>
      <c r="E468" t="s">
        <v>1173</v>
      </c>
      <c r="F468">
        <v>11</v>
      </c>
      <c r="G468" s="3">
        <v>43710</v>
      </c>
      <c r="H468" t="s">
        <v>2815</v>
      </c>
      <c r="I468">
        <v>468493588</v>
      </c>
      <c r="J468" t="s">
        <v>1363</v>
      </c>
      <c r="K468" t="s">
        <v>191</v>
      </c>
      <c r="L468" s="3">
        <v>47337</v>
      </c>
      <c r="M468" s="3">
        <v>47316</v>
      </c>
      <c r="N468" t="s">
        <v>2816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2817</v>
      </c>
      <c r="C469" t="s">
        <v>2818</v>
      </c>
      <c r="D469" s="3">
        <v>31394</v>
      </c>
      <c r="E469" t="s">
        <v>1173</v>
      </c>
      <c r="F469">
        <v>319</v>
      </c>
      <c r="G469" s="3">
        <v>39223</v>
      </c>
      <c r="H469" t="s">
        <v>2819</v>
      </c>
      <c r="J469" t="s">
        <v>1334</v>
      </c>
      <c r="K469" t="s">
        <v>191</v>
      </c>
      <c r="L469" s="3">
        <v>45887</v>
      </c>
      <c r="M469" s="3">
        <v>46236</v>
      </c>
      <c r="N469" t="s">
        <v>2820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2128</v>
      </c>
      <c r="C470" t="s">
        <v>2821</v>
      </c>
      <c r="D470" s="3">
        <v>23497</v>
      </c>
      <c r="E470" t="s">
        <v>1173</v>
      </c>
      <c r="F470">
        <v>356</v>
      </c>
      <c r="G470" s="3">
        <v>34932</v>
      </c>
      <c r="I470">
        <v>93293469</v>
      </c>
      <c r="J470" t="s">
        <v>1288</v>
      </c>
      <c r="K470" t="s">
        <v>189</v>
      </c>
      <c r="L470" s="3">
        <v>45854</v>
      </c>
      <c r="M470" s="3">
        <v>47369</v>
      </c>
      <c r="N470" t="s">
        <v>2822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2542</v>
      </c>
      <c r="C471" t="s">
        <v>2823</v>
      </c>
      <c r="D471" s="3">
        <v>36732</v>
      </c>
      <c r="E471" t="s">
        <v>1173</v>
      </c>
      <c r="G471" s="3">
        <v>44970</v>
      </c>
      <c r="H471" t="s">
        <v>2824</v>
      </c>
      <c r="J471" t="s">
        <v>1181</v>
      </c>
      <c r="K471" t="s">
        <v>195</v>
      </c>
      <c r="L471" s="3">
        <v>46810</v>
      </c>
      <c r="M471" s="3">
        <v>46707</v>
      </c>
      <c r="N471" t="s">
        <v>2825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2826</v>
      </c>
      <c r="C472" t="s">
        <v>2827</v>
      </c>
      <c r="D472" s="3">
        <v>27976</v>
      </c>
      <c r="E472" t="s">
        <v>1173</v>
      </c>
      <c r="F472">
        <v>474</v>
      </c>
      <c r="G472" s="3">
        <v>42296</v>
      </c>
      <c r="H472" t="s">
        <v>2828</v>
      </c>
      <c r="I472">
        <v>93845873</v>
      </c>
      <c r="J472" t="s">
        <v>1363</v>
      </c>
      <c r="K472" t="s">
        <v>187</v>
      </c>
      <c r="L472" s="3">
        <v>47602</v>
      </c>
      <c r="M472" s="3">
        <v>47594</v>
      </c>
      <c r="N472" t="s">
        <v>2829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2830</v>
      </c>
      <c r="C473" t="s">
        <v>2831</v>
      </c>
      <c r="D473" s="3">
        <v>26633</v>
      </c>
      <c r="E473" t="s">
        <v>1173</v>
      </c>
      <c r="F473">
        <v>382</v>
      </c>
      <c r="G473" s="3">
        <v>35478</v>
      </c>
      <c r="H473" t="s">
        <v>2832</v>
      </c>
      <c r="J473" t="s">
        <v>1358</v>
      </c>
      <c r="K473" t="s">
        <v>195</v>
      </c>
      <c r="L473" s="3">
        <v>45955</v>
      </c>
      <c r="M473" s="3">
        <v>46273</v>
      </c>
      <c r="N473" t="s">
        <v>2833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2834</v>
      </c>
      <c r="C474" t="s">
        <v>2831</v>
      </c>
      <c r="D474" s="3">
        <v>28965</v>
      </c>
      <c r="E474" t="s">
        <v>1173</v>
      </c>
      <c r="F474">
        <v>95</v>
      </c>
      <c r="G474" s="3">
        <v>44011</v>
      </c>
      <c r="H474" t="s">
        <v>2835</v>
      </c>
      <c r="I474">
        <v>0</v>
      </c>
      <c r="J474" t="s">
        <v>1205</v>
      </c>
      <c r="K474" t="s">
        <v>197</v>
      </c>
      <c r="L474" s="3">
        <v>47498</v>
      </c>
      <c r="M474" s="3">
        <v>47126</v>
      </c>
      <c r="N474" t="s">
        <v>2836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2837</v>
      </c>
      <c r="C475" t="s">
        <v>2831</v>
      </c>
      <c r="D475" s="3">
        <v>29646</v>
      </c>
      <c r="E475" t="s">
        <v>1173</v>
      </c>
      <c r="F475">
        <v>358</v>
      </c>
      <c r="G475" s="3">
        <v>38124</v>
      </c>
      <c r="H475" t="s">
        <v>2838</v>
      </c>
      <c r="J475" t="s">
        <v>1262</v>
      </c>
      <c r="K475" t="s">
        <v>187</v>
      </c>
      <c r="L475" s="3">
        <v>72686</v>
      </c>
      <c r="M475" s="3">
        <v>47316</v>
      </c>
      <c r="N475" t="s">
        <v>2839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1877</v>
      </c>
      <c r="C476" t="s">
        <v>2840</v>
      </c>
      <c r="D476" s="3">
        <v>30762</v>
      </c>
      <c r="E476" t="s">
        <v>1427</v>
      </c>
      <c r="F476">
        <v>614</v>
      </c>
      <c r="G476" s="3">
        <v>40049</v>
      </c>
      <c r="H476" t="s">
        <v>2841</v>
      </c>
      <c r="J476" t="s">
        <v>1334</v>
      </c>
      <c r="K476" t="s">
        <v>185</v>
      </c>
      <c r="L476" s="3">
        <v>47139</v>
      </c>
      <c r="M476" s="3">
        <v>47105</v>
      </c>
      <c r="N476" t="s">
        <v>2842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2857</v>
      </c>
      <c r="C477" t="s">
        <v>2180</v>
      </c>
      <c r="D477" s="3">
        <v>25839</v>
      </c>
      <c r="E477" t="s">
        <v>1173</v>
      </c>
      <c r="F477">
        <v>176</v>
      </c>
      <c r="G477" s="3">
        <v>36690</v>
      </c>
      <c r="H477" t="s">
        <v>2858</v>
      </c>
      <c r="J477" t="s">
        <v>1288</v>
      </c>
      <c r="K477" t="s">
        <v>191</v>
      </c>
      <c r="L477" s="3">
        <v>47337</v>
      </c>
      <c r="M477" s="3">
        <v>47328</v>
      </c>
      <c r="N477" t="s">
        <v>2859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2843</v>
      </c>
      <c r="C478" t="s">
        <v>2180</v>
      </c>
      <c r="D478" s="3">
        <v>28213</v>
      </c>
      <c r="E478" t="s">
        <v>1173</v>
      </c>
      <c r="G478" s="3">
        <v>44384</v>
      </c>
      <c r="H478" t="s">
        <v>2844</v>
      </c>
      <c r="J478" t="s">
        <v>1363</v>
      </c>
      <c r="K478" t="s">
        <v>193</v>
      </c>
      <c r="L478" s="3">
        <v>46162</v>
      </c>
      <c r="M478" s="3">
        <v>46162</v>
      </c>
      <c r="N478" t="s">
        <v>2845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2846</v>
      </c>
      <c r="C479" t="s">
        <v>2180</v>
      </c>
      <c r="D479" s="3">
        <v>27392</v>
      </c>
      <c r="E479" t="s">
        <v>1173</v>
      </c>
      <c r="F479">
        <v>379</v>
      </c>
      <c r="G479" s="3">
        <v>41218</v>
      </c>
      <c r="H479" t="s">
        <v>2847</v>
      </c>
      <c r="I479">
        <v>93286345</v>
      </c>
      <c r="J479" t="s">
        <v>1227</v>
      </c>
      <c r="K479" t="s">
        <v>189</v>
      </c>
      <c r="L479" s="3">
        <v>46475</v>
      </c>
      <c r="M479" s="3">
        <v>46427</v>
      </c>
      <c r="N479" t="s">
        <v>2848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2344</v>
      </c>
      <c r="C480" t="s">
        <v>2180</v>
      </c>
      <c r="D480" s="3">
        <v>25315</v>
      </c>
      <c r="E480" t="s">
        <v>1173</v>
      </c>
      <c r="F480">
        <v>245</v>
      </c>
      <c r="G480" s="3">
        <v>40826</v>
      </c>
      <c r="H480" t="s">
        <v>2849</v>
      </c>
      <c r="J480" t="s">
        <v>1248</v>
      </c>
      <c r="K480" t="s">
        <v>187</v>
      </c>
      <c r="L480" s="3">
        <v>72686</v>
      </c>
      <c r="M480" s="3">
        <v>46266</v>
      </c>
      <c r="N480" t="s">
        <v>2850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2851</v>
      </c>
      <c r="C481" t="s">
        <v>2180</v>
      </c>
      <c r="D481" s="3">
        <v>27422</v>
      </c>
      <c r="E481" t="s">
        <v>1173</v>
      </c>
      <c r="F481">
        <v>275</v>
      </c>
      <c r="G481" s="3">
        <v>38789</v>
      </c>
      <c r="H481" t="s">
        <v>2852</v>
      </c>
      <c r="J481" t="s">
        <v>1292</v>
      </c>
      <c r="K481" t="s">
        <v>195</v>
      </c>
      <c r="L481" s="3">
        <v>47651</v>
      </c>
      <c r="M481" s="3">
        <v>47615</v>
      </c>
      <c r="N481" t="s">
        <v>2853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2854</v>
      </c>
      <c r="C482" t="s">
        <v>2180</v>
      </c>
      <c r="D482" s="3">
        <v>27540</v>
      </c>
      <c r="E482" t="s">
        <v>1173</v>
      </c>
      <c r="F482">
        <v>536</v>
      </c>
      <c r="G482" s="3">
        <v>36853</v>
      </c>
      <c r="H482" t="s">
        <v>2855</v>
      </c>
      <c r="J482" t="s">
        <v>1334</v>
      </c>
      <c r="K482" t="s">
        <v>187</v>
      </c>
      <c r="L482" s="3">
        <v>47583</v>
      </c>
      <c r="M482" s="3">
        <v>47568</v>
      </c>
      <c r="N482" t="s">
        <v>2856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2329</v>
      </c>
      <c r="C483" t="s">
        <v>2860</v>
      </c>
      <c r="D483" s="3">
        <v>28968</v>
      </c>
      <c r="E483" t="s">
        <v>1173</v>
      </c>
      <c r="F483">
        <v>443</v>
      </c>
      <c r="G483" s="3">
        <v>39510</v>
      </c>
      <c r="H483" t="s">
        <v>2861</v>
      </c>
      <c r="J483" t="s">
        <v>1248</v>
      </c>
      <c r="K483" t="s">
        <v>199</v>
      </c>
      <c r="L483" s="3">
        <v>72686</v>
      </c>
      <c r="M483" s="3">
        <v>46776</v>
      </c>
      <c r="N483" t="s">
        <v>2862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2863</v>
      </c>
      <c r="C484" t="s">
        <v>2864</v>
      </c>
      <c r="D484" s="3">
        <v>27910</v>
      </c>
      <c r="E484" t="s">
        <v>1173</v>
      </c>
      <c r="F484">
        <v>466</v>
      </c>
      <c r="G484" s="3">
        <v>35338</v>
      </c>
      <c r="H484" t="s">
        <v>2865</v>
      </c>
      <c r="I484">
        <v>93244163</v>
      </c>
      <c r="J484" t="s">
        <v>1275</v>
      </c>
      <c r="K484" t="s">
        <v>187</v>
      </c>
      <c r="L484" s="3">
        <v>47614</v>
      </c>
      <c r="M484" s="3">
        <v>46820</v>
      </c>
      <c r="N484" t="s">
        <v>2866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2867</v>
      </c>
      <c r="C485" t="s">
        <v>2868</v>
      </c>
      <c r="D485" s="3">
        <v>24694</v>
      </c>
      <c r="E485" t="s">
        <v>1173</v>
      </c>
      <c r="F485">
        <v>398</v>
      </c>
      <c r="G485" s="3">
        <v>35478</v>
      </c>
      <c r="H485" t="s">
        <v>2869</v>
      </c>
      <c r="J485" t="s">
        <v>1473</v>
      </c>
      <c r="K485" t="s">
        <v>191</v>
      </c>
      <c r="L485" s="3">
        <v>72686</v>
      </c>
      <c r="M485" s="3">
        <v>46194</v>
      </c>
      <c r="N485" t="s">
        <v>2870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2871</v>
      </c>
      <c r="C486" t="s">
        <v>2868</v>
      </c>
      <c r="D486" s="3">
        <v>30937</v>
      </c>
      <c r="E486" t="s">
        <v>1173</v>
      </c>
      <c r="F486">
        <v>270</v>
      </c>
      <c r="G486" s="3">
        <v>43542</v>
      </c>
      <c r="H486" t="s">
        <v>2872</v>
      </c>
      <c r="J486" t="s">
        <v>1214</v>
      </c>
      <c r="K486" t="s">
        <v>199</v>
      </c>
      <c r="L486" s="3">
        <v>47154</v>
      </c>
      <c r="M486" s="3">
        <v>47100</v>
      </c>
      <c r="N486" t="s">
        <v>2873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2874</v>
      </c>
      <c r="C487" t="s">
        <v>2868</v>
      </c>
      <c r="D487" s="3">
        <v>24341</v>
      </c>
      <c r="E487" t="s">
        <v>1173</v>
      </c>
      <c r="F487">
        <v>27</v>
      </c>
      <c r="G487" s="3">
        <v>40658</v>
      </c>
      <c r="H487" t="s">
        <v>2875</v>
      </c>
      <c r="J487" t="s">
        <v>1199</v>
      </c>
      <c r="K487" t="s">
        <v>189</v>
      </c>
      <c r="L487" s="3">
        <v>47575</v>
      </c>
      <c r="M487" s="3">
        <v>47197</v>
      </c>
      <c r="N487" t="s">
        <v>2876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2877</v>
      </c>
      <c r="C488" t="s">
        <v>2868</v>
      </c>
      <c r="D488" s="3">
        <v>28233</v>
      </c>
      <c r="E488" t="s">
        <v>1173</v>
      </c>
      <c r="F488">
        <v>360</v>
      </c>
      <c r="G488" s="3">
        <v>39286</v>
      </c>
      <c r="H488" t="s">
        <v>2878</v>
      </c>
      <c r="J488" t="s">
        <v>1214</v>
      </c>
      <c r="K488" t="s">
        <v>189</v>
      </c>
      <c r="L488" s="3">
        <v>46039</v>
      </c>
      <c r="M488" s="3">
        <v>46985</v>
      </c>
      <c r="N488" t="s">
        <v>2879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2880</v>
      </c>
      <c r="C489" t="s">
        <v>2881</v>
      </c>
      <c r="D489" s="3">
        <v>24304</v>
      </c>
      <c r="E489" t="s">
        <v>1173</v>
      </c>
      <c r="G489" s="3">
        <v>44284</v>
      </c>
      <c r="H489" t="s">
        <v>2882</v>
      </c>
      <c r="J489" t="s">
        <v>1380</v>
      </c>
      <c r="K489" t="s">
        <v>195</v>
      </c>
      <c r="L489" s="3">
        <v>46125</v>
      </c>
      <c r="M489" s="3">
        <v>45951</v>
      </c>
      <c r="N489" t="s">
        <v>2883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2884</v>
      </c>
      <c r="C490" t="s">
        <v>2881</v>
      </c>
      <c r="D490" s="3">
        <v>32582</v>
      </c>
      <c r="E490" t="s">
        <v>1173</v>
      </c>
      <c r="F490">
        <v>480</v>
      </c>
      <c r="G490" s="3">
        <v>43878</v>
      </c>
      <c r="H490" t="s">
        <v>2885</v>
      </c>
      <c r="I490">
        <v>494132438</v>
      </c>
      <c r="J490" t="s">
        <v>1191</v>
      </c>
      <c r="K490" t="s">
        <v>193</v>
      </c>
      <c r="L490" s="3">
        <v>47461</v>
      </c>
      <c r="M490" s="3">
        <v>47460</v>
      </c>
      <c r="N490" t="s">
        <v>2886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2887</v>
      </c>
      <c r="C491" t="s">
        <v>2888</v>
      </c>
      <c r="D491" s="3">
        <v>31904</v>
      </c>
      <c r="E491" t="s">
        <v>1173</v>
      </c>
      <c r="F491">
        <v>363</v>
      </c>
      <c r="G491" s="3">
        <v>41176</v>
      </c>
      <c r="H491" t="s">
        <v>2889</v>
      </c>
      <c r="J491" t="s">
        <v>1181</v>
      </c>
      <c r="K491" t="s">
        <v>195</v>
      </c>
      <c r="L491" s="3">
        <v>46523</v>
      </c>
      <c r="M491" s="3">
        <v>46466</v>
      </c>
      <c r="N491" t="s">
        <v>2890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2891</v>
      </c>
      <c r="C492" t="s">
        <v>2892</v>
      </c>
      <c r="D492" s="3">
        <v>34591</v>
      </c>
      <c r="E492" t="s">
        <v>1173</v>
      </c>
      <c r="F492">
        <v>85</v>
      </c>
      <c r="G492" s="3">
        <v>43444</v>
      </c>
      <c r="H492" t="s">
        <v>2893</v>
      </c>
      <c r="I492">
        <v>476620718</v>
      </c>
      <c r="J492" t="s">
        <v>1380</v>
      </c>
      <c r="K492" t="s">
        <v>189</v>
      </c>
      <c r="L492" s="3">
        <v>47085</v>
      </c>
      <c r="M492" s="3">
        <v>46946</v>
      </c>
      <c r="N492" t="s">
        <v>2894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1788</v>
      </c>
      <c r="C493" t="s">
        <v>2892</v>
      </c>
      <c r="D493" s="3">
        <v>32548</v>
      </c>
      <c r="E493" t="s">
        <v>1173</v>
      </c>
      <c r="F493">
        <v>322</v>
      </c>
      <c r="G493" s="3">
        <v>40728</v>
      </c>
      <c r="H493" t="s">
        <v>2895</v>
      </c>
      <c r="J493" t="s">
        <v>1306</v>
      </c>
      <c r="K493" t="s">
        <v>191</v>
      </c>
      <c r="L493" s="3">
        <v>72686</v>
      </c>
      <c r="M493" s="3">
        <v>46201</v>
      </c>
      <c r="N493" t="s">
        <v>2896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2897</v>
      </c>
      <c r="C494" t="s">
        <v>2892</v>
      </c>
      <c r="D494" s="3">
        <v>28331</v>
      </c>
      <c r="E494" t="s">
        <v>1173</v>
      </c>
      <c r="F494">
        <v>4</v>
      </c>
      <c r="G494" s="3">
        <v>37886</v>
      </c>
      <c r="H494" t="s">
        <v>2898</v>
      </c>
      <c r="I494">
        <v>92728505</v>
      </c>
      <c r="J494" t="s">
        <v>1473</v>
      </c>
      <c r="K494" t="s">
        <v>185</v>
      </c>
      <c r="L494" s="3">
        <v>72686</v>
      </c>
      <c r="M494" s="3">
        <v>46469</v>
      </c>
      <c r="N494" t="s">
        <v>2899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2785</v>
      </c>
      <c r="C495" t="s">
        <v>2900</v>
      </c>
      <c r="D495" s="3">
        <v>25548</v>
      </c>
      <c r="E495" t="s">
        <v>1173</v>
      </c>
      <c r="F495">
        <v>56</v>
      </c>
      <c r="G495" s="3">
        <v>36948</v>
      </c>
      <c r="H495" t="s">
        <v>2901</v>
      </c>
      <c r="J495" t="s">
        <v>1358</v>
      </c>
      <c r="K495" t="s">
        <v>185</v>
      </c>
      <c r="L495" s="3">
        <v>47622</v>
      </c>
      <c r="M495" s="3">
        <v>47615</v>
      </c>
      <c r="N495" t="s">
        <v>2902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2903</v>
      </c>
      <c r="C496" t="s">
        <v>2904</v>
      </c>
      <c r="D496" s="3">
        <v>22267</v>
      </c>
      <c r="E496" t="s">
        <v>1173</v>
      </c>
      <c r="F496">
        <v>227</v>
      </c>
      <c r="G496" s="3">
        <v>38404</v>
      </c>
      <c r="H496" t="s">
        <v>2905</v>
      </c>
      <c r="J496" t="s">
        <v>1306</v>
      </c>
      <c r="K496" t="s">
        <v>187</v>
      </c>
      <c r="L496" s="3">
        <v>72686</v>
      </c>
      <c r="M496" s="3">
        <v>72686</v>
      </c>
      <c r="N496" t="s">
        <v>2906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2907</v>
      </c>
      <c r="C497" t="s">
        <v>2908</v>
      </c>
      <c r="D497" s="3">
        <v>27961</v>
      </c>
      <c r="E497" t="s">
        <v>1173</v>
      </c>
      <c r="G497" s="3">
        <v>44837</v>
      </c>
      <c r="H497" t="s">
        <v>2909</v>
      </c>
      <c r="J497" t="s">
        <v>1252</v>
      </c>
      <c r="K497" t="s">
        <v>197</v>
      </c>
      <c r="L497" s="3">
        <v>46678</v>
      </c>
      <c r="M497" s="3">
        <v>46593</v>
      </c>
      <c r="N497" t="s">
        <v>2910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2911</v>
      </c>
      <c r="C498" t="s">
        <v>2912</v>
      </c>
      <c r="D498" s="3">
        <v>29006</v>
      </c>
      <c r="E498" t="s">
        <v>1173</v>
      </c>
      <c r="F498">
        <v>278</v>
      </c>
      <c r="G498" s="3">
        <v>44081</v>
      </c>
      <c r="H498" t="s">
        <v>2913</v>
      </c>
      <c r="J498" t="s">
        <v>1191</v>
      </c>
      <c r="K498" t="s">
        <v>187</v>
      </c>
      <c r="L498" s="3">
        <v>45922</v>
      </c>
      <c r="M498" s="3">
        <v>47407</v>
      </c>
      <c r="N498" t="s">
        <v>2914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2915</v>
      </c>
      <c r="C499" t="s">
        <v>2912</v>
      </c>
      <c r="D499" s="3">
        <v>28357</v>
      </c>
      <c r="E499" t="s">
        <v>1173</v>
      </c>
      <c r="G499" s="3">
        <v>39909</v>
      </c>
      <c r="H499" t="s">
        <v>2916</v>
      </c>
      <c r="I499">
        <v>93285649</v>
      </c>
      <c r="J499" t="s">
        <v>1219</v>
      </c>
      <c r="K499" t="s">
        <v>185</v>
      </c>
      <c r="L499" s="3">
        <v>47363</v>
      </c>
      <c r="M499" s="3">
        <v>46005</v>
      </c>
      <c r="N499" t="s">
        <v>2917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2918</v>
      </c>
      <c r="C500" t="s">
        <v>2919</v>
      </c>
      <c r="D500" s="3">
        <v>24373</v>
      </c>
      <c r="E500" t="s">
        <v>1173</v>
      </c>
      <c r="F500">
        <v>371</v>
      </c>
      <c r="G500" s="3">
        <v>39923</v>
      </c>
      <c r="H500" t="s">
        <v>2920</v>
      </c>
      <c r="J500" t="s">
        <v>1199</v>
      </c>
      <c r="K500" t="s">
        <v>185</v>
      </c>
      <c r="L500" s="3">
        <v>73050</v>
      </c>
      <c r="M500" s="3">
        <v>47369</v>
      </c>
      <c r="N500" t="s">
        <v>2921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2922</v>
      </c>
      <c r="C501" t="s">
        <v>2923</v>
      </c>
      <c r="D501" s="3">
        <v>25192</v>
      </c>
      <c r="E501" t="s">
        <v>1173</v>
      </c>
      <c r="F501">
        <v>563</v>
      </c>
      <c r="G501" s="3">
        <v>37543</v>
      </c>
      <c r="H501" t="s">
        <v>2924</v>
      </c>
      <c r="J501" t="s">
        <v>1429</v>
      </c>
      <c r="K501" t="s">
        <v>191</v>
      </c>
      <c r="L501" s="3">
        <v>47636</v>
      </c>
      <c r="M501" s="3">
        <v>46294</v>
      </c>
      <c r="N501" t="s">
        <v>2925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2926</v>
      </c>
      <c r="C502" t="s">
        <v>2927</v>
      </c>
      <c r="D502" s="3">
        <v>26216</v>
      </c>
      <c r="E502" t="s">
        <v>1173</v>
      </c>
      <c r="F502">
        <v>197</v>
      </c>
      <c r="G502" s="3">
        <v>43472</v>
      </c>
      <c r="H502" t="s">
        <v>2928</v>
      </c>
      <c r="J502" t="s">
        <v>1181</v>
      </c>
      <c r="K502" t="s">
        <v>195</v>
      </c>
      <c r="L502" s="3">
        <v>47011</v>
      </c>
      <c r="M502" s="3">
        <v>47009</v>
      </c>
      <c r="N502" t="s">
        <v>2929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2930</v>
      </c>
      <c r="C503" t="s">
        <v>2927</v>
      </c>
      <c r="D503" s="3">
        <v>29626</v>
      </c>
      <c r="E503" t="s">
        <v>1173</v>
      </c>
      <c r="F503">
        <v>37</v>
      </c>
      <c r="G503" s="3">
        <v>37193</v>
      </c>
      <c r="H503" t="s">
        <v>2931</v>
      </c>
      <c r="J503" t="s">
        <v>1199</v>
      </c>
      <c r="K503" t="s">
        <v>199</v>
      </c>
      <c r="L503" s="3">
        <v>72686</v>
      </c>
      <c r="M503" s="3">
        <v>46742</v>
      </c>
      <c r="N503" t="s">
        <v>2932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2105</v>
      </c>
      <c r="C504" t="s">
        <v>2933</v>
      </c>
      <c r="D504" s="3">
        <v>35863</v>
      </c>
      <c r="E504" t="s">
        <v>1173</v>
      </c>
      <c r="G504" s="3">
        <v>44739</v>
      </c>
      <c r="H504" t="s">
        <v>2934</v>
      </c>
      <c r="J504" t="s">
        <v>1181</v>
      </c>
      <c r="K504" t="s">
        <v>199</v>
      </c>
      <c r="L504" s="3">
        <v>46610</v>
      </c>
      <c r="M504" s="3">
        <v>46511</v>
      </c>
      <c r="N504" t="s">
        <v>2935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2936</v>
      </c>
      <c r="C505" t="s">
        <v>2937</v>
      </c>
      <c r="D505" s="3">
        <v>22487</v>
      </c>
      <c r="E505" t="s">
        <v>1173</v>
      </c>
      <c r="G505" s="3">
        <v>44805</v>
      </c>
      <c r="J505" t="s">
        <v>1735</v>
      </c>
      <c r="K505" t="s">
        <v>199</v>
      </c>
      <c r="L505" s="3">
        <v>1</v>
      </c>
      <c r="M505" s="3">
        <v>45949</v>
      </c>
      <c r="N505" t="s">
        <v>2938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2939</v>
      </c>
      <c r="C506" t="s">
        <v>1491</v>
      </c>
      <c r="D506" s="3">
        <v>28613</v>
      </c>
      <c r="E506" t="s">
        <v>1173</v>
      </c>
      <c r="G506" s="3">
        <v>45394</v>
      </c>
      <c r="H506" t="s">
        <v>2940</v>
      </c>
      <c r="J506" t="s">
        <v>1702</v>
      </c>
      <c r="K506" t="s">
        <v>195</v>
      </c>
      <c r="L506" s="3">
        <v>47239</v>
      </c>
      <c r="M506" s="3">
        <v>47201</v>
      </c>
      <c r="N506" t="s">
        <v>2941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2542</v>
      </c>
      <c r="C507" t="s">
        <v>2942</v>
      </c>
      <c r="D507" s="3">
        <v>30655</v>
      </c>
      <c r="E507" t="s">
        <v>1173</v>
      </c>
      <c r="F507">
        <v>139</v>
      </c>
      <c r="G507" s="3">
        <v>39314</v>
      </c>
      <c r="H507" t="s">
        <v>2943</v>
      </c>
      <c r="I507">
        <v>92255582</v>
      </c>
      <c r="J507" t="s">
        <v>1214</v>
      </c>
      <c r="K507" t="s">
        <v>189</v>
      </c>
      <c r="L507" s="3">
        <v>46447</v>
      </c>
      <c r="M507" s="3">
        <v>46418</v>
      </c>
      <c r="N507" t="s">
        <v>2944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2749</v>
      </c>
      <c r="C508" t="s">
        <v>2945</v>
      </c>
      <c r="D508" s="3">
        <v>31519</v>
      </c>
      <c r="E508" t="s">
        <v>1173</v>
      </c>
      <c r="G508" s="3">
        <v>45208</v>
      </c>
      <c r="H508" t="s">
        <v>2946</v>
      </c>
      <c r="J508" t="s">
        <v>1181</v>
      </c>
      <c r="K508" t="s">
        <v>199</v>
      </c>
      <c r="L508" s="3">
        <v>47052</v>
      </c>
      <c r="M508" s="3">
        <v>46974</v>
      </c>
      <c r="N508" t="s">
        <v>2947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2948</v>
      </c>
      <c r="C509" t="s">
        <v>2949</v>
      </c>
      <c r="D509" s="3">
        <v>24130</v>
      </c>
      <c r="E509" t="s">
        <v>1173</v>
      </c>
      <c r="G509" s="3">
        <v>45027</v>
      </c>
      <c r="H509" t="s">
        <v>2950</v>
      </c>
      <c r="J509" t="s">
        <v>1181</v>
      </c>
      <c r="K509" t="s">
        <v>189</v>
      </c>
      <c r="L509" s="3">
        <v>46874</v>
      </c>
      <c r="M509" s="3">
        <v>46810</v>
      </c>
      <c r="N509" t="s">
        <v>2951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2952</v>
      </c>
      <c r="C510" t="s">
        <v>2953</v>
      </c>
      <c r="D510" s="3">
        <v>37636</v>
      </c>
      <c r="E510" t="s">
        <v>1173</v>
      </c>
      <c r="G510" s="3">
        <v>45321</v>
      </c>
      <c r="H510" t="s">
        <v>2954</v>
      </c>
      <c r="J510" t="s">
        <v>1181</v>
      </c>
      <c r="K510" t="s">
        <v>189</v>
      </c>
      <c r="L510" s="3">
        <v>47164</v>
      </c>
      <c r="M510" s="3">
        <v>47134</v>
      </c>
      <c r="N510" t="s">
        <v>2955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3447</v>
      </c>
      <c r="C511" t="s">
        <v>2957</v>
      </c>
      <c r="D511" s="3">
        <v>26143</v>
      </c>
      <c r="E511" t="s">
        <v>1173</v>
      </c>
      <c r="G511" s="3">
        <v>45814</v>
      </c>
      <c r="H511" t="s">
        <v>3448</v>
      </c>
      <c r="J511" t="s">
        <v>1181</v>
      </c>
      <c r="K511" t="s">
        <v>185</v>
      </c>
      <c r="L511" s="3">
        <v>47659</v>
      </c>
      <c r="M511" s="3">
        <v>47596</v>
      </c>
      <c r="N511" t="s">
        <v>3449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2956</v>
      </c>
      <c r="C512" t="s">
        <v>2957</v>
      </c>
      <c r="D512" s="3">
        <v>26858</v>
      </c>
      <c r="E512" t="s">
        <v>1173</v>
      </c>
      <c r="G512" s="3">
        <v>44809</v>
      </c>
      <c r="H512" t="s">
        <v>2958</v>
      </c>
      <c r="J512" t="s">
        <v>1702</v>
      </c>
      <c r="K512" t="s">
        <v>185</v>
      </c>
      <c r="L512" s="3">
        <v>46651</v>
      </c>
      <c r="M512" s="3">
        <v>46565</v>
      </c>
      <c r="N512" t="s">
        <v>2959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2960</v>
      </c>
      <c r="C513" t="s">
        <v>2957</v>
      </c>
      <c r="D513" s="3">
        <v>27364</v>
      </c>
      <c r="E513" t="s">
        <v>1173</v>
      </c>
      <c r="F513">
        <v>137</v>
      </c>
      <c r="G513" s="3">
        <v>40567</v>
      </c>
      <c r="H513" t="s">
        <v>2961</v>
      </c>
      <c r="J513" t="s">
        <v>1214</v>
      </c>
      <c r="K513" t="s">
        <v>189</v>
      </c>
      <c r="L513" s="3">
        <v>45931</v>
      </c>
      <c r="M513" s="3">
        <v>45902</v>
      </c>
      <c r="N513" t="s">
        <v>2962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2963</v>
      </c>
      <c r="C514" t="s">
        <v>2964</v>
      </c>
      <c r="D514" s="3">
        <v>35139</v>
      </c>
      <c r="E514" t="s">
        <v>1173</v>
      </c>
      <c r="F514">
        <v>10</v>
      </c>
      <c r="G514" s="3">
        <v>44025</v>
      </c>
      <c r="H514" t="s">
        <v>2965</v>
      </c>
      <c r="J514" t="s">
        <v>1186</v>
      </c>
      <c r="K514" t="s">
        <v>199</v>
      </c>
      <c r="L514" s="3">
        <v>47526</v>
      </c>
      <c r="M514" s="3">
        <v>47524</v>
      </c>
      <c r="N514" t="s">
        <v>2966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2967</v>
      </c>
      <c r="C515" t="s">
        <v>2968</v>
      </c>
      <c r="D515" s="3">
        <v>36403</v>
      </c>
      <c r="E515" t="s">
        <v>1173</v>
      </c>
      <c r="G515" s="3">
        <v>44333</v>
      </c>
      <c r="H515" t="s">
        <v>2969</v>
      </c>
      <c r="J515" t="s">
        <v>1284</v>
      </c>
      <c r="K515" t="s">
        <v>199</v>
      </c>
      <c r="L515" s="3">
        <v>46174</v>
      </c>
      <c r="M515" s="3">
        <v>46124</v>
      </c>
      <c r="N515" t="s">
        <v>2970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2971</v>
      </c>
      <c r="C516" t="s">
        <v>2972</v>
      </c>
      <c r="D516" s="3">
        <v>31067</v>
      </c>
      <c r="E516" t="s">
        <v>1173</v>
      </c>
      <c r="F516">
        <v>324</v>
      </c>
      <c r="G516" s="3">
        <v>44039</v>
      </c>
      <c r="H516" t="s">
        <v>2973</v>
      </c>
      <c r="J516" t="s">
        <v>1181</v>
      </c>
      <c r="K516" t="s">
        <v>199</v>
      </c>
      <c r="L516" s="3">
        <v>47393</v>
      </c>
      <c r="M516" s="3">
        <v>47351</v>
      </c>
      <c r="N516" t="s">
        <v>2974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2975</v>
      </c>
      <c r="C517" t="s">
        <v>2976</v>
      </c>
      <c r="D517" s="3">
        <v>30968</v>
      </c>
      <c r="E517" t="s">
        <v>1173</v>
      </c>
      <c r="F517">
        <v>436</v>
      </c>
      <c r="G517" s="3">
        <v>41946</v>
      </c>
      <c r="H517" t="s">
        <v>2977</v>
      </c>
      <c r="J517" t="s">
        <v>1429</v>
      </c>
      <c r="K517" t="s">
        <v>197</v>
      </c>
      <c r="L517" s="3">
        <v>47279</v>
      </c>
      <c r="M517" s="3">
        <v>47267</v>
      </c>
      <c r="N517" t="s">
        <v>2978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3450</v>
      </c>
      <c r="C518" t="s">
        <v>2980</v>
      </c>
      <c r="D518" s="3">
        <v>28560</v>
      </c>
      <c r="E518" t="s">
        <v>1173</v>
      </c>
      <c r="G518" s="3">
        <v>45831</v>
      </c>
      <c r="H518" t="s">
        <v>3451</v>
      </c>
      <c r="J518" t="s">
        <v>1181</v>
      </c>
      <c r="K518" t="s">
        <v>195</v>
      </c>
      <c r="L518" s="3">
        <v>47678</v>
      </c>
      <c r="M518" s="3">
        <v>47594</v>
      </c>
      <c r="N518" t="s">
        <v>3452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2979</v>
      </c>
      <c r="C519" t="s">
        <v>2980</v>
      </c>
      <c r="D519" s="3">
        <v>31677</v>
      </c>
      <c r="E519" t="s">
        <v>1173</v>
      </c>
      <c r="G519" s="3">
        <v>45735</v>
      </c>
      <c r="H519" t="s">
        <v>2981</v>
      </c>
      <c r="J519" t="s">
        <v>1702</v>
      </c>
      <c r="K519" t="s">
        <v>189</v>
      </c>
      <c r="L519" s="3">
        <v>47115</v>
      </c>
      <c r="M519" s="3">
        <v>47015</v>
      </c>
      <c r="N519" t="s">
        <v>2982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2983</v>
      </c>
      <c r="C520" t="s">
        <v>2980</v>
      </c>
      <c r="D520" s="3">
        <v>33397</v>
      </c>
      <c r="E520" t="s">
        <v>1173</v>
      </c>
      <c r="G520" s="3">
        <v>44613</v>
      </c>
      <c r="H520" t="s">
        <v>2984</v>
      </c>
      <c r="J520" t="s">
        <v>1214</v>
      </c>
      <c r="K520" t="s">
        <v>193</v>
      </c>
      <c r="L520" s="3">
        <v>46453</v>
      </c>
      <c r="M520" s="3">
        <v>46273</v>
      </c>
      <c r="N520" t="s">
        <v>2985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2986</v>
      </c>
      <c r="C521" t="s">
        <v>2987</v>
      </c>
      <c r="D521" s="3">
        <v>29982</v>
      </c>
      <c r="E521" t="s">
        <v>1173</v>
      </c>
      <c r="G521" s="3">
        <v>45299</v>
      </c>
      <c r="H521" t="s">
        <v>2988</v>
      </c>
      <c r="J521" t="s">
        <v>1181</v>
      </c>
      <c r="K521" t="s">
        <v>195</v>
      </c>
      <c r="L521" s="3">
        <v>47169</v>
      </c>
      <c r="M521" s="3">
        <v>47077</v>
      </c>
      <c r="N521" t="s">
        <v>2989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2990</v>
      </c>
      <c r="C522" t="s">
        <v>2991</v>
      </c>
      <c r="D522" s="3">
        <v>26348</v>
      </c>
      <c r="E522" t="s">
        <v>1173</v>
      </c>
      <c r="G522" s="3">
        <v>44298</v>
      </c>
      <c r="H522" t="s">
        <v>2992</v>
      </c>
      <c r="J522" t="s">
        <v>1176</v>
      </c>
      <c r="K522" t="s">
        <v>187</v>
      </c>
      <c r="L522" s="3">
        <v>46138</v>
      </c>
      <c r="M522" s="3">
        <v>46097</v>
      </c>
      <c r="N522" t="s">
        <v>2993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2994</v>
      </c>
      <c r="C523" t="s">
        <v>2995</v>
      </c>
      <c r="D523" s="3">
        <v>35832</v>
      </c>
      <c r="E523" t="s">
        <v>1173</v>
      </c>
      <c r="G523" s="3">
        <v>45349</v>
      </c>
      <c r="H523" t="s">
        <v>2996</v>
      </c>
      <c r="J523" t="s">
        <v>1181</v>
      </c>
      <c r="K523" t="s">
        <v>185</v>
      </c>
      <c r="L523" s="3">
        <v>47194</v>
      </c>
      <c r="M523" s="3">
        <v>47168</v>
      </c>
      <c r="N523" t="s">
        <v>2997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2998</v>
      </c>
      <c r="C524" t="s">
        <v>2999</v>
      </c>
      <c r="D524" s="3">
        <v>25212</v>
      </c>
      <c r="E524" t="s">
        <v>1173</v>
      </c>
      <c r="G524" s="3">
        <v>44683</v>
      </c>
      <c r="H524" t="s">
        <v>3000</v>
      </c>
      <c r="J524" t="s">
        <v>1181</v>
      </c>
      <c r="K524" t="s">
        <v>195</v>
      </c>
      <c r="L524" s="3">
        <v>46529</v>
      </c>
      <c r="M524" s="3">
        <v>46470</v>
      </c>
      <c r="N524" t="s">
        <v>3001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3002</v>
      </c>
      <c r="C525" t="s">
        <v>3003</v>
      </c>
      <c r="D525" s="3">
        <v>33067</v>
      </c>
      <c r="E525" t="s">
        <v>1173</v>
      </c>
      <c r="F525">
        <v>241</v>
      </c>
      <c r="G525" s="3">
        <v>41722</v>
      </c>
      <c r="H525" t="s">
        <v>3004</v>
      </c>
      <c r="J525" t="s">
        <v>1288</v>
      </c>
      <c r="K525" t="s">
        <v>189</v>
      </c>
      <c r="L525" s="3">
        <v>47135</v>
      </c>
      <c r="M525" s="3">
        <v>47051</v>
      </c>
      <c r="N525" t="s">
        <v>3005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3006</v>
      </c>
      <c r="C526" t="s">
        <v>3007</v>
      </c>
      <c r="D526" s="3">
        <v>28206</v>
      </c>
      <c r="E526" t="s">
        <v>1173</v>
      </c>
      <c r="F526">
        <v>240</v>
      </c>
      <c r="G526" s="3">
        <v>43073</v>
      </c>
      <c r="H526" t="s">
        <v>3008</v>
      </c>
      <c r="I526" t="s">
        <v>3009</v>
      </c>
      <c r="J526" t="s">
        <v>1702</v>
      </c>
      <c r="K526" t="s">
        <v>191</v>
      </c>
      <c r="L526" s="3">
        <v>46676</v>
      </c>
      <c r="M526" s="3">
        <v>46616</v>
      </c>
      <c r="N526" t="s">
        <v>3010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3011</v>
      </c>
      <c r="C527" t="s">
        <v>3012</v>
      </c>
      <c r="D527" s="3">
        <v>23694</v>
      </c>
      <c r="E527" t="s">
        <v>1173</v>
      </c>
      <c r="F527">
        <v>630</v>
      </c>
      <c r="G527" s="3">
        <v>33308</v>
      </c>
      <c r="H527" t="s">
        <v>3013</v>
      </c>
      <c r="I527">
        <v>92277204</v>
      </c>
      <c r="J527" t="s">
        <v>1292</v>
      </c>
      <c r="K527" t="s">
        <v>187</v>
      </c>
      <c r="L527" s="3">
        <v>47653</v>
      </c>
      <c r="M527" s="3">
        <v>46834</v>
      </c>
      <c r="N527" t="s">
        <v>3014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3015</v>
      </c>
      <c r="C528" t="s">
        <v>3012</v>
      </c>
      <c r="D528" s="3">
        <v>26005</v>
      </c>
      <c r="E528" t="s">
        <v>1173</v>
      </c>
      <c r="F528">
        <v>376</v>
      </c>
      <c r="G528" s="3">
        <v>39972</v>
      </c>
      <c r="H528" t="s">
        <v>3016</v>
      </c>
      <c r="J528" t="s">
        <v>1288</v>
      </c>
      <c r="K528" t="s">
        <v>191</v>
      </c>
      <c r="L528" s="3">
        <v>47143</v>
      </c>
      <c r="M528" s="3">
        <v>46005</v>
      </c>
      <c r="N528" t="s">
        <v>3017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3018</v>
      </c>
      <c r="C529" t="s">
        <v>3019</v>
      </c>
      <c r="D529" s="3">
        <v>37705</v>
      </c>
      <c r="E529" t="s">
        <v>1173</v>
      </c>
      <c r="G529" s="3">
        <v>45530</v>
      </c>
      <c r="H529" t="s">
        <v>3020</v>
      </c>
      <c r="I529">
        <v>497579525</v>
      </c>
      <c r="J529" t="s">
        <v>1181</v>
      </c>
      <c r="K529" t="s">
        <v>185</v>
      </c>
      <c r="L529" s="3">
        <v>47372</v>
      </c>
      <c r="M529" s="3">
        <v>47303</v>
      </c>
      <c r="N529" t="s">
        <v>3021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2877</v>
      </c>
      <c r="C530" t="s">
        <v>3022</v>
      </c>
      <c r="D530" s="3">
        <v>38314</v>
      </c>
      <c r="E530" t="s">
        <v>1173</v>
      </c>
      <c r="G530" s="3">
        <v>45307</v>
      </c>
      <c r="H530" t="s">
        <v>3023</v>
      </c>
      <c r="J530" t="s">
        <v>1181</v>
      </c>
      <c r="K530" t="s">
        <v>189</v>
      </c>
      <c r="L530" s="3">
        <v>47154</v>
      </c>
      <c r="M530" s="3">
        <v>47126</v>
      </c>
      <c r="N530" t="s">
        <v>3024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3025</v>
      </c>
      <c r="C531" t="s">
        <v>3026</v>
      </c>
      <c r="D531" s="3">
        <v>27839</v>
      </c>
      <c r="E531" t="s">
        <v>1427</v>
      </c>
      <c r="G531" s="3">
        <v>44270</v>
      </c>
      <c r="H531" t="s">
        <v>3027</v>
      </c>
      <c r="J531" t="s">
        <v>1284</v>
      </c>
      <c r="K531" t="s">
        <v>185</v>
      </c>
      <c r="L531" s="3">
        <v>46368</v>
      </c>
      <c r="M531" s="3">
        <v>46120</v>
      </c>
      <c r="N531" t="s">
        <v>3028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3453</v>
      </c>
      <c r="C532" t="s">
        <v>3029</v>
      </c>
      <c r="D532" s="3">
        <v>32479</v>
      </c>
      <c r="E532" t="s">
        <v>1173</v>
      </c>
      <c r="G532" s="3">
        <v>45831</v>
      </c>
      <c r="H532" t="s">
        <v>3454</v>
      </c>
      <c r="J532" t="s">
        <v>1181</v>
      </c>
      <c r="K532" t="s">
        <v>191</v>
      </c>
      <c r="L532" s="3">
        <v>47673</v>
      </c>
      <c r="M532" s="3">
        <v>47568</v>
      </c>
      <c r="N532" t="s">
        <v>3455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2243</v>
      </c>
      <c r="C533" t="s">
        <v>3029</v>
      </c>
      <c r="D533" s="3">
        <v>29513</v>
      </c>
      <c r="E533" t="s">
        <v>1173</v>
      </c>
      <c r="F533">
        <v>264</v>
      </c>
      <c r="G533" s="3">
        <v>38789</v>
      </c>
      <c r="H533" t="s">
        <v>3030</v>
      </c>
      <c r="J533" t="s">
        <v>1248</v>
      </c>
      <c r="K533" t="s">
        <v>199</v>
      </c>
      <c r="L533" s="3">
        <v>72686</v>
      </c>
      <c r="M533" s="3">
        <v>46932</v>
      </c>
      <c r="N533" t="s">
        <v>3031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3032</v>
      </c>
      <c r="C534" t="s">
        <v>3033</v>
      </c>
      <c r="D534" s="3">
        <v>31115</v>
      </c>
      <c r="E534" t="s">
        <v>1173</v>
      </c>
      <c r="G534" s="3">
        <v>45720</v>
      </c>
      <c r="H534" t="s">
        <v>3034</v>
      </c>
      <c r="J534" t="s">
        <v>1181</v>
      </c>
      <c r="K534" t="s">
        <v>195</v>
      </c>
      <c r="L534" s="3">
        <v>1</v>
      </c>
      <c r="M534" s="3">
        <v>1</v>
      </c>
      <c r="N534" t="s">
        <v>3035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3036</v>
      </c>
      <c r="C535" t="s">
        <v>3037</v>
      </c>
      <c r="D535" s="3">
        <v>33698</v>
      </c>
      <c r="E535" t="s">
        <v>1173</v>
      </c>
      <c r="G535" s="3">
        <v>45264</v>
      </c>
      <c r="H535" t="s">
        <v>3038</v>
      </c>
      <c r="J535" t="s">
        <v>1181</v>
      </c>
      <c r="K535" t="s">
        <v>195</v>
      </c>
      <c r="L535" s="3">
        <v>47108</v>
      </c>
      <c r="M535" s="3">
        <v>47072</v>
      </c>
      <c r="N535" t="s">
        <v>3039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3040</v>
      </c>
      <c r="C536" t="s">
        <v>3041</v>
      </c>
      <c r="D536" s="3">
        <v>35615</v>
      </c>
      <c r="E536" t="s">
        <v>1173</v>
      </c>
      <c r="G536" s="3">
        <v>45208</v>
      </c>
      <c r="H536" t="s">
        <v>3042</v>
      </c>
      <c r="J536" t="s">
        <v>1181</v>
      </c>
      <c r="K536" t="s">
        <v>187</v>
      </c>
      <c r="L536" s="3">
        <v>47049</v>
      </c>
      <c r="M536" s="3">
        <v>47009</v>
      </c>
      <c r="N536" t="s">
        <v>3043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3044</v>
      </c>
      <c r="C537" t="s">
        <v>3045</v>
      </c>
      <c r="D537" s="3">
        <v>25160</v>
      </c>
      <c r="E537" t="s">
        <v>1173</v>
      </c>
      <c r="F537">
        <v>232</v>
      </c>
      <c r="G537" s="3">
        <v>33287</v>
      </c>
      <c r="H537" t="s">
        <v>3046</v>
      </c>
      <c r="J537" t="s">
        <v>1473</v>
      </c>
      <c r="K537" t="s">
        <v>197</v>
      </c>
      <c r="L537" s="3">
        <v>45952</v>
      </c>
      <c r="M537" s="3">
        <v>46665</v>
      </c>
      <c r="N537" t="s">
        <v>3047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3048</v>
      </c>
      <c r="C538" t="s">
        <v>3045</v>
      </c>
      <c r="D538" s="3">
        <v>27424</v>
      </c>
      <c r="E538" t="s">
        <v>1173</v>
      </c>
      <c r="G538" s="3">
        <v>45603</v>
      </c>
      <c r="H538" t="s">
        <v>3049</v>
      </c>
      <c r="J538" t="s">
        <v>1181</v>
      </c>
      <c r="K538" t="s">
        <v>185</v>
      </c>
      <c r="L538" s="3">
        <v>47448</v>
      </c>
      <c r="M538" s="3">
        <v>47407</v>
      </c>
      <c r="N538" t="s">
        <v>3050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3051</v>
      </c>
      <c r="C539" t="s">
        <v>3045</v>
      </c>
      <c r="D539" s="3">
        <v>25474</v>
      </c>
      <c r="E539" t="s">
        <v>1173</v>
      </c>
      <c r="F539">
        <v>77</v>
      </c>
      <c r="G539" s="3">
        <v>41218</v>
      </c>
      <c r="H539" t="s">
        <v>3052</v>
      </c>
      <c r="J539" t="s">
        <v>1248</v>
      </c>
      <c r="K539" t="s">
        <v>193</v>
      </c>
      <c r="L539" s="3">
        <v>46601</v>
      </c>
      <c r="M539" s="3">
        <v>46593</v>
      </c>
      <c r="N539" t="s">
        <v>3053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2386</v>
      </c>
      <c r="C540" t="s">
        <v>3045</v>
      </c>
      <c r="D540" s="3">
        <v>25942</v>
      </c>
      <c r="E540" t="s">
        <v>1173</v>
      </c>
      <c r="F540">
        <v>471</v>
      </c>
      <c r="G540" s="3">
        <v>40385</v>
      </c>
      <c r="H540" t="s">
        <v>3054</v>
      </c>
      <c r="J540" t="s">
        <v>1252</v>
      </c>
      <c r="K540" t="s">
        <v>189</v>
      </c>
      <c r="L540" s="3">
        <v>47467</v>
      </c>
      <c r="M540" s="3">
        <v>46718</v>
      </c>
      <c r="N540" t="s">
        <v>3055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3056</v>
      </c>
      <c r="C541" t="s">
        <v>3045</v>
      </c>
      <c r="D541" s="3">
        <v>31562</v>
      </c>
      <c r="E541" t="s">
        <v>1173</v>
      </c>
      <c r="F541">
        <v>286</v>
      </c>
      <c r="G541" s="3">
        <v>39538</v>
      </c>
      <c r="H541" t="s">
        <v>3057</v>
      </c>
      <c r="J541" t="s">
        <v>1351</v>
      </c>
      <c r="K541" t="s">
        <v>199</v>
      </c>
      <c r="L541" s="3">
        <v>47672</v>
      </c>
      <c r="M541" s="3">
        <v>46686</v>
      </c>
      <c r="N541" t="s">
        <v>3058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2183</v>
      </c>
      <c r="C542" t="s">
        <v>3045</v>
      </c>
      <c r="D542" s="3">
        <v>29938</v>
      </c>
      <c r="E542" t="s">
        <v>1173</v>
      </c>
      <c r="F542">
        <v>284</v>
      </c>
      <c r="G542" s="3">
        <v>39405</v>
      </c>
      <c r="H542" t="s">
        <v>3059</v>
      </c>
      <c r="J542" t="s">
        <v>1489</v>
      </c>
      <c r="K542" t="s">
        <v>195</v>
      </c>
      <c r="L542" s="3">
        <v>46662</v>
      </c>
      <c r="M542" s="3">
        <v>46658</v>
      </c>
      <c r="N542" t="s">
        <v>3060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1534</v>
      </c>
      <c r="C543" t="s">
        <v>3045</v>
      </c>
      <c r="D543" s="3">
        <v>25256</v>
      </c>
      <c r="E543" t="s">
        <v>1173</v>
      </c>
      <c r="F543">
        <v>502</v>
      </c>
      <c r="G543" s="3">
        <v>39204</v>
      </c>
      <c r="H543" t="s">
        <v>3061</v>
      </c>
      <c r="I543">
        <v>3254244570</v>
      </c>
      <c r="J543" t="s">
        <v>1334</v>
      </c>
      <c r="K543" t="s">
        <v>191</v>
      </c>
      <c r="L543" s="3">
        <v>47611</v>
      </c>
      <c r="M543" s="3">
        <v>46776</v>
      </c>
      <c r="N543" t="s">
        <v>3062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3063</v>
      </c>
      <c r="C544" t="s">
        <v>3064</v>
      </c>
      <c r="D544" s="3">
        <v>36347</v>
      </c>
      <c r="E544" t="s">
        <v>1173</v>
      </c>
      <c r="G544" s="3">
        <v>45250</v>
      </c>
      <c r="H544" t="s">
        <v>3065</v>
      </c>
      <c r="J544" t="s">
        <v>1181</v>
      </c>
      <c r="K544" t="s">
        <v>197</v>
      </c>
      <c r="L544" s="3">
        <v>47092</v>
      </c>
      <c r="M544" s="3">
        <v>47027</v>
      </c>
      <c r="N544" t="s">
        <v>3066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3067</v>
      </c>
      <c r="C545" t="s">
        <v>3068</v>
      </c>
      <c r="D545" s="3">
        <v>29155</v>
      </c>
      <c r="E545" t="s">
        <v>1173</v>
      </c>
      <c r="F545">
        <v>426</v>
      </c>
      <c r="G545" s="3">
        <v>44081</v>
      </c>
      <c r="H545" t="s">
        <v>3069</v>
      </c>
      <c r="J545" t="s">
        <v>1214</v>
      </c>
      <c r="K545" t="s">
        <v>185</v>
      </c>
      <c r="L545" s="3">
        <v>47435</v>
      </c>
      <c r="M545" s="3">
        <v>46646</v>
      </c>
      <c r="N545" t="s">
        <v>3070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3067</v>
      </c>
      <c r="C546" t="s">
        <v>3071</v>
      </c>
      <c r="D546" s="3">
        <v>32241</v>
      </c>
      <c r="E546" t="s">
        <v>1173</v>
      </c>
      <c r="F546">
        <v>432</v>
      </c>
      <c r="G546" s="3">
        <v>40000</v>
      </c>
      <c r="H546" t="s">
        <v>3072</v>
      </c>
      <c r="J546" t="s">
        <v>1214</v>
      </c>
      <c r="K546" t="s">
        <v>189</v>
      </c>
      <c r="L546" s="3">
        <v>47129</v>
      </c>
      <c r="M546" s="3">
        <v>47105</v>
      </c>
      <c r="N546" t="s">
        <v>3073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3074</v>
      </c>
      <c r="C547" t="s">
        <v>3075</v>
      </c>
      <c r="D547" s="3">
        <v>35076</v>
      </c>
      <c r="E547" t="s">
        <v>1173</v>
      </c>
      <c r="G547" s="3">
        <v>45720</v>
      </c>
      <c r="H547" t="s">
        <v>3076</v>
      </c>
      <c r="J547" t="s">
        <v>1181</v>
      </c>
      <c r="K547" t="s">
        <v>189</v>
      </c>
      <c r="L547" s="3">
        <v>47562</v>
      </c>
      <c r="M547" s="3">
        <v>47456</v>
      </c>
      <c r="N547" t="s">
        <v>3077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3078</v>
      </c>
      <c r="C548" t="s">
        <v>3079</v>
      </c>
      <c r="D548" s="3">
        <v>26528</v>
      </c>
      <c r="E548" t="s">
        <v>1173</v>
      </c>
      <c r="F548">
        <v>318</v>
      </c>
      <c r="G548" s="3">
        <v>39923</v>
      </c>
      <c r="H548" t="s">
        <v>3080</v>
      </c>
      <c r="J548" t="s">
        <v>1489</v>
      </c>
      <c r="K548" t="s">
        <v>185</v>
      </c>
      <c r="L548" s="3">
        <v>47154</v>
      </c>
      <c r="M548" s="3">
        <v>46981</v>
      </c>
      <c r="N548" t="s">
        <v>3081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3082</v>
      </c>
      <c r="C549" t="s">
        <v>3083</v>
      </c>
      <c r="D549" s="3">
        <v>37647</v>
      </c>
      <c r="E549" t="s">
        <v>1173</v>
      </c>
      <c r="G549" s="3">
        <v>45588</v>
      </c>
      <c r="H549" t="s">
        <v>3084</v>
      </c>
      <c r="J549" t="s">
        <v>1181</v>
      </c>
      <c r="K549" t="s">
        <v>185</v>
      </c>
      <c r="L549" s="3">
        <v>47435</v>
      </c>
      <c r="M549" s="3">
        <v>47379</v>
      </c>
      <c r="N549" t="s">
        <v>3085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3086</v>
      </c>
      <c r="C550" t="s">
        <v>3087</v>
      </c>
      <c r="D550" s="3">
        <v>36109</v>
      </c>
      <c r="E550" t="s">
        <v>1173</v>
      </c>
      <c r="G550" s="3">
        <v>44256</v>
      </c>
      <c r="H550" t="s">
        <v>3088</v>
      </c>
      <c r="J550" t="s">
        <v>1181</v>
      </c>
      <c r="K550" t="s">
        <v>191</v>
      </c>
      <c r="L550" s="3">
        <v>46096</v>
      </c>
      <c r="M550" s="3">
        <v>45903</v>
      </c>
      <c r="N550" t="s">
        <v>3089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2863</v>
      </c>
      <c r="C551" t="s">
        <v>3090</v>
      </c>
      <c r="D551" s="3">
        <v>37879</v>
      </c>
      <c r="E551" t="s">
        <v>1173</v>
      </c>
      <c r="G551" s="3">
        <v>45378</v>
      </c>
      <c r="H551" t="s">
        <v>3091</v>
      </c>
      <c r="J551" t="s">
        <v>1181</v>
      </c>
      <c r="K551" t="s">
        <v>185</v>
      </c>
      <c r="L551" s="3">
        <v>47224</v>
      </c>
      <c r="M551" s="3">
        <v>47150</v>
      </c>
      <c r="N551" t="s">
        <v>3092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3093</v>
      </c>
      <c r="C552" t="s">
        <v>3094</v>
      </c>
      <c r="D552" s="3">
        <v>33604</v>
      </c>
      <c r="E552" t="s">
        <v>1173</v>
      </c>
      <c r="G552" s="3">
        <v>45404</v>
      </c>
      <c r="H552" t="s">
        <v>3095</v>
      </c>
      <c r="J552" t="s">
        <v>1181</v>
      </c>
      <c r="K552" t="s">
        <v>189</v>
      </c>
      <c r="L552" s="3">
        <v>47504</v>
      </c>
      <c r="M552" s="3">
        <v>47498</v>
      </c>
      <c r="N552" t="s">
        <v>3096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3097</v>
      </c>
      <c r="C553" t="s">
        <v>3098</v>
      </c>
      <c r="D553" s="3">
        <v>26996</v>
      </c>
      <c r="E553" t="s">
        <v>1173</v>
      </c>
      <c r="F553">
        <v>71</v>
      </c>
      <c r="G553" s="3">
        <v>35219</v>
      </c>
      <c r="H553" t="s">
        <v>3099</v>
      </c>
      <c r="J553" t="s">
        <v>1297</v>
      </c>
      <c r="K553" t="s">
        <v>197</v>
      </c>
      <c r="L553" s="3">
        <v>45880</v>
      </c>
      <c r="M553" s="3">
        <v>46014</v>
      </c>
      <c r="N553" t="s">
        <v>3100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2291</v>
      </c>
      <c r="C554" t="s">
        <v>3098</v>
      </c>
      <c r="D554" s="3">
        <v>20773</v>
      </c>
      <c r="E554" t="s">
        <v>1173</v>
      </c>
      <c r="F554">
        <v>628</v>
      </c>
      <c r="G554" s="3">
        <v>34008</v>
      </c>
      <c r="H554" t="s">
        <v>3101</v>
      </c>
      <c r="J554" t="s">
        <v>1306</v>
      </c>
      <c r="K554" t="s">
        <v>191</v>
      </c>
      <c r="L554" s="3">
        <v>47481</v>
      </c>
      <c r="M554" s="3">
        <v>47456</v>
      </c>
      <c r="N554" t="s">
        <v>3102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3103</v>
      </c>
      <c r="C555" t="s">
        <v>3104</v>
      </c>
      <c r="D555" s="3">
        <v>33360</v>
      </c>
      <c r="E555" t="s">
        <v>1173</v>
      </c>
      <c r="G555" s="3">
        <v>45027</v>
      </c>
      <c r="H555" t="s">
        <v>3105</v>
      </c>
      <c r="J555" t="s">
        <v>1181</v>
      </c>
      <c r="K555" t="s">
        <v>189</v>
      </c>
      <c r="L555" s="3">
        <v>46869</v>
      </c>
      <c r="M555" s="3">
        <v>46791</v>
      </c>
      <c r="N555" t="s">
        <v>3106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3107</v>
      </c>
      <c r="C556" t="s">
        <v>3108</v>
      </c>
      <c r="D556" s="3">
        <v>28476</v>
      </c>
      <c r="E556" t="s">
        <v>1173</v>
      </c>
      <c r="F556">
        <v>70</v>
      </c>
      <c r="G556" s="3">
        <v>42093</v>
      </c>
      <c r="H556" t="s">
        <v>3109</v>
      </c>
      <c r="J556" t="s">
        <v>1363</v>
      </c>
      <c r="K556" t="s">
        <v>187</v>
      </c>
      <c r="L556" s="3">
        <v>47454</v>
      </c>
      <c r="M556" s="3">
        <v>47449</v>
      </c>
      <c r="N556" t="s">
        <v>3110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2194</v>
      </c>
      <c r="C557" t="s">
        <v>3456</v>
      </c>
      <c r="D557" s="3">
        <v>32133</v>
      </c>
      <c r="E557" t="s">
        <v>1427</v>
      </c>
      <c r="F557">
        <v>401</v>
      </c>
      <c r="G557" s="3">
        <v>42121</v>
      </c>
      <c r="H557" t="s">
        <v>2195</v>
      </c>
      <c r="J557" t="s">
        <v>1489</v>
      </c>
      <c r="K557" t="s">
        <v>185</v>
      </c>
      <c r="L557" s="3">
        <v>47485</v>
      </c>
      <c r="M557" s="3">
        <v>47470</v>
      </c>
      <c r="N557" t="s">
        <v>3457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3111</v>
      </c>
      <c r="C558" t="s">
        <v>3112</v>
      </c>
      <c r="D558" s="3">
        <v>27571</v>
      </c>
      <c r="E558" t="s">
        <v>1173</v>
      </c>
      <c r="F558">
        <v>2</v>
      </c>
      <c r="G558" s="3">
        <v>35303</v>
      </c>
      <c r="I558">
        <v>93568611</v>
      </c>
      <c r="J558" t="s">
        <v>1297</v>
      </c>
      <c r="K558" t="s">
        <v>197</v>
      </c>
      <c r="L558" s="3">
        <v>47576</v>
      </c>
      <c r="M558" s="3">
        <v>47573</v>
      </c>
      <c r="N558" t="s">
        <v>3113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3114</v>
      </c>
      <c r="C559" t="s">
        <v>3112</v>
      </c>
      <c r="D559" s="3">
        <v>31396</v>
      </c>
      <c r="E559" t="s">
        <v>1173</v>
      </c>
      <c r="G559" s="3">
        <v>43500</v>
      </c>
      <c r="H559" t="s">
        <v>3115</v>
      </c>
      <c r="I559" t="s">
        <v>3115</v>
      </c>
      <c r="J559" t="s">
        <v>1181</v>
      </c>
      <c r="K559" t="s">
        <v>191</v>
      </c>
      <c r="L559" s="3">
        <v>47161</v>
      </c>
      <c r="M559" s="3">
        <v>47136</v>
      </c>
      <c r="N559" t="s">
        <v>3116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3117</v>
      </c>
      <c r="C560" t="s">
        <v>3112</v>
      </c>
      <c r="D560" s="3">
        <v>30082</v>
      </c>
      <c r="E560" t="s">
        <v>1173</v>
      </c>
      <c r="F560">
        <v>344</v>
      </c>
      <c r="G560" s="3">
        <v>39204</v>
      </c>
      <c r="H560" t="s">
        <v>3118</v>
      </c>
      <c r="J560" t="s">
        <v>1275</v>
      </c>
      <c r="K560" t="s">
        <v>193</v>
      </c>
      <c r="L560" s="3">
        <v>73050</v>
      </c>
      <c r="M560" s="3">
        <v>47201</v>
      </c>
      <c r="N560" t="s">
        <v>3119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2863</v>
      </c>
      <c r="C561" t="s">
        <v>3112</v>
      </c>
      <c r="D561" s="3">
        <v>30395</v>
      </c>
      <c r="E561" t="s">
        <v>1173</v>
      </c>
      <c r="F561">
        <v>416</v>
      </c>
      <c r="G561" s="3">
        <v>38103</v>
      </c>
      <c r="H561" t="s">
        <v>3120</v>
      </c>
      <c r="J561" t="s">
        <v>1275</v>
      </c>
      <c r="K561" t="s">
        <v>199</v>
      </c>
      <c r="L561" s="3">
        <v>72686</v>
      </c>
      <c r="M561" s="3">
        <v>47323</v>
      </c>
      <c r="N561" t="s">
        <v>3121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3122</v>
      </c>
      <c r="C562" t="s">
        <v>3123</v>
      </c>
      <c r="D562" s="3">
        <v>22410</v>
      </c>
      <c r="E562" t="s">
        <v>1173</v>
      </c>
      <c r="F562">
        <v>134</v>
      </c>
      <c r="G562" s="3">
        <v>42198</v>
      </c>
      <c r="H562" t="s">
        <v>3124</v>
      </c>
      <c r="I562">
        <v>92280648</v>
      </c>
      <c r="J562" t="s">
        <v>1363</v>
      </c>
      <c r="K562" t="s">
        <v>189</v>
      </c>
      <c r="L562" s="3">
        <v>47533</v>
      </c>
      <c r="M562" s="3">
        <v>47524</v>
      </c>
      <c r="N562" t="s">
        <v>3125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3126</v>
      </c>
      <c r="C563" t="s">
        <v>3127</v>
      </c>
      <c r="D563" s="3">
        <v>32148</v>
      </c>
      <c r="E563" t="s">
        <v>1173</v>
      </c>
      <c r="G563" s="3">
        <v>45103</v>
      </c>
      <c r="H563" t="s">
        <v>3128</v>
      </c>
      <c r="J563" t="s">
        <v>1181</v>
      </c>
      <c r="K563" t="s">
        <v>189</v>
      </c>
      <c r="L563" s="3">
        <v>46946</v>
      </c>
      <c r="M563" s="3">
        <v>46887</v>
      </c>
      <c r="N563" t="s">
        <v>3129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3458</v>
      </c>
      <c r="C564" t="s">
        <v>3459</v>
      </c>
      <c r="D564" s="3">
        <v>36225</v>
      </c>
      <c r="E564" t="s">
        <v>1173</v>
      </c>
      <c r="G564" s="3">
        <v>45840</v>
      </c>
      <c r="H564" t="s">
        <v>3460</v>
      </c>
      <c r="J564" t="s">
        <v>1181</v>
      </c>
      <c r="K564" t="s">
        <v>191</v>
      </c>
      <c r="L564" s="3">
        <v>47538</v>
      </c>
      <c r="M564" s="3">
        <v>47243</v>
      </c>
      <c r="N564" t="s">
        <v>3461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3130</v>
      </c>
      <c r="C565" t="s">
        <v>3131</v>
      </c>
      <c r="D565" s="3">
        <v>34746</v>
      </c>
      <c r="E565" t="s">
        <v>1173</v>
      </c>
      <c r="G565" s="3">
        <v>45321</v>
      </c>
      <c r="H565" t="s">
        <v>3132</v>
      </c>
      <c r="J565" t="s">
        <v>1181</v>
      </c>
      <c r="K565" t="s">
        <v>191</v>
      </c>
      <c r="L565" s="3">
        <v>47168</v>
      </c>
      <c r="M565" s="3">
        <v>47129</v>
      </c>
      <c r="N565" t="s">
        <v>3133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3134</v>
      </c>
      <c r="C566" t="s">
        <v>3135</v>
      </c>
      <c r="D566" s="3">
        <v>36547</v>
      </c>
      <c r="E566" t="s">
        <v>1173</v>
      </c>
      <c r="G566" s="3">
        <v>45442</v>
      </c>
      <c r="H566" t="s">
        <v>3136</v>
      </c>
      <c r="J566" t="s">
        <v>1181</v>
      </c>
      <c r="K566" t="s">
        <v>187</v>
      </c>
      <c r="L566" s="3">
        <v>47286</v>
      </c>
      <c r="M566" s="3">
        <v>47222</v>
      </c>
      <c r="N566" t="s">
        <v>3137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3138</v>
      </c>
      <c r="C567" t="s">
        <v>3139</v>
      </c>
      <c r="D567" s="3">
        <v>31462</v>
      </c>
      <c r="E567" t="s">
        <v>1173</v>
      </c>
      <c r="G567" s="3">
        <v>45419</v>
      </c>
      <c r="H567" t="s">
        <v>3140</v>
      </c>
      <c r="J567" t="s">
        <v>1181</v>
      </c>
      <c r="K567" t="s">
        <v>197</v>
      </c>
      <c r="L567" s="3">
        <v>46281</v>
      </c>
      <c r="M567" s="3">
        <v>46244</v>
      </c>
      <c r="N567" t="s">
        <v>3141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3142</v>
      </c>
      <c r="C568" t="s">
        <v>3139</v>
      </c>
      <c r="D568" s="3">
        <v>36822</v>
      </c>
      <c r="E568" t="s">
        <v>1173</v>
      </c>
      <c r="G568" s="3">
        <v>45103</v>
      </c>
      <c r="H568" t="s">
        <v>3143</v>
      </c>
      <c r="J568" t="s">
        <v>1181</v>
      </c>
      <c r="K568" t="s">
        <v>193</v>
      </c>
      <c r="L568" s="3">
        <v>46945</v>
      </c>
      <c r="M568" s="3">
        <v>46925</v>
      </c>
      <c r="N568" t="s">
        <v>3144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3145</v>
      </c>
      <c r="C569" t="s">
        <v>3139</v>
      </c>
      <c r="D569" s="3">
        <v>26948</v>
      </c>
      <c r="E569" t="s">
        <v>1173</v>
      </c>
      <c r="F569">
        <v>605</v>
      </c>
      <c r="G569" s="3">
        <v>40035</v>
      </c>
      <c r="H569" t="s">
        <v>3146</v>
      </c>
      <c r="J569" t="s">
        <v>1262</v>
      </c>
      <c r="K569" t="s">
        <v>187</v>
      </c>
      <c r="L569" s="3">
        <v>47150</v>
      </c>
      <c r="M569" s="3">
        <v>47141</v>
      </c>
      <c r="N569" t="s">
        <v>3147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3462</v>
      </c>
      <c r="C570" t="s">
        <v>3149</v>
      </c>
      <c r="D570" s="3">
        <v>31325</v>
      </c>
      <c r="E570" t="s">
        <v>1173</v>
      </c>
      <c r="G570" s="3">
        <v>45831</v>
      </c>
      <c r="H570" t="s">
        <v>3463</v>
      </c>
      <c r="J570" t="s">
        <v>1181</v>
      </c>
      <c r="K570" t="s">
        <v>191</v>
      </c>
      <c r="L570" s="3">
        <v>47679</v>
      </c>
      <c r="M570" s="3">
        <v>47636</v>
      </c>
      <c r="N570" t="s">
        <v>3464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3148</v>
      </c>
      <c r="C571" t="s">
        <v>3149</v>
      </c>
      <c r="D571" s="3">
        <v>34889</v>
      </c>
      <c r="E571" t="s">
        <v>1173</v>
      </c>
      <c r="G571" s="3">
        <v>44837</v>
      </c>
      <c r="H571" t="s">
        <v>3150</v>
      </c>
      <c r="J571" t="s">
        <v>1191</v>
      </c>
      <c r="K571" t="s">
        <v>199</v>
      </c>
      <c r="L571" s="3">
        <v>46553</v>
      </c>
      <c r="M571" s="3">
        <v>46680</v>
      </c>
      <c r="N571" t="s">
        <v>3151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3152</v>
      </c>
      <c r="C572" t="s">
        <v>3153</v>
      </c>
      <c r="D572" s="3">
        <v>28674</v>
      </c>
      <c r="E572" t="s">
        <v>1173</v>
      </c>
      <c r="G572" s="3">
        <v>45090</v>
      </c>
      <c r="H572" t="s">
        <v>3154</v>
      </c>
      <c r="J572" t="s">
        <v>1181</v>
      </c>
      <c r="K572" t="s">
        <v>193</v>
      </c>
      <c r="L572" s="3">
        <v>46933</v>
      </c>
      <c r="M572" s="3">
        <v>46883</v>
      </c>
      <c r="N572" t="s">
        <v>3155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1851</v>
      </c>
      <c r="C573" t="s">
        <v>3153</v>
      </c>
      <c r="D573" s="3">
        <v>25358</v>
      </c>
      <c r="E573" t="s">
        <v>1173</v>
      </c>
      <c r="F573">
        <v>395</v>
      </c>
      <c r="G573" s="3">
        <v>39391</v>
      </c>
      <c r="I573">
        <v>32479662027</v>
      </c>
      <c r="J573" t="s">
        <v>1297</v>
      </c>
      <c r="K573" t="s">
        <v>197</v>
      </c>
      <c r="L573" s="3">
        <v>47664</v>
      </c>
      <c r="M573" s="3">
        <v>46369</v>
      </c>
      <c r="N573" t="s">
        <v>3156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3157</v>
      </c>
      <c r="C574" t="s">
        <v>3158</v>
      </c>
      <c r="D574" s="3">
        <v>36493</v>
      </c>
      <c r="E574" t="s">
        <v>1173</v>
      </c>
      <c r="G574" s="3">
        <v>44809</v>
      </c>
      <c r="H574" t="s">
        <v>3159</v>
      </c>
      <c r="J574" t="s">
        <v>1181</v>
      </c>
      <c r="K574" t="s">
        <v>185</v>
      </c>
      <c r="L574" s="3">
        <v>46652</v>
      </c>
      <c r="M574" s="3">
        <v>46574</v>
      </c>
      <c r="N574" t="s">
        <v>3160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3161</v>
      </c>
      <c r="C575" t="s">
        <v>3162</v>
      </c>
      <c r="D575" s="3">
        <v>23942</v>
      </c>
      <c r="E575" t="s">
        <v>1173</v>
      </c>
      <c r="F575">
        <v>193</v>
      </c>
      <c r="G575" s="3">
        <v>33819</v>
      </c>
      <c r="H575" t="s">
        <v>3163</v>
      </c>
      <c r="J575" t="s">
        <v>1297</v>
      </c>
      <c r="K575" t="s">
        <v>197</v>
      </c>
      <c r="L575" s="3">
        <v>47636</v>
      </c>
      <c r="M575" s="3">
        <v>46364</v>
      </c>
      <c r="N575" t="s">
        <v>3164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3165</v>
      </c>
      <c r="C576" t="s">
        <v>3166</v>
      </c>
      <c r="D576" s="3">
        <v>30513</v>
      </c>
      <c r="E576" t="s">
        <v>1173</v>
      </c>
      <c r="F576">
        <v>387</v>
      </c>
      <c r="G576" s="3">
        <v>43984</v>
      </c>
      <c r="H576" t="s">
        <v>3167</v>
      </c>
      <c r="I576">
        <v>92567935</v>
      </c>
      <c r="J576" t="s">
        <v>1214</v>
      </c>
      <c r="K576" t="s">
        <v>197</v>
      </c>
      <c r="L576" s="3">
        <v>47450</v>
      </c>
      <c r="M576" s="3">
        <v>47441</v>
      </c>
      <c r="N576" t="s">
        <v>3168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3169</v>
      </c>
      <c r="C577" t="s">
        <v>1641</v>
      </c>
      <c r="D577" s="3">
        <v>32771</v>
      </c>
      <c r="E577" t="s">
        <v>1173</v>
      </c>
      <c r="G577" s="3">
        <v>44837</v>
      </c>
      <c r="H577" t="s">
        <v>3170</v>
      </c>
      <c r="J577" t="s">
        <v>1176</v>
      </c>
      <c r="K577" t="s">
        <v>197</v>
      </c>
      <c r="L577" s="3">
        <v>46683</v>
      </c>
      <c r="M577" s="3">
        <v>46565</v>
      </c>
      <c r="N577" t="s">
        <v>3171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3172</v>
      </c>
      <c r="C578" t="s">
        <v>1641</v>
      </c>
      <c r="D578" s="3">
        <v>28120</v>
      </c>
      <c r="E578" t="s">
        <v>1173</v>
      </c>
      <c r="F578">
        <v>74</v>
      </c>
      <c r="G578" s="3">
        <v>40497</v>
      </c>
      <c r="H578" t="s">
        <v>3173</v>
      </c>
      <c r="J578" t="s">
        <v>1306</v>
      </c>
      <c r="K578" t="s">
        <v>199</v>
      </c>
      <c r="L578" s="3">
        <v>45914</v>
      </c>
      <c r="M578" s="3">
        <v>45909</v>
      </c>
      <c r="N578" t="s">
        <v>3174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3175</v>
      </c>
      <c r="C579" t="s">
        <v>3176</v>
      </c>
      <c r="D579" s="3">
        <v>32543</v>
      </c>
      <c r="E579" t="s">
        <v>1173</v>
      </c>
      <c r="G579" s="3">
        <v>43906</v>
      </c>
      <c r="H579" t="s">
        <v>3177</v>
      </c>
      <c r="I579" t="s">
        <v>3178</v>
      </c>
      <c r="J579" t="s">
        <v>1186</v>
      </c>
      <c r="K579" t="s">
        <v>197</v>
      </c>
      <c r="L579" s="3">
        <v>47504</v>
      </c>
      <c r="M579" s="3">
        <v>47460</v>
      </c>
      <c r="N579" t="s">
        <v>3179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3180</v>
      </c>
      <c r="C580" t="s">
        <v>3181</v>
      </c>
      <c r="D580" s="3">
        <v>36995</v>
      </c>
      <c r="E580" t="s">
        <v>1173</v>
      </c>
      <c r="G580" s="3">
        <v>45076</v>
      </c>
      <c r="H580" t="s">
        <v>3182</v>
      </c>
      <c r="J580" t="s">
        <v>1181</v>
      </c>
      <c r="K580" t="s">
        <v>187</v>
      </c>
      <c r="L580" s="3">
        <v>46919</v>
      </c>
      <c r="M580" s="3">
        <v>46880</v>
      </c>
      <c r="N580" t="s">
        <v>3183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3184</v>
      </c>
      <c r="C581" t="s">
        <v>3181</v>
      </c>
      <c r="D581" s="3">
        <v>23974</v>
      </c>
      <c r="E581" t="s">
        <v>1173</v>
      </c>
      <c r="F581">
        <v>506</v>
      </c>
      <c r="G581" s="3">
        <v>38936</v>
      </c>
      <c r="H581" t="s">
        <v>3185</v>
      </c>
      <c r="J581" t="s">
        <v>1292</v>
      </c>
      <c r="K581" t="s">
        <v>191</v>
      </c>
      <c r="L581" s="3">
        <v>45964</v>
      </c>
      <c r="M581" s="3">
        <v>46056</v>
      </c>
      <c r="N581" t="s">
        <v>3186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3187</v>
      </c>
      <c r="C582" t="s">
        <v>3181</v>
      </c>
      <c r="D582" s="3">
        <v>22182</v>
      </c>
      <c r="E582" t="s">
        <v>1173</v>
      </c>
      <c r="F582">
        <v>236</v>
      </c>
      <c r="G582" s="3">
        <v>36923</v>
      </c>
      <c r="H582" t="s">
        <v>3188</v>
      </c>
      <c r="I582">
        <v>92262940</v>
      </c>
      <c r="J582" t="s">
        <v>1358</v>
      </c>
      <c r="K582" t="s">
        <v>197</v>
      </c>
      <c r="L582" s="3">
        <v>72686</v>
      </c>
      <c r="M582" s="3">
        <v>72686</v>
      </c>
      <c r="N582" t="s">
        <v>3189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3190</v>
      </c>
      <c r="C583" t="s">
        <v>3191</v>
      </c>
      <c r="D583" s="3">
        <v>29593</v>
      </c>
      <c r="E583" t="s">
        <v>1173</v>
      </c>
      <c r="G583" s="3">
        <v>44970</v>
      </c>
      <c r="H583" t="s">
        <v>3192</v>
      </c>
      <c r="J583" t="s">
        <v>1186</v>
      </c>
      <c r="K583" t="s">
        <v>187</v>
      </c>
      <c r="L583" s="3">
        <v>46817</v>
      </c>
      <c r="M583" s="3">
        <v>46735</v>
      </c>
      <c r="N583" t="s">
        <v>3193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3194</v>
      </c>
      <c r="C584" t="s">
        <v>3195</v>
      </c>
      <c r="D584" s="3">
        <v>36031</v>
      </c>
      <c r="E584" t="s">
        <v>1173</v>
      </c>
      <c r="G584" s="3">
        <v>44431</v>
      </c>
      <c r="H584" t="s">
        <v>3196</v>
      </c>
      <c r="J584" t="s">
        <v>1176</v>
      </c>
      <c r="K584" t="s">
        <v>185</v>
      </c>
      <c r="L584" s="3">
        <v>46277</v>
      </c>
      <c r="M584" s="3">
        <v>46175</v>
      </c>
      <c r="N584" t="s">
        <v>3197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2443</v>
      </c>
      <c r="C585" t="s">
        <v>3198</v>
      </c>
      <c r="D585" s="3">
        <v>30480</v>
      </c>
      <c r="E585" t="s">
        <v>1173</v>
      </c>
      <c r="F585">
        <v>24</v>
      </c>
      <c r="G585" s="3">
        <v>40469</v>
      </c>
      <c r="H585" t="s">
        <v>3199</v>
      </c>
      <c r="J585" t="s">
        <v>1262</v>
      </c>
      <c r="K585" t="s">
        <v>191</v>
      </c>
      <c r="L585" s="3">
        <v>73050</v>
      </c>
      <c r="M585" s="3">
        <v>47551</v>
      </c>
      <c r="N585" t="s">
        <v>3200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3201</v>
      </c>
      <c r="C586" t="s">
        <v>3202</v>
      </c>
      <c r="D586" s="3">
        <v>36273</v>
      </c>
      <c r="E586" t="s">
        <v>1173</v>
      </c>
      <c r="F586">
        <v>405</v>
      </c>
      <c r="G586" s="3">
        <v>43864</v>
      </c>
      <c r="H586" t="s">
        <v>3203</v>
      </c>
      <c r="J586" t="s">
        <v>1186</v>
      </c>
      <c r="K586" t="s">
        <v>191</v>
      </c>
      <c r="L586" s="3">
        <v>47470</v>
      </c>
      <c r="M586" s="3">
        <v>47460</v>
      </c>
      <c r="N586" t="s">
        <v>3204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3205</v>
      </c>
      <c r="C587" t="s">
        <v>3206</v>
      </c>
      <c r="D587" s="3">
        <v>32703</v>
      </c>
      <c r="E587" t="s">
        <v>1173</v>
      </c>
      <c r="G587" s="3">
        <v>44305</v>
      </c>
      <c r="H587" t="s">
        <v>3207</v>
      </c>
      <c r="J587" t="s">
        <v>1176</v>
      </c>
      <c r="K587" t="s">
        <v>187</v>
      </c>
      <c r="L587" s="3">
        <v>46138</v>
      </c>
      <c r="M587" s="3">
        <v>46090</v>
      </c>
      <c r="N587" t="s">
        <v>3208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3209</v>
      </c>
      <c r="C588" t="s">
        <v>3210</v>
      </c>
      <c r="D588" s="3">
        <v>31696</v>
      </c>
      <c r="E588" t="s">
        <v>1173</v>
      </c>
      <c r="F588">
        <v>342</v>
      </c>
      <c r="G588" s="3">
        <v>39615</v>
      </c>
      <c r="H588" t="s">
        <v>3211</v>
      </c>
      <c r="J588" t="s">
        <v>1262</v>
      </c>
      <c r="K588" t="s">
        <v>189</v>
      </c>
      <c r="L588" s="3">
        <v>72686</v>
      </c>
      <c r="M588" s="3">
        <v>46672</v>
      </c>
      <c r="N588" t="s">
        <v>3212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3032</v>
      </c>
      <c r="C589" t="s">
        <v>3213</v>
      </c>
      <c r="D589" s="3">
        <v>22796</v>
      </c>
      <c r="E589" t="s">
        <v>1173</v>
      </c>
      <c r="G589" s="3">
        <v>45315</v>
      </c>
      <c r="H589" t="s">
        <v>3214</v>
      </c>
      <c r="J589" t="s">
        <v>1181</v>
      </c>
      <c r="K589" t="s">
        <v>189</v>
      </c>
      <c r="L589" s="3">
        <v>46497</v>
      </c>
      <c r="M589" s="3">
        <v>46431</v>
      </c>
      <c r="N589" t="s">
        <v>3215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3216</v>
      </c>
      <c r="C590" t="s">
        <v>3217</v>
      </c>
      <c r="D590" s="3">
        <v>37792</v>
      </c>
      <c r="E590" t="s">
        <v>1173</v>
      </c>
      <c r="G590" s="3">
        <v>45783</v>
      </c>
      <c r="H590" t="s">
        <v>3218</v>
      </c>
      <c r="J590" t="s">
        <v>1181</v>
      </c>
      <c r="K590" t="s">
        <v>189</v>
      </c>
      <c r="L590" s="3">
        <v>47629</v>
      </c>
      <c r="M590" s="3">
        <v>47538</v>
      </c>
      <c r="N590" t="s">
        <v>3219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3220</v>
      </c>
      <c r="C591" t="s">
        <v>3221</v>
      </c>
      <c r="D591" s="3">
        <v>28126</v>
      </c>
      <c r="E591" t="s">
        <v>1173</v>
      </c>
      <c r="F591">
        <v>327</v>
      </c>
      <c r="G591" s="3">
        <v>39839</v>
      </c>
      <c r="H591" t="s">
        <v>3222</v>
      </c>
      <c r="J591" t="s">
        <v>1199</v>
      </c>
      <c r="K591" t="s">
        <v>185</v>
      </c>
      <c r="L591" s="3">
        <v>73050</v>
      </c>
      <c r="M591" s="3">
        <v>45891</v>
      </c>
      <c r="N591" t="s">
        <v>3223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3224</v>
      </c>
      <c r="C592" t="s">
        <v>3225</v>
      </c>
      <c r="D592" s="3">
        <v>30914</v>
      </c>
      <c r="E592" t="s">
        <v>1173</v>
      </c>
      <c r="F592">
        <v>115</v>
      </c>
      <c r="G592" s="3">
        <v>43164</v>
      </c>
      <c r="H592" t="s">
        <v>3226</v>
      </c>
      <c r="J592" t="s">
        <v>1191</v>
      </c>
      <c r="K592" t="s">
        <v>199</v>
      </c>
      <c r="L592" s="3">
        <v>46624</v>
      </c>
      <c r="M592" s="3">
        <v>46621</v>
      </c>
      <c r="N592" t="s">
        <v>3227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3228</v>
      </c>
      <c r="C593" t="s">
        <v>3229</v>
      </c>
      <c r="D593" s="3">
        <v>29961</v>
      </c>
      <c r="E593" t="s">
        <v>1173</v>
      </c>
      <c r="G593" s="3">
        <v>45544</v>
      </c>
      <c r="H593" t="s">
        <v>3230</v>
      </c>
      <c r="J593" t="s">
        <v>1181</v>
      </c>
      <c r="K593" t="s">
        <v>191</v>
      </c>
      <c r="L593" s="3">
        <v>47391</v>
      </c>
      <c r="M593" s="3">
        <v>47294</v>
      </c>
      <c r="N593" t="s">
        <v>3231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3232</v>
      </c>
      <c r="C594" t="s">
        <v>3233</v>
      </c>
      <c r="D594" s="3">
        <v>37281</v>
      </c>
      <c r="E594" t="s">
        <v>1173</v>
      </c>
      <c r="G594" s="3">
        <v>45012</v>
      </c>
      <c r="H594" t="s">
        <v>3234</v>
      </c>
      <c r="J594" t="s">
        <v>1181</v>
      </c>
      <c r="K594" t="s">
        <v>193</v>
      </c>
      <c r="L594" s="3">
        <v>46855</v>
      </c>
      <c r="M594" s="3">
        <v>46763</v>
      </c>
      <c r="N594" t="s">
        <v>3235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2025-08-11T10:14:56Z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