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94" documentId="8_{E6BCF386-B104-424C-B4A8-F32964540273}" xr6:coauthVersionLast="47" xr6:coauthVersionMax="47" xr10:uidLastSave="{BED32AEC-04B4-4B1A-8F85-4091C95969BC}"/>
  <bookViews>
    <workbookView minimized="1" xWindow="3795" yWindow="102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3" i="1" l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B779" i="1" s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B840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B285" i="1" s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B274" i="1" s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B5" i="1" s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B479" i="1" s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B220" i="1" s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B27" i="1" s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B475" i="1" s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B3" i="1" s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B252" i="1" s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B239" i="1" s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B400" i="10" s="1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B389" i="10" s="1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B356" i="10" s="1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B330" i="10" s="1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B320" i="10" s="1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B288" i="10" s="1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B272" i="10" s="1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B264" i="10" s="1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B184" i="10" s="1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B176" i="10" s="1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B160" i="10" s="1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B119" i="10" s="1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B20" i="10" s="1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/>
  <c r="C652" i="1"/>
  <c r="B652" i="1" s="1"/>
  <c r="C558" i="1"/>
  <c r="C832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23" i="1"/>
  <c r="B823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190" i="1" l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<sst xmlns="http://schemas.openxmlformats.org/spreadsheetml/2006/main" count="7363" uniqueCount="3535">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</sst>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3" totalsRowShown="0" headerRowDxfId="10">
  <autoFilter ref="A1:Y853" xr:uid="{2FDE3AF6-1CE1-4F38-BD72-1F03CD30F4FC}"/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3"/>
  <sheetViews>
    <sheetView tabSelected="1" topLeftCell="C1" zoomScale="85" zoomScaleNormal="85" workbookViewId="0">
      <pane ySplit="1" topLeftCell="A816" activePane="bottomLeft" state="frozen"/>
      <selection activeCell="F1" sqref="F1"/>
      <selection pane="bottomLeft" activeCell="U848" sqref="U84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x14ac:dyDescent="0.25">
      <c r="B846" t="e">
        <f>_xlfn.CONCAT(bron[[#This Row],[personeelsnr]]," ",bron[[#This Row],[achternaam]]," ",bron[[#This Row],[voornaam]])</f>
        <v>#N/A</v>
      </c>
      <c r="C846" t="e">
        <f>VLOOKUP(bron[[#This Row],[personeelsnr]],'data hastus'!$A:$C,2,0)</f>
        <v>#N/A</v>
      </c>
      <c r="D846" t="e">
        <f>VLOOKUP(bron[[#This Row],[personeelsnr]],'data hastus'!$A:$C,3,0)</f>
        <v>#N/A</v>
      </c>
      <c r="E846" t="e">
        <f>VLOOKUP(bron[[#This Row],[personeelsnr]],'data hastus'!A:K,11,FALSE)</f>
        <v>#N/A</v>
      </c>
      <c r="F846" s="10"/>
      <c r="G846" s="7"/>
      <c r="H846" s="7"/>
      <c r="I846" s="7"/>
      <c r="S846" s="5">
        <f>SUM(bron[[#This Row],[Januari]:[December]])</f>
        <v>0</v>
      </c>
      <c r="V846" s="24"/>
      <c r="W846" s="24"/>
    </row>
    <row r="847" spans="1:25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2:23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2:23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2:23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2:23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2:23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</sheetData>
  <sheetProtection sort="0" autoFilter="0"/>
  <phoneticPr fontId="1" type="noConversion"/>
  <conditionalFormatting sqref="F2:F85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2025-09-05T14:00:36Z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