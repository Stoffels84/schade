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18" documentId="13_ncr:1_{10FCACA5-8197-478D-90D3-5F83063FB753}" xr6:coauthVersionLast="47" xr6:coauthVersionMax="47" xr10:uidLastSave="{A12E7A5D-6C0D-4245-A2A5-F6797EB9484B}"/>
  <bookViews>
    <workbookView minimized="1" xWindow="-10935" yWindow="-1423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7" i="1" l="1"/>
  <c r="B978" i="1"/>
  <c r="B979" i="1"/>
  <c r="B980" i="1"/>
  <c r="B981" i="1"/>
  <c r="B982" i="1"/>
  <c r="B983" i="1"/>
  <c r="B984" i="1"/>
  <c r="C984" i="1"/>
  <c r="D984" i="1"/>
  <c r="E984" i="1"/>
  <c r="S984" i="1"/>
  <c r="C983" i="1"/>
  <c r="D983" i="1"/>
  <c r="E983" i="1"/>
  <c r="S983" i="1"/>
  <c r="C982" i="1"/>
  <c r="D982" i="1"/>
  <c r="E982" i="1"/>
  <c r="S982" i="1"/>
  <c r="C981" i="1"/>
  <c r="D981" i="1"/>
  <c r="E981" i="1"/>
  <c r="S981" i="1"/>
  <c r="C980" i="1"/>
  <c r="D980" i="1"/>
  <c r="E980" i="1"/>
  <c r="S980" i="1"/>
  <c r="C979" i="1"/>
  <c r="D979" i="1"/>
  <c r="E979" i="1"/>
  <c r="S979" i="1"/>
  <c r="C978" i="1"/>
  <c r="D978" i="1"/>
  <c r="E978" i="1"/>
  <c r="S978" i="1"/>
  <c r="C977" i="1"/>
  <c r="D977" i="1"/>
  <c r="E977" i="1"/>
  <c r="S977" i="1"/>
  <c r="B972" i="1"/>
  <c r="B973" i="1"/>
  <c r="B974" i="1"/>
  <c r="B975" i="1"/>
  <c r="B976" i="1"/>
  <c r="C976" i="1"/>
  <c r="D976" i="1"/>
  <c r="E976" i="1"/>
  <c r="S976" i="1"/>
  <c r="C975" i="1"/>
  <c r="D975" i="1"/>
  <c r="E975" i="1"/>
  <c r="S975" i="1"/>
  <c r="C974" i="1"/>
  <c r="D974" i="1"/>
  <c r="E974" i="1"/>
  <c r="S974" i="1"/>
  <c r="C973" i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<sst xmlns="http://schemas.openxmlformats.org/spreadsheetml/2006/main" count="8936" uniqueCount="3821">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</sst>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0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00">
      <pivotArea dataOnly="0" labelOnly="1" fieldPosition="0">
        <references count="1">
          <reference field="1" count="1">
            <x v="511"/>
          </reference>
        </references>
      </pivotArea>
    </format>
    <format dxfId="99">
      <pivotArea dataOnly="0" labelOnly="1" fieldPosition="0">
        <references count="1">
          <reference field="1" count="1">
            <x v="473"/>
          </reference>
        </references>
      </pivotArea>
    </format>
    <format dxfId="98">
      <pivotArea dataOnly="0" labelOnly="1" fieldPosition="0">
        <references count="1">
          <reference field="1" count="1">
            <x v="497"/>
          </reference>
        </references>
      </pivotArea>
    </format>
    <format dxfId="97">
      <pivotArea dataOnly="0" labelOnly="1" fieldPosition="0">
        <references count="1">
          <reference field="1" count="1">
            <x v="512"/>
          </reference>
        </references>
      </pivotArea>
    </format>
    <format dxfId="96">
      <pivotArea dataOnly="0" labelOnly="1" fieldPosition="0">
        <references count="1">
          <reference field="1" count="1">
            <x v="504"/>
          </reference>
        </references>
      </pivotArea>
    </format>
    <format dxfId="95">
      <pivotArea dataOnly="0" labelOnly="1" fieldPosition="0">
        <references count="1">
          <reference field="1" count="1">
            <x v="90"/>
          </reference>
        </references>
      </pivotArea>
    </format>
    <format dxfId="94">
      <pivotArea dataOnly="0" labelOnly="1" fieldPosition="0">
        <references count="1">
          <reference field="1" count="1">
            <x v="280"/>
          </reference>
        </references>
      </pivotArea>
    </format>
    <format dxfId="93">
      <pivotArea dataOnly="0" labelOnly="1" fieldPosition="0">
        <references count="1">
          <reference field="1" count="1">
            <x v="514"/>
          </reference>
        </references>
      </pivotArea>
    </format>
    <format dxfId="92">
      <pivotArea dataOnly="0" labelOnly="1" fieldPosition="0">
        <references count="1">
          <reference field="1" count="1">
            <x v="478"/>
          </reference>
        </references>
      </pivotArea>
    </format>
    <format dxfId="91">
      <pivotArea dataOnly="0" labelOnly="1" fieldPosition="0">
        <references count="1">
          <reference field="1" count="1">
            <x v="510"/>
          </reference>
        </references>
      </pivotArea>
    </format>
    <format dxfId="90">
      <pivotArea dataOnly="0" labelOnly="1" fieldPosition="0">
        <references count="1">
          <reference field="1" count="1">
            <x v="481"/>
          </reference>
        </references>
      </pivotArea>
    </format>
    <format dxfId="89">
      <pivotArea dataOnly="0" labelOnly="1" fieldPosition="0">
        <references count="1">
          <reference field="1" count="1">
            <x v="435"/>
          </reference>
        </references>
      </pivotArea>
    </format>
    <format dxfId="88">
      <pivotArea dataOnly="0" labelOnly="1" fieldPosition="0">
        <references count="1">
          <reference field="1" count="1">
            <x v="112"/>
          </reference>
        </references>
      </pivotArea>
    </format>
    <format dxfId="87">
      <pivotArea dataOnly="0" labelOnly="1" fieldPosition="0">
        <references count="1">
          <reference field="1" count="1">
            <x v="157"/>
          </reference>
        </references>
      </pivotArea>
    </format>
    <format dxfId="86">
      <pivotArea dataOnly="0" labelOnly="1" fieldPosition="0">
        <references count="1">
          <reference field="1" count="1">
            <x v="490"/>
          </reference>
        </references>
      </pivotArea>
    </format>
    <format dxfId="85">
      <pivotArea dataOnly="0" labelOnly="1" fieldPosition="0">
        <references count="1">
          <reference field="1" count="1">
            <x v="506"/>
          </reference>
        </references>
      </pivotArea>
    </format>
    <format dxfId="84">
      <pivotArea dataOnly="0" labelOnly="1" fieldPosition="0">
        <references count="1">
          <reference field="1" count="1">
            <x v="520"/>
          </reference>
        </references>
      </pivotArea>
    </format>
    <format dxfId="83">
      <pivotArea dataOnly="0" labelOnly="1" fieldPosition="0">
        <references count="1">
          <reference field="1" count="1">
            <x v="250"/>
          </reference>
        </references>
      </pivotArea>
    </format>
    <format dxfId="82">
      <pivotArea dataOnly="0" labelOnly="1" fieldPosition="0">
        <references count="1">
          <reference field="1" count="1">
            <x v="432"/>
          </reference>
        </references>
      </pivotArea>
    </format>
    <format dxfId="81">
      <pivotArea dataOnly="0" labelOnly="1" fieldPosition="0">
        <references count="1">
          <reference field="1" count="1">
            <x v="440"/>
          </reference>
        </references>
      </pivotArea>
    </format>
    <format dxfId="8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79">
      <pivotArea dataOnly="0" labelOnly="1" fieldPosition="0">
        <references count="1">
          <reference field="1" count="1">
            <x v="348"/>
          </reference>
        </references>
      </pivotArea>
    </format>
    <format dxfId="78">
      <pivotArea dataOnly="0" labelOnly="1" fieldPosition="0">
        <references count="1">
          <reference field="1" count="1">
            <x v="355"/>
          </reference>
        </references>
      </pivotArea>
    </format>
    <format dxfId="77">
      <pivotArea dataOnly="0" labelOnly="1" fieldPosition="0">
        <references count="1">
          <reference field="1" count="1">
            <x v="498"/>
          </reference>
        </references>
      </pivotArea>
    </format>
    <format dxfId="76">
      <pivotArea dataOnly="0" labelOnly="1" fieldPosition="0">
        <references count="1">
          <reference field="1" count="1">
            <x v="508"/>
          </reference>
        </references>
      </pivotArea>
    </format>
    <format dxfId="75">
      <pivotArea dataOnly="0" labelOnly="1" fieldPosition="0">
        <references count="1">
          <reference field="1" count="1">
            <x v="397"/>
          </reference>
        </references>
      </pivotArea>
    </format>
    <format dxfId="74">
      <pivotArea dataOnly="0" labelOnly="1" fieldPosition="0">
        <references count="1">
          <reference field="1" count="1">
            <x v="513"/>
          </reference>
        </references>
      </pivotArea>
    </format>
    <format dxfId="73">
      <pivotArea dataOnly="0" labelOnly="1" fieldPosition="0">
        <references count="1">
          <reference field="1" count="1">
            <x v="412"/>
          </reference>
        </references>
      </pivotArea>
    </format>
    <format dxfId="72">
      <pivotArea dataOnly="0" labelOnly="1" fieldPosition="0">
        <references count="1">
          <reference field="1" count="1">
            <x v="507"/>
          </reference>
        </references>
      </pivotArea>
    </format>
    <format dxfId="71">
      <pivotArea dataOnly="0" labelOnly="1" fieldPosition="0">
        <references count="1">
          <reference field="1" count="1">
            <x v="507"/>
          </reference>
        </references>
      </pivotArea>
    </format>
    <format dxfId="70">
      <pivotArea dataOnly="0" labelOnly="1" fieldPosition="0">
        <references count="1">
          <reference field="1" count="1">
            <x v="342"/>
          </reference>
        </references>
      </pivotArea>
    </format>
    <format dxfId="69">
      <pivotArea dataOnly="0" labelOnly="1" fieldPosition="0">
        <references count="1">
          <reference field="1" count="1">
            <x v="501"/>
          </reference>
        </references>
      </pivotArea>
    </format>
    <format dxfId="68">
      <pivotArea dataOnly="0" labelOnly="1" fieldPosition="0">
        <references count="1">
          <reference field="1" count="1">
            <x v="351"/>
          </reference>
        </references>
      </pivotArea>
    </format>
    <format dxfId="67">
      <pivotArea dataOnly="0" labelOnly="1" fieldPosition="0">
        <references count="1">
          <reference field="1" count="1">
            <x v="156"/>
          </reference>
        </references>
      </pivotArea>
    </format>
    <format dxfId="66">
      <pivotArea dataOnly="0" labelOnly="1" fieldPosition="0">
        <references count="1">
          <reference field="1" count="1">
            <x v="358"/>
          </reference>
        </references>
      </pivotArea>
    </format>
    <format dxfId="6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64">
      <pivotArea dataOnly="0" labelOnly="1" fieldPosition="0">
        <references count="1">
          <reference field="1" count="1">
            <x v="438"/>
          </reference>
        </references>
      </pivotArea>
    </format>
    <format dxfId="6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62">
      <pivotArea dataOnly="0" labelOnly="1" fieldPosition="0">
        <references count="1">
          <reference field="1" count="1">
            <x v="309"/>
          </reference>
        </references>
      </pivotArea>
    </format>
    <format dxfId="6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0">
      <pivotArea dataOnly="0" labelOnly="1" fieldPosition="0">
        <references count="1">
          <reference field="1" count="1">
            <x v="374"/>
          </reference>
        </references>
      </pivotArea>
    </format>
    <format dxfId="5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58">
      <pivotArea dataOnly="0" labelOnly="1" fieldPosition="0">
        <references count="1">
          <reference field="1" count="1">
            <x v="407"/>
          </reference>
        </references>
      </pivotArea>
    </format>
    <format dxfId="5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5"/>
    <tableColumn id="5" xr3:uid="{DF37AD45-FC5C-478A-989D-9143E744CEEA}" name="voornaam" dataDxfId="54">
      <calculatedColumnFormula>VLOOKUP(Tabel2[[#This Row],[nr]],'data hastus'!A:C,3,FALSE)</calculatedColumnFormula>
    </tableColumn>
    <tableColumn id="6" xr3:uid="{4098FAFB-9B09-4A81-8B22-18CC90B5F979}" name="achternaam" dataDxfId="5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49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4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7"/>
    <tableColumn id="11" xr3:uid="{97ECF1D5-48DC-4487-B3C2-17232CC8E19E}" name="Januari" dataDxfId="46"/>
    <tableColumn id="12" xr3:uid="{7B2FF520-A575-45C0-BB5A-19B87DDB4EA0}" name="Februari" dataDxfId="45"/>
    <tableColumn id="13" xr3:uid="{4E6C30D1-FB72-4AB2-900F-14A3D53F34DE}" name="Maart" dataDxfId="4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3">
      <calculatedColumnFormula>SUM(bron[[#This Row],[Januari]:[December]])</calculatedColumnFormula>
    </tableColumn>
    <tableColumn id="10" xr3:uid="{8D9646BD-38B6-4F4D-9859-B3933369346B}" name="Datum" dataDxfId="4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5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9" activePane="bottomLeft" state="frozen"/>
      <selection activeCell="F1" sqref="F1"/>
      <selection pane="bottomLeft" activeCell="X972" sqref="X97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B973" t="e">
        <f>_xlfn.CONCAT(bron[[#This Row],[personeelsnr]]," ",bron[[#This Row],[achternaam]]," ",bron[[#This Row],[voornaam]])</f>
        <v>#N/A</v>
      </c>
      <c r="C973" t="e">
        <f>VLOOKUP(bron[[#This Row],[personeelsnr]],'data hastus'!$A:$C,2,0)</f>
        <v>#N/A</v>
      </c>
      <c r="D973" t="e">
        <f>VLOOKUP(bron[[#This Row],[personeelsnr]],'data hastus'!$A:$C,3,0)</f>
        <v>#N/A</v>
      </c>
      <c r="E973" s="2" t="e">
        <f>VLOOKUP(bron[[#This Row],[personeelsnr]],'data hastus'!A:K,11,FALSE)</f>
        <v>#N/A</v>
      </c>
      <c r="F973" s="10"/>
      <c r="G973" s="39"/>
      <c r="H973" s="39"/>
      <c r="I973" s="39"/>
      <c r="S973" s="44">
        <f>SUM(bron[[#This Row],[Januari]:[December]])</f>
        <v>0</v>
      </c>
      <c r="V973" s="37"/>
      <c r="W973" s="37"/>
    </row>
    <row r="974" spans="1:27" x14ac:dyDescent="0.25">
      <c r="B974" t="e">
        <f>_xlfn.CONCAT(bron[[#This Row],[personeelsnr]]," ",bron[[#This Row],[achternaam]]," ",bron[[#This Row],[voornaam]])</f>
        <v>#N/A</v>
      </c>
      <c r="C974" t="e">
        <f>VLOOKUP(bron[[#This Row],[personeelsnr]],'data hastus'!$A:$C,2,0)</f>
        <v>#N/A</v>
      </c>
      <c r="D974" t="e">
        <f>VLOOKUP(bron[[#This Row],[personeelsnr]],'data hastus'!$A:$C,3,0)</f>
        <v>#N/A</v>
      </c>
      <c r="E974" s="2" t="e">
        <f>VLOOKUP(bron[[#This Row],[personeelsnr]],'data hastus'!A:K,11,FALSE)</f>
        <v>#N/A</v>
      </c>
      <c r="F974" s="10"/>
      <c r="G974" s="39"/>
      <c r="H974" s="39"/>
      <c r="I974" s="39"/>
      <c r="S974" s="44">
        <f>SUM(bron[[#This Row],[Januari]:[December]])</f>
        <v>0</v>
      </c>
      <c r="V974" s="37"/>
      <c r="W974" s="37"/>
    </row>
    <row r="975" spans="1:27" x14ac:dyDescent="0.25">
      <c r="B975" t="e">
        <f>_xlfn.CONCAT(bron[[#This Row],[personeelsnr]]," ",bron[[#This Row],[achternaam]]," ",bron[[#This Row],[voornaam]])</f>
        <v>#N/A</v>
      </c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52" priority="5" operator="equal">
      <formula>0</formula>
    </cfRule>
    <cfRule type="cellIs" dxfId="51" priority="7" operator="between">
      <formula>1</formula>
      <formula>4</formula>
    </cfRule>
    <cfRule type="cellIs" dxfId="50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1" priority="1" operator="equal">
      <formula>0</formula>
    </cfRule>
    <cfRule type="cellIs" dxfId="40" priority="2" operator="between">
      <formula>1</formula>
      <formula>4</formula>
    </cfRule>
    <cfRule type="cellIs" dxfId="3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2025-11-24T11:26:51Z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