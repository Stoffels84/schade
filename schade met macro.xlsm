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58" documentId="13_ncr:1_{10FCACA5-8197-478D-90D3-5F83063FB753}" xr6:coauthVersionLast="47" xr6:coauthVersionMax="47" xr10:uidLastSave="{D73C6B65-FDF4-4454-BB6E-5716F2B3A23F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45" i="1" l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C966" i="1"/>
  <c r="D966" i="1"/>
  <c r="E966" i="1"/>
  <c r="S966" i="1"/>
  <c r="C965" i="1"/>
  <c r="D965" i="1"/>
  <c r="E965" i="1"/>
  <c r="S965" i="1"/>
  <c r="C964" i="1"/>
  <c r="D964" i="1"/>
  <c r="E964" i="1"/>
  <c r="S964" i="1"/>
  <c r="C963" i="1"/>
  <c r="D963" i="1"/>
  <c r="E963" i="1"/>
  <c r="S963" i="1"/>
  <c r="C962" i="1"/>
  <c r="D962" i="1"/>
  <c r="E962" i="1"/>
  <c r="S962" i="1"/>
  <c r="C961" i="1"/>
  <c r="D961" i="1"/>
  <c r="E961" i="1"/>
  <c r="S961" i="1"/>
  <c r="C960" i="1"/>
  <c r="D960" i="1"/>
  <c r="E960" i="1"/>
  <c r="S960" i="1"/>
  <c r="C959" i="1"/>
  <c r="D959" i="1"/>
  <c r="E959" i="1"/>
  <c r="S959" i="1"/>
  <c r="C958" i="1"/>
  <c r="D958" i="1"/>
  <c r="E958" i="1"/>
  <c r="S958" i="1"/>
  <c r="C957" i="1"/>
  <c r="D957" i="1"/>
  <c r="E957" i="1"/>
  <c r="S957" i="1"/>
  <c r="C956" i="1"/>
  <c r="D956" i="1"/>
  <c r="E956" i="1"/>
  <c r="S956" i="1"/>
  <c r="C955" i="1"/>
  <c r="D955" i="1"/>
  <c r="E955" i="1"/>
  <c r="S955" i="1"/>
  <c r="C954" i="1"/>
  <c r="D954" i="1"/>
  <c r="E954" i="1"/>
  <c r="S954" i="1"/>
  <c r="C953" i="1"/>
  <c r="D953" i="1"/>
  <c r="E953" i="1"/>
  <c r="S953" i="1"/>
  <c r="C952" i="1"/>
  <c r="D952" i="1"/>
  <c r="E952" i="1"/>
  <c r="S952" i="1"/>
  <c r="C951" i="1"/>
  <c r="D951" i="1"/>
  <c r="E951" i="1"/>
  <c r="S951" i="1"/>
  <c r="C950" i="1"/>
  <c r="D950" i="1"/>
  <c r="E950" i="1"/>
  <c r="S950" i="1"/>
  <c r="C949" i="1"/>
  <c r="D949" i="1"/>
  <c r="E949" i="1"/>
  <c r="S949" i="1"/>
  <c r="C948" i="1"/>
  <c r="B948" i="1" s="1"/>
  <c r="D948" i="1"/>
  <c r="E948" i="1"/>
  <c r="S948" i="1"/>
  <c r="C947" i="1"/>
  <c r="B947" i="1" s="1"/>
  <c r="D947" i="1"/>
  <c r="E947" i="1"/>
  <c r="S947" i="1"/>
  <c r="C946" i="1"/>
  <c r="B946" i="1" s="1"/>
  <c r="D946" i="1"/>
  <c r="E946" i="1"/>
  <c r="S946" i="1"/>
  <c r="C945" i="1"/>
  <c r="D945" i="1"/>
  <c r="E945" i="1"/>
  <c r="S945" i="1"/>
  <c r="Y937" i="1" l="1"/>
  <c r="C944" i="1" l="1"/>
  <c r="D944" i="1"/>
  <c r="E944" i="1"/>
  <c r="S944" i="1"/>
  <c r="C943" i="1"/>
  <c r="D943" i="1"/>
  <c r="E943" i="1"/>
  <c r="S943" i="1"/>
  <c r="C942" i="1"/>
  <c r="D942" i="1"/>
  <c r="E942" i="1"/>
  <c r="S942" i="1"/>
  <c r="C941" i="1"/>
  <c r="B941" i="1" s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24" i="1"/>
  <c r="D924" i="1"/>
  <c r="E924" i="1"/>
  <c r="S924" i="1"/>
  <c r="C922" i="1"/>
  <c r="D922" i="1"/>
  <c r="E922" i="1"/>
  <c r="S922" i="1"/>
  <c r="C932" i="1"/>
  <c r="D932" i="1"/>
  <c r="E932" i="1"/>
  <c r="S932" i="1"/>
  <c r="C914" i="1"/>
  <c r="D914" i="1"/>
  <c r="E914" i="1"/>
  <c r="S914" i="1"/>
  <c r="C926" i="1"/>
  <c r="D926" i="1"/>
  <c r="E926" i="1"/>
  <c r="S926" i="1"/>
  <c r="C931" i="1"/>
  <c r="D931" i="1"/>
  <c r="E931" i="1"/>
  <c r="S931" i="1"/>
  <c r="C933" i="1"/>
  <c r="D933" i="1"/>
  <c r="E933" i="1"/>
  <c r="S933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0" i="1"/>
  <c r="D930" i="1"/>
  <c r="E930" i="1"/>
  <c r="S930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9" i="1"/>
  <c r="D909" i="1"/>
  <c r="E909" i="1"/>
  <c r="S909" i="1"/>
  <c r="C918" i="1"/>
  <c r="D918" i="1"/>
  <c r="E918" i="1"/>
  <c r="S918" i="1"/>
  <c r="C908" i="1"/>
  <c r="D908" i="1"/>
  <c r="E908" i="1"/>
  <c r="S908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2" i="1"/>
  <c r="D902" i="1"/>
  <c r="E902" i="1"/>
  <c r="S902" i="1"/>
  <c r="C916" i="1"/>
  <c r="D916" i="1"/>
  <c r="E916" i="1"/>
  <c r="S916" i="1"/>
  <c r="C905" i="1"/>
  <c r="D905" i="1"/>
  <c r="E905" i="1"/>
  <c r="S905" i="1"/>
  <c r="C911" i="1"/>
  <c r="D911" i="1"/>
  <c r="E911" i="1"/>
  <c r="S911" i="1"/>
  <c r="C910" i="1"/>
  <c r="D910" i="1"/>
  <c r="E910" i="1"/>
  <c r="S910" i="1"/>
  <c r="C903" i="1"/>
  <c r="D903" i="1"/>
  <c r="E903" i="1"/>
  <c r="S903" i="1"/>
  <c r="C912" i="1"/>
  <c r="D912" i="1"/>
  <c r="E912" i="1"/>
  <c r="S912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2" i="1" l="1"/>
  <c r="B931" i="1"/>
  <c r="B936" i="1"/>
  <c r="B924" i="1"/>
  <c r="B943" i="1"/>
  <c r="B934" i="1"/>
  <c r="B944" i="1"/>
  <c r="B940" i="1"/>
  <c r="B937" i="1"/>
  <c r="B939" i="1"/>
  <c r="B938" i="1"/>
  <c r="B935" i="1"/>
  <c r="B922" i="1"/>
  <c r="B932" i="1"/>
  <c r="B914" i="1"/>
  <c r="B926" i="1"/>
  <c r="B916" i="1"/>
  <c r="B902" i="1"/>
  <c r="B913" i="1"/>
  <c r="B908" i="1"/>
  <c r="B918" i="1"/>
  <c r="B909" i="1"/>
  <c r="B920" i="1"/>
  <c r="B933" i="1"/>
  <c r="B928" i="1"/>
  <c r="B929" i="1"/>
  <c r="B923" i="1"/>
  <c r="B927" i="1"/>
  <c r="B930" i="1"/>
  <c r="B921" i="1"/>
  <c r="B925" i="1"/>
  <c r="B915" i="1"/>
  <c r="B919" i="1"/>
  <c r="B917" i="1"/>
  <c r="B912" i="1"/>
  <c r="B910" i="1"/>
  <c r="B905" i="1"/>
  <c r="B907" i="1"/>
  <c r="B911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<sst xmlns="http://schemas.openxmlformats.org/spreadsheetml/2006/main" count="8805" uniqueCount="3772">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</sst>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28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66" totalsRowShown="0" headerRowDxfId="10">
  <autoFilter ref="A1:AA966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44">
    <sortCondition ref="T1:T944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28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226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66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49" sqref="A94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16275</v>
      </c>
      <c r="B909" t="str">
        <f>_xlfn.CONCAT(bron[[#This Row],[personeelsnr]]," ",bron[[#This Row],[achternaam]]," ",bron[[#This Row],[voornaam]])</f>
        <v>16275 Devriendt Patrick</v>
      </c>
      <c r="C909" t="str">
        <f>VLOOKUP(bron[[#This Row],[personeelsnr]],'data hastus'!$A:$C,2,0)</f>
        <v>Devriendt</v>
      </c>
      <c r="D909" t="str">
        <f>VLOOKUP(bron[[#This Row],[personeelsnr]],'data hastus'!$A:$C,3,0)</f>
        <v>Patrick</v>
      </c>
      <c r="E909" s="2" t="str">
        <f>VLOOKUP(bron[[#This Row],[personeelsnr]],'data hastus'!A:K,11,FALSE)</f>
        <v>Els Dewulf</v>
      </c>
      <c r="F909" s="10"/>
      <c r="G909" s="39"/>
      <c r="H909" s="39"/>
      <c r="I909" s="39"/>
      <c r="S909" s="36">
        <f>SUM(bron[[#This Row],[Januari]:[December]])</f>
        <v>0</v>
      </c>
      <c r="T909" s="41">
        <v>45943</v>
      </c>
      <c r="U909" s="5" t="s">
        <v>3733</v>
      </c>
      <c r="V909" s="37"/>
      <c r="W909" s="37"/>
      <c r="X909" t="s">
        <v>3547</v>
      </c>
      <c r="Y909" t="s">
        <v>5</v>
      </c>
      <c r="Z909" s="2">
        <v>6329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3719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3716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3746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3725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3721</v>
      </c>
      <c r="V916" s="37"/>
      <c r="W916" s="37"/>
      <c r="X916" t="s">
        <v>3548</v>
      </c>
      <c r="Y916" t="s">
        <v>3722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3727</v>
      </c>
      <c r="V917" s="37"/>
      <c r="W917" s="37"/>
      <c r="X917" t="s">
        <v>3513</v>
      </c>
      <c r="Y917" t="s">
        <v>3728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3732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3729</v>
      </c>
      <c r="V919" s="37"/>
      <c r="W919" s="37"/>
      <c r="X919" t="s">
        <v>3513</v>
      </c>
      <c r="Y919" t="s">
        <v>3730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3734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3749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3739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3750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3735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3745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3738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3741</v>
      </c>
      <c r="V928" s="37"/>
      <c r="W928" s="37"/>
      <c r="X928" t="s">
        <v>3511</v>
      </c>
      <c r="Y928" t="s">
        <v>3742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3740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40938</v>
      </c>
      <c r="B930" t="str">
        <f>_xlfn.CONCAT(bron[[#This Row],[personeelsnr]]," ",bron[[#This Row],[achternaam]]," ",bron[[#This Row],[voornaam]])</f>
        <v>40938 Hasnaoui Nejmeddine</v>
      </c>
      <c r="C930" t="str">
        <f>VLOOKUP(bron[[#This Row],[personeelsnr]],'data hastus'!$A:$C,2,0)</f>
        <v>Hasnaoui</v>
      </c>
      <c r="D930" t="str">
        <f>VLOOKUP(bron[[#This Row],[personeelsnr]],'data hastus'!$A:$C,3,0)</f>
        <v>Nejmeddine</v>
      </c>
      <c r="E930" s="2" t="str">
        <f>VLOOKUP(bron[[#This Row],[personeelsnr]],'data hastus'!A:K,11,FALSE)</f>
        <v>Dominique De Clercq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8" t="s">
        <v>3737</v>
      </c>
      <c r="V930" s="37"/>
      <c r="W930" s="37"/>
      <c r="X930" t="s">
        <v>3512</v>
      </c>
      <c r="Y930" t="s">
        <v>13</v>
      </c>
      <c r="Z930" s="2">
        <v>13024</v>
      </c>
      <c r="AA930" s="43" t="s">
        <v>3558</v>
      </c>
    </row>
    <row r="931" spans="1:27" x14ac:dyDescent="0.25">
      <c r="A931">
        <v>42105</v>
      </c>
      <c r="B931" t="str">
        <f>_xlfn.CONCAT(bron[[#This Row],[personeelsnr]]," ",bron[[#This Row],[achternaam]]," ",bron[[#This Row],[voornaam]])</f>
        <v>42105 Van den Bossche Jarne</v>
      </c>
      <c r="C931" t="str">
        <f>VLOOKUP(bron[[#This Row],[personeelsnr]],'data hastus'!$A:$C,2,0)</f>
        <v>Van den Bossche</v>
      </c>
      <c r="D931" t="str">
        <f>VLOOKUP(bron[[#This Row],[personeelsnr]],'data hastus'!$A:$C,3,0)</f>
        <v>Jarne</v>
      </c>
      <c r="E931" s="2" t="str">
        <f>VLOOKUP(bron[[#This Row],[personeelsnr]],'data hastus'!A:K,11,FALSE)</f>
        <v>Els Dewulf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3744</v>
      </c>
      <c r="V931" s="37"/>
      <c r="W931" s="37"/>
      <c r="X931" t="s">
        <v>3512</v>
      </c>
      <c r="Y931" t="s">
        <v>31</v>
      </c>
      <c r="Z931" s="2">
        <v>5489</v>
      </c>
      <c r="AA931" s="43" t="s">
        <v>3558</v>
      </c>
    </row>
    <row r="932" spans="1:27" x14ac:dyDescent="0.25">
      <c r="A932">
        <v>25873</v>
      </c>
      <c r="B932" t="str">
        <f>_xlfn.CONCAT(bron[[#This Row],[personeelsnr]]," ",bron[[#This Row],[achternaam]]," ",bron[[#This Row],[voornaam]])</f>
        <v>25873 Kazakbiyev Osman</v>
      </c>
      <c r="C932" t="str">
        <f>VLOOKUP(bron[[#This Row],[personeelsnr]],'data hastus'!$A:$C,2,0)</f>
        <v>Kazakbiyev</v>
      </c>
      <c r="D932" t="str">
        <f>VLOOKUP(bron[[#This Row],[personeelsnr]],'data hastus'!$A:$C,3,0)</f>
        <v>Osman</v>
      </c>
      <c r="E932" s="2" t="str">
        <f>VLOOKUP(bron[[#This Row],[personeelsnr]],'data hastus'!A:K,11,FALSE)</f>
        <v>Els Vanhoe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3747</v>
      </c>
      <c r="V932" s="37"/>
      <c r="W932" s="37"/>
      <c r="X932" t="s">
        <v>3513</v>
      </c>
      <c r="Y932" t="s">
        <v>3748</v>
      </c>
      <c r="Z932" s="2">
        <v>5052</v>
      </c>
      <c r="AA932" s="43" t="s">
        <v>3558</v>
      </c>
    </row>
    <row r="933" spans="1:27" x14ac:dyDescent="0.25">
      <c r="A933">
        <v>39858</v>
      </c>
      <c r="B933" t="str">
        <f>_xlfn.CONCAT(bron[[#This Row],[personeelsnr]]," ",bron[[#This Row],[achternaam]]," ",bron[[#This Row],[voornaam]])</f>
        <v>39858 Jacobs Elos</v>
      </c>
      <c r="C933" t="str">
        <f>VLOOKUP(bron[[#This Row],[personeelsnr]],'data hastus'!$A:$C,2,0)</f>
        <v>Jacobs</v>
      </c>
      <c r="D933" t="str">
        <f>VLOOKUP(bron[[#This Row],[personeelsnr]],'data hastus'!$A:$C,3,0)</f>
        <v>Elos</v>
      </c>
      <c r="E933" s="2" t="str">
        <f>VLOOKUP(bron[[#This Row],[personeelsnr]],'data hastus'!A:K,11,FALSE)</f>
        <v>Els Dewulf</v>
      </c>
      <c r="F933" s="10"/>
      <c r="G933" s="39"/>
      <c r="H933" s="39"/>
      <c r="I933" s="39"/>
      <c r="S933" s="36">
        <f>SUM(bron[[#This Row],[Januari]:[December]])</f>
        <v>0</v>
      </c>
      <c r="T933" s="41">
        <v>45961</v>
      </c>
      <c r="U933" s="5" t="s">
        <v>3743</v>
      </c>
      <c r="V933" s="37"/>
      <c r="W933" s="37"/>
      <c r="X933" t="s">
        <v>3511</v>
      </c>
      <c r="Y933" t="s">
        <v>663</v>
      </c>
      <c r="Z933" s="2">
        <v>5229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36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A935">
        <v>35463</v>
      </c>
      <c r="B935" t="str">
        <f>_xlfn.CONCAT(bron[[#This Row],[personeelsnr]]," ",bron[[#This Row],[achternaam]]," ",bron[[#This Row],[voornaam]])</f>
        <v>35463 Vandaele Tom</v>
      </c>
      <c r="C935" t="str">
        <f>VLOOKUP(bron[[#This Row],[personeelsnr]],'data hastus'!$A:$C,2,0)</f>
        <v>Vandaele</v>
      </c>
      <c r="D935" t="str">
        <f>VLOOKUP(bron[[#This Row],[personeelsnr]],'data hastus'!$A:$C,3,0)</f>
        <v>Tom</v>
      </c>
      <c r="E935" s="2" t="str">
        <f>VLOOKUP(bron[[#This Row],[personeelsnr]],'data hastus'!A:K,11,FALSE)</f>
        <v>Dominique De Clercq</v>
      </c>
      <c r="F935" s="10"/>
      <c r="G935" s="39"/>
      <c r="H935" s="39"/>
      <c r="I935" s="39"/>
      <c r="S935" s="36">
        <f>SUM(bron[[#This Row],[Januari]:[December]])</f>
        <v>0</v>
      </c>
      <c r="T935" s="41">
        <v>45963</v>
      </c>
      <c r="U935" s="5" t="s">
        <v>3753</v>
      </c>
      <c r="V935" s="37"/>
      <c r="W935" s="37"/>
      <c r="X935" t="s">
        <v>3547</v>
      </c>
      <c r="Y935" t="s">
        <v>5</v>
      </c>
      <c r="Z935" s="2">
        <v>6312</v>
      </c>
      <c r="AA935" s="43" t="s">
        <v>3558</v>
      </c>
    </row>
    <row r="936" spans="1:27" x14ac:dyDescent="0.25">
      <c r="A936">
        <v>40362</v>
      </c>
      <c r="B936" t="str">
        <f>_xlfn.CONCAT(bron[[#This Row],[personeelsnr]]," ",bron[[#This Row],[achternaam]]," ",bron[[#This Row],[voornaam]])</f>
        <v>40362 Kuru Cetin</v>
      </c>
      <c r="C936" t="str">
        <f>VLOOKUP(bron[[#This Row],[personeelsnr]],'data hastus'!$A:$C,2,0)</f>
        <v>Kuru</v>
      </c>
      <c r="D936" t="str">
        <f>VLOOKUP(bron[[#This Row],[personeelsnr]],'data hastus'!$A:$C,3,0)</f>
        <v>Cetin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3754</v>
      </c>
      <c r="V936" s="37"/>
      <c r="W936" s="37"/>
      <c r="X936" t="s">
        <v>3512</v>
      </c>
      <c r="Y936" t="s">
        <v>3755</v>
      </c>
      <c r="Z936" s="2">
        <v>5935</v>
      </c>
      <c r="AA936" s="43" t="s">
        <v>3558</v>
      </c>
    </row>
    <row r="937" spans="1:27" x14ac:dyDescent="0.25">
      <c r="A937">
        <v>42143</v>
      </c>
      <c r="B937" t="str">
        <f>_xlfn.CONCAT(bron[[#This Row],[personeelsnr]]," ",bron[[#This Row],[achternaam]]," ",bron[[#This Row],[voornaam]])</f>
        <v>42143 Rahoens Christ</v>
      </c>
      <c r="C937" t="str">
        <f>VLOOKUP(bron[[#This Row],[personeelsnr]],'data hastus'!$A:$C,2,0)</f>
        <v>Rahoens</v>
      </c>
      <c r="D937" t="str">
        <f>VLOOKUP(bron[[#This Row],[personeelsnr]],'data hastus'!$A:$C,3,0)</f>
        <v>Christ</v>
      </c>
      <c r="E937" s="2" t="str">
        <f>VLOOKUP(bron[[#This Row],[personeelsnr]],'data hastus'!A:K,11,FALSE)</f>
        <v>Bart Van Der Beken</v>
      </c>
      <c r="F937" s="10"/>
      <c r="G937" s="39"/>
      <c r="H937" s="39"/>
      <c r="I937" s="39"/>
      <c r="S937" s="36">
        <f>SUM(bron[[#This Row],[Januari]:[December]])</f>
        <v>0</v>
      </c>
      <c r="T937" s="41">
        <v>45964</v>
      </c>
      <c r="U937" s="5" t="s">
        <v>3756</v>
      </c>
      <c r="V937" s="37"/>
      <c r="W937" s="37"/>
      <c r="X937" t="s">
        <v>3512</v>
      </c>
      <c r="Y937" t="str">
        <f>Y936</f>
        <v>Port Arthurlaan</v>
      </c>
      <c r="Z937" s="2">
        <v>550821</v>
      </c>
      <c r="AA937" s="43" t="s">
        <v>3631</v>
      </c>
    </row>
    <row r="938" spans="1:27" x14ac:dyDescent="0.25">
      <c r="A938">
        <v>41384</v>
      </c>
      <c r="B938" t="str">
        <f>_xlfn.CONCAT(bron[[#This Row],[personeelsnr]]," ",bron[[#This Row],[achternaam]]," ",bron[[#This Row],[voornaam]])</f>
        <v>41384 Hillaert Thimo</v>
      </c>
      <c r="C938" t="str">
        <f>VLOOKUP(bron[[#This Row],[personeelsnr]],'data hastus'!$A:$C,2,0)</f>
        <v>Hillaert</v>
      </c>
      <c r="D938" t="str">
        <f>VLOOKUP(bron[[#This Row],[personeelsnr]],'data hastus'!$A:$C,3,0)</f>
        <v>Thimo</v>
      </c>
      <c r="E938" s="2" t="str">
        <f>VLOOKUP(bron[[#This Row],[personeelsnr]],'data hastus'!A:K,11,FALSE)</f>
        <v>Christoff Rotty</v>
      </c>
      <c r="F938" s="10"/>
      <c r="G938" s="39"/>
      <c r="H938" s="39"/>
      <c r="I938" s="39"/>
      <c r="S938" s="36">
        <f>SUM(bron[[#This Row],[Januari]:[December]])</f>
        <v>0</v>
      </c>
      <c r="T938" s="41">
        <v>45962</v>
      </c>
      <c r="U938" s="5" t="s">
        <v>3757</v>
      </c>
      <c r="V938" s="37"/>
      <c r="W938" s="37"/>
      <c r="X938" t="s">
        <v>3512</v>
      </c>
      <c r="Y938" t="s">
        <v>3636</v>
      </c>
      <c r="Z938" s="2">
        <v>5916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3758</v>
      </c>
      <c r="V939" s="37"/>
      <c r="W939" s="37"/>
      <c r="X939" t="s">
        <v>3512</v>
      </c>
      <c r="Y939" t="s">
        <v>3759</v>
      </c>
      <c r="Z939" s="2">
        <v>5938</v>
      </c>
      <c r="AA939" s="43" t="s">
        <v>3558</v>
      </c>
    </row>
    <row r="940" spans="1:27" x14ac:dyDescent="0.25">
      <c r="A940">
        <v>39651</v>
      </c>
      <c r="B940" t="str">
        <f>_xlfn.CONCAT(bron[[#This Row],[personeelsnr]]," ",bron[[#This Row],[achternaam]]," ",bron[[#This Row],[voornaam]])</f>
        <v>39651 Kallenbach Sunny</v>
      </c>
      <c r="C940" t="str">
        <f>VLOOKUP(bron[[#This Row],[personeelsnr]],'data hastus'!$A:$C,2,0)</f>
        <v>Kallenbach</v>
      </c>
      <c r="D940" t="str">
        <f>VLOOKUP(bron[[#This Row],[personeelsnr]],'data hastus'!$A:$C,3,0)</f>
        <v>Sunny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3760</v>
      </c>
      <c r="V940" s="37"/>
      <c r="W940" s="37"/>
      <c r="X940" t="s">
        <v>3513</v>
      </c>
      <c r="Y940" t="s">
        <v>737</v>
      </c>
      <c r="Z940" s="2">
        <v>5263</v>
      </c>
      <c r="AA940" s="43" t="s">
        <v>3558</v>
      </c>
    </row>
    <row r="941" spans="1:27" x14ac:dyDescent="0.25">
      <c r="A941">
        <v>34328</v>
      </c>
      <c r="B941" t="str">
        <f>_xlfn.CONCAT(bron[[#This Row],[personeelsnr]]," ",bron[[#This Row],[achternaam]]," ",bron[[#This Row],[voornaam]])</f>
        <v>34328 Kerremans Jürgen</v>
      </c>
      <c r="C941" t="str">
        <f>VLOOKUP(bron[[#This Row],[personeelsnr]],'data hastus'!$A:$C,2,0)</f>
        <v>Kerremans</v>
      </c>
      <c r="D941" t="str">
        <f>VLOOKUP(bron[[#This Row],[personeelsnr]],'data hastus'!$A:$C,3,0)</f>
        <v>Jürgen</v>
      </c>
      <c r="E941" s="2" t="str">
        <f>VLOOKUP(bron[[#This Row],[personeelsnr]],'data hastus'!A:K,11,FALSE)</f>
        <v>Kenneth De Rick</v>
      </c>
      <c r="F941" s="10"/>
      <c r="G941" s="39"/>
      <c r="H941" s="39"/>
      <c r="I941" s="39"/>
      <c r="S941" s="36">
        <f>SUM(bron[[#This Row],[Januari]:[December]])</f>
        <v>0</v>
      </c>
      <c r="T941" s="41">
        <v>45959</v>
      </c>
      <c r="U941" s="5" t="s">
        <v>3761</v>
      </c>
      <c r="V941" s="37"/>
      <c r="W941" s="37"/>
      <c r="X941" t="s">
        <v>3547</v>
      </c>
      <c r="Y941" t="s">
        <v>5</v>
      </c>
      <c r="Z941" s="2">
        <v>6334</v>
      </c>
      <c r="AA941" s="43" t="s">
        <v>3558</v>
      </c>
    </row>
    <row r="942" spans="1:27" x14ac:dyDescent="0.25">
      <c r="A942">
        <v>11023</v>
      </c>
      <c r="B942" t="str">
        <f>_xlfn.CONCAT(bron[[#This Row],[personeelsnr]]," ",bron[[#This Row],[achternaam]]," ",bron[[#This Row],[voornaam]])</f>
        <v>11023 Goethals Jeffrey</v>
      </c>
      <c r="C942" t="str">
        <f>VLOOKUP(bron[[#This Row],[personeelsnr]],'data hastus'!$A:$C,2,0)</f>
        <v>Goethals</v>
      </c>
      <c r="D942" t="str">
        <f>VLOOKUP(bron[[#This Row],[personeelsnr]],'data hastus'!$A:$C,3,0)</f>
        <v>Jeffrey</v>
      </c>
      <c r="E942" s="2" t="str">
        <f>VLOOKUP(bron[[#This Row],[personeelsnr]],'data hastus'!A:K,11,FALSE)</f>
        <v>Els Vanhoe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3762</v>
      </c>
      <c r="V942" s="37"/>
      <c r="W942" s="37"/>
      <c r="X942" t="s">
        <v>3548</v>
      </c>
      <c r="Y942" t="s">
        <v>265</v>
      </c>
      <c r="Z942" s="2">
        <v>6364</v>
      </c>
      <c r="AA942" s="43" t="s">
        <v>3558</v>
      </c>
    </row>
    <row r="943" spans="1:27" x14ac:dyDescent="0.25">
      <c r="A943">
        <v>38938</v>
      </c>
      <c r="B943" t="str">
        <f>_xlfn.CONCAT(bron[[#This Row],[personeelsnr]]," ",bron[[#This Row],[achternaam]]," ",bron[[#This Row],[voornaam]])</f>
        <v>38938 Sedighi Hamid</v>
      </c>
      <c r="C943" t="str">
        <f>VLOOKUP(bron[[#This Row],[personeelsnr]],'data hastus'!$A:$C,2,0)</f>
        <v>Sedighi</v>
      </c>
      <c r="D943" t="str">
        <f>VLOOKUP(bron[[#This Row],[personeelsnr]],'data hastus'!$A:$C,3,0)</f>
        <v>Hamid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45967</v>
      </c>
      <c r="U943" s="5" t="s">
        <v>3763</v>
      </c>
      <c r="V943" s="37"/>
      <c r="W943" s="37"/>
      <c r="X943" t="s">
        <v>3547</v>
      </c>
      <c r="Y943" t="s">
        <v>169</v>
      </c>
      <c r="Z943" s="2">
        <v>6318</v>
      </c>
      <c r="AA943" s="43" t="s">
        <v>3558</v>
      </c>
    </row>
    <row r="944" spans="1:27" x14ac:dyDescent="0.25">
      <c r="A944">
        <v>14072</v>
      </c>
      <c r="B944" t="str">
        <f>_xlfn.CONCAT(bron[[#This Row],[personeelsnr]]," ",bron[[#This Row],[achternaam]]," ",bron[[#This Row],[voornaam]])</f>
        <v>14072 Vervoort Koen</v>
      </c>
      <c r="C944" t="str">
        <f>VLOOKUP(bron[[#This Row],[personeelsnr]],'data hastus'!$A:$C,2,0)</f>
        <v>Vervoort</v>
      </c>
      <c r="D944" t="str">
        <f>VLOOKUP(bron[[#This Row],[personeelsnr]],'data hastus'!$A:$C,3,0)</f>
        <v>Koen</v>
      </c>
      <c r="E944" s="2" t="str">
        <f>VLOOKUP(bron[[#This Row],[personeelsnr]],'data hastus'!A:K,11,FALSE)</f>
        <v>Lucie Vande Velde</v>
      </c>
      <c r="F944" s="10"/>
      <c r="G944" s="39"/>
      <c r="H944" s="39"/>
      <c r="I944" s="39"/>
      <c r="S944" s="36">
        <f>SUM(bron[[#This Row],[Januari]:[December]])</f>
        <v>0</v>
      </c>
      <c r="T944" s="41">
        <v>45961</v>
      </c>
      <c r="U944" s="5" t="s">
        <v>3764</v>
      </c>
      <c r="V944" s="37"/>
      <c r="W944" s="37"/>
      <c r="X944" t="s">
        <v>3548</v>
      </c>
      <c r="Y944" t="s">
        <v>10</v>
      </c>
      <c r="Z944" s="2">
        <v>6363</v>
      </c>
      <c r="AA944" s="43" t="s">
        <v>3558</v>
      </c>
    </row>
    <row r="945" spans="1:27" x14ac:dyDescent="0.25">
      <c r="A945">
        <v>40110</v>
      </c>
      <c r="B945" t="str">
        <f>_xlfn.CONCAT(bron[[#This Row],[personeelsnr]]," ",bron[[#This Row],[achternaam]]," ",bron[[#This Row],[voornaam]])</f>
        <v>40110 Vanlerberghe Sandra</v>
      </c>
      <c r="C945" t="str">
        <f>VLOOKUP(bron[[#This Row],[personeelsnr]],'data hastus'!$A:$C,2,0)</f>
        <v>Vanlerberghe</v>
      </c>
      <c r="D945" t="str">
        <f>VLOOKUP(bron[[#This Row],[personeelsnr]],'data hastus'!$A:$C,3,0)</f>
        <v>Sandra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45965</v>
      </c>
      <c r="U945" s="5" t="s">
        <v>3766</v>
      </c>
      <c r="V945" s="37"/>
      <c r="W945" s="37"/>
      <c r="X945" t="s">
        <v>3511</v>
      </c>
      <c r="Y945" t="s">
        <v>3765</v>
      </c>
      <c r="Z945" s="2">
        <v>5265</v>
      </c>
      <c r="AA945" s="43" t="s">
        <v>3558</v>
      </c>
    </row>
    <row r="946" spans="1:27" x14ac:dyDescent="0.25">
      <c r="A946">
        <v>27209</v>
      </c>
      <c r="B946" t="str">
        <f>_xlfn.CONCAT(bron[[#This Row],[personeelsnr]]," ",bron[[#This Row],[achternaam]]," ",bron[[#This Row],[voornaam]])</f>
        <v>27209 Meyvaert Steven</v>
      </c>
      <c r="C946" t="str">
        <f>VLOOKUP(bron[[#This Row],[personeelsnr]],'data hastus'!$A:$C,2,0)</f>
        <v>Meyvaert</v>
      </c>
      <c r="D946" t="str">
        <f>VLOOKUP(bron[[#This Row],[personeelsnr]],'data hastus'!$A:$C,3,0)</f>
        <v>Steven</v>
      </c>
      <c r="E946" s="2" t="str">
        <f>VLOOKUP(bron[[#This Row],[personeelsnr]],'data hastus'!A:K,11,FALSE)</f>
        <v>Els Dewulf</v>
      </c>
      <c r="F946" s="10"/>
      <c r="G946" s="39"/>
      <c r="H946" s="39"/>
      <c r="I946" s="39"/>
      <c r="S946" s="44">
        <f>SUM(bron[[#This Row],[Januari]:[December]])</f>
        <v>0</v>
      </c>
      <c r="T946" s="41">
        <v>45968</v>
      </c>
      <c r="U946" s="5" t="s">
        <v>3767</v>
      </c>
      <c r="V946" s="37"/>
      <c r="W946" s="37"/>
      <c r="X946" t="s">
        <v>3512</v>
      </c>
      <c r="Y946" t="s">
        <v>10</v>
      </c>
      <c r="Z946" s="2">
        <v>5922</v>
      </c>
      <c r="AA946" s="43" t="s">
        <v>3558</v>
      </c>
    </row>
    <row r="947" spans="1:27" x14ac:dyDescent="0.25">
      <c r="A947">
        <v>39379</v>
      </c>
      <c r="B947" t="str">
        <f>_xlfn.CONCAT(bron[[#This Row],[personeelsnr]]," ",bron[[#This Row],[achternaam]]," ",bron[[#This Row],[voornaam]])</f>
        <v>39379 Bensalah Mohammed</v>
      </c>
      <c r="C947" t="str">
        <f>VLOOKUP(bron[[#This Row],[personeelsnr]],'data hastus'!$A:$C,2,0)</f>
        <v>Bensalah</v>
      </c>
      <c r="D947" t="str">
        <f>VLOOKUP(bron[[#This Row],[personeelsnr]],'data hastus'!$A:$C,3,0)</f>
        <v>Mohammed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45966</v>
      </c>
      <c r="U947" s="5" t="s">
        <v>3768</v>
      </c>
      <c r="V947" s="37"/>
      <c r="W947" s="37"/>
      <c r="X947" t="s">
        <v>3512</v>
      </c>
      <c r="Y947" t="s">
        <v>3769</v>
      </c>
      <c r="Z947" s="2">
        <v>5933</v>
      </c>
      <c r="AA947" s="43" t="s">
        <v>3558</v>
      </c>
    </row>
    <row r="948" spans="1:27" x14ac:dyDescent="0.25">
      <c r="A948">
        <v>32620</v>
      </c>
      <c r="B948" t="str">
        <f>_xlfn.CONCAT(bron[[#This Row],[personeelsnr]]," ",bron[[#This Row],[achternaam]]," ",bron[[#This Row],[voornaam]])</f>
        <v>32620 Saey Elias</v>
      </c>
      <c r="C948" t="str">
        <f>VLOOKUP(bron[[#This Row],[personeelsnr]],'data hastus'!$A:$C,2,0)</f>
        <v>Saey</v>
      </c>
      <c r="D948" t="str">
        <f>VLOOKUP(bron[[#This Row],[personeelsnr]],'data hastus'!$A:$C,3,0)</f>
        <v>Elias</v>
      </c>
      <c r="E948" s="2" t="str">
        <f>VLOOKUP(bron[[#This Row],[personeelsnr]],'data hastus'!A:K,11,FALSE)</f>
        <v>Els Vanhoe</v>
      </c>
      <c r="F948" s="10"/>
      <c r="G948" s="39"/>
      <c r="H948" s="39"/>
      <c r="I948" s="39"/>
      <c r="S948" s="44">
        <f>SUM(bron[[#This Row],[Januari]:[December]])</f>
        <v>0</v>
      </c>
      <c r="T948" s="41">
        <v>45973</v>
      </c>
      <c r="U948" s="5" t="s">
        <v>3770</v>
      </c>
      <c r="V948" s="37"/>
      <c r="W948" s="37"/>
      <c r="X948" t="s">
        <v>3513</v>
      </c>
      <c r="Y948" t="s">
        <v>3771</v>
      </c>
      <c r="Z948" s="2">
        <v>5047</v>
      </c>
      <c r="AA948" s="43" t="s">
        <v>3559</v>
      </c>
    </row>
    <row r="949" spans="1:27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2:23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2:23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2:23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2:23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2:23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2:23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</sheetData>
  <sheetProtection sort="0" autoFilter="0"/>
  <phoneticPr fontId="1" type="noConversion"/>
  <conditionalFormatting sqref="F2:F96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30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2025-11-13T06:57:46Z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