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58" documentId="13_ncr:1_{10FCACA5-8197-478D-90D3-5F83063FB753}" xr6:coauthVersionLast="47" xr6:coauthVersionMax="47" xr10:uidLastSave="{D73C6B65-FDF4-4454-BB6E-5716F2B3A23F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5" i="1" l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C966" i="1"/>
  <c r="D966" i="1"/>
  <c r="E966" i="1"/>
  <c r="S966" i="1"/>
  <c r="C965" i="1"/>
  <c r="D965" i="1"/>
  <c r="E965" i="1"/>
  <c r="S965" i="1"/>
  <c r="C964" i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D960" i="1"/>
  <c r="E960" i="1"/>
  <c r="S960" i="1"/>
  <c r="C959" i="1"/>
  <c r="D959" i="1"/>
  <c r="E959" i="1"/>
  <c r="S959" i="1"/>
  <c r="C958" i="1"/>
  <c r="D958" i="1"/>
  <c r="E958" i="1"/>
  <c r="S958" i="1"/>
  <c r="C957" i="1"/>
  <c r="D957" i="1"/>
  <c r="E957" i="1"/>
  <c r="S957" i="1"/>
  <c r="C956" i="1"/>
  <c r="D956" i="1"/>
  <c r="E956" i="1"/>
  <c r="S956" i="1"/>
  <c r="C955" i="1"/>
  <c r="D955" i="1"/>
  <c r="E955" i="1"/>
  <c r="S955" i="1"/>
  <c r="C954" i="1"/>
  <c r="D954" i="1"/>
  <c r="E954" i="1"/>
  <c r="S954" i="1"/>
  <c r="C953" i="1"/>
  <c r="D953" i="1"/>
  <c r="E953" i="1"/>
  <c r="S953" i="1"/>
  <c r="C952" i="1"/>
  <c r="D952" i="1"/>
  <c r="E952" i="1"/>
  <c r="S952" i="1"/>
  <c r="C951" i="1"/>
  <c r="D951" i="1"/>
  <c r="E951" i="1"/>
  <c r="S951" i="1"/>
  <c r="C950" i="1"/>
  <c r="D950" i="1"/>
  <c r="E950" i="1"/>
  <c r="S950" i="1"/>
  <c r="C949" i="1"/>
  <c r="D949" i="1"/>
  <c r="E949" i="1"/>
  <c r="S949" i="1"/>
  <c r="C948" i="1"/>
  <c r="B948" i="1" s="1"/>
  <c r="D948" i="1"/>
  <c r="E948" i="1"/>
  <c r="S948" i="1"/>
  <c r="C947" i="1"/>
  <c r="B947" i="1" s="1"/>
  <c r="D947" i="1"/>
  <c r="E947" i="1"/>
  <c r="S947" i="1"/>
  <c r="C946" i="1"/>
  <c r="B946" i="1" s="1"/>
  <c r="D946" i="1"/>
  <c r="E946" i="1"/>
  <c r="S946" i="1"/>
  <c r="C945" i="1"/>
  <c r="D945" i="1"/>
  <c r="E945" i="1"/>
  <c r="S945" i="1"/>
  <c r="Y937" i="1" l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B941" i="1" s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2" i="1" l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<sst xmlns="http://schemas.openxmlformats.org/spreadsheetml/2006/main" count="8805" uniqueCount="3772">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</sst>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11</v>
          </cell>
          <cell r="B8" t="str">
            <v>Lucie Vande Velde</v>
          </cell>
          <cell r="D8">
            <v>29</v>
          </cell>
        </row>
        <row r="9">
          <cell r="A9">
            <v>11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10">
  <autoFilter ref="A1:AA96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49" sqref="A94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x14ac:dyDescent="0.25">
      <c r="A946">
        <v>27209</v>
      </c>
      <c r="B946" t="str">
        <f>_xlfn.CONCAT(bron[[#This Row],[personeelsnr]]," ",bron[[#This Row],[achternaam]]," ",bron[[#This Row],[voornaam]])</f>
        <v>27209 Meyvaert Steven</v>
      </c>
      <c r="C946" t="str">
        <f>VLOOKUP(bron[[#This Row],[personeelsnr]],'data hastus'!$A:$C,2,0)</f>
        <v>Meyvaert</v>
      </c>
      <c r="D946" t="str">
        <f>VLOOKUP(bron[[#This Row],[personeelsnr]],'data hastus'!$A:$C,3,0)</f>
        <v>Steven</v>
      </c>
      <c r="E946" s="2" t="str">
        <f>VLOOKUP(bron[[#This Row],[personeelsnr]],'data hastus'!A:K,11,FALSE)</f>
        <v>Els Dewulf</v>
      </c>
      <c r="F946" s="10"/>
      <c r="G946" s="39"/>
      <c r="H946" s="39"/>
      <c r="I946" s="39"/>
      <c r="S946" s="44">
        <f>SUM(bron[[#This Row],[Januari]:[December]])</f>
        <v>0</v>
      </c>
      <c r="T946" s="41">
        <v>45968</v>
      </c>
      <c r="U946" s="5" t="s">
        <v>3767</v>
      </c>
      <c r="V946" s="37"/>
      <c r="W946" s="37"/>
      <c r="X946" t="s">
        <v>3512</v>
      </c>
      <c r="Y946" t="s">
        <v>10</v>
      </c>
      <c r="Z946" s="2">
        <v>5922</v>
      </c>
      <c r="AA946" s="43" t="s">
        <v>3558</v>
      </c>
    </row>
    <row r="947" spans="1:27" x14ac:dyDescent="0.25">
      <c r="A947">
        <v>39379</v>
      </c>
      <c r="B947" t="str">
        <f>_xlfn.CONCAT(bron[[#This Row],[personeelsnr]]," ",bron[[#This Row],[achternaam]]," ",bron[[#This Row],[voornaam]])</f>
        <v>39379 Bensalah Mohammed</v>
      </c>
      <c r="C947" t="str">
        <f>VLOOKUP(bron[[#This Row],[personeelsnr]],'data hastus'!$A:$C,2,0)</f>
        <v>Bensalah</v>
      </c>
      <c r="D947" t="str">
        <f>VLOOKUP(bron[[#This Row],[personeelsnr]],'data hastus'!$A:$C,3,0)</f>
        <v>Mohammed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45966</v>
      </c>
      <c r="U947" s="5" t="s">
        <v>3768</v>
      </c>
      <c r="V947" s="37"/>
      <c r="W947" s="37"/>
      <c r="X947" t="s">
        <v>3512</v>
      </c>
      <c r="Y947" t="s">
        <v>3769</v>
      </c>
      <c r="Z947" s="2">
        <v>5933</v>
      </c>
      <c r="AA947" s="43" t="s">
        <v>3558</v>
      </c>
    </row>
    <row r="948" spans="1:27" x14ac:dyDescent="0.25">
      <c r="A948">
        <v>32620</v>
      </c>
      <c r="B948" t="str">
        <f>_xlfn.CONCAT(bron[[#This Row],[personeelsnr]]," ",bron[[#This Row],[achternaam]]," ",bron[[#This Row],[voornaam]])</f>
        <v>32620 Saey Elias</v>
      </c>
      <c r="C948" t="str">
        <f>VLOOKUP(bron[[#This Row],[personeelsnr]],'data hastus'!$A:$C,2,0)</f>
        <v>Saey</v>
      </c>
      <c r="D948" t="str">
        <f>VLOOKUP(bron[[#This Row],[personeelsnr]],'data hastus'!$A:$C,3,0)</f>
        <v>Elias</v>
      </c>
      <c r="E948" s="2" t="str">
        <f>VLOOKUP(bron[[#This Row],[personeelsnr]],'data hastus'!A:K,11,FALSE)</f>
        <v>Els Vanhoe</v>
      </c>
      <c r="F948" s="10"/>
      <c r="G948" s="39"/>
      <c r="H948" s="39"/>
      <c r="I948" s="39"/>
      <c r="S948" s="44">
        <f>SUM(bron[[#This Row],[Januari]:[December]])</f>
        <v>0</v>
      </c>
      <c r="T948" s="41">
        <v>45973</v>
      </c>
      <c r="U948" s="5" t="s">
        <v>3770</v>
      </c>
      <c r="V948" s="37"/>
      <c r="W948" s="37"/>
      <c r="X948" t="s">
        <v>3513</v>
      </c>
      <c r="Y948" t="s">
        <v>3771</v>
      </c>
      <c r="Z948" s="2">
        <v>5047</v>
      </c>
      <c r="AA948" s="43" t="s">
        <v>3559</v>
      </c>
    </row>
    <row r="949" spans="1:27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2025-11-13T08:07:44Z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