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103" documentId="13_ncr:1_{BC833B0D-2F54-40DF-A6AF-902741D0EBA0}" xr6:coauthVersionLast="47" xr6:coauthVersionMax="47" xr10:uidLastSave="{B5215076-65CE-46B8-8A11-6EAC30640D84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72" i="1" l="1"/>
  <c r="C872" i="1"/>
  <c r="D872" i="1"/>
  <c r="E872" i="1"/>
  <c r="S872" i="1"/>
  <c r="C871" i="1"/>
  <c r="B871" i="1" s="1"/>
  <c r="D871" i="1"/>
  <c r="E871" i="1"/>
  <c r="S871" i="1"/>
  <c r="C870" i="1"/>
  <c r="B870" i="1" s="1"/>
  <c r="D870" i="1"/>
  <c r="E870" i="1"/>
  <c r="S870" i="1"/>
  <c r="C869" i="1"/>
  <c r="B869" i="1" s="1"/>
  <c r="D869" i="1"/>
  <c r="E869" i="1"/>
  <c r="S869" i="1"/>
  <c r="C868" i="1"/>
  <c r="B868" i="1" s="1"/>
  <c r="D868" i="1"/>
  <c r="E868" i="1"/>
  <c r="S868" i="1"/>
  <c r="C867" i="1"/>
  <c r="B867" i="1" s="1"/>
  <c r="D867" i="1"/>
  <c r="E867" i="1"/>
  <c r="S867" i="1"/>
  <c r="C866" i="1"/>
  <c r="B866" i="1" s="1"/>
  <c r="D866" i="1"/>
  <c r="E866" i="1"/>
  <c r="S866" i="1"/>
  <c r="E864" i="1"/>
  <c r="E865" i="1"/>
  <c r="C865" i="1"/>
  <c r="D865" i="1"/>
  <c r="S865" i="1"/>
  <c r="C864" i="1"/>
  <c r="D864" i="1"/>
  <c r="S864" i="1"/>
  <c r="C863" i="1"/>
  <c r="D863" i="1"/>
  <c r="E863" i="1"/>
  <c r="S863" i="1"/>
  <c r="C862" i="1"/>
  <c r="D862" i="1"/>
  <c r="E862" i="1"/>
  <c r="S862" i="1"/>
  <c r="C861" i="1"/>
  <c r="D861" i="1"/>
  <c r="E861" i="1"/>
  <c r="S861" i="1"/>
  <c r="C860" i="1"/>
  <c r="D860" i="1"/>
  <c r="E860" i="1"/>
  <c r="S860" i="1"/>
  <c r="B865" i="1" l="1"/>
  <c r="B863" i="1"/>
  <c r="B864" i="1"/>
  <c r="B862" i="1"/>
  <c r="B861" i="1"/>
  <c r="B860" i="1"/>
  <c r="C859" i="1"/>
  <c r="D859" i="1"/>
  <c r="E859" i="1"/>
  <c r="S859" i="1"/>
  <c r="B859" i="1" l="1"/>
  <c r="C824" i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681" i="1" l="1"/>
  <c r="B857" i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<sst xmlns="http://schemas.openxmlformats.org/spreadsheetml/2006/main" count="7881" uniqueCount="3631">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</sst>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  <xf numFmtId="0" fontId="0" fillId="0" borderId="0" xfId="0" applyNumberFormat="1" applyAlignment="1">
      <alignment horizontal="center"/>
    </xf>
  </cellXfs>
  <cellStyles count="2">
    <cellStyle name="Hyperlink" xfId="1" builtinId="8"/>
    <cellStyle name="Standaard" xfId="0" builtinId="0"/>
  </cellStyles>
  <dxfs count="65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13</v>
          </cell>
          <cell r="B5" t="str">
            <v>Els Vanhoe</v>
          </cell>
          <cell r="D5">
            <v>17</v>
          </cell>
        </row>
        <row r="6">
          <cell r="A6">
            <v>13</v>
          </cell>
          <cell r="B6" t="str">
            <v>Dominique De Clercq</v>
          </cell>
          <cell r="D6">
            <v>27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4">
      <pivotArea dataOnly="0" labelOnly="1" fieldPosition="0">
        <references count="1">
          <reference field="1" count="1">
            <x v="511"/>
          </reference>
        </references>
      </pivotArea>
    </format>
    <format dxfId="63">
      <pivotArea dataOnly="0" labelOnly="1" fieldPosition="0">
        <references count="1">
          <reference field="1" count="1">
            <x v="473"/>
          </reference>
        </references>
      </pivotArea>
    </format>
    <format dxfId="62">
      <pivotArea dataOnly="0" labelOnly="1" fieldPosition="0">
        <references count="1">
          <reference field="1" count="1">
            <x v="497"/>
          </reference>
        </references>
      </pivotArea>
    </format>
    <format dxfId="61">
      <pivotArea dataOnly="0" labelOnly="1" fieldPosition="0">
        <references count="1">
          <reference field="1" count="1">
            <x v="512"/>
          </reference>
        </references>
      </pivotArea>
    </format>
    <format dxfId="60">
      <pivotArea dataOnly="0" labelOnly="1" fieldPosition="0">
        <references count="1">
          <reference field="1" count="1">
            <x v="504"/>
          </reference>
        </references>
      </pivotArea>
    </format>
    <format dxfId="59">
      <pivotArea dataOnly="0" labelOnly="1" fieldPosition="0">
        <references count="1">
          <reference field="1" count="1">
            <x v="90"/>
          </reference>
        </references>
      </pivotArea>
    </format>
    <format dxfId="58">
      <pivotArea dataOnly="0" labelOnly="1" fieldPosition="0">
        <references count="1">
          <reference field="1" count="1">
            <x v="280"/>
          </reference>
        </references>
      </pivotArea>
    </format>
    <format dxfId="57">
      <pivotArea dataOnly="0" labelOnly="1" fieldPosition="0">
        <references count="1">
          <reference field="1" count="1">
            <x v="514"/>
          </reference>
        </references>
      </pivotArea>
    </format>
    <format dxfId="56">
      <pivotArea dataOnly="0" labelOnly="1" fieldPosition="0">
        <references count="1">
          <reference field="1" count="1">
            <x v="478"/>
          </reference>
        </references>
      </pivotArea>
    </format>
    <format dxfId="55">
      <pivotArea dataOnly="0" labelOnly="1" fieldPosition="0">
        <references count="1">
          <reference field="1" count="1">
            <x v="510"/>
          </reference>
        </references>
      </pivotArea>
    </format>
    <format dxfId="54">
      <pivotArea dataOnly="0" labelOnly="1" fieldPosition="0">
        <references count="1">
          <reference field="1" count="1">
            <x v="481"/>
          </reference>
        </references>
      </pivotArea>
    </format>
    <format dxfId="53">
      <pivotArea dataOnly="0" labelOnly="1" fieldPosition="0">
        <references count="1">
          <reference field="1" count="1">
            <x v="435"/>
          </reference>
        </references>
      </pivotArea>
    </format>
    <format dxfId="52">
      <pivotArea dataOnly="0" labelOnly="1" fieldPosition="0">
        <references count="1">
          <reference field="1" count="1">
            <x v="112"/>
          </reference>
        </references>
      </pivotArea>
    </format>
    <format dxfId="51">
      <pivotArea dataOnly="0" labelOnly="1" fieldPosition="0">
        <references count="1">
          <reference field="1" count="1">
            <x v="157"/>
          </reference>
        </references>
      </pivotArea>
    </format>
    <format dxfId="50">
      <pivotArea dataOnly="0" labelOnly="1" fieldPosition="0">
        <references count="1">
          <reference field="1" count="1">
            <x v="490"/>
          </reference>
        </references>
      </pivotArea>
    </format>
    <format dxfId="49">
      <pivotArea dataOnly="0" labelOnly="1" fieldPosition="0">
        <references count="1">
          <reference field="1" count="1">
            <x v="506"/>
          </reference>
        </references>
      </pivotArea>
    </format>
    <format dxfId="48">
      <pivotArea dataOnly="0" labelOnly="1" fieldPosition="0">
        <references count="1">
          <reference field="1" count="1">
            <x v="520"/>
          </reference>
        </references>
      </pivotArea>
    </format>
    <format dxfId="47">
      <pivotArea dataOnly="0" labelOnly="1" fieldPosition="0">
        <references count="1">
          <reference field="1" count="1">
            <x v="250"/>
          </reference>
        </references>
      </pivotArea>
    </format>
    <format dxfId="46">
      <pivotArea dataOnly="0" labelOnly="1" fieldPosition="0">
        <references count="1">
          <reference field="1" count="1">
            <x v="432"/>
          </reference>
        </references>
      </pivotArea>
    </format>
    <format dxfId="45">
      <pivotArea dataOnly="0" labelOnly="1" fieldPosition="0">
        <references count="1">
          <reference field="1" count="1">
            <x v="440"/>
          </reference>
        </references>
      </pivotArea>
    </format>
    <format dxfId="44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3">
      <pivotArea dataOnly="0" labelOnly="1" fieldPosition="0">
        <references count="1">
          <reference field="1" count="1">
            <x v="348"/>
          </reference>
        </references>
      </pivotArea>
    </format>
    <format dxfId="42">
      <pivotArea dataOnly="0" labelOnly="1" fieldPosition="0">
        <references count="1">
          <reference field="1" count="1">
            <x v="355"/>
          </reference>
        </references>
      </pivotArea>
    </format>
    <format dxfId="41">
      <pivotArea dataOnly="0" labelOnly="1" fieldPosition="0">
        <references count="1">
          <reference field="1" count="1">
            <x v="498"/>
          </reference>
        </references>
      </pivotArea>
    </format>
    <format dxfId="40">
      <pivotArea dataOnly="0" labelOnly="1" fieldPosition="0">
        <references count="1">
          <reference field="1" count="1">
            <x v="508"/>
          </reference>
        </references>
      </pivotArea>
    </format>
    <format dxfId="39">
      <pivotArea dataOnly="0" labelOnly="1" fieldPosition="0">
        <references count="1">
          <reference field="1" count="1">
            <x v="397"/>
          </reference>
        </references>
      </pivotArea>
    </format>
    <format dxfId="38">
      <pivotArea dataOnly="0" labelOnly="1" fieldPosition="0">
        <references count="1">
          <reference field="1" count="1">
            <x v="513"/>
          </reference>
        </references>
      </pivotArea>
    </format>
    <format dxfId="37">
      <pivotArea dataOnly="0" labelOnly="1" fieldPosition="0">
        <references count="1">
          <reference field="1" count="1">
            <x v="412"/>
          </reference>
        </references>
      </pivotArea>
    </format>
    <format dxfId="36">
      <pivotArea dataOnly="0" labelOnly="1" fieldPosition="0">
        <references count="1">
          <reference field="1" count="1">
            <x v="507"/>
          </reference>
        </references>
      </pivotArea>
    </format>
    <format dxfId="35">
      <pivotArea dataOnly="0" labelOnly="1" fieldPosition="0">
        <references count="1">
          <reference field="1" count="1">
            <x v="507"/>
          </reference>
        </references>
      </pivotArea>
    </format>
    <format dxfId="34">
      <pivotArea dataOnly="0" labelOnly="1" fieldPosition="0">
        <references count="1">
          <reference field="1" count="1">
            <x v="342"/>
          </reference>
        </references>
      </pivotArea>
    </format>
    <format dxfId="33">
      <pivotArea dataOnly="0" labelOnly="1" fieldPosition="0">
        <references count="1">
          <reference field="1" count="1">
            <x v="501"/>
          </reference>
        </references>
      </pivotArea>
    </format>
    <format dxfId="32">
      <pivotArea dataOnly="0" labelOnly="1" fieldPosition="0">
        <references count="1">
          <reference field="1" count="1">
            <x v="351"/>
          </reference>
        </references>
      </pivotArea>
    </format>
    <format dxfId="31">
      <pivotArea dataOnly="0" labelOnly="1" fieldPosition="0">
        <references count="1">
          <reference field="1" count="1">
            <x v="156"/>
          </reference>
        </references>
      </pivotArea>
    </format>
    <format dxfId="30">
      <pivotArea dataOnly="0" labelOnly="1" fieldPosition="0">
        <references count="1">
          <reference field="1" count="1">
            <x v="358"/>
          </reference>
        </references>
      </pivotArea>
    </format>
    <format dxfId="29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8">
      <pivotArea dataOnly="0" labelOnly="1" fieldPosition="0">
        <references count="1">
          <reference field="1" count="1">
            <x v="438"/>
          </reference>
        </references>
      </pivotArea>
    </format>
    <format dxfId="27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6">
      <pivotArea dataOnly="0" labelOnly="1" fieldPosition="0">
        <references count="1">
          <reference field="1" count="1">
            <x v="309"/>
          </reference>
        </references>
      </pivotArea>
    </format>
    <format dxfId="25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4">
      <pivotArea dataOnly="0" labelOnly="1" fieldPosition="0">
        <references count="1">
          <reference field="1" count="1">
            <x v="374"/>
          </reference>
        </references>
      </pivotArea>
    </format>
    <format dxfId="23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22">
      <pivotArea dataOnly="0" labelOnly="1" fieldPosition="0">
        <references count="1">
          <reference field="1" count="1">
            <x v="407"/>
          </reference>
        </references>
      </pivotArea>
    </format>
    <format dxfId="21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9"/>
    <tableColumn id="5" xr3:uid="{DF37AD45-FC5C-478A-989D-9143E744CEEA}" name="voornaam" dataDxfId="18">
      <calculatedColumnFormula>VLOOKUP(Tabel2[[#This Row],[nr]],'data hastus'!A:C,3,FALSE)</calculatedColumnFormula>
    </tableColumn>
    <tableColumn id="6" xr3:uid="{4098FAFB-9B09-4A81-8B22-18CC90B5F979}" name="achternaam" dataDxfId="1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72" totalsRowShown="0" headerRowDxfId="13">
  <autoFilter ref="A1:AA872" xr:uid="{2FDE3AF6-1CE1-4F38-BD72-1F03CD30F4FC}">
    <filterColumn colId="19">
      <filters blank="1">
        <dateGroupItem year="2025" dateTimeGrouping="year"/>
      </filters>
    </filterColumn>
    <filterColumn colId="25">
      <filters>
        <filter val="5263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12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1"/>
    <tableColumn id="11" xr3:uid="{97ECF1D5-48DC-4487-B3C2-17232CC8E19E}" name="Januari" dataDxfId="10"/>
    <tableColumn id="12" xr3:uid="{7B2FF520-A575-45C0-BB5A-19B87DDB4EA0}" name="Februari" dataDxfId="9"/>
    <tableColumn id="13" xr3:uid="{4E6C30D1-FB72-4AB2-900F-14A3D53F34DE}" name="Maart" dataDxfId="8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7">
      <calculatedColumnFormula>SUM(bron[[#This Row],[Januari]:[December]])</calculatedColumnFormula>
    </tableColumn>
    <tableColumn id="10" xr3:uid="{8D9646BD-38B6-4F4D-9859-B3933369346B}" name="Datum" dataDxfId="6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13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88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2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72"/>
  <sheetViews>
    <sheetView tabSelected="1" zoomScale="85" zoomScaleNormal="85" workbookViewId="0">
      <pane ySplit="1" topLeftCell="A538" activePane="bottomLeft" state="frozen"/>
      <selection activeCell="F1" sqref="F1"/>
      <selection pane="bottomLeft" activeCell="AA872" sqref="AA872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3556</v>
      </c>
      <c r="AA1" s="39" t="s">
        <v>3560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AA17"/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AA18"/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AA19"/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AA20"/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AA21"/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AA22"/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AA23"/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AA24"/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AA25"/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AA26"/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AA27"/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AA28"/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AA29"/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AA30"/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AA31"/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AA32"/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AA33"/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AA34"/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AA35"/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AA36"/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AA37"/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AA38"/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AA39"/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AA40"/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AA41"/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AA42"/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AA43"/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AA44"/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AA45"/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AA46"/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AA47"/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AA48"/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AA49"/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AA50"/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AA51"/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AA52"/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AA53"/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AA54"/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AA55"/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AA56"/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AA57"/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AA58"/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AA59"/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AA60"/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AA61"/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AA62"/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AA63"/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AA64"/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AA65"/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AA66"/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AA67"/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AA68"/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AA69"/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AA70"/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AA71"/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AA72"/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AA73"/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AA74"/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AA75"/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AA76"/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AA77"/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AA78"/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AA79"/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AA80"/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AA81"/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AA82"/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AA83"/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AA84"/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AA85"/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AA86"/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AA87"/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AA88"/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AA89"/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AA90"/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AA91"/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AA92"/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AA93"/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AA94"/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AA95"/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AA96"/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AA97"/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AA98"/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AA99"/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AA100"/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AA101"/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AA102"/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AA103"/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AA104"/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AA105"/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AA106"/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AA107"/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AA108"/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AA109"/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AA110"/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AA111"/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AA112"/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AA113"/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AA114"/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AA115"/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AA116"/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AA117"/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AA118"/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AA119"/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AA120"/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AA121"/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AA122"/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AA123"/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AA124"/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AA125"/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AA126"/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AA127"/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AA128"/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AA129"/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AA130"/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AA131"/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AA132"/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AA133"/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AA134"/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AA135"/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AA136"/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AA137"/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AA138"/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AA139"/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AA140"/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AA141"/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AA142"/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AA143"/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AA144"/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AA145"/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AA146"/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AA147"/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AA148"/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AA149"/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AA150"/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AA151"/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AA152"/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AA153"/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AA154"/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AA155"/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AA156"/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AA157"/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AA158"/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AA159"/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AA160"/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AA161"/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AA162"/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AA163"/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AA164"/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AA165"/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AA166"/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AA167"/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AA168"/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AA169"/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AA170"/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AA171"/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AA172"/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AA173"/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AA174"/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AA175"/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AA176"/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AA177"/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AA178"/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AA179"/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AA180"/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AA181"/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AA182"/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AA183"/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AA184"/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AA185"/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AA186"/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AA187"/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AA188"/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AA189"/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AA190"/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AA191"/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AA192"/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AA193"/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AA194"/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AA195"/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AA196"/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AA197"/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AA198"/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AA199"/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AA200"/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AA201"/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AA202"/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AA203"/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AA204"/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AA205"/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AA206"/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AA207"/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AA208"/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AA209"/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AA210"/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AA211"/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AA212"/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AA213"/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AA214"/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AA215"/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AA216"/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AA217"/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AA218"/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AA219"/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AA220"/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AA221"/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AA222"/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AA223"/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AA224"/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AA225"/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AA226"/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AA227"/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AA228"/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AA229"/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AA230"/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AA231"/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AA232"/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AA233"/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AA234"/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AA235"/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AA236"/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AA237"/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AA238"/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AA239"/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AA240"/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AA241"/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AA242"/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AA243"/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AA244"/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AA245"/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AA246"/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AA247"/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AA248"/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AA249"/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AA250"/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AA251"/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AA252"/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AA253"/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AA254"/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AA255"/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AA256"/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AA257"/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AA258"/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AA259"/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AA260"/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AA261"/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AA262"/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AA263"/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AA264"/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AA265"/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AA266"/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AA267"/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AA268"/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AA269"/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AA270"/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AA271"/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AA272"/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AA273"/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AA274"/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AA275"/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AA276"/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AA277"/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AA278"/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AA279"/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AA280"/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AA281"/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AA282"/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AA283"/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AA284"/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AA285"/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AA286"/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AA287"/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AA288"/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AA289"/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AA290"/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AA291"/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AA292"/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AA293"/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AA294"/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AA295"/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AA296"/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AA297"/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AA298"/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AA299"/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AA300"/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AA301"/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AA302"/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AA303"/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AA304"/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AA305"/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AA306"/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AA307"/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AA308"/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AA309"/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AA310"/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AA311"/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AA312"/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AA313"/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AA314"/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AA315"/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AA316"/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AA317"/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AA318"/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AA319"/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AA320"/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AA321"/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AA322"/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AA323"/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AA324"/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AA325"/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AA326"/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AA327"/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AA328"/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AA329"/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AA330"/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AA331"/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AA332"/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AA333"/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AA334"/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AA335"/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AA336"/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AA337"/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AA338"/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AA339"/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AA340"/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AA341"/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AA342"/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AA343"/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AA344"/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AA345"/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AA346"/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AA347"/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AA348"/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AA349"/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AA350"/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AA351"/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AA352"/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AA353"/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AA354"/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AA355"/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AA356"/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AA357"/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AA358"/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AA359"/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AA360"/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AA361"/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AA362"/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AA363"/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AA364"/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AA365"/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AA366"/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AA367"/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AA368"/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AA369"/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AA370"/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AA371"/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AA372"/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AA373"/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AA374"/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AA375"/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AA376"/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AA377"/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AA378"/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AA379"/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AA380"/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AA381"/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AA382"/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AA383"/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AA384"/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AA385"/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AA386"/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AA387"/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AA388"/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AA389"/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AA390"/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AA391"/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AA392"/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AA393"/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AA394"/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AA395"/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AA396"/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AA397"/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AA398"/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AA399"/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AA400"/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AA401"/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AA402"/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AA403"/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AA404"/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AA405"/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AA406"/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AA407"/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AA408"/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AA409"/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AA410"/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AA411"/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AA412"/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AA413"/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AA414"/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AA415"/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AA416"/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AA417"/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AA418"/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AA419"/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AA420"/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AA421"/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AA422"/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AA423"/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AA424"/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AA425"/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AA426"/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AA427"/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AA428"/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AA429"/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AA430"/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AA431"/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AA432"/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AA433"/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AA434"/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AA435"/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AA436"/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AA437"/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AA438"/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AA439"/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AA440"/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AA441"/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AA442"/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AA443"/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AA444"/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AA445"/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AA446"/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AA447"/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AA448"/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AA449"/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AA450"/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AA451"/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AA452"/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AA453"/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AA454"/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AA455"/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AA456"/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AA457"/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AA458"/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AA459"/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AA460"/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AA461"/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AA462"/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AA463"/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AA464"/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AA465"/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AA466"/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AA467"/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AA468"/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AA469"/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AA470"/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AA471"/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AA472"/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AA473"/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AA474"/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AA475"/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AA476"/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AA477"/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AA478"/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AA479"/>
    </row>
    <row r="480" spans="1:27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  <c r="AA480"/>
    </row>
    <row r="481" spans="1:27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  <c r="AA481"/>
    </row>
    <row r="482" spans="1:27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  <c r="AA482"/>
    </row>
    <row r="483" spans="1:27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  <c r="AA483"/>
    </row>
    <row r="484" spans="1:27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  <c r="AA484"/>
    </row>
    <row r="485" spans="1:27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  <c r="AA485"/>
    </row>
    <row r="486" spans="1:27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  <c r="AA486"/>
    </row>
    <row r="487" spans="1:27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  <c r="AA487"/>
    </row>
    <row r="488" spans="1:27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  <c r="AA488"/>
    </row>
    <row r="489" spans="1:27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  <c r="AA489"/>
    </row>
    <row r="490" spans="1:27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  <c r="AA490"/>
    </row>
    <row r="491" spans="1:27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  <c r="AA491"/>
    </row>
    <row r="492" spans="1:27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  <c r="AA492"/>
    </row>
    <row r="493" spans="1:27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  <c r="AA493"/>
    </row>
    <row r="494" spans="1:27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  <c r="AA494"/>
    </row>
    <row r="495" spans="1:27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  <c r="AA495"/>
    </row>
    <row r="496" spans="1:27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  <c r="AA496"/>
    </row>
    <row r="497" spans="1:27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  <c r="AA497"/>
    </row>
    <row r="498" spans="1:27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  <c r="AA498"/>
    </row>
    <row r="499" spans="1:27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  <c r="AA499"/>
    </row>
    <row r="500" spans="1:27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  <c r="AA500"/>
    </row>
    <row r="501" spans="1:27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  <c r="AA501"/>
    </row>
    <row r="502" spans="1:27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  <c r="AA502"/>
    </row>
    <row r="503" spans="1:27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  <c r="AA503"/>
    </row>
    <row r="504" spans="1:27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  <c r="AA504"/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  <c r="AA505"/>
    </row>
    <row r="506" spans="1:27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  <c r="AA506"/>
    </row>
    <row r="507" spans="1:27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  <c r="AA507"/>
    </row>
    <row r="508" spans="1:27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  <c r="AA508"/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  <c r="AA509"/>
    </row>
    <row r="510" spans="1:27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  <c r="AA510"/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  <c r="AA511"/>
    </row>
    <row r="512" spans="1:27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  <c r="AA512"/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3513</v>
      </c>
      <c r="Y514" t="s">
        <v>1334</v>
      </c>
      <c r="Z514">
        <v>2193</v>
      </c>
      <c r="AA514" s="39" t="s">
        <v>3562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3513</v>
      </c>
      <c r="Y515" t="s">
        <v>227</v>
      </c>
      <c r="Z515">
        <v>2195</v>
      </c>
      <c r="AA515" s="39" t="s">
        <v>3561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3513</v>
      </c>
      <c r="Y516" t="s">
        <v>10</v>
      </c>
      <c r="Z516">
        <v>2195</v>
      </c>
      <c r="AA516" s="39" t="s">
        <v>3561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3513</v>
      </c>
      <c r="Y517" t="s">
        <v>34</v>
      </c>
      <c r="Z517">
        <v>2208</v>
      </c>
      <c r="AA517" s="39" t="s">
        <v>3561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3513</v>
      </c>
      <c r="Y518" t="s">
        <v>195</v>
      </c>
      <c r="Z518">
        <v>5046</v>
      </c>
      <c r="AA518" t="s">
        <v>3561</v>
      </c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3514</v>
      </c>
      <c r="Y519" t="s">
        <v>191</v>
      </c>
      <c r="Z519">
        <v>5772</v>
      </c>
      <c r="AA519" s="39" t="s">
        <v>3561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3513</v>
      </c>
      <c r="Y520" t="s">
        <v>193</v>
      </c>
      <c r="Z520">
        <v>5240</v>
      </c>
      <c r="AA520" s="39" t="s">
        <v>3561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3514</v>
      </c>
      <c r="Y521" t="s">
        <v>94</v>
      </c>
      <c r="Z521">
        <v>5488</v>
      </c>
      <c r="AA521" s="39" t="s">
        <v>3561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3513</v>
      </c>
      <c r="Y522" t="s">
        <v>285</v>
      </c>
      <c r="Z522">
        <v>5039</v>
      </c>
      <c r="AA522" s="39" t="s">
        <v>3561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3550</v>
      </c>
      <c r="Y523" t="s">
        <v>5</v>
      </c>
      <c r="Z523">
        <v>6373</v>
      </c>
      <c r="AA523" s="39" t="s">
        <v>3561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3513</v>
      </c>
      <c r="Y524" t="s">
        <v>123</v>
      </c>
      <c r="Z524">
        <v>5233</v>
      </c>
      <c r="AA524" t="s">
        <v>3561</v>
      </c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3549</v>
      </c>
      <c r="Y525" t="s">
        <v>5</v>
      </c>
      <c r="Z525">
        <v>6364</v>
      </c>
      <c r="AA525" s="39" t="s">
        <v>3561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3561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3562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3498</v>
      </c>
      <c r="V528" s="24">
        <v>1</v>
      </c>
      <c r="W528" s="24"/>
      <c r="X528" t="s">
        <v>3513</v>
      </c>
      <c r="Y528" t="s">
        <v>3499</v>
      </c>
      <c r="Z528">
        <v>5324</v>
      </c>
      <c r="AA528" t="s">
        <v>3561</v>
      </c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3551</v>
      </c>
      <c r="V529" s="24"/>
      <c r="W529" s="24">
        <v>1</v>
      </c>
      <c r="X529" t="s">
        <v>3550</v>
      </c>
      <c r="Y529" t="s">
        <v>3552</v>
      </c>
      <c r="Z529">
        <v>6374</v>
      </c>
      <c r="AA529" s="39" t="s">
        <v>3562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3562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3549</v>
      </c>
      <c r="Y531" t="s">
        <v>233</v>
      </c>
      <c r="Z531">
        <v>6331</v>
      </c>
      <c r="AA531" s="39" t="s">
        <v>3561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3503</v>
      </c>
      <c r="V532" s="24">
        <v>1</v>
      </c>
      <c r="W532" s="24"/>
      <c r="X532" t="s">
        <v>3514</v>
      </c>
      <c r="Y532" t="s">
        <v>3504</v>
      </c>
      <c r="Z532">
        <v>5931</v>
      </c>
      <c r="AA532" t="s">
        <v>3561</v>
      </c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3513</v>
      </c>
      <c r="Y533" t="s">
        <v>66</v>
      </c>
      <c r="Z533">
        <v>5241</v>
      </c>
      <c r="AA533" s="39" t="s">
        <v>3561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3549</v>
      </c>
      <c r="Y534" t="s">
        <v>147</v>
      </c>
      <c r="Z534">
        <v>6314</v>
      </c>
      <c r="AA534" s="39" t="s">
        <v>3561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3513</v>
      </c>
      <c r="Y535" t="s">
        <v>237</v>
      </c>
      <c r="Z535">
        <v>5044</v>
      </c>
      <c r="AA535" s="39" t="s">
        <v>3561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3513</v>
      </c>
      <c r="Y536" t="s">
        <v>37</v>
      </c>
      <c r="Z536">
        <v>5046</v>
      </c>
      <c r="AA536" s="39" t="s">
        <v>3561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3513</v>
      </c>
      <c r="Y537" t="s">
        <v>203</v>
      </c>
      <c r="Z537">
        <v>5041</v>
      </c>
      <c r="AA537" s="39" t="s">
        <v>3561</v>
      </c>
    </row>
    <row r="538" spans="1:27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3501</v>
      </c>
      <c r="V538" s="24">
        <v>1</v>
      </c>
      <c r="W538" s="24"/>
      <c r="X538" t="s">
        <v>3515</v>
      </c>
      <c r="Y538" t="s">
        <v>100</v>
      </c>
      <c r="Z538">
        <v>5263</v>
      </c>
      <c r="AA538" t="s">
        <v>3561</v>
      </c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3549</v>
      </c>
      <c r="Y539" t="s">
        <v>129</v>
      </c>
      <c r="Z539">
        <v>6333</v>
      </c>
      <c r="AA539" s="39" t="s">
        <v>3561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3514</v>
      </c>
      <c r="Y540" t="s">
        <v>149</v>
      </c>
      <c r="Z540">
        <v>5916</v>
      </c>
      <c r="AA540" s="39" t="s">
        <v>3561</v>
      </c>
    </row>
    <row r="541" spans="1:27" hidden="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/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3513</v>
      </c>
      <c r="Y541" t="s">
        <v>427</v>
      </c>
      <c r="Z541">
        <v>2209</v>
      </c>
      <c r="AA541" s="39" t="s">
        <v>3562</v>
      </c>
    </row>
    <row r="542" spans="1:27" hidden="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/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3513</v>
      </c>
      <c r="Y542" t="s">
        <v>48</v>
      </c>
      <c r="Z542">
        <v>5046</v>
      </c>
      <c r="AA542" s="39" t="s">
        <v>3562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3549</v>
      </c>
      <c r="Y543" t="s">
        <v>129</v>
      </c>
      <c r="Z543">
        <v>6322</v>
      </c>
      <c r="AA543" s="39" t="s">
        <v>3561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3515</v>
      </c>
      <c r="Y544" t="s">
        <v>205</v>
      </c>
      <c r="Z544">
        <v>5261</v>
      </c>
      <c r="AA544" s="39" t="s">
        <v>3561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3515</v>
      </c>
      <c r="Y545" t="s">
        <v>115</v>
      </c>
      <c r="Z545">
        <v>5266</v>
      </c>
      <c r="AA545" s="39" t="s">
        <v>3561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3513</v>
      </c>
      <c r="Y546" t="s">
        <v>19</v>
      </c>
      <c r="Z546">
        <v>5327</v>
      </c>
      <c r="AA546" s="39" t="s">
        <v>3561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3509</v>
      </c>
      <c r="V547" s="24"/>
      <c r="W547" s="24">
        <v>1</v>
      </c>
      <c r="X547" t="s">
        <v>3550</v>
      </c>
      <c r="Y547" t="s">
        <v>3510</v>
      </c>
      <c r="Z547">
        <v>6369</v>
      </c>
      <c r="AA547" s="39" t="s">
        <v>3561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3507</v>
      </c>
      <c r="V548" s="24"/>
      <c r="W548" s="24">
        <v>1</v>
      </c>
      <c r="X548" t="s">
        <v>3549</v>
      </c>
      <c r="Y548" t="s">
        <v>75</v>
      </c>
      <c r="Z548">
        <v>6331</v>
      </c>
      <c r="AA548" s="39" t="s">
        <v>3561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3549</v>
      </c>
      <c r="Y549" t="s">
        <v>199</v>
      </c>
      <c r="Z549">
        <v>6332</v>
      </c>
      <c r="AA549" s="39" t="s">
        <v>3561</v>
      </c>
    </row>
    <row r="550" spans="1:27" hidden="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3549</v>
      </c>
      <c r="Y550" t="s">
        <v>72</v>
      </c>
      <c r="Z550">
        <v>6314</v>
      </c>
      <c r="AA550" s="39" t="s">
        <v>3561</v>
      </c>
    </row>
    <row r="551" spans="1:27" hidden="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3563</v>
      </c>
      <c r="V551" s="8"/>
      <c r="W551" s="8">
        <v>1</v>
      </c>
      <c r="X551" t="s">
        <v>3549</v>
      </c>
      <c r="Y551" t="s">
        <v>31</v>
      </c>
      <c r="Z551">
        <v>6324</v>
      </c>
      <c r="AA551" s="39" t="s">
        <v>3561</v>
      </c>
    </row>
    <row r="552" spans="1:27" hidden="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3549</v>
      </c>
      <c r="Y552" t="s">
        <v>121</v>
      </c>
      <c r="Z552">
        <v>6317</v>
      </c>
      <c r="AA552" s="39" t="s">
        <v>3561</v>
      </c>
    </row>
    <row r="553" spans="1:27" hidden="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3562</v>
      </c>
    </row>
    <row r="554" spans="1:27" hidden="1" x14ac:dyDescent="0.25">
      <c r="A554">
        <v>18987</v>
      </c>
      <c r="B554" t="e">
        <f>_xlfn.CONCAT(bron[[#This Row],[personeelsnr]]," ",bron[[#This Row],[achternaam]]," ",bron[[#This Row],[voornaam]])</f>
        <v>#N/A</v>
      </c>
      <c r="C554" t="e">
        <f>VLOOKUP(bron[[#This Row],[personeelsnr]],'data hastus'!$A:$C,2,0)</f>
        <v>#N/A</v>
      </c>
      <c r="D554" t="e">
        <f>VLOOKUP(bron[[#This Row],[personeelsnr]],'data hastus'!$A:$C,3,0)</f>
        <v>#N/A</v>
      </c>
      <c r="E554" t="s">
        <v>79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3549</v>
      </c>
      <c r="Y554" t="s">
        <v>104</v>
      </c>
      <c r="Z554">
        <v>6313</v>
      </c>
      <c r="AA554" s="39" t="s">
        <v>3561</v>
      </c>
    </row>
    <row r="555" spans="1:27" hidden="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3562</v>
      </c>
    </row>
    <row r="556" spans="1:27" hidden="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3549</v>
      </c>
      <c r="Y556" t="s">
        <v>75</v>
      </c>
      <c r="Z556">
        <v>6337</v>
      </c>
      <c r="AA556" s="39" t="s">
        <v>3561</v>
      </c>
    </row>
    <row r="557" spans="1:27" hidden="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3513</v>
      </c>
      <c r="Y557" t="s">
        <v>40</v>
      </c>
      <c r="Z557">
        <v>2196</v>
      </c>
      <c r="AA557" s="39" t="s">
        <v>3561</v>
      </c>
    </row>
    <row r="558" spans="1:27" hidden="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3513</v>
      </c>
      <c r="Y558" t="s">
        <v>28</v>
      </c>
      <c r="Z558">
        <v>5231</v>
      </c>
      <c r="AA558" s="39" t="s">
        <v>3561</v>
      </c>
    </row>
    <row r="559" spans="1:27" hidden="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3513</v>
      </c>
      <c r="Y559" t="s">
        <v>48</v>
      </c>
      <c r="Z559">
        <v>5260</v>
      </c>
      <c r="AA559" s="39" t="s">
        <v>3561</v>
      </c>
    </row>
    <row r="560" spans="1:27" hidden="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3514</v>
      </c>
      <c r="Y560" t="s">
        <v>28</v>
      </c>
      <c r="Z560">
        <v>5767</v>
      </c>
      <c r="AA560" s="39" t="s">
        <v>3561</v>
      </c>
    </row>
    <row r="561" spans="1:27" hidden="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3562</v>
      </c>
    </row>
    <row r="562" spans="1:27" hidden="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3514</v>
      </c>
      <c r="Y562" t="s">
        <v>78</v>
      </c>
      <c r="Z562">
        <v>5911</v>
      </c>
      <c r="AA562" s="39" t="s">
        <v>3561</v>
      </c>
    </row>
    <row r="563" spans="1:27" hidden="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3550</v>
      </c>
      <c r="Y563" t="s">
        <v>31</v>
      </c>
      <c r="Z563">
        <v>6368</v>
      </c>
      <c r="AA563" s="39" t="s">
        <v>3561</v>
      </c>
    </row>
    <row r="564" spans="1:27" hidden="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3562</v>
      </c>
    </row>
    <row r="565" spans="1:27" hidden="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3549</v>
      </c>
      <c r="Y565" t="s">
        <v>69</v>
      </c>
      <c r="Z565">
        <v>6319</v>
      </c>
      <c r="AA565" s="39" t="s">
        <v>3561</v>
      </c>
    </row>
    <row r="566" spans="1:27" hidden="1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3513</v>
      </c>
      <c r="Y566" t="s">
        <v>1325</v>
      </c>
      <c r="Z566">
        <v>5040</v>
      </c>
      <c r="AA566" s="39" t="s">
        <v>3562</v>
      </c>
    </row>
    <row r="567" spans="1:27" hidden="1" x14ac:dyDescent="0.25">
      <c r="A567">
        <v>21582</v>
      </c>
      <c r="B567" t="e">
        <f>_xlfn.CONCAT(bron[[#This Row],[personeelsnr]]," ",bron[[#This Row],[achternaam]]," ",bron[[#This Row],[voornaam]])</f>
        <v>#N/A</v>
      </c>
      <c r="C567" t="e">
        <f>VLOOKUP(bron[[#This Row],[personeelsnr]],'data hastus'!$A:$C,2,0)</f>
        <v>#N/A</v>
      </c>
      <c r="D567" t="e">
        <f>VLOOKUP(bron[[#This Row],[personeelsnr]],'data hastus'!$A:$C,3,0)</f>
        <v>#N/A</v>
      </c>
      <c r="E567" t="s">
        <v>79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3549</v>
      </c>
      <c r="Y567" t="s">
        <v>10</v>
      </c>
      <c r="Z567">
        <v>6305</v>
      </c>
      <c r="AA567" s="39" t="s">
        <v>3561</v>
      </c>
    </row>
    <row r="568" spans="1:27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3513</v>
      </c>
      <c r="Y568" t="s">
        <v>113</v>
      </c>
      <c r="Z568">
        <v>5263</v>
      </c>
      <c r="AA568" s="39" t="s">
        <v>3562</v>
      </c>
    </row>
    <row r="569" spans="1:27" hidden="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3513</v>
      </c>
      <c r="Y569" t="s">
        <v>19</v>
      </c>
      <c r="Z569">
        <v>5266</v>
      </c>
      <c r="AA569" s="39" t="s">
        <v>3561</v>
      </c>
    </row>
    <row r="570" spans="1:27" hidden="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3550</v>
      </c>
      <c r="Y570" t="s">
        <v>187</v>
      </c>
      <c r="Z570">
        <v>6355</v>
      </c>
      <c r="AA570" s="39" t="s">
        <v>3561</v>
      </c>
    </row>
    <row r="571" spans="1:27" hidden="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3550</v>
      </c>
      <c r="Y571" t="s">
        <v>231</v>
      </c>
      <c r="Z571">
        <v>6355</v>
      </c>
      <c r="AA571" s="39" t="s">
        <v>3561</v>
      </c>
    </row>
    <row r="572" spans="1:27" hidden="1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3513</v>
      </c>
      <c r="Y572" t="s">
        <v>125</v>
      </c>
      <c r="Z572">
        <v>2189</v>
      </c>
      <c r="AA572" s="39" t="s">
        <v>3561</v>
      </c>
    </row>
    <row r="573" spans="1:27" hidden="1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3513</v>
      </c>
      <c r="Y573" t="s">
        <v>5</v>
      </c>
      <c r="Z573">
        <v>5235</v>
      </c>
      <c r="AA573" s="39" t="s">
        <v>3562</v>
      </c>
    </row>
    <row r="574" spans="1:27" hidden="1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3514</v>
      </c>
      <c r="Y574" t="s">
        <v>16</v>
      </c>
      <c r="Z574">
        <v>5933</v>
      </c>
      <c r="AA574" s="39" t="s">
        <v>3561</v>
      </c>
    </row>
    <row r="575" spans="1:27" hidden="1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3514</v>
      </c>
      <c r="Y575" t="s">
        <v>155</v>
      </c>
      <c r="Z575">
        <v>5931</v>
      </c>
      <c r="AA575" s="39" t="s">
        <v>3561</v>
      </c>
    </row>
    <row r="576" spans="1:27" hidden="1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3550</v>
      </c>
      <c r="Y576" t="s">
        <v>223</v>
      </c>
      <c r="Z576">
        <v>6368</v>
      </c>
      <c r="AA576" s="39" t="s">
        <v>3561</v>
      </c>
    </row>
    <row r="577" spans="1:27" hidden="1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3511</v>
      </c>
      <c r="V577" s="24"/>
      <c r="W577" s="24">
        <v>1</v>
      </c>
      <c r="X577" t="s">
        <v>3549</v>
      </c>
      <c r="Y577" t="s">
        <v>3512</v>
      </c>
      <c r="Z577">
        <v>6319</v>
      </c>
      <c r="AA577" s="39" t="s">
        <v>3561</v>
      </c>
    </row>
    <row r="578" spans="1:27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3549</v>
      </c>
      <c r="Y578" t="s">
        <v>235</v>
      </c>
      <c r="Z578">
        <v>6315</v>
      </c>
      <c r="AA578" s="39" t="s">
        <v>3561</v>
      </c>
    </row>
    <row r="579" spans="1:27" hidden="1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3549</v>
      </c>
      <c r="Y579" t="s">
        <v>137</v>
      </c>
      <c r="Z579">
        <v>6303</v>
      </c>
      <c r="AA579" s="39" t="s">
        <v>3561</v>
      </c>
    </row>
    <row r="580" spans="1:27" hidden="1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3514</v>
      </c>
      <c r="Y580" t="s">
        <v>92</v>
      </c>
      <c r="Z580">
        <v>5912</v>
      </c>
      <c r="AA580" s="39" t="s">
        <v>3561</v>
      </c>
    </row>
    <row r="581" spans="1:27" hidden="1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3549</v>
      </c>
      <c r="Y581" t="s">
        <v>5</v>
      </c>
      <c r="Z581">
        <v>6308</v>
      </c>
      <c r="AA581" s="39" t="s">
        <v>3561</v>
      </c>
    </row>
    <row r="582" spans="1:27" hidden="1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3514</v>
      </c>
      <c r="Y582" t="s">
        <v>10</v>
      </c>
      <c r="Z582">
        <v>4676</v>
      </c>
      <c r="AA582" s="39" t="s">
        <v>3561</v>
      </c>
    </row>
    <row r="583" spans="1:27" hidden="1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3549</v>
      </c>
      <c r="Y583" t="s">
        <v>133</v>
      </c>
      <c r="Z583">
        <v>6329</v>
      </c>
      <c r="AA583" s="39" t="s">
        <v>3561</v>
      </c>
    </row>
    <row r="584" spans="1:27" hidden="1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3562</v>
      </c>
    </row>
    <row r="585" spans="1:27" hidden="1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3550</v>
      </c>
      <c r="Y585" t="s">
        <v>10</v>
      </c>
      <c r="Z585">
        <v>6375</v>
      </c>
      <c r="AA585" s="39" t="s">
        <v>3561</v>
      </c>
    </row>
    <row r="586" spans="1:27" hidden="1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3550</v>
      </c>
      <c r="Y586" t="s">
        <v>163</v>
      </c>
      <c r="Z586">
        <v>6364</v>
      </c>
      <c r="AA586" s="39" t="s">
        <v>3561</v>
      </c>
    </row>
    <row r="587" spans="1:27" hidden="1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3515</v>
      </c>
      <c r="Y587" t="s">
        <v>251</v>
      </c>
      <c r="Z587">
        <v>5266</v>
      </c>
      <c r="AA587" s="39" t="s">
        <v>3561</v>
      </c>
    </row>
    <row r="588" spans="1:27" hidden="1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3514</v>
      </c>
      <c r="Y588" t="s">
        <v>94</v>
      </c>
      <c r="Z588">
        <v>5489</v>
      </c>
      <c r="AA588" s="39" t="s">
        <v>3562</v>
      </c>
    </row>
    <row r="589" spans="1:27" hidden="1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3549</v>
      </c>
      <c r="Y589" t="s">
        <v>10</v>
      </c>
      <c r="Z589">
        <v>6361</v>
      </c>
      <c r="AA589" s="39" t="s">
        <v>3561</v>
      </c>
    </row>
    <row r="590" spans="1:27" hidden="1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3514</v>
      </c>
      <c r="Y590" t="s">
        <v>131</v>
      </c>
      <c r="Z590">
        <v>5935</v>
      </c>
      <c r="AA590" s="39" t="s">
        <v>3562</v>
      </c>
    </row>
    <row r="591" spans="1:27" hidden="1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3514</v>
      </c>
      <c r="Y591" t="s">
        <v>63</v>
      </c>
      <c r="Z591">
        <v>5916</v>
      </c>
      <c r="AA591" s="39" t="s">
        <v>3561</v>
      </c>
    </row>
    <row r="592" spans="1:27" hidden="1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3549</v>
      </c>
      <c r="Y592" t="s">
        <v>72</v>
      </c>
      <c r="Z592">
        <v>6311</v>
      </c>
      <c r="AA592" s="39" t="s">
        <v>3561</v>
      </c>
    </row>
    <row r="593" spans="1:27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3562</v>
      </c>
    </row>
    <row r="594" spans="1:27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3513</v>
      </c>
      <c r="Y594" t="s">
        <v>537</v>
      </c>
      <c r="Z594">
        <v>5046</v>
      </c>
      <c r="AA594" s="39" t="s">
        <v>3561</v>
      </c>
    </row>
    <row r="595" spans="1:27" hidden="1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3550</v>
      </c>
      <c r="Y595" t="s">
        <v>221</v>
      </c>
      <c r="Z595">
        <v>6369</v>
      </c>
      <c r="AA595" s="39" t="s">
        <v>3561</v>
      </c>
    </row>
    <row r="596" spans="1:27" hidden="1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3513</v>
      </c>
      <c r="Y596" t="s">
        <v>151</v>
      </c>
      <c r="Z596">
        <v>5040</v>
      </c>
      <c r="AA596" s="39" t="s">
        <v>3561</v>
      </c>
    </row>
    <row r="597" spans="1:27" hidden="1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3514</v>
      </c>
      <c r="Y597" t="s">
        <v>1307</v>
      </c>
      <c r="Z597">
        <v>5912</v>
      </c>
      <c r="AA597" s="39" t="s">
        <v>3562</v>
      </c>
    </row>
    <row r="598" spans="1:27" hidden="1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3549</v>
      </c>
      <c r="Y598" t="s">
        <v>5</v>
      </c>
      <c r="Z598">
        <v>6313</v>
      </c>
      <c r="AA598" s="39" t="s">
        <v>3561</v>
      </c>
    </row>
    <row r="599" spans="1:27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3562</v>
      </c>
    </row>
    <row r="600" spans="1:27" hidden="1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3513</v>
      </c>
      <c r="Y600" t="s">
        <v>13</v>
      </c>
      <c r="Z600">
        <v>5231</v>
      </c>
      <c r="AA600" s="39" t="s">
        <v>3561</v>
      </c>
    </row>
    <row r="601" spans="1:27" hidden="1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3562</v>
      </c>
    </row>
    <row r="602" spans="1:27" hidden="1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3513</v>
      </c>
      <c r="Y602" t="s">
        <v>189</v>
      </c>
      <c r="Z602">
        <v>2206</v>
      </c>
      <c r="AA602" s="39" t="s">
        <v>3561</v>
      </c>
    </row>
    <row r="603" spans="1:27" hidden="1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3513</v>
      </c>
      <c r="Y603" t="s">
        <v>10</v>
      </c>
      <c r="Z603">
        <v>2807</v>
      </c>
      <c r="AA603" s="39" t="s">
        <v>3561</v>
      </c>
    </row>
    <row r="604" spans="1:27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3513</v>
      </c>
      <c r="Y604" t="s">
        <v>19</v>
      </c>
      <c r="Z604">
        <v>2205</v>
      </c>
      <c r="AA604" s="39" t="s">
        <v>3561</v>
      </c>
    </row>
    <row r="605" spans="1:27" hidden="1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3549</v>
      </c>
      <c r="Y605" t="s">
        <v>63</v>
      </c>
      <c r="Z605">
        <v>6334</v>
      </c>
      <c r="AA605" s="39" t="s">
        <v>3561</v>
      </c>
    </row>
    <row r="606" spans="1:27" hidden="1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3514</v>
      </c>
      <c r="Y606" t="s">
        <v>514</v>
      </c>
      <c r="Z606">
        <v>5922</v>
      </c>
      <c r="AA606" s="39" t="s">
        <v>3561</v>
      </c>
    </row>
    <row r="607" spans="1:27" hidden="1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3513</v>
      </c>
      <c r="Y607" t="s">
        <v>19</v>
      </c>
      <c r="Z607">
        <v>5039</v>
      </c>
      <c r="AA607" s="39" t="s">
        <v>3561</v>
      </c>
    </row>
    <row r="608" spans="1:27" hidden="1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3513</v>
      </c>
      <c r="Y608" t="s">
        <v>135</v>
      </c>
      <c r="Z608">
        <v>5048</v>
      </c>
      <c r="AA608" s="39" t="s">
        <v>3561</v>
      </c>
    </row>
    <row r="609" spans="1:27" hidden="1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3549</v>
      </c>
      <c r="Y609" t="s">
        <v>169</v>
      </c>
      <c r="Z609">
        <v>6312</v>
      </c>
      <c r="AA609" s="39" t="s">
        <v>3561</v>
      </c>
    </row>
    <row r="610" spans="1:27" hidden="1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3549</v>
      </c>
      <c r="Y610" t="s">
        <v>75</v>
      </c>
      <c r="Z610">
        <v>6325</v>
      </c>
      <c r="AA610" s="39" t="s">
        <v>3561</v>
      </c>
    </row>
    <row r="611" spans="1:27" hidden="1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3514</v>
      </c>
      <c r="Y611" t="s">
        <v>16</v>
      </c>
      <c r="Z611">
        <v>5934</v>
      </c>
      <c r="AA611" s="39" t="s">
        <v>3561</v>
      </c>
    </row>
    <row r="612" spans="1:27" hidden="1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3513</v>
      </c>
      <c r="Y612" t="s">
        <v>1314</v>
      </c>
      <c r="Z612">
        <v>2197</v>
      </c>
      <c r="AA612" s="39" t="s">
        <v>3562</v>
      </c>
    </row>
    <row r="613" spans="1:27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3513</v>
      </c>
      <c r="Y613" t="s">
        <v>16</v>
      </c>
      <c r="Z613">
        <v>2196</v>
      </c>
      <c r="AA613" s="39" t="s">
        <v>3561</v>
      </c>
    </row>
    <row r="614" spans="1:27" hidden="1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3514</v>
      </c>
      <c r="Y614" t="s">
        <v>10</v>
      </c>
      <c r="Z614">
        <v>5918</v>
      </c>
      <c r="AA614" s="39" t="s">
        <v>3561</v>
      </c>
    </row>
    <row r="615" spans="1:27" hidden="1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3513</v>
      </c>
      <c r="Y615" t="s">
        <v>19</v>
      </c>
      <c r="Z615">
        <v>2198</v>
      </c>
      <c r="AA615" s="39" t="s">
        <v>3561</v>
      </c>
    </row>
    <row r="616" spans="1:27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3550</v>
      </c>
      <c r="Y616" t="s">
        <v>181</v>
      </c>
      <c r="Z616">
        <v>6355</v>
      </c>
      <c r="AA616" s="39" t="s">
        <v>3561</v>
      </c>
    </row>
    <row r="617" spans="1:27" hidden="1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3562</v>
      </c>
    </row>
    <row r="618" spans="1:27" hidden="1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3514</v>
      </c>
      <c r="Y618" t="s">
        <v>10</v>
      </c>
      <c r="Z618">
        <v>5911</v>
      </c>
      <c r="AA618" s="39" t="s">
        <v>3561</v>
      </c>
    </row>
    <row r="619" spans="1:27" hidden="1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3514</v>
      </c>
      <c r="Y619" t="s">
        <v>13</v>
      </c>
      <c r="Z619">
        <v>5918</v>
      </c>
      <c r="AA619" s="39" t="s">
        <v>3561</v>
      </c>
    </row>
    <row r="620" spans="1:27" hidden="1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3514</v>
      </c>
      <c r="Y620" t="s">
        <v>28</v>
      </c>
      <c r="Z620">
        <v>5771</v>
      </c>
      <c r="AA620" s="39" t="s">
        <v>3561</v>
      </c>
    </row>
    <row r="621" spans="1:27" hidden="1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3513</v>
      </c>
      <c r="Y621" t="s">
        <v>66</v>
      </c>
      <c r="Z621">
        <v>5264</v>
      </c>
      <c r="AA621" s="39" t="s">
        <v>3561</v>
      </c>
    </row>
    <row r="622" spans="1:27" hidden="1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3514</v>
      </c>
      <c r="Y622" t="s">
        <v>60</v>
      </c>
      <c r="Z622">
        <v>5922</v>
      </c>
      <c r="AA622" s="39" t="s">
        <v>3561</v>
      </c>
    </row>
    <row r="623" spans="1:27" hidden="1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3549</v>
      </c>
      <c r="Y623" t="s">
        <v>46</v>
      </c>
      <c r="Z623">
        <v>6929</v>
      </c>
      <c r="AA623" s="39" t="s">
        <v>3561</v>
      </c>
    </row>
    <row r="624" spans="1:27" hidden="1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3515</v>
      </c>
      <c r="Y624" t="s">
        <v>43</v>
      </c>
      <c r="Z624">
        <v>2198</v>
      </c>
      <c r="AA624" s="39" t="s">
        <v>3561</v>
      </c>
    </row>
    <row r="625" spans="1:27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3515</v>
      </c>
      <c r="Y625" t="s">
        <v>139</v>
      </c>
      <c r="Z625">
        <v>2198</v>
      </c>
      <c r="AA625" s="39" t="s">
        <v>3561</v>
      </c>
    </row>
    <row r="626" spans="1:27" hidden="1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3500</v>
      </c>
      <c r="V626" s="24"/>
      <c r="W626" s="24">
        <v>1</v>
      </c>
      <c r="X626" t="s">
        <v>3549</v>
      </c>
      <c r="Y626" t="s">
        <v>5</v>
      </c>
      <c r="Z626">
        <v>6316</v>
      </c>
      <c r="AA626" s="39" t="s">
        <v>3561</v>
      </c>
    </row>
    <row r="627" spans="1:27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3514</v>
      </c>
      <c r="Y627" t="s">
        <v>215</v>
      </c>
      <c r="Z627">
        <v>5763</v>
      </c>
      <c r="AA627" s="39" t="s">
        <v>3561</v>
      </c>
    </row>
    <row r="628" spans="1:27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3549</v>
      </c>
      <c r="Y628" t="s">
        <v>5</v>
      </c>
      <c r="Z628">
        <v>6325</v>
      </c>
      <c r="AA628" s="39" t="s">
        <v>3561</v>
      </c>
    </row>
    <row r="629" spans="1:27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3514</v>
      </c>
      <c r="Y629" t="s">
        <v>66</v>
      </c>
      <c r="Z629">
        <v>5917</v>
      </c>
      <c r="AA629" s="39" t="s">
        <v>3561</v>
      </c>
    </row>
    <row r="630" spans="1:27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3549</v>
      </c>
      <c r="Y630" t="s">
        <v>31</v>
      </c>
      <c r="Z630">
        <v>6327</v>
      </c>
      <c r="AA630" s="39" t="s">
        <v>3561</v>
      </c>
    </row>
    <row r="631" spans="1:27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3515</v>
      </c>
      <c r="Y631" t="s">
        <v>249</v>
      </c>
      <c r="Z631">
        <v>5267</v>
      </c>
      <c r="AA631" s="39" t="s">
        <v>3561</v>
      </c>
    </row>
    <row r="632" spans="1:27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3514</v>
      </c>
      <c r="Y632" t="s">
        <v>127</v>
      </c>
      <c r="Z632">
        <v>5911</v>
      </c>
      <c r="AA632" s="39" t="s">
        <v>3561</v>
      </c>
    </row>
    <row r="633" spans="1:27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3549</v>
      </c>
      <c r="Y633" t="s">
        <v>5</v>
      </c>
      <c r="Z633">
        <v>6308</v>
      </c>
      <c r="AA633" s="39" t="s">
        <v>3561</v>
      </c>
    </row>
    <row r="634" spans="1:27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3550</v>
      </c>
      <c r="Y634" t="s">
        <v>275</v>
      </c>
      <c r="Z634">
        <v>6364</v>
      </c>
      <c r="AA634" s="39" t="s">
        <v>3561</v>
      </c>
    </row>
    <row r="635" spans="1:27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3549</v>
      </c>
      <c r="Y635" t="s">
        <v>159</v>
      </c>
      <c r="Z635">
        <v>6324</v>
      </c>
      <c r="AA635" s="39" t="s">
        <v>3561</v>
      </c>
    </row>
    <row r="636" spans="1:27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3550</v>
      </c>
      <c r="Y636" t="s">
        <v>46</v>
      </c>
      <c r="Z636">
        <v>6357</v>
      </c>
      <c r="AA636" s="39" t="s">
        <v>3561</v>
      </c>
    </row>
    <row r="637" spans="1:27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3514</v>
      </c>
      <c r="Y637" t="s">
        <v>153</v>
      </c>
      <c r="Z637">
        <v>5924</v>
      </c>
      <c r="AA637" s="39" t="s">
        <v>3561</v>
      </c>
    </row>
    <row r="638" spans="1:27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3514</v>
      </c>
      <c r="Y638" t="s">
        <v>78</v>
      </c>
      <c r="Z638">
        <v>5922</v>
      </c>
      <c r="AA638" s="39" t="s">
        <v>3561</v>
      </c>
    </row>
    <row r="639" spans="1:27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3515</v>
      </c>
      <c r="Y639" t="s">
        <v>115</v>
      </c>
      <c r="Z639">
        <v>5240</v>
      </c>
      <c r="AA639" s="39" t="s">
        <v>3561</v>
      </c>
    </row>
    <row r="640" spans="1:27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3549</v>
      </c>
      <c r="Y640" t="s">
        <v>171</v>
      </c>
      <c r="Z640">
        <v>6320</v>
      </c>
      <c r="AA640" s="39" t="s">
        <v>3561</v>
      </c>
    </row>
    <row r="641" spans="1:27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3549</v>
      </c>
      <c r="Y641" t="s">
        <v>267</v>
      </c>
      <c r="Z641">
        <v>6323</v>
      </c>
      <c r="AA641" s="39" t="s">
        <v>3561</v>
      </c>
    </row>
    <row r="642" spans="1:27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3513</v>
      </c>
      <c r="Y642" t="s">
        <v>108</v>
      </c>
      <c r="Z642">
        <v>5914</v>
      </c>
      <c r="AA642" s="39" t="s">
        <v>3561</v>
      </c>
    </row>
    <row r="643" spans="1:27" hidden="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3514</v>
      </c>
      <c r="Y643" t="s">
        <v>255</v>
      </c>
      <c r="Z643">
        <v>4665</v>
      </c>
      <c r="AA643" s="39" t="s">
        <v>3561</v>
      </c>
    </row>
    <row r="644" spans="1:27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3514</v>
      </c>
      <c r="Y644" t="s">
        <v>219</v>
      </c>
      <c r="Z644">
        <v>5912</v>
      </c>
      <c r="AA644" s="39" t="s">
        <v>3562</v>
      </c>
    </row>
    <row r="645" spans="1:27" hidden="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3513</v>
      </c>
      <c r="Y645" t="s">
        <v>22</v>
      </c>
      <c r="Z645">
        <v>5235</v>
      </c>
      <c r="AA645" s="39" t="s">
        <v>3561</v>
      </c>
    </row>
    <row r="646" spans="1:27" hidden="1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3562</v>
      </c>
    </row>
    <row r="647" spans="1:27" hidden="1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3562</v>
      </c>
    </row>
    <row r="648" spans="1:27" hidden="1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3549</v>
      </c>
      <c r="Y648" t="s">
        <v>69</v>
      </c>
      <c r="Z648">
        <v>6306</v>
      </c>
      <c r="AA648" s="39" t="s">
        <v>3561</v>
      </c>
    </row>
    <row r="649" spans="1:27" hidden="1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3513</v>
      </c>
      <c r="Y649" t="s">
        <v>13</v>
      </c>
      <c r="Z649">
        <v>5238</v>
      </c>
      <c r="AA649" s="39" t="s">
        <v>3561</v>
      </c>
    </row>
    <row r="650" spans="1:27" hidden="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3514</v>
      </c>
      <c r="Y650" t="s">
        <v>46</v>
      </c>
      <c r="Z650">
        <v>5938</v>
      </c>
      <c r="AA650" s="39" t="s">
        <v>3561</v>
      </c>
    </row>
    <row r="651" spans="1:27" hidden="1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3513</v>
      </c>
      <c r="Y651" t="s">
        <v>51</v>
      </c>
      <c r="Z651">
        <v>5042</v>
      </c>
      <c r="AA651" s="39" t="s">
        <v>3562</v>
      </c>
    </row>
    <row r="652" spans="1:27" hidden="1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3550</v>
      </c>
      <c r="Y652" t="s">
        <v>81</v>
      </c>
      <c r="Z652">
        <v>6356</v>
      </c>
      <c r="AA652" s="39" t="s">
        <v>3561</v>
      </c>
    </row>
    <row r="653" spans="1:27" hidden="1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3513</v>
      </c>
      <c r="Y653" t="s">
        <v>19</v>
      </c>
      <c r="Z653">
        <v>5048</v>
      </c>
      <c r="AA653" s="39" t="s">
        <v>3561</v>
      </c>
    </row>
    <row r="654" spans="1:27" hidden="1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3550</v>
      </c>
      <c r="Y654" t="s">
        <v>63</v>
      </c>
      <c r="Z654">
        <v>6370</v>
      </c>
      <c r="AA654" s="39" t="s">
        <v>3561</v>
      </c>
    </row>
    <row r="655" spans="1:27" hidden="1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3550</v>
      </c>
      <c r="Y655" t="s">
        <v>301</v>
      </c>
      <c r="Z655">
        <v>6364</v>
      </c>
      <c r="AA655" s="39" t="s">
        <v>3561</v>
      </c>
    </row>
    <row r="656" spans="1:27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3562</v>
      </c>
    </row>
    <row r="657" spans="1:27" hidden="1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3514</v>
      </c>
      <c r="Y657" t="s">
        <v>201</v>
      </c>
      <c r="Z657">
        <v>5763</v>
      </c>
      <c r="AA657" s="39" t="s">
        <v>3561</v>
      </c>
    </row>
    <row r="658" spans="1:27" hidden="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3550</v>
      </c>
      <c r="Y658" t="s">
        <v>10</v>
      </c>
      <c r="Z658">
        <v>6367</v>
      </c>
      <c r="AA658" s="39" t="s">
        <v>3561</v>
      </c>
    </row>
    <row r="659" spans="1:27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3513</v>
      </c>
      <c r="Y659" t="s">
        <v>13</v>
      </c>
      <c r="Z659">
        <v>5328</v>
      </c>
      <c r="AA659" s="39" t="s">
        <v>3561</v>
      </c>
    </row>
    <row r="660" spans="1:27" hidden="1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3549</v>
      </c>
      <c r="Y660" t="s">
        <v>75</v>
      </c>
      <c r="Z660">
        <v>6314</v>
      </c>
      <c r="AA660" s="39" t="s">
        <v>3561</v>
      </c>
    </row>
    <row r="661" spans="1:27" hidden="1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3514</v>
      </c>
      <c r="Y661" t="s">
        <v>86</v>
      </c>
      <c r="Z661">
        <v>5934</v>
      </c>
      <c r="AA661" s="39" t="s">
        <v>3561</v>
      </c>
    </row>
    <row r="662" spans="1:27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3549</v>
      </c>
      <c r="Y662" t="s">
        <v>31</v>
      </c>
      <c r="Z662">
        <v>6313</v>
      </c>
      <c r="AA662" s="39" t="s">
        <v>3561</v>
      </c>
    </row>
    <row r="663" spans="1:27" hidden="1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3550</v>
      </c>
      <c r="Y663" t="s">
        <v>297</v>
      </c>
      <c r="Z663">
        <v>6366</v>
      </c>
      <c r="AA663" s="39" t="s">
        <v>3561</v>
      </c>
    </row>
    <row r="664" spans="1:27" hidden="1" x14ac:dyDescent="0.25">
      <c r="A664">
        <v>36569</v>
      </c>
      <c r="B664" t="e">
        <f>_xlfn.CONCAT(bron[[#This Row],[personeelsnr]]," ",bron[[#This Row],[achternaam]]," ",bron[[#This Row],[voornaam]])</f>
        <v>#N/A</v>
      </c>
      <c r="C664" t="e">
        <f>VLOOKUP(bron[[#This Row],[personeelsnr]],'data hastus'!$A:$C,2,0)</f>
        <v>#N/A</v>
      </c>
      <c r="D664" t="e">
        <f>VLOOKUP(bron[[#This Row],[personeelsnr]],'data hastus'!$A:$C,3,0)</f>
        <v>#N/A</v>
      </c>
      <c r="E664" t="s">
        <v>79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3549</v>
      </c>
      <c r="Y664" t="s">
        <v>31</v>
      </c>
      <c r="Z664">
        <v>6321</v>
      </c>
      <c r="AA664" s="39" t="s">
        <v>3561</v>
      </c>
    </row>
    <row r="665" spans="1:27" hidden="1" x14ac:dyDescent="0.25">
      <c r="A665">
        <v>36569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s">
        <v>79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3549</v>
      </c>
      <c r="Y665" t="s">
        <v>167</v>
      </c>
      <c r="Z665">
        <v>6325</v>
      </c>
      <c r="AA665" s="39" t="s">
        <v>3561</v>
      </c>
    </row>
    <row r="666" spans="1:27" hidden="1" x14ac:dyDescent="0.25">
      <c r="A666">
        <v>36569</v>
      </c>
      <c r="B666" t="e">
        <f>_xlfn.CONCAT(bron[[#This Row],[personeelsnr]]," ",bron[[#This Row],[achternaam]]," ",bron[[#This Row],[voornaam]])</f>
        <v>#N/A</v>
      </c>
      <c r="C666" t="e">
        <f>VLOOKUP(bron[[#This Row],[personeelsnr]],'data hastus'!$A:$C,2,0)</f>
        <v>#N/A</v>
      </c>
      <c r="D666" t="e">
        <f>VLOOKUP(bron[[#This Row],[personeelsnr]],'data hastus'!$A:$C,3,0)</f>
        <v>#N/A</v>
      </c>
      <c r="E666" t="s">
        <v>79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3549</v>
      </c>
      <c r="Y666" t="s">
        <v>5</v>
      </c>
      <c r="Z666">
        <v>6333</v>
      </c>
      <c r="AA666" s="39" t="s">
        <v>3561</v>
      </c>
    </row>
    <row r="667" spans="1:27" hidden="1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3550</v>
      </c>
      <c r="Y667" t="s">
        <v>69</v>
      </c>
      <c r="Z667">
        <v>6353</v>
      </c>
      <c r="AA667" s="39" t="s">
        <v>3561</v>
      </c>
    </row>
    <row r="668" spans="1:27" hidden="1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3514</v>
      </c>
      <c r="Y668" t="s">
        <v>259</v>
      </c>
      <c r="Z668">
        <v>5910</v>
      </c>
      <c r="AA668" s="39" t="s">
        <v>3561</v>
      </c>
    </row>
    <row r="669" spans="1:27" hidden="1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3550</v>
      </c>
      <c r="Y669" t="s">
        <v>5</v>
      </c>
      <c r="Z669">
        <v>6357</v>
      </c>
      <c r="AA669" s="39" t="s">
        <v>3561</v>
      </c>
    </row>
    <row r="670" spans="1:27" hidden="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3514</v>
      </c>
      <c r="Y670" t="s">
        <v>22</v>
      </c>
      <c r="Z670">
        <v>5927</v>
      </c>
      <c r="AA670" s="39" t="s">
        <v>3561</v>
      </c>
    </row>
    <row r="671" spans="1:27" hidden="1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3550</v>
      </c>
      <c r="Y671" t="s">
        <v>72</v>
      </c>
      <c r="Z671">
        <v>6374</v>
      </c>
      <c r="AA671" s="39" t="s">
        <v>3561</v>
      </c>
    </row>
    <row r="672" spans="1:27" hidden="1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3549</v>
      </c>
      <c r="Y672" t="s">
        <v>104</v>
      </c>
      <c r="Z672">
        <v>6331</v>
      </c>
      <c r="AA672" s="39" t="s">
        <v>3561</v>
      </c>
    </row>
    <row r="673" spans="1:27" hidden="1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3514</v>
      </c>
      <c r="Y673" t="s">
        <v>13</v>
      </c>
      <c r="Z673">
        <v>5053</v>
      </c>
      <c r="AA673" s="39" t="s">
        <v>3561</v>
      </c>
    </row>
    <row r="674" spans="1:27" hidden="1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3515</v>
      </c>
      <c r="Y674" t="s">
        <v>81</v>
      </c>
      <c r="Z674">
        <v>5267</v>
      </c>
      <c r="AA674" s="39" t="s">
        <v>3561</v>
      </c>
    </row>
    <row r="675" spans="1:27" hidden="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3514</v>
      </c>
      <c r="Z675">
        <v>0</v>
      </c>
      <c r="AA675" s="39" t="s">
        <v>3561</v>
      </c>
    </row>
    <row r="676" spans="1:27" hidden="1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3515</v>
      </c>
      <c r="Y676" t="s">
        <v>514</v>
      </c>
      <c r="Z676">
        <v>5229</v>
      </c>
      <c r="AA676" s="39" t="s">
        <v>3561</v>
      </c>
    </row>
    <row r="677" spans="1:27" hidden="1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3549</v>
      </c>
      <c r="Y677" t="s">
        <v>279</v>
      </c>
      <c r="Z677">
        <v>6320</v>
      </c>
      <c r="AA677" s="39" t="s">
        <v>3561</v>
      </c>
    </row>
    <row r="678" spans="1:27" hidden="1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3515</v>
      </c>
      <c r="Y678" t="s">
        <v>48</v>
      </c>
      <c r="Z678">
        <v>5266</v>
      </c>
      <c r="AA678" s="39" t="s">
        <v>3561</v>
      </c>
    </row>
    <row r="679" spans="1:27" hidden="1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3549</v>
      </c>
      <c r="Y679" t="s">
        <v>10</v>
      </c>
      <c r="Z679">
        <v>6329</v>
      </c>
      <c r="AA679" s="39" t="s">
        <v>3561</v>
      </c>
    </row>
    <row r="680" spans="1:27" hidden="1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3515</v>
      </c>
      <c r="Y680" t="s">
        <v>34</v>
      </c>
      <c r="Z680">
        <v>5053</v>
      </c>
      <c r="AA680" s="39" t="s">
        <v>3561</v>
      </c>
    </row>
    <row r="681" spans="1:27" hidden="1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3515</v>
      </c>
      <c r="Y681" t="s">
        <v>19</v>
      </c>
      <c r="Z681">
        <v>2195</v>
      </c>
      <c r="AA681" s="39" t="s">
        <v>3561</v>
      </c>
    </row>
    <row r="682" spans="1:27" hidden="1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3550</v>
      </c>
      <c r="Y682" t="s">
        <v>10</v>
      </c>
      <c r="Z682">
        <v>6372</v>
      </c>
      <c r="AA682" s="39" t="s">
        <v>3561</v>
      </c>
    </row>
    <row r="683" spans="1:27" hidden="1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3514</v>
      </c>
      <c r="Y683" t="s">
        <v>106</v>
      </c>
      <c r="Z683">
        <v>5486</v>
      </c>
      <c r="AA683" s="39" t="s">
        <v>3561</v>
      </c>
    </row>
    <row r="684" spans="1:27" hidden="1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3549</v>
      </c>
      <c r="Y684" t="s">
        <v>88</v>
      </c>
      <c r="Z684">
        <v>6322</v>
      </c>
      <c r="AA684" s="39" t="s">
        <v>3561</v>
      </c>
    </row>
    <row r="685" spans="1:27" hidden="1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3549</v>
      </c>
      <c r="Y685" t="s">
        <v>5</v>
      </c>
      <c r="Z685">
        <v>6327</v>
      </c>
      <c r="AA685" s="39" t="s">
        <v>3561</v>
      </c>
    </row>
    <row r="686" spans="1:27" hidden="1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3515</v>
      </c>
      <c r="Y686" t="s">
        <v>514</v>
      </c>
      <c r="Z686">
        <v>5043</v>
      </c>
      <c r="AA686" s="39" t="s">
        <v>3561</v>
      </c>
    </row>
    <row r="687" spans="1:27" hidden="1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3515</v>
      </c>
      <c r="Y687" t="s">
        <v>1293</v>
      </c>
      <c r="Z687">
        <v>2200</v>
      </c>
      <c r="AA687" s="39" t="s">
        <v>3562</v>
      </c>
    </row>
    <row r="688" spans="1:27" hidden="1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3550</v>
      </c>
      <c r="Y688" t="s">
        <v>46</v>
      </c>
      <c r="Z688">
        <v>6362</v>
      </c>
      <c r="AA688" s="39" t="s">
        <v>3561</v>
      </c>
    </row>
    <row r="689" spans="1:27" hidden="1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3515</v>
      </c>
      <c r="Y689" t="s">
        <v>106</v>
      </c>
      <c r="Z689">
        <v>2208</v>
      </c>
      <c r="AA689" s="39" t="s">
        <v>3562</v>
      </c>
    </row>
    <row r="690" spans="1:27" hidden="1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3514</v>
      </c>
      <c r="Y690" t="s">
        <v>123</v>
      </c>
      <c r="Z690">
        <v>5915</v>
      </c>
      <c r="AA690" s="39" t="s">
        <v>3561</v>
      </c>
    </row>
    <row r="691" spans="1:27" hidden="1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3513</v>
      </c>
      <c r="Y691" t="s">
        <v>217</v>
      </c>
      <c r="Z691">
        <v>5052</v>
      </c>
      <c r="AA691" s="39" t="s">
        <v>3561</v>
      </c>
    </row>
    <row r="692" spans="1:27" hidden="1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3513</v>
      </c>
      <c r="Y692" t="s">
        <v>34</v>
      </c>
      <c r="Z692">
        <v>5044</v>
      </c>
      <c r="AA692" s="39" t="s">
        <v>3562</v>
      </c>
    </row>
    <row r="693" spans="1:27" hidden="1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3513</v>
      </c>
      <c r="Y693" t="s">
        <v>86</v>
      </c>
      <c r="Z693">
        <v>5325</v>
      </c>
      <c r="AA693" s="39" t="s">
        <v>3561</v>
      </c>
    </row>
    <row r="694" spans="1:27" hidden="1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3513</v>
      </c>
      <c r="Y694" t="s">
        <v>22</v>
      </c>
      <c r="Z694">
        <v>5235</v>
      </c>
      <c r="AA694" s="39" t="s">
        <v>3561</v>
      </c>
    </row>
    <row r="695" spans="1:27" hidden="1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3513</v>
      </c>
      <c r="Y695" t="s">
        <v>25</v>
      </c>
      <c r="Z695">
        <v>5054</v>
      </c>
      <c r="AA695" s="39" t="s">
        <v>3561</v>
      </c>
    </row>
    <row r="696" spans="1:27" hidden="1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3514</v>
      </c>
      <c r="Y696" t="s">
        <v>229</v>
      </c>
      <c r="Z696">
        <v>5911</v>
      </c>
      <c r="AA696" s="39" t="s">
        <v>3561</v>
      </c>
    </row>
    <row r="697" spans="1:27" hidden="1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3514</v>
      </c>
      <c r="Y697" t="s">
        <v>117</v>
      </c>
      <c r="Z697">
        <v>5931</v>
      </c>
      <c r="AA697" s="39" t="s">
        <v>3561</v>
      </c>
    </row>
    <row r="698" spans="1:27" hidden="1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3514</v>
      </c>
      <c r="Y698" t="s">
        <v>22</v>
      </c>
      <c r="Z698">
        <v>5765</v>
      </c>
      <c r="AA698" s="39" t="s">
        <v>3561</v>
      </c>
    </row>
    <row r="699" spans="1:27" hidden="1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3514</v>
      </c>
      <c r="Y699" t="s">
        <v>84</v>
      </c>
      <c r="Z699">
        <v>5930</v>
      </c>
      <c r="AA699" s="39" t="s">
        <v>3561</v>
      </c>
    </row>
    <row r="700" spans="1:27" hidden="1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3514</v>
      </c>
      <c r="Y700" t="s">
        <v>197</v>
      </c>
      <c r="Z700">
        <v>5933</v>
      </c>
      <c r="AA700" s="39" t="s">
        <v>3561</v>
      </c>
    </row>
    <row r="701" spans="1:27" hidden="1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3514</v>
      </c>
      <c r="Y701" t="s">
        <v>247</v>
      </c>
      <c r="Z701">
        <v>0</v>
      </c>
      <c r="AA701" s="39" t="s">
        <v>3561</v>
      </c>
    </row>
    <row r="702" spans="1:27" hidden="1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3513</v>
      </c>
      <c r="Y702" t="s">
        <v>106</v>
      </c>
      <c r="Z702">
        <v>5043</v>
      </c>
      <c r="AA702" s="39" t="s">
        <v>3561</v>
      </c>
    </row>
    <row r="703" spans="1:27" hidden="1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3513</v>
      </c>
      <c r="Y703" t="s">
        <v>28</v>
      </c>
      <c r="Z703">
        <v>2269</v>
      </c>
      <c r="AA703" s="39" t="s">
        <v>3561</v>
      </c>
    </row>
    <row r="704" spans="1:27" hidden="1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3549</v>
      </c>
      <c r="Y704" t="s">
        <v>239</v>
      </c>
      <c r="Z704">
        <v>6339</v>
      </c>
      <c r="AA704" s="39" t="s">
        <v>3561</v>
      </c>
    </row>
    <row r="705" spans="1:27" hidden="1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3550</v>
      </c>
      <c r="Y705" t="s">
        <v>5</v>
      </c>
      <c r="Z705">
        <v>6368</v>
      </c>
      <c r="AA705" s="39" t="s">
        <v>3561</v>
      </c>
    </row>
    <row r="706" spans="1:27" hidden="1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3549</v>
      </c>
      <c r="Y706" t="s">
        <v>173</v>
      </c>
      <c r="Z706">
        <v>6333</v>
      </c>
      <c r="AA706" s="39" t="s">
        <v>3561</v>
      </c>
    </row>
    <row r="707" spans="1:27" hidden="1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3515</v>
      </c>
      <c r="Y707" t="s">
        <v>13</v>
      </c>
      <c r="Z707">
        <v>5053</v>
      </c>
      <c r="AA707" s="39" t="s">
        <v>3561</v>
      </c>
    </row>
    <row r="708" spans="1:27" hidden="1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3549</v>
      </c>
      <c r="Y708" t="s">
        <v>5</v>
      </c>
      <c r="Z708">
        <v>6321</v>
      </c>
      <c r="AA708" s="39" t="s">
        <v>3561</v>
      </c>
    </row>
    <row r="709" spans="1:27" hidden="1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45777</v>
      </c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3562</v>
      </c>
    </row>
    <row r="710" spans="1:27" hidden="1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3515</v>
      </c>
      <c r="Y710" t="s">
        <v>40</v>
      </c>
      <c r="Z710">
        <v>5046</v>
      </c>
      <c r="AA710" s="39" t="s">
        <v>3561</v>
      </c>
    </row>
    <row r="711" spans="1:27" hidden="1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3514</v>
      </c>
      <c r="Y711" t="s">
        <v>78</v>
      </c>
      <c r="Z711">
        <v>5929</v>
      </c>
      <c r="AA711" s="39" t="s">
        <v>3561</v>
      </c>
    </row>
    <row r="712" spans="1:27" hidden="1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3514</v>
      </c>
      <c r="Y712" t="s">
        <v>16</v>
      </c>
      <c r="Z712">
        <v>5926</v>
      </c>
      <c r="AA712" s="39" t="s">
        <v>3561</v>
      </c>
    </row>
    <row r="713" spans="1:27" hidden="1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3514</v>
      </c>
      <c r="Y713" t="s">
        <v>165</v>
      </c>
      <c r="Z713">
        <v>4678</v>
      </c>
      <c r="AA713" s="39" t="s">
        <v>3561</v>
      </c>
    </row>
    <row r="714" spans="1:27" hidden="1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3549</v>
      </c>
      <c r="Y714" t="s">
        <v>88</v>
      </c>
      <c r="Z714">
        <v>6339</v>
      </c>
      <c r="AA714" s="39" t="s">
        <v>3561</v>
      </c>
    </row>
    <row r="715" spans="1:27" hidden="1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3515</v>
      </c>
      <c r="Y715" t="s">
        <v>263</v>
      </c>
      <c r="Z715">
        <v>5048</v>
      </c>
      <c r="AA715" s="39" t="s">
        <v>3561</v>
      </c>
    </row>
    <row r="716" spans="1:27" hidden="1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3549</v>
      </c>
      <c r="Y716" t="s">
        <v>81</v>
      </c>
      <c r="Z716">
        <v>6317</v>
      </c>
      <c r="AA716" s="39" t="s">
        <v>3561</v>
      </c>
    </row>
    <row r="717" spans="1:27" hidden="1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3515</v>
      </c>
      <c r="Y717" t="s">
        <v>25</v>
      </c>
      <c r="Z717">
        <v>5238</v>
      </c>
      <c r="AA717" s="39" t="s">
        <v>3561</v>
      </c>
    </row>
    <row r="718" spans="1:27" hidden="1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3515</v>
      </c>
      <c r="Y718" t="s">
        <v>13</v>
      </c>
      <c r="Z718">
        <v>5229</v>
      </c>
      <c r="AA718" s="39" t="s">
        <v>3561</v>
      </c>
    </row>
    <row r="719" spans="1:27" hidden="1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/>
      <c r="G719" s="7"/>
      <c r="H719" s="7"/>
      <c r="I719" s="7"/>
      <c r="M719" s="5">
        <v>1</v>
      </c>
      <c r="S719" s="5">
        <f>SUM(bron[[#This Row],[Januari]:[December]])</f>
        <v>1</v>
      </c>
      <c r="T719" s="9">
        <v>45853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3562</v>
      </c>
    </row>
    <row r="720" spans="1:27" hidden="1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3515</v>
      </c>
      <c r="Y720" t="s">
        <v>100</v>
      </c>
      <c r="Z720">
        <v>5237</v>
      </c>
      <c r="AA720" s="39" t="s">
        <v>3561</v>
      </c>
    </row>
    <row r="721" spans="1:27" hidden="1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3515</v>
      </c>
      <c r="Y721" t="s">
        <v>13</v>
      </c>
      <c r="Z721">
        <v>5048</v>
      </c>
      <c r="AA721" s="39" t="s">
        <v>3561</v>
      </c>
    </row>
    <row r="722" spans="1:27" hidden="1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3515</v>
      </c>
      <c r="Y722" t="s">
        <v>113</v>
      </c>
      <c r="Z722">
        <v>5260</v>
      </c>
      <c r="AA722" s="39" t="s">
        <v>3561</v>
      </c>
    </row>
    <row r="723" spans="1:27" hidden="1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3515</v>
      </c>
      <c r="Y723" t="s">
        <v>48</v>
      </c>
      <c r="Z723">
        <v>5261</v>
      </c>
      <c r="AA723" s="39" t="s">
        <v>3561</v>
      </c>
    </row>
    <row r="724" spans="1:27" hidden="1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45782</v>
      </c>
      <c r="U724" s="8" t="s">
        <v>1326</v>
      </c>
      <c r="V724" s="8">
        <v>1</v>
      </c>
      <c r="W724" s="8"/>
      <c r="X724" t="s">
        <v>3514</v>
      </c>
      <c r="Y724" t="s">
        <v>489</v>
      </c>
      <c r="Z724">
        <v>4667</v>
      </c>
      <c r="AA724" s="39" t="s">
        <v>3562</v>
      </c>
    </row>
    <row r="725" spans="1:27" hidden="1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3514</v>
      </c>
      <c r="Y725" t="s">
        <v>10</v>
      </c>
      <c r="Z725">
        <v>5238</v>
      </c>
      <c r="AA725" s="39" t="s">
        <v>3562</v>
      </c>
    </row>
    <row r="726" spans="1:27" hidden="1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3515</v>
      </c>
      <c r="Y726" t="s">
        <v>43</v>
      </c>
      <c r="Z726">
        <v>2195</v>
      </c>
      <c r="AA726" s="39" t="s">
        <v>3561</v>
      </c>
    </row>
    <row r="727" spans="1:27" hidden="1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3515</v>
      </c>
      <c r="Y727" t="s">
        <v>48</v>
      </c>
      <c r="Z727">
        <v>5264</v>
      </c>
      <c r="AA727" s="39" t="s">
        <v>3561</v>
      </c>
    </row>
    <row r="728" spans="1:27" hidden="1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M728" s="5">
        <v>1</v>
      </c>
      <c r="S728" s="5">
        <f>SUM(bron[[#This Row],[Januari]:[December]])</f>
        <v>1</v>
      </c>
      <c r="T728" s="9">
        <v>45842</v>
      </c>
      <c r="U728" s="8" t="s">
        <v>1297</v>
      </c>
      <c r="V728" s="24">
        <v>1</v>
      </c>
      <c r="W728" s="24"/>
      <c r="X728" t="s">
        <v>3515</v>
      </c>
      <c r="Y728" t="s">
        <v>227</v>
      </c>
      <c r="Z728">
        <v>2190</v>
      </c>
      <c r="AA728" s="39" t="s">
        <v>3562</v>
      </c>
    </row>
    <row r="729" spans="1:27" hidden="1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3515</v>
      </c>
      <c r="Y729" t="s">
        <v>265</v>
      </c>
      <c r="Z729">
        <v>2192</v>
      </c>
      <c r="AA729" s="39" t="s">
        <v>3561</v>
      </c>
    </row>
    <row r="730" spans="1:27" hidden="1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3514</v>
      </c>
      <c r="Y730" t="s">
        <v>92</v>
      </c>
      <c r="Z730">
        <v>5922</v>
      </c>
      <c r="AA730" s="39" t="s">
        <v>3561</v>
      </c>
    </row>
    <row r="731" spans="1:27" hidden="1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/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45754</v>
      </c>
      <c r="U731" s="8" t="s">
        <v>1319</v>
      </c>
      <c r="V731" s="8">
        <v>1</v>
      </c>
      <c r="W731" s="8"/>
      <c r="X731" t="s">
        <v>3515</v>
      </c>
      <c r="Y731" t="s">
        <v>1320</v>
      </c>
      <c r="Z731">
        <v>2197</v>
      </c>
      <c r="AA731" s="39" t="s">
        <v>3562</v>
      </c>
    </row>
    <row r="732" spans="1:27" hidden="1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3515</v>
      </c>
      <c r="Z732">
        <v>0</v>
      </c>
      <c r="AA732" s="39" t="s">
        <v>3561</v>
      </c>
    </row>
    <row r="733" spans="1:27" hidden="1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3514</v>
      </c>
      <c r="Y733" t="s">
        <v>277</v>
      </c>
      <c r="Z733">
        <v>5923</v>
      </c>
      <c r="AA733" s="39" t="s">
        <v>3561</v>
      </c>
    </row>
    <row r="734" spans="1:27" hidden="1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/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45735</v>
      </c>
      <c r="U734" s="8" t="s">
        <v>1296</v>
      </c>
      <c r="V734" s="8">
        <v>1</v>
      </c>
      <c r="W734" s="8"/>
      <c r="X734" t="s">
        <v>3515</v>
      </c>
      <c r="Y734" t="s">
        <v>72</v>
      </c>
      <c r="Z734">
        <v>5054</v>
      </c>
      <c r="AA734" s="39" t="s">
        <v>3562</v>
      </c>
    </row>
    <row r="735" spans="1:27" hidden="1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3514</v>
      </c>
      <c r="Y735" t="s">
        <v>1075</v>
      </c>
      <c r="Z735">
        <v>5929</v>
      </c>
      <c r="AA735" s="39" t="s">
        <v>3561</v>
      </c>
    </row>
    <row r="736" spans="1:27" hidden="1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3513</v>
      </c>
      <c r="Y736" t="s">
        <v>5</v>
      </c>
      <c r="Z736">
        <v>5046</v>
      </c>
      <c r="AA736" s="39" t="s">
        <v>3561</v>
      </c>
    </row>
    <row r="737" spans="1:27" hidden="1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45710</v>
      </c>
      <c r="U737" s="8" t="s">
        <v>1311</v>
      </c>
      <c r="V737" s="8">
        <v>1</v>
      </c>
      <c r="W737" s="8"/>
      <c r="X737" t="s">
        <v>3515</v>
      </c>
      <c r="Y737" t="s">
        <v>113</v>
      </c>
      <c r="Z737">
        <v>5043</v>
      </c>
      <c r="AA737" s="39" t="s">
        <v>3562</v>
      </c>
    </row>
    <row r="738" spans="1:27" hidden="1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3513</v>
      </c>
      <c r="Y738" t="s">
        <v>119</v>
      </c>
      <c r="Z738">
        <v>5042</v>
      </c>
      <c r="AA738" s="39" t="s">
        <v>3561</v>
      </c>
    </row>
    <row r="739" spans="1:27" hidden="1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3513</v>
      </c>
      <c r="Y739" t="s">
        <v>161</v>
      </c>
      <c r="Z739">
        <v>5265</v>
      </c>
      <c r="AA739" s="39" t="s">
        <v>3561</v>
      </c>
    </row>
    <row r="740" spans="1:27" hidden="1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3550</v>
      </c>
      <c r="Y740" t="s">
        <v>5</v>
      </c>
      <c r="Z740">
        <v>6355</v>
      </c>
      <c r="AA740" s="39" t="s">
        <v>3561</v>
      </c>
    </row>
    <row r="741" spans="1:27" hidden="1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3513</v>
      </c>
      <c r="Y741" t="s">
        <v>253</v>
      </c>
      <c r="Z741">
        <v>2197</v>
      </c>
      <c r="AA741" s="39" t="s">
        <v>3561</v>
      </c>
    </row>
    <row r="742" spans="1:27" hidden="1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3513</v>
      </c>
      <c r="Y742" t="s">
        <v>25</v>
      </c>
      <c r="Z742">
        <v>5229</v>
      </c>
      <c r="AA742" s="39" t="s">
        <v>3561</v>
      </c>
    </row>
    <row r="743" spans="1:27" hidden="1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3514</v>
      </c>
      <c r="Y743" t="s">
        <v>185</v>
      </c>
      <c r="Z743">
        <v>5920</v>
      </c>
      <c r="AA743" s="39" t="s">
        <v>3561</v>
      </c>
    </row>
    <row r="744" spans="1:27" hidden="1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3514</v>
      </c>
      <c r="Y744" t="s">
        <v>60</v>
      </c>
      <c r="Z744">
        <v>5931</v>
      </c>
      <c r="AA744" s="39" t="s">
        <v>3561</v>
      </c>
    </row>
    <row r="745" spans="1:27" hidden="1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3513</v>
      </c>
      <c r="Y745" t="s">
        <v>19</v>
      </c>
      <c r="Z745">
        <v>5261</v>
      </c>
      <c r="AA745" s="39" t="s">
        <v>3561</v>
      </c>
    </row>
    <row r="746" spans="1:27" hidden="1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/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>
        <v>45660</v>
      </c>
      <c r="U746" s="8" t="s">
        <v>1299</v>
      </c>
      <c r="V746" s="8">
        <v>1</v>
      </c>
      <c r="W746" s="8"/>
      <c r="X746" t="s">
        <v>3513</v>
      </c>
      <c r="Y746" t="s">
        <v>119</v>
      </c>
      <c r="Z746">
        <v>5047</v>
      </c>
      <c r="AA746" s="39" t="s">
        <v>3562</v>
      </c>
    </row>
    <row r="747" spans="1:27" hidden="1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3513</v>
      </c>
      <c r="Y747" t="s">
        <v>177</v>
      </c>
      <c r="Z747">
        <v>2197</v>
      </c>
      <c r="AA747" s="39" t="s">
        <v>3561</v>
      </c>
    </row>
    <row r="748" spans="1:27" hidden="1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3514</v>
      </c>
      <c r="Y748" t="s">
        <v>179</v>
      </c>
      <c r="Z748">
        <v>5770</v>
      </c>
      <c r="AA748" s="39" t="s">
        <v>3561</v>
      </c>
    </row>
    <row r="749" spans="1:27" hidden="1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3514</v>
      </c>
      <c r="Y749" t="s">
        <v>25</v>
      </c>
      <c r="Z749">
        <v>5915</v>
      </c>
      <c r="AA749" s="39" t="s">
        <v>3561</v>
      </c>
    </row>
    <row r="750" spans="1:27" hidden="1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3515</v>
      </c>
      <c r="Y750" t="s">
        <v>25</v>
      </c>
      <c r="Z750">
        <v>5047</v>
      </c>
      <c r="AA750" s="39" t="s">
        <v>3561</v>
      </c>
    </row>
    <row r="751" spans="1:27" hidden="1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3515</v>
      </c>
      <c r="Y751" t="s">
        <v>40</v>
      </c>
      <c r="Z751">
        <v>5325</v>
      </c>
      <c r="AA751" s="39" t="s">
        <v>3561</v>
      </c>
    </row>
    <row r="752" spans="1:27" hidden="1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3514</v>
      </c>
      <c r="Y752" s="15" t="s">
        <v>287</v>
      </c>
      <c r="Z752">
        <v>5047</v>
      </c>
      <c r="AA752" s="39" t="s">
        <v>3561</v>
      </c>
    </row>
    <row r="753" spans="1:27" hidden="1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3514</v>
      </c>
      <c r="Y753" t="s">
        <v>54</v>
      </c>
      <c r="Z753">
        <v>5923</v>
      </c>
      <c r="AA753" s="39" t="s">
        <v>3561</v>
      </c>
    </row>
    <row r="754" spans="1:27" hidden="1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3515</v>
      </c>
      <c r="Y754" t="s">
        <v>257</v>
      </c>
      <c r="Z754">
        <v>5051</v>
      </c>
      <c r="AA754" s="39" t="s">
        <v>3561</v>
      </c>
    </row>
    <row r="755" spans="1:27" hidden="1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3515</v>
      </c>
      <c r="Y755" t="s">
        <v>271</v>
      </c>
      <c r="Z755">
        <v>5047</v>
      </c>
      <c r="AA755" s="39" t="s">
        <v>3561</v>
      </c>
    </row>
    <row r="756" spans="1:27" hidden="1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3515</v>
      </c>
      <c r="Y756" t="s">
        <v>25</v>
      </c>
      <c r="Z756">
        <v>5049</v>
      </c>
      <c r="AA756" s="39" t="s">
        <v>3561</v>
      </c>
    </row>
    <row r="757" spans="1:27" hidden="1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3515</v>
      </c>
      <c r="Y757" t="s">
        <v>299</v>
      </c>
      <c r="Z757">
        <v>5052</v>
      </c>
      <c r="AA757" s="39" t="s">
        <v>3561</v>
      </c>
    </row>
    <row r="758" spans="1:27" hidden="1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3515</v>
      </c>
      <c r="Y758" t="s">
        <v>43</v>
      </c>
      <c r="Z758">
        <v>2199</v>
      </c>
      <c r="AA758" s="39" t="s">
        <v>3561</v>
      </c>
    </row>
    <row r="759" spans="1:27" hidden="1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3514</v>
      </c>
      <c r="Y759" t="s">
        <v>102</v>
      </c>
      <c r="Z759">
        <v>5912</v>
      </c>
      <c r="AA759" s="39" t="s">
        <v>3561</v>
      </c>
    </row>
    <row r="760" spans="1:27" hidden="1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3515</v>
      </c>
      <c r="Y760" t="s">
        <v>98</v>
      </c>
      <c r="Z760">
        <v>5236</v>
      </c>
      <c r="AA760" s="39" t="s">
        <v>3561</v>
      </c>
    </row>
    <row r="761" spans="1:27" hidden="1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3515</v>
      </c>
      <c r="Y761" t="s">
        <v>37</v>
      </c>
      <c r="Z761">
        <v>0</v>
      </c>
      <c r="AA761" s="39" t="s">
        <v>3561</v>
      </c>
    </row>
    <row r="762" spans="1:27" hidden="1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3514</v>
      </c>
      <c r="Y762" t="s">
        <v>519</v>
      </c>
      <c r="Z762">
        <v>5915</v>
      </c>
      <c r="AA762" s="39" t="s">
        <v>3561</v>
      </c>
    </row>
    <row r="763" spans="1:27" hidden="1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3515</v>
      </c>
      <c r="Y763" t="s">
        <v>51</v>
      </c>
      <c r="Z763">
        <v>5235</v>
      </c>
      <c r="AA763" s="39" t="s">
        <v>3561</v>
      </c>
    </row>
    <row r="764" spans="1:27" hidden="1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3514</v>
      </c>
      <c r="Y764" t="s">
        <v>175</v>
      </c>
      <c r="Z764">
        <v>7897</v>
      </c>
      <c r="AA764" s="39" t="s">
        <v>3561</v>
      </c>
    </row>
    <row r="765" spans="1:27" hidden="1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N765" s="5">
        <v>1</v>
      </c>
      <c r="S765" s="5">
        <f>SUM(bron[[#This Row],[Januari]:[December]])</f>
        <v>1</v>
      </c>
      <c r="T765" s="9">
        <v>45890</v>
      </c>
      <c r="U765" s="5" t="s">
        <v>1310</v>
      </c>
      <c r="V765" s="24">
        <v>1</v>
      </c>
      <c r="W765" s="24"/>
      <c r="X765" t="s">
        <v>3515</v>
      </c>
      <c r="Y765" t="s">
        <v>537</v>
      </c>
      <c r="Z765">
        <v>5239</v>
      </c>
      <c r="AA765" s="39" t="s">
        <v>3562</v>
      </c>
    </row>
    <row r="766" spans="1:27" hidden="1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3514</v>
      </c>
      <c r="Y766" t="s">
        <v>51</v>
      </c>
      <c r="Z766">
        <v>5767</v>
      </c>
      <c r="AA766" s="39" t="s">
        <v>3561</v>
      </c>
    </row>
    <row r="767" spans="1:27" hidden="1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3515</v>
      </c>
      <c r="Y767" t="s">
        <v>100</v>
      </c>
      <c r="Z767">
        <v>5260</v>
      </c>
      <c r="AA767" s="39" t="s">
        <v>3561</v>
      </c>
    </row>
    <row r="768" spans="1:27" hidden="1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3514</v>
      </c>
      <c r="Y768" t="s">
        <v>84</v>
      </c>
      <c r="Z768">
        <v>5911</v>
      </c>
      <c r="AA768" s="39" t="s">
        <v>3561</v>
      </c>
    </row>
    <row r="769" spans="1:27" hidden="1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3514</v>
      </c>
      <c r="Y769" t="s">
        <v>245</v>
      </c>
      <c r="Z769">
        <v>5772</v>
      </c>
      <c r="AA769" s="39" t="s">
        <v>3561</v>
      </c>
    </row>
    <row r="770" spans="1:27" hidden="1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3515</v>
      </c>
      <c r="Y770" t="s">
        <v>157</v>
      </c>
      <c r="Z770">
        <v>2208</v>
      </c>
      <c r="AA770" s="39" t="s">
        <v>3561</v>
      </c>
    </row>
    <row r="771" spans="1:27" hidden="1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3515</v>
      </c>
      <c r="Y771" t="s">
        <v>22</v>
      </c>
      <c r="Z771">
        <v>5042</v>
      </c>
      <c r="AA771" s="39" t="s">
        <v>3561</v>
      </c>
    </row>
    <row r="772" spans="1:27" hidden="1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3514</v>
      </c>
      <c r="Y772" t="s">
        <v>16</v>
      </c>
      <c r="Z772">
        <v>5909</v>
      </c>
      <c r="AA772" s="39" t="s">
        <v>3561</v>
      </c>
    </row>
    <row r="773" spans="1:27" hidden="1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3515</v>
      </c>
      <c r="Y773" t="s">
        <v>295</v>
      </c>
      <c r="Z773">
        <v>2196</v>
      </c>
      <c r="AA773" s="39" t="s">
        <v>3561</v>
      </c>
    </row>
    <row r="774" spans="1:27" hidden="1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3515</v>
      </c>
      <c r="Y774" t="s">
        <v>40</v>
      </c>
      <c r="Z774">
        <v>5039</v>
      </c>
      <c r="AA774" s="39" t="s">
        <v>3561</v>
      </c>
    </row>
    <row r="775" spans="1:27" hidden="1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3515</v>
      </c>
      <c r="Y775" t="s">
        <v>40</v>
      </c>
      <c r="Z775">
        <v>2198</v>
      </c>
      <c r="AA775" s="39" t="s">
        <v>3561</v>
      </c>
    </row>
    <row r="776" spans="1:27" hidden="1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3515</v>
      </c>
      <c r="Y776" t="s">
        <v>241</v>
      </c>
      <c r="Z776">
        <v>2204</v>
      </c>
      <c r="AA776" s="39" t="s">
        <v>3561</v>
      </c>
    </row>
    <row r="777" spans="1:27" hidden="1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3514</v>
      </c>
      <c r="Y777" t="s">
        <v>207</v>
      </c>
      <c r="Z777">
        <v>2546</v>
      </c>
      <c r="AA777" s="39" t="s">
        <v>3561</v>
      </c>
    </row>
    <row r="778" spans="1:27" hidden="1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3514</v>
      </c>
      <c r="Y778" t="s">
        <v>16</v>
      </c>
      <c r="Z778">
        <v>5929</v>
      </c>
      <c r="AA778" s="39" t="s">
        <v>3561</v>
      </c>
    </row>
    <row r="779" spans="1:27" hidden="1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/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>
        <v>45630</v>
      </c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3562</v>
      </c>
    </row>
    <row r="780" spans="1:27" hidden="1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3513</v>
      </c>
      <c r="Y780" t="s">
        <v>98</v>
      </c>
      <c r="Z780">
        <v>5259</v>
      </c>
      <c r="AA780" s="39" t="s">
        <v>3561</v>
      </c>
    </row>
    <row r="781" spans="1:27" hidden="1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3513</v>
      </c>
      <c r="Y781" t="s">
        <v>19</v>
      </c>
      <c r="Z781">
        <v>5043</v>
      </c>
      <c r="AA781" s="39" t="s">
        <v>3561</v>
      </c>
    </row>
    <row r="782" spans="1:27" hidden="1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3513</v>
      </c>
      <c r="Y782" t="s">
        <v>125</v>
      </c>
      <c r="Z782">
        <v>5630</v>
      </c>
      <c r="AA782" s="39" t="s">
        <v>3561</v>
      </c>
    </row>
    <row r="783" spans="1:27" hidden="1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3513</v>
      </c>
      <c r="Y783" t="s">
        <v>211</v>
      </c>
      <c r="Z783">
        <v>2208</v>
      </c>
      <c r="AA783" s="39" t="s">
        <v>3561</v>
      </c>
    </row>
    <row r="784" spans="1:27" hidden="1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3513</v>
      </c>
      <c r="Y784" t="s">
        <v>209</v>
      </c>
      <c r="Z784">
        <v>2190</v>
      </c>
      <c r="AA784" s="39" t="s">
        <v>3561</v>
      </c>
    </row>
    <row r="785" spans="1:27" hidden="1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3513</v>
      </c>
      <c r="Y785" t="s">
        <v>273</v>
      </c>
      <c r="Z785">
        <v>5325</v>
      </c>
      <c r="AA785" s="39" t="s">
        <v>3561</v>
      </c>
    </row>
    <row r="786" spans="1:27" hidden="1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3513</v>
      </c>
      <c r="Y786" t="s">
        <v>43</v>
      </c>
      <c r="Z786">
        <v>2196</v>
      </c>
      <c r="AA786" s="39" t="s">
        <v>3561</v>
      </c>
    </row>
    <row r="787" spans="1:27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/>
      <c r="G787" s="7"/>
      <c r="H787" s="7"/>
      <c r="I787" s="7"/>
      <c r="O787" s="5">
        <v>1</v>
      </c>
      <c r="S787" s="5">
        <f>SUM(bron[[#This Row],[Januari]:[December]])</f>
        <v>1</v>
      </c>
      <c r="T787" s="9">
        <v>45902</v>
      </c>
      <c r="U787" s="5" t="s">
        <v>3501</v>
      </c>
      <c r="V787" s="24">
        <v>1</v>
      </c>
      <c r="W787" s="24"/>
      <c r="X787" t="s">
        <v>3515</v>
      </c>
      <c r="Y787" t="s">
        <v>100</v>
      </c>
      <c r="Z787">
        <v>5263</v>
      </c>
      <c r="AA787" s="39" t="s">
        <v>3562</v>
      </c>
    </row>
    <row r="788" spans="1:27" hidden="1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3513</v>
      </c>
      <c r="Y788" t="s">
        <v>22</v>
      </c>
      <c r="Z788">
        <v>5046</v>
      </c>
      <c r="AA788" s="39" t="s">
        <v>3561</v>
      </c>
    </row>
    <row r="789" spans="1:27" hidden="1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3513</v>
      </c>
      <c r="Y789" t="s">
        <v>43</v>
      </c>
      <c r="Z789">
        <v>2198</v>
      </c>
      <c r="AA789" s="39" t="s">
        <v>3561</v>
      </c>
    </row>
    <row r="790" spans="1:27" hidden="1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3514</v>
      </c>
      <c r="Y790" t="s">
        <v>13</v>
      </c>
      <c r="Z790">
        <v>5932</v>
      </c>
      <c r="AA790" s="39" t="s">
        <v>3561</v>
      </c>
    </row>
    <row r="791" spans="1:27" hidden="1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3514</v>
      </c>
      <c r="Y791" t="s">
        <v>28</v>
      </c>
      <c r="Z791">
        <v>5771</v>
      </c>
      <c r="AA791" s="39" t="s">
        <v>3561</v>
      </c>
    </row>
    <row r="792" spans="1:27" hidden="1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3514</v>
      </c>
      <c r="Y792" t="s">
        <v>16</v>
      </c>
      <c r="Z792">
        <v>5923</v>
      </c>
      <c r="AA792" s="39" t="s">
        <v>3561</v>
      </c>
    </row>
    <row r="793" spans="1:27" hidden="1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3513</v>
      </c>
      <c r="Y793" t="s">
        <v>25</v>
      </c>
      <c r="Z793">
        <v>5045</v>
      </c>
      <c r="AA793" s="39" t="s">
        <v>3561</v>
      </c>
    </row>
    <row r="794" spans="1:27" hidden="1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3514</v>
      </c>
      <c r="Y794" t="s">
        <v>514</v>
      </c>
      <c r="Z794">
        <v>5923</v>
      </c>
      <c r="AA794" s="39" t="s">
        <v>3561</v>
      </c>
    </row>
    <row r="795" spans="1:27" hidden="1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3515</v>
      </c>
      <c r="Y795" t="s">
        <v>117</v>
      </c>
      <c r="Z795">
        <v>5237</v>
      </c>
      <c r="AA795" s="39" t="s">
        <v>3561</v>
      </c>
    </row>
    <row r="796" spans="1:27" hidden="1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3515</v>
      </c>
      <c r="Y796" t="s">
        <v>34</v>
      </c>
      <c r="Z796">
        <v>5237</v>
      </c>
      <c r="AA796" s="39" t="s">
        <v>3561</v>
      </c>
    </row>
    <row r="797" spans="1:27" hidden="1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3514</v>
      </c>
      <c r="Y797" t="s">
        <v>219</v>
      </c>
      <c r="Z797">
        <v>5925</v>
      </c>
      <c r="AA797" s="39" t="s">
        <v>3561</v>
      </c>
    </row>
    <row r="798" spans="1:27" hidden="1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3514</v>
      </c>
      <c r="Y798" t="s">
        <v>31</v>
      </c>
      <c r="Z798">
        <v>5926</v>
      </c>
      <c r="AA798" s="39" t="s">
        <v>3561</v>
      </c>
    </row>
    <row r="799" spans="1:27" hidden="1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3514</v>
      </c>
      <c r="Y799" t="s">
        <v>5</v>
      </c>
      <c r="Z799">
        <v>5048</v>
      </c>
      <c r="AA799" s="39" t="s">
        <v>3561</v>
      </c>
    </row>
    <row r="800" spans="1:27" hidden="1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3514</v>
      </c>
      <c r="Y800" t="s">
        <v>10</v>
      </c>
      <c r="Z800">
        <v>2549</v>
      </c>
      <c r="AA800" s="39" t="s">
        <v>3561</v>
      </c>
    </row>
    <row r="801" spans="1:27" hidden="1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3514</v>
      </c>
      <c r="Y801" t="s">
        <v>16</v>
      </c>
      <c r="Z801">
        <v>5929</v>
      </c>
      <c r="AA801" s="39" t="s">
        <v>3561</v>
      </c>
    </row>
    <row r="802" spans="1:27" hidden="1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3515</v>
      </c>
      <c r="Y802" t="s">
        <v>135</v>
      </c>
      <c r="Z802">
        <v>5324</v>
      </c>
      <c r="AA802" s="39" t="s">
        <v>3561</v>
      </c>
    </row>
    <row r="803" spans="1:27" hidden="1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3514</v>
      </c>
      <c r="Y803" t="s">
        <v>111</v>
      </c>
      <c r="Z803">
        <v>5928</v>
      </c>
      <c r="AA803" s="39" t="s">
        <v>3561</v>
      </c>
    </row>
    <row r="804" spans="1:27" hidden="1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3515</v>
      </c>
      <c r="Y804" t="s">
        <v>289</v>
      </c>
      <c r="Z804">
        <v>2194</v>
      </c>
      <c r="AA804" s="39" t="s">
        <v>3561</v>
      </c>
    </row>
    <row r="805" spans="1:27" hidden="1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3514</v>
      </c>
      <c r="Y805" t="s">
        <v>133</v>
      </c>
      <c r="Z805">
        <v>5912</v>
      </c>
      <c r="AA805" s="39" t="s">
        <v>3561</v>
      </c>
    </row>
    <row r="806" spans="1:27" hidden="1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3514</v>
      </c>
      <c r="Y806" t="s">
        <v>119</v>
      </c>
      <c r="Z806">
        <v>5766</v>
      </c>
      <c r="AA806" s="39" t="s">
        <v>3561</v>
      </c>
    </row>
    <row r="807" spans="1:27" hidden="1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3514</v>
      </c>
      <c r="Y807" t="s">
        <v>102</v>
      </c>
      <c r="Z807">
        <v>5770</v>
      </c>
      <c r="AA807" s="39" t="s">
        <v>3561</v>
      </c>
    </row>
    <row r="808" spans="1:27" hidden="1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3514</v>
      </c>
      <c r="Y808" t="s">
        <v>225</v>
      </c>
      <c r="Z808">
        <v>5909</v>
      </c>
      <c r="AA808" s="39" t="s">
        <v>3561</v>
      </c>
    </row>
    <row r="809" spans="1:27" hidden="1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3514</v>
      </c>
      <c r="Y809" t="s">
        <v>34</v>
      </c>
      <c r="Z809">
        <v>2548</v>
      </c>
      <c r="AA809" s="39" t="s">
        <v>3561</v>
      </c>
    </row>
    <row r="810" spans="1:27" hidden="1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3514</v>
      </c>
      <c r="Y810" t="s">
        <v>57</v>
      </c>
      <c r="Z810">
        <v>5935</v>
      </c>
      <c r="AA810" s="39" t="s">
        <v>3561</v>
      </c>
    </row>
    <row r="811" spans="1:27" hidden="1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3514</v>
      </c>
      <c r="Y811" t="s">
        <v>111</v>
      </c>
      <c r="Z811">
        <v>5767</v>
      </c>
      <c r="AA811" s="39" t="s">
        <v>3561</v>
      </c>
    </row>
    <row r="812" spans="1:27" hidden="1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3515</v>
      </c>
      <c r="Y812" t="s">
        <v>19</v>
      </c>
      <c r="Z812">
        <v>2200</v>
      </c>
      <c r="AA812" s="39" t="s">
        <v>3561</v>
      </c>
    </row>
    <row r="813" spans="1:27" hidden="1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3515</v>
      </c>
      <c r="Y813" t="s">
        <v>1252</v>
      </c>
      <c r="Z813">
        <v>5046</v>
      </c>
      <c r="AA813" s="39" t="s">
        <v>3561</v>
      </c>
    </row>
    <row r="814" spans="1:27" hidden="1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3514</v>
      </c>
      <c r="Y814" t="s">
        <v>213</v>
      </c>
      <c r="Z814">
        <v>5927</v>
      </c>
      <c r="AA814" s="39" t="s">
        <v>3561</v>
      </c>
    </row>
    <row r="815" spans="1:27" hidden="1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3514</v>
      </c>
      <c r="Y815" t="s">
        <v>261</v>
      </c>
      <c r="Z815">
        <v>5769</v>
      </c>
      <c r="AA815" s="39" t="s">
        <v>3561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3515</v>
      </c>
      <c r="Y816" t="s">
        <v>1288</v>
      </c>
      <c r="Z816">
        <v>5327</v>
      </c>
      <c r="AA816" t="s">
        <v>3561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3514</v>
      </c>
      <c r="Y817" t="s">
        <v>127</v>
      </c>
      <c r="Z817">
        <v>5929</v>
      </c>
      <c r="AA817" s="39" t="s">
        <v>3561</v>
      </c>
    </row>
    <row r="818" spans="1:27" hidden="1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3514</v>
      </c>
      <c r="Y818" t="s">
        <v>281</v>
      </c>
      <c r="Z818">
        <v>5924</v>
      </c>
      <c r="AA818" s="39" t="s">
        <v>3561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3508</v>
      </c>
      <c r="V819" s="24">
        <v>1</v>
      </c>
      <c r="W819" s="24"/>
      <c r="X819" t="s">
        <v>3513</v>
      </c>
      <c r="Y819" t="s">
        <v>119</v>
      </c>
      <c r="Z819">
        <v>5042</v>
      </c>
      <c r="AA819" t="s">
        <v>3561</v>
      </c>
    </row>
    <row r="820" spans="1:27" hidden="1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3514</v>
      </c>
      <c r="Y820" t="s">
        <v>131</v>
      </c>
      <c r="Z820">
        <v>5910</v>
      </c>
      <c r="AA820" s="39" t="s">
        <v>3561</v>
      </c>
    </row>
    <row r="821" spans="1:27" hidden="1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3514</v>
      </c>
      <c r="Y821" t="s">
        <v>283</v>
      </c>
      <c r="Z821">
        <v>5920</v>
      </c>
      <c r="AA821" s="39" t="s">
        <v>3561</v>
      </c>
    </row>
    <row r="822" spans="1:27" hidden="1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3514</v>
      </c>
      <c r="Y822" s="15" t="s">
        <v>121</v>
      </c>
      <c r="Z822">
        <v>5928</v>
      </c>
      <c r="AA822" s="39" t="s">
        <v>3561</v>
      </c>
    </row>
    <row r="823" spans="1:27" hidden="1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3514</v>
      </c>
      <c r="Y823" t="s">
        <v>131</v>
      </c>
      <c r="Z823">
        <v>5916</v>
      </c>
      <c r="AA823" s="39" t="s">
        <v>3561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3548</v>
      </c>
      <c r="V824" s="24">
        <v>1</v>
      </c>
      <c r="W824" s="24"/>
      <c r="X824" t="s">
        <v>3515</v>
      </c>
      <c r="Y824" t="s">
        <v>13</v>
      </c>
      <c r="Z824">
        <v>5259</v>
      </c>
      <c r="AA824" t="s">
        <v>3561</v>
      </c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3553</v>
      </c>
      <c r="V825" s="24">
        <v>1</v>
      </c>
      <c r="W825" s="24"/>
      <c r="X825" t="s">
        <v>3513</v>
      </c>
      <c r="Y825" t="s">
        <v>25</v>
      </c>
      <c r="Z825">
        <v>5237</v>
      </c>
      <c r="AA825" t="s">
        <v>3561</v>
      </c>
    </row>
    <row r="826" spans="1:27" hidden="1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3515</v>
      </c>
      <c r="Y826" t="s">
        <v>141</v>
      </c>
      <c r="Z826">
        <v>5271</v>
      </c>
      <c r="AA826" s="39" t="s">
        <v>3561</v>
      </c>
    </row>
    <row r="827" spans="1:27" hidden="1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/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>
        <v>45883</v>
      </c>
      <c r="U827" s="24" t="s">
        <v>1301</v>
      </c>
      <c r="V827" s="8">
        <v>1</v>
      </c>
      <c r="W827" s="8"/>
      <c r="X827" t="s">
        <v>3514</v>
      </c>
      <c r="Y827" t="s">
        <v>10</v>
      </c>
      <c r="Z827">
        <v>5927</v>
      </c>
      <c r="AA827" s="39" t="s">
        <v>3562</v>
      </c>
    </row>
    <row r="828" spans="1:27" hidden="1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3514</v>
      </c>
      <c r="Y828" t="s">
        <v>60</v>
      </c>
      <c r="Z828">
        <v>5909</v>
      </c>
      <c r="AA828" s="39" t="s">
        <v>3561</v>
      </c>
    </row>
    <row r="829" spans="1:27" hidden="1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3514</v>
      </c>
      <c r="Y829" t="s">
        <v>28</v>
      </c>
      <c r="Z829">
        <v>5489</v>
      </c>
      <c r="AA829" s="39" t="s">
        <v>3561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3515</v>
      </c>
      <c r="Y830" t="s">
        <v>399</v>
      </c>
      <c r="Z830">
        <v>5233</v>
      </c>
      <c r="AA830" t="s">
        <v>3561</v>
      </c>
    </row>
    <row r="831" spans="1:27" hidden="1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45864</v>
      </c>
      <c r="U831" s="8" t="s">
        <v>1302</v>
      </c>
      <c r="V831" s="24">
        <v>1</v>
      </c>
      <c r="W831" s="24"/>
      <c r="X831" t="s">
        <v>3514</v>
      </c>
      <c r="Y831" t="s">
        <v>108</v>
      </c>
      <c r="Z831">
        <v>5767</v>
      </c>
      <c r="AA831" s="39" t="s">
        <v>3562</v>
      </c>
    </row>
    <row r="832" spans="1:27" hidden="1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3514</v>
      </c>
      <c r="Y832" t="s">
        <v>34</v>
      </c>
      <c r="Z832">
        <v>5928</v>
      </c>
      <c r="AA832" s="39" t="s">
        <v>3561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3515</v>
      </c>
      <c r="Y833" t="s">
        <v>113</v>
      </c>
      <c r="Z833">
        <v>5052</v>
      </c>
      <c r="AA833" t="s">
        <v>3561</v>
      </c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3515</v>
      </c>
      <c r="Y834" t="s">
        <v>22</v>
      </c>
      <c r="Z834">
        <v>5238</v>
      </c>
      <c r="AA834" t="s">
        <v>3561</v>
      </c>
    </row>
    <row r="835" spans="1:27" hidden="1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3514</v>
      </c>
      <c r="Y835" t="s">
        <v>269</v>
      </c>
      <c r="Z835">
        <v>5919</v>
      </c>
      <c r="AA835" s="39" t="s">
        <v>3561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3515</v>
      </c>
      <c r="Y836" t="s">
        <v>560</v>
      </c>
      <c r="Z836">
        <v>5044</v>
      </c>
      <c r="AA836" t="s">
        <v>3561</v>
      </c>
    </row>
    <row r="837" spans="1:27" hidden="1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3514</v>
      </c>
      <c r="Y837" t="s">
        <v>145</v>
      </c>
      <c r="Z837">
        <v>8138</v>
      </c>
      <c r="AA837" s="39" t="s">
        <v>3561</v>
      </c>
    </row>
    <row r="838" spans="1:27" hidden="1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3514</v>
      </c>
      <c r="Y838" t="s">
        <v>183</v>
      </c>
      <c r="Z838">
        <v>7897</v>
      </c>
      <c r="AA838" s="39" t="s">
        <v>3561</v>
      </c>
    </row>
    <row r="839" spans="1:27" hidden="1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3514</v>
      </c>
      <c r="Y839" t="s">
        <v>57</v>
      </c>
      <c r="Z839">
        <v>5927</v>
      </c>
      <c r="AA839" s="39" t="s">
        <v>3561</v>
      </c>
    </row>
    <row r="840" spans="1:27" hidden="1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3514</v>
      </c>
      <c r="Y840" t="s">
        <v>46</v>
      </c>
      <c r="Z840">
        <v>8232</v>
      </c>
      <c r="AA840" s="39" t="s">
        <v>3561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3505</v>
      </c>
      <c r="V841" s="24">
        <v>1</v>
      </c>
      <c r="W841" s="24"/>
      <c r="X841" t="s">
        <v>3514</v>
      </c>
      <c r="Y841" t="s">
        <v>3506</v>
      </c>
      <c r="Z841">
        <v>550311</v>
      </c>
      <c r="AA841" t="s">
        <v>3561</v>
      </c>
    </row>
    <row r="842" spans="1:27" hidden="1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3514</v>
      </c>
      <c r="Y842" t="s">
        <v>54</v>
      </c>
      <c r="Z842">
        <v>5771</v>
      </c>
      <c r="AA842" s="39" t="s">
        <v>3561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3555</v>
      </c>
      <c r="V843" s="24">
        <v>1</v>
      </c>
      <c r="W843" s="24"/>
      <c r="X843" t="s">
        <v>3514</v>
      </c>
      <c r="Y843" t="s">
        <v>51</v>
      </c>
      <c r="Z843">
        <v>5763</v>
      </c>
      <c r="AA843" t="s">
        <v>3561</v>
      </c>
    </row>
    <row r="844" spans="1:27" hidden="1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3514</v>
      </c>
      <c r="Y844" t="s">
        <v>108</v>
      </c>
      <c r="Z844">
        <v>2546</v>
      </c>
      <c r="AA844" s="39" t="s">
        <v>3561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3513</v>
      </c>
      <c r="Y845" t="s">
        <v>5</v>
      </c>
      <c r="Z845">
        <v>2193</v>
      </c>
      <c r="AA845" t="s">
        <v>3561</v>
      </c>
    </row>
    <row r="846" spans="1:27" hidden="1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3514</v>
      </c>
      <c r="Y846" t="s">
        <v>57</v>
      </c>
      <c r="Z846">
        <v>5938</v>
      </c>
      <c r="AA846" s="39" t="s">
        <v>3561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3514</v>
      </c>
      <c r="Y847" t="s">
        <v>5</v>
      </c>
      <c r="Z847">
        <v>5765</v>
      </c>
      <c r="AA847" t="s">
        <v>3561</v>
      </c>
    </row>
    <row r="848" spans="1:27" hidden="1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3514</v>
      </c>
      <c r="Y848" t="s">
        <v>16</v>
      </c>
      <c r="Z848">
        <v>5921</v>
      </c>
      <c r="AA848" s="39" t="s">
        <v>3561</v>
      </c>
    </row>
    <row r="849" spans="1:27" hidden="1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3514</v>
      </c>
      <c r="Y849" t="s">
        <v>54</v>
      </c>
      <c r="Z849">
        <v>5923</v>
      </c>
      <c r="AA849" s="39" t="s">
        <v>3561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3515</v>
      </c>
      <c r="Y850" t="s">
        <v>51</v>
      </c>
      <c r="Z850">
        <v>5048</v>
      </c>
      <c r="AA850" t="s">
        <v>3561</v>
      </c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3514</v>
      </c>
      <c r="Y851" t="s">
        <v>243</v>
      </c>
      <c r="Z851">
        <v>5912</v>
      </c>
      <c r="AA851" t="s">
        <v>3561</v>
      </c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3514</v>
      </c>
      <c r="Y852" t="s">
        <v>1340</v>
      </c>
      <c r="Z852">
        <v>5938</v>
      </c>
      <c r="AA852" t="s">
        <v>3561</v>
      </c>
    </row>
    <row r="853" spans="1:27" hidden="1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/>
      <c r="G853" s="7"/>
      <c r="H853" s="7"/>
      <c r="I853" s="7"/>
      <c r="M853" s="5">
        <v>1</v>
      </c>
      <c r="S853" s="5">
        <f>SUM(bron[[#This Row],[Januari]:[December]])</f>
        <v>1</v>
      </c>
      <c r="T853" s="9">
        <v>45862</v>
      </c>
      <c r="U853" s="8" t="s">
        <v>1317</v>
      </c>
      <c r="V853" s="24">
        <v>1</v>
      </c>
      <c r="W853" s="24"/>
      <c r="X853" t="s">
        <v>3514</v>
      </c>
      <c r="Y853" t="s">
        <v>16</v>
      </c>
      <c r="Z853">
        <v>5924</v>
      </c>
      <c r="AA853" s="39" t="s">
        <v>3562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3502</v>
      </c>
      <c r="V854" s="24">
        <v>1</v>
      </c>
      <c r="W854" s="24"/>
      <c r="X854" t="s">
        <v>3514</v>
      </c>
      <c r="Y854" t="s">
        <v>10</v>
      </c>
      <c r="Z854">
        <v>2548</v>
      </c>
      <c r="AA854" t="s">
        <v>3561</v>
      </c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3514</v>
      </c>
      <c r="Y855" t="s">
        <v>293</v>
      </c>
      <c r="Z855">
        <v>8137</v>
      </c>
      <c r="AA855" t="s">
        <v>3561</v>
      </c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3554</v>
      </c>
      <c r="V856" s="24">
        <v>1</v>
      </c>
      <c r="W856" s="24"/>
      <c r="X856" t="s">
        <v>3514</v>
      </c>
      <c r="Y856" t="s">
        <v>3552</v>
      </c>
      <c r="Z856">
        <v>5488</v>
      </c>
      <c r="AA856" t="s">
        <v>3561</v>
      </c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45916</v>
      </c>
      <c r="U857" s="5" t="s">
        <v>3557</v>
      </c>
      <c r="V857" s="24"/>
      <c r="W857" s="24">
        <v>1</v>
      </c>
      <c r="X857" t="s">
        <v>3549</v>
      </c>
      <c r="Y857" t="s">
        <v>1314</v>
      </c>
      <c r="Z857">
        <v>6334</v>
      </c>
      <c r="AA857" t="s">
        <v>3562</v>
      </c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Diels Nick</v>
      </c>
      <c r="C858" t="str">
        <f>VLOOKUP(bron[[#This Row],[personeelsnr]],'data hastus'!$A:$C,2,0)</f>
        <v>Diels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3558</v>
      </c>
      <c r="V858" s="24">
        <v>1</v>
      </c>
      <c r="W858" s="24"/>
      <c r="X858" t="s">
        <v>3514</v>
      </c>
      <c r="Y858" t="s">
        <v>3559</v>
      </c>
      <c r="Z858">
        <v>4678</v>
      </c>
      <c r="AA858" s="39" t="s">
        <v>3561</v>
      </c>
    </row>
    <row r="859" spans="1:27" hidden="1" x14ac:dyDescent="0.25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10"/>
      <c r="G859" s="7"/>
      <c r="H859" s="7"/>
      <c r="I859" s="7"/>
      <c r="S859" s="5">
        <f>SUM(bron[[#This Row],[Januari]:[December]])</f>
        <v>0</v>
      </c>
      <c r="T859" s="9">
        <v>45912</v>
      </c>
      <c r="U859" s="5" t="s">
        <v>3564</v>
      </c>
      <c r="V859" s="24">
        <v>1</v>
      </c>
      <c r="W859" s="24"/>
      <c r="X859" t="s">
        <v>3515</v>
      </c>
      <c r="Y859" t="s">
        <v>48</v>
      </c>
      <c r="Z859">
        <v>5265</v>
      </c>
      <c r="AA859" s="39" t="s">
        <v>3561</v>
      </c>
    </row>
    <row r="860" spans="1:27" hidden="1" x14ac:dyDescent="0.25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10"/>
      <c r="G860" s="7"/>
      <c r="H860" s="7"/>
      <c r="I860" s="7"/>
      <c r="S860" s="5">
        <f>SUM(bron[[#This Row],[Januari]:[December]])</f>
        <v>0</v>
      </c>
      <c r="T860" s="9">
        <v>45917</v>
      </c>
      <c r="U860" s="5" t="s">
        <v>3565</v>
      </c>
      <c r="V860" s="24"/>
      <c r="W860" s="24"/>
      <c r="X860" t="s">
        <v>3514</v>
      </c>
      <c r="Y860" t="s">
        <v>3566</v>
      </c>
      <c r="Z860">
        <v>5913</v>
      </c>
      <c r="AA860" s="39" t="s">
        <v>3561</v>
      </c>
    </row>
    <row r="861" spans="1:27" hidden="1" x14ac:dyDescent="0.25">
      <c r="A861">
        <v>41101</v>
      </c>
      <c r="B861" t="str">
        <f>_xlfn.CONCAT(bron[[#This Row],[personeelsnr]]," ",bron[[#This Row],[achternaam]]," ",bron[[#This Row],[voornaam]])</f>
        <v>41101 Shah Sekandar</v>
      </c>
      <c r="C861" t="str">
        <f>VLOOKUP(bron[[#This Row],[personeelsnr]],'data hastus'!$A:$C,2,0)</f>
        <v>Shah</v>
      </c>
      <c r="D861" t="str">
        <f>VLOOKUP(bron[[#This Row],[personeelsnr]],'data hastus'!$A:$C,3,0)</f>
        <v>Sekandar</v>
      </c>
      <c r="E861" t="str">
        <f>VLOOKUP(bron[[#This Row],[personeelsnr]],'data hastus'!A:K,11,FALSE)</f>
        <v>Dominique De Clercq</v>
      </c>
      <c r="F861" s="10"/>
      <c r="G861" s="7"/>
      <c r="H861" s="7"/>
      <c r="I861" s="7"/>
      <c r="S861" s="5">
        <f>SUM(bron[[#This Row],[Januari]:[December]])</f>
        <v>0</v>
      </c>
      <c r="T861" s="9">
        <v>45912</v>
      </c>
      <c r="U861" s="5" t="s">
        <v>3569</v>
      </c>
      <c r="V861" s="24">
        <v>1</v>
      </c>
      <c r="W861" s="24"/>
      <c r="X861" t="s">
        <v>3515</v>
      </c>
      <c r="Y861" t="s">
        <v>100</v>
      </c>
      <c r="Z861">
        <v>2193</v>
      </c>
      <c r="AA861" s="39" t="s">
        <v>3561</v>
      </c>
    </row>
    <row r="862" spans="1:27" hidden="1" x14ac:dyDescent="0.25">
      <c r="A862">
        <v>34890</v>
      </c>
      <c r="B862" t="str">
        <f>_xlfn.CONCAT(bron[[#This Row],[personeelsnr]]," ",bron[[#This Row],[achternaam]]," ",bron[[#This Row],[voornaam]])</f>
        <v>34890 Sturtewagen Tom</v>
      </c>
      <c r="C862" t="str">
        <f>VLOOKUP(bron[[#This Row],[personeelsnr]],'data hastus'!$A:$C,2,0)</f>
        <v>Sturtewagen</v>
      </c>
      <c r="D862" t="str">
        <f>VLOOKUP(bron[[#This Row],[personeelsnr]],'data hastus'!$A:$C,3,0)</f>
        <v>Tom</v>
      </c>
      <c r="E862" t="str">
        <f>VLOOKUP(bron[[#This Row],[personeelsnr]],'data hastus'!A:K,11,FALSE)</f>
        <v>Bart Van Der Beken</v>
      </c>
      <c r="F862" s="10"/>
      <c r="G862" s="7"/>
      <c r="H862" s="7"/>
      <c r="I862" s="7"/>
      <c r="S862" s="5">
        <f>SUM(bron[[#This Row],[Januari]:[December]])</f>
        <v>0</v>
      </c>
      <c r="T862" s="9">
        <v>45869</v>
      </c>
      <c r="U862" s="5" t="s">
        <v>3623</v>
      </c>
      <c r="V862" s="24">
        <v>1</v>
      </c>
      <c r="W862" s="24"/>
      <c r="X862" t="s">
        <v>3515</v>
      </c>
      <c r="Y862" t="s">
        <v>514</v>
      </c>
      <c r="Z862">
        <v>5042</v>
      </c>
      <c r="AA862" s="39" t="s">
        <v>3561</v>
      </c>
    </row>
    <row r="863" spans="1:27" hidden="1" x14ac:dyDescent="0.25">
      <c r="A863">
        <v>41948</v>
      </c>
      <c r="B863" t="str">
        <f>_xlfn.CONCAT(bron[[#This Row],[personeelsnr]]," ",bron[[#This Row],[achternaam]]," ",bron[[#This Row],[voornaam]])</f>
        <v>41948 Vervaecke Wim</v>
      </c>
      <c r="C863" t="str">
        <f>VLOOKUP(bron[[#This Row],[personeelsnr]],'data hastus'!$A:$C,2,0)</f>
        <v>Vervaecke</v>
      </c>
      <c r="D863" t="str">
        <f>VLOOKUP(bron[[#This Row],[personeelsnr]],'data hastus'!$A:$C,3,0)</f>
        <v>Wim</v>
      </c>
      <c r="E863" t="str">
        <f>VLOOKUP(bron[[#This Row],[personeelsnr]],'data hastus'!A:K,11,FALSE)</f>
        <v>Els Dewulf</v>
      </c>
      <c r="F863" s="10"/>
      <c r="G863" s="7"/>
      <c r="H863" s="7"/>
      <c r="I863" s="7"/>
      <c r="S863" s="5">
        <f>SUM(bron[[#This Row],[Januari]:[December]])</f>
        <v>0</v>
      </c>
      <c r="T863" s="9">
        <v>45919</v>
      </c>
      <c r="U863" s="5" t="s">
        <v>3626</v>
      </c>
      <c r="V863" s="24">
        <v>1</v>
      </c>
      <c r="W863" s="24"/>
      <c r="X863" t="s">
        <v>3514</v>
      </c>
      <c r="Y863" t="s">
        <v>535</v>
      </c>
      <c r="Z863">
        <v>5488</v>
      </c>
      <c r="AA863" s="39" t="s">
        <v>3562</v>
      </c>
    </row>
    <row r="864" spans="1:27" hidden="1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t="str">
        <f>VLOOKUP(bron[[#This Row],[personeelsnr]],'data hastus'!A:K,11,FALSE)</f>
        <v>Christoff Rotty</v>
      </c>
      <c r="F864" s="10"/>
      <c r="G864" s="7"/>
      <c r="H864" s="7"/>
      <c r="I864" s="7"/>
      <c r="S864" s="5">
        <f>SUM(bron[[#This Row],[Januari]:[December]])</f>
        <v>0</v>
      </c>
      <c r="T864" s="9">
        <v>45917</v>
      </c>
      <c r="U864" s="5" t="s">
        <v>3627</v>
      </c>
      <c r="V864" s="24"/>
      <c r="W864" s="24"/>
      <c r="X864" t="s">
        <v>3514</v>
      </c>
      <c r="Y864" t="s">
        <v>28</v>
      </c>
      <c r="Z864">
        <v>5488</v>
      </c>
      <c r="AA864" s="39" t="s">
        <v>3561</v>
      </c>
    </row>
    <row r="865" spans="1:27" hidden="1" x14ac:dyDescent="0.25">
      <c r="A865">
        <v>42252</v>
      </c>
      <c r="B865" t="str">
        <f>_xlfn.CONCAT(bron[[#This Row],[personeelsnr]]," ",bron[[#This Row],[achternaam]]," ",bron[[#This Row],[voornaam]])</f>
        <v>42252 Sular Abdullah</v>
      </c>
      <c r="C865" t="str">
        <f>VLOOKUP(bron[[#This Row],[personeelsnr]],'data hastus'!$A:$C,2,0)</f>
        <v>Sular</v>
      </c>
      <c r="D865" t="str">
        <f>VLOOKUP(bron[[#This Row],[personeelsnr]],'data hastus'!$A:$C,3,0)</f>
        <v>Abdullah</v>
      </c>
      <c r="E865" t="str">
        <f>VLOOKUP(bron[[#This Row],[personeelsnr]],'data hastus'!A:K,11,FALSE)</f>
        <v>Christoff Rotty</v>
      </c>
      <c r="F865" s="10"/>
      <c r="G865" s="7"/>
      <c r="H865" s="7"/>
      <c r="I865" s="7"/>
      <c r="S865" s="5">
        <f>SUM(bron[[#This Row],[Januari]:[December]])</f>
        <v>0</v>
      </c>
      <c r="T865" s="9">
        <v>45922</v>
      </c>
      <c r="U865" s="5" t="s">
        <v>3628</v>
      </c>
      <c r="V865" s="24"/>
      <c r="W865" s="24"/>
      <c r="X865" t="s">
        <v>3514</v>
      </c>
      <c r="Y865" t="s">
        <v>3629</v>
      </c>
      <c r="Z865">
        <v>2047</v>
      </c>
      <c r="AA865" s="39" t="s">
        <v>3561</v>
      </c>
    </row>
    <row r="866" spans="1:27" hidden="1" x14ac:dyDescent="0.25">
      <c r="B866" t="e">
        <f>_xlfn.CONCAT(bron[[#This Row],[personeelsnr]]," ",bron[[#This Row],[achternaam]]," ",bron[[#This Row],[voornaam]])</f>
        <v>#N/A</v>
      </c>
      <c r="C866" t="e">
        <f>VLOOKUP(bron[[#This Row],[personeelsnr]],'data hastus'!$A:$C,2,0)</f>
        <v>#N/A</v>
      </c>
      <c r="D866" t="e">
        <f>VLOOKUP(bron[[#This Row],[personeelsnr]],'data hastus'!$A:$C,3,0)</f>
        <v>#N/A</v>
      </c>
      <c r="E866" t="e">
        <f>VLOOKUP(bron[[#This Row],[personeelsnr]],'data hastus'!A:K,11,FALSE)</f>
        <v>#N/A</v>
      </c>
      <c r="F866" s="10"/>
      <c r="G866" s="7"/>
      <c r="H866" s="7"/>
      <c r="I866" s="7"/>
      <c r="S866" s="5">
        <f>SUM(bron[[#This Row],[Januari]:[December]])</f>
        <v>0</v>
      </c>
      <c r="V866" s="24"/>
      <c r="W866" s="24"/>
    </row>
    <row r="867" spans="1:27" hidden="1" x14ac:dyDescent="0.25">
      <c r="B867" t="e">
        <f>_xlfn.CONCAT(bron[[#This Row],[personeelsnr]]," ",bron[[#This Row],[achternaam]]," ",bron[[#This Row],[voornaam]])</f>
        <v>#N/A</v>
      </c>
      <c r="C867" t="e">
        <f>VLOOKUP(bron[[#This Row],[personeelsnr]],'data hastus'!$A:$C,2,0)</f>
        <v>#N/A</v>
      </c>
      <c r="D867" t="e">
        <f>VLOOKUP(bron[[#This Row],[personeelsnr]],'data hastus'!$A:$C,3,0)</f>
        <v>#N/A</v>
      </c>
      <c r="E867" t="e">
        <f>VLOOKUP(bron[[#This Row],[personeelsnr]],'data hastus'!A:K,11,FALSE)</f>
        <v>#N/A</v>
      </c>
      <c r="F867" s="10"/>
      <c r="G867" s="7"/>
      <c r="H867" s="7"/>
      <c r="I867" s="7"/>
      <c r="S867" s="5">
        <f>SUM(bron[[#This Row],[Januari]:[December]])</f>
        <v>0</v>
      </c>
      <c r="V867" s="24"/>
      <c r="W867" s="24"/>
    </row>
    <row r="868" spans="1:27" hidden="1" x14ac:dyDescent="0.25">
      <c r="B868" t="e">
        <f>_xlfn.CONCAT(bron[[#This Row],[personeelsnr]]," ",bron[[#This Row],[achternaam]]," ",bron[[#This Row],[voornaam]])</f>
        <v>#N/A</v>
      </c>
      <c r="C868" t="e">
        <f>VLOOKUP(bron[[#This Row],[personeelsnr]],'data hastus'!$A:$C,2,0)</f>
        <v>#N/A</v>
      </c>
      <c r="D868" t="e">
        <f>VLOOKUP(bron[[#This Row],[personeelsnr]],'data hastus'!$A:$C,3,0)</f>
        <v>#N/A</v>
      </c>
      <c r="E868" t="e">
        <f>VLOOKUP(bron[[#This Row],[personeelsnr]],'data hastus'!A:K,11,FALSE)</f>
        <v>#N/A</v>
      </c>
      <c r="F868" s="10"/>
      <c r="G868" s="7"/>
      <c r="H868" s="7"/>
      <c r="I868" s="7"/>
      <c r="S868" s="5">
        <f>SUM(bron[[#This Row],[Januari]:[December]])</f>
        <v>0</v>
      </c>
      <c r="V868" s="24"/>
      <c r="W868" s="24"/>
    </row>
    <row r="869" spans="1:27" hidden="1" x14ac:dyDescent="0.25">
      <c r="B869" t="e">
        <f>_xlfn.CONCAT(bron[[#This Row],[personeelsnr]]," ",bron[[#This Row],[achternaam]]," ",bron[[#This Row],[voornaam]])</f>
        <v>#N/A</v>
      </c>
      <c r="C869" t="e">
        <f>VLOOKUP(bron[[#This Row],[personeelsnr]],'data hastus'!$A:$C,2,0)</f>
        <v>#N/A</v>
      </c>
      <c r="D869" t="e">
        <f>VLOOKUP(bron[[#This Row],[personeelsnr]],'data hastus'!$A:$C,3,0)</f>
        <v>#N/A</v>
      </c>
      <c r="E869" t="e">
        <f>VLOOKUP(bron[[#This Row],[personeelsnr]],'data hastus'!A:K,11,FALSE)</f>
        <v>#N/A</v>
      </c>
      <c r="F869" s="10"/>
      <c r="G869" s="7"/>
      <c r="H869" s="7"/>
      <c r="I869" s="7"/>
      <c r="S869" s="5">
        <f>SUM(bron[[#This Row],[Januari]:[December]])</f>
        <v>0</v>
      </c>
      <c r="V869" s="24"/>
      <c r="W869" s="24"/>
    </row>
    <row r="870" spans="1:27" hidden="1" x14ac:dyDescent="0.25">
      <c r="B870" t="e">
        <f>_xlfn.CONCAT(bron[[#This Row],[personeelsnr]]," ",bron[[#This Row],[achternaam]]," ",bron[[#This Row],[voornaam]])</f>
        <v>#N/A</v>
      </c>
      <c r="C870" t="e">
        <f>VLOOKUP(bron[[#This Row],[personeelsnr]],'data hastus'!$A:$C,2,0)</f>
        <v>#N/A</v>
      </c>
      <c r="D870" t="e">
        <f>VLOOKUP(bron[[#This Row],[personeelsnr]],'data hastus'!$A:$C,3,0)</f>
        <v>#N/A</v>
      </c>
      <c r="E870" t="e">
        <f>VLOOKUP(bron[[#This Row],[personeelsnr]],'data hastus'!A:K,11,FALSE)</f>
        <v>#N/A</v>
      </c>
      <c r="F870" s="10"/>
      <c r="G870" s="7"/>
      <c r="H870" s="7"/>
      <c r="I870" s="7"/>
      <c r="S870" s="5">
        <f>SUM(bron[[#This Row],[Januari]:[December]])</f>
        <v>0</v>
      </c>
      <c r="V870" s="24"/>
      <c r="W870" s="24"/>
    </row>
    <row r="871" spans="1:27" hidden="1" x14ac:dyDescent="0.25">
      <c r="B871" t="e">
        <f>_xlfn.CONCAT(bron[[#This Row],[personeelsnr]]," ",bron[[#This Row],[achternaam]]," ",bron[[#This Row],[voornaam]])</f>
        <v>#N/A</v>
      </c>
      <c r="C871" t="e">
        <f>VLOOKUP(bron[[#This Row],[personeelsnr]],'data hastus'!$A:$C,2,0)</f>
        <v>#N/A</v>
      </c>
      <c r="D871" t="e">
        <f>VLOOKUP(bron[[#This Row],[personeelsnr]],'data hastus'!$A:$C,3,0)</f>
        <v>#N/A</v>
      </c>
      <c r="E871" t="e">
        <f>VLOOKUP(bron[[#This Row],[personeelsnr]],'data hastus'!A:K,11,FALSE)</f>
        <v>#N/A</v>
      </c>
      <c r="F871" s="10"/>
      <c r="G871" s="7"/>
      <c r="H871" s="7"/>
      <c r="I871" s="7"/>
      <c r="S871" s="5">
        <f>SUM(bron[[#This Row],[Januari]:[December]])</f>
        <v>0</v>
      </c>
      <c r="V871" s="24"/>
      <c r="W871" s="24"/>
    </row>
    <row r="872" spans="1:27" x14ac:dyDescent="0.25">
      <c r="A872">
        <v>31360</v>
      </c>
      <c r="B872" t="str">
        <f>_xlfn.CONCAT(bron[[#This Row],[personeelsnr]]," ",bron[[#This Row],[achternaam]]," ",bron[[#This Row],[voornaam]])</f>
        <v>31360 Simsek Fatih</v>
      </c>
      <c r="C872" t="str">
        <f>VLOOKUP(bron[[#This Row],[personeelsnr]],'data hastus'!$A:$C,2,0)</f>
        <v>Simsek</v>
      </c>
      <c r="D872" t="str">
        <f>VLOOKUP(bron[[#This Row],[personeelsnr]],'data hastus'!$A:$C,3,0)</f>
        <v>Fatih</v>
      </c>
      <c r="E872" t="str">
        <f>VLOOKUP(bron[[#This Row],[personeelsnr]],'data hastus'!A:K,11,FALSE)</f>
        <v>Dominique De Clercq</v>
      </c>
      <c r="F872" s="10"/>
      <c r="G872" s="7"/>
      <c r="H872" s="7"/>
      <c r="I872" s="7"/>
      <c r="S872" s="41">
        <f>SUM(bron[[#This Row],[Januari]:[December]])</f>
        <v>0</v>
      </c>
      <c r="T872" s="9">
        <v>45922</v>
      </c>
      <c r="U872" s="5" t="s">
        <v>3630</v>
      </c>
      <c r="V872" s="24"/>
      <c r="W872" s="24"/>
      <c r="X872" t="s">
        <v>3550</v>
      </c>
      <c r="Y872" t="s">
        <v>5</v>
      </c>
      <c r="Z872">
        <v>6375</v>
      </c>
      <c r="AA872" s="39" t="s">
        <v>3561</v>
      </c>
    </row>
  </sheetData>
  <sheetProtection sort="0" autoFilter="0"/>
  <phoneticPr fontId="1" type="noConversion"/>
  <conditionalFormatting sqref="F2:F872">
    <cfRule type="cellIs" dxfId="16" priority="5" operator="equal">
      <formula>0</formula>
    </cfRule>
    <cfRule type="cellIs" dxfId="15" priority="7" operator="between">
      <formula>1</formula>
      <formula>4</formula>
    </cfRule>
    <cfRule type="cellIs" dxfId="14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3567</v>
      </c>
    </row>
    <row r="39" spans="1:3" x14ac:dyDescent="0.25">
      <c r="A39">
        <v>23079</v>
      </c>
      <c r="B39" t="s">
        <v>3545</v>
      </c>
      <c r="C39" s="8" t="s">
        <v>3568</v>
      </c>
    </row>
    <row r="40" spans="1:3" x14ac:dyDescent="0.25">
      <c r="A40">
        <v>40152</v>
      </c>
      <c r="B40" t="s">
        <v>3624</v>
      </c>
      <c r="C40" s="8" t="s">
        <v>3625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5" priority="1" operator="equal">
      <formula>0</formula>
    </cfRule>
    <cfRule type="cellIs" dxfId="4" priority="2" operator="between">
      <formula>1</formula>
      <formula>4</formula>
    </cfRule>
    <cfRule type="cellIs" dxfId="3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3570</v>
      </c>
      <c r="C40" t="s">
        <v>3571</v>
      </c>
      <c r="D40" s="3">
        <v>38253</v>
      </c>
      <c r="E40" t="s">
        <v>1400</v>
      </c>
      <c r="G40" s="3">
        <v>45918</v>
      </c>
      <c r="H40" t="s">
        <v>3572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3573</v>
      </c>
      <c r="J41" t="s">
        <v>1857</v>
      </c>
      <c r="K41" t="s">
        <v>61</v>
      </c>
      <c r="L41" s="3">
        <v>1</v>
      </c>
      <c r="M41" s="3">
        <v>1</v>
      </c>
      <c r="N41" t="s">
        <v>3574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3575</v>
      </c>
      <c r="C42" t="s">
        <v>3576</v>
      </c>
      <c r="D42" s="3">
        <v>30518</v>
      </c>
      <c r="E42" t="s">
        <v>1400</v>
      </c>
      <c r="G42" s="3">
        <v>45918</v>
      </c>
      <c r="H42" t="s">
        <v>3577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3578</v>
      </c>
      <c r="D43" s="3">
        <v>36642</v>
      </c>
      <c r="E43" t="s">
        <v>1400</v>
      </c>
      <c r="G43" s="3">
        <v>45903</v>
      </c>
      <c r="H43" t="s">
        <v>3579</v>
      </c>
      <c r="J43" t="s">
        <v>1857</v>
      </c>
      <c r="K43" t="s">
        <v>61</v>
      </c>
      <c r="L43" s="3">
        <v>1</v>
      </c>
      <c r="M43" s="3">
        <v>1</v>
      </c>
      <c r="N43" t="s">
        <v>3580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3581</v>
      </c>
      <c r="C44" t="s">
        <v>3460</v>
      </c>
      <c r="D44" s="3">
        <v>37782</v>
      </c>
      <c r="E44" t="s">
        <v>1400</v>
      </c>
      <c r="G44" s="3">
        <v>45903</v>
      </c>
      <c r="H44" t="s">
        <v>3582</v>
      </c>
      <c r="J44" t="s">
        <v>1857</v>
      </c>
      <c r="K44" t="s">
        <v>61</v>
      </c>
      <c r="L44" s="3">
        <v>1</v>
      </c>
      <c r="M44" s="3">
        <v>1</v>
      </c>
      <c r="N44" t="s">
        <v>3583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3584</v>
      </c>
      <c r="C45" t="s">
        <v>1684</v>
      </c>
      <c r="D45" s="3">
        <v>24857</v>
      </c>
      <c r="E45" t="s">
        <v>1400</v>
      </c>
      <c r="G45" s="3">
        <v>45903</v>
      </c>
      <c r="H45" t="s">
        <v>3585</v>
      </c>
      <c r="J45" t="s">
        <v>1857</v>
      </c>
      <c r="K45" t="s">
        <v>64</v>
      </c>
      <c r="L45" s="3">
        <v>1</v>
      </c>
      <c r="M45" s="3">
        <v>1</v>
      </c>
      <c r="N45" t="s">
        <v>3586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3587</v>
      </c>
      <c r="D46" s="3">
        <v>37215</v>
      </c>
      <c r="E46" t="s">
        <v>1400</v>
      </c>
      <c r="G46" s="3">
        <v>45903</v>
      </c>
      <c r="H46" t="s">
        <v>3588</v>
      </c>
      <c r="J46" t="s">
        <v>1857</v>
      </c>
      <c r="K46" t="s">
        <v>70</v>
      </c>
      <c r="L46" s="3">
        <v>1</v>
      </c>
      <c r="M46" s="3">
        <v>1</v>
      </c>
      <c r="N46" t="s">
        <v>3589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3590</v>
      </c>
      <c r="C47" t="s">
        <v>3591</v>
      </c>
      <c r="D47" s="3">
        <v>36604</v>
      </c>
      <c r="E47" t="s">
        <v>1400</v>
      </c>
      <c r="G47" s="3">
        <v>45889</v>
      </c>
      <c r="H47" t="s">
        <v>3592</v>
      </c>
      <c r="J47" t="s">
        <v>1857</v>
      </c>
      <c r="K47" t="s">
        <v>64</v>
      </c>
      <c r="L47" s="3">
        <v>1</v>
      </c>
      <c r="M47" s="3">
        <v>1</v>
      </c>
      <c r="N47" t="s">
        <v>3593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3594</v>
      </c>
      <c r="C48" t="s">
        <v>3595</v>
      </c>
      <c r="D48" s="3">
        <v>37251</v>
      </c>
      <c r="E48" t="s">
        <v>1400</v>
      </c>
      <c r="G48" s="3">
        <v>45903</v>
      </c>
      <c r="H48" t="s">
        <v>3596</v>
      </c>
      <c r="J48" t="s">
        <v>1408</v>
      </c>
      <c r="K48" t="s">
        <v>55</v>
      </c>
      <c r="L48" s="3">
        <v>1</v>
      </c>
      <c r="M48" s="3">
        <v>1</v>
      </c>
      <c r="N48" t="s">
        <v>3597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3598</v>
      </c>
      <c r="C49" t="s">
        <v>3599</v>
      </c>
      <c r="D49" s="3">
        <v>33465</v>
      </c>
      <c r="E49" t="s">
        <v>1400</v>
      </c>
      <c r="G49" s="3">
        <v>45889</v>
      </c>
      <c r="H49" t="s">
        <v>3600</v>
      </c>
      <c r="J49" t="s">
        <v>1408</v>
      </c>
      <c r="K49" t="s">
        <v>70</v>
      </c>
      <c r="L49" s="3">
        <v>1</v>
      </c>
      <c r="M49" s="3">
        <v>1</v>
      </c>
      <c r="N49" t="s">
        <v>3601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3602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3603</v>
      </c>
      <c r="C53" t="s">
        <v>3604</v>
      </c>
      <c r="D53" s="3">
        <v>35367</v>
      </c>
      <c r="E53" t="s">
        <v>1400</v>
      </c>
      <c r="G53" s="3">
        <v>45889</v>
      </c>
      <c r="H53" t="s">
        <v>3605</v>
      </c>
      <c r="J53" t="s">
        <v>1408</v>
      </c>
      <c r="K53" t="s">
        <v>58</v>
      </c>
      <c r="L53" s="3">
        <v>1</v>
      </c>
      <c r="M53" s="3">
        <v>1</v>
      </c>
      <c r="N53" t="s">
        <v>3606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3607</v>
      </c>
      <c r="C54" t="s">
        <v>3608</v>
      </c>
      <c r="D54" s="3">
        <v>32154</v>
      </c>
      <c r="E54" t="s">
        <v>1400</v>
      </c>
      <c r="G54" s="3">
        <v>45889</v>
      </c>
      <c r="H54" t="s">
        <v>3609</v>
      </c>
      <c r="J54" t="s">
        <v>1408</v>
      </c>
      <c r="K54" t="s">
        <v>55</v>
      </c>
      <c r="L54" s="3">
        <v>1</v>
      </c>
      <c r="M54" s="3">
        <v>1</v>
      </c>
      <c r="N54" t="s">
        <v>3610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3611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3612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3613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3614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3615</v>
      </c>
      <c r="J151" t="s">
        <v>1857</v>
      </c>
      <c r="K151" t="s">
        <v>55</v>
      </c>
      <c r="L151" s="3">
        <v>47302</v>
      </c>
      <c r="M151" s="3">
        <v>47100</v>
      </c>
      <c r="N151" t="s">
        <v>3616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3617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3618</v>
      </c>
      <c r="C270" t="s">
        <v>3619</v>
      </c>
      <c r="D270" s="3">
        <v>36246</v>
      </c>
      <c r="E270" t="s">
        <v>1400</v>
      </c>
      <c r="G270" s="3">
        <v>44312</v>
      </c>
      <c r="H270" t="s">
        <v>3620</v>
      </c>
      <c r="J270" t="s">
        <v>1408</v>
      </c>
      <c r="K270" t="s">
        <v>58</v>
      </c>
      <c r="L270" s="3">
        <v>46152</v>
      </c>
      <c r="M270" s="3">
        <v>46090</v>
      </c>
      <c r="N270" t="s">
        <v>3621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3622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2025-09-23T06:30:54Z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