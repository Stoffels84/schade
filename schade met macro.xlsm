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5" documentId="8_{21511603-A870-4D4C-809B-4C28D285AF8F}" xr6:coauthVersionLast="47" xr6:coauthVersionMax="47" xr10:uidLastSave="{52F1E3A0-7D93-4A67-A9CF-87B83A86030E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7" i="1" l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<sst xmlns="http://schemas.openxmlformats.org/spreadsheetml/2006/main" count="8445" uniqueCount="3646">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</sst>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19</v>
          </cell>
        </row>
        <row r="6">
          <cell r="A6">
            <v>13</v>
          </cell>
          <cell r="B6" t="str">
            <v>Dominique De Clercq</v>
          </cell>
          <cell r="D6">
            <v>30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42578125" style="27" bestFit="1" customWidth="1"/>
    <col min="10" max="10" width="16.28515625" style="27" bestFit="1" customWidth="1"/>
    <col min="11" max="11" width="5.5703125" style="27" bestFit="1" customWidth="1"/>
    <col min="12" max="12" width="10.140625" style="27" bestFit="1" customWidth="1"/>
    <col min="13" max="13" width="18.85546875" style="27" bestFit="1" customWidth="1"/>
    <col min="14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1" t="s">
        <v>45</v>
      </c>
      <c r="D26">
        <v>3</v>
      </c>
      <c r="F26" s="2" t="s">
        <v>46</v>
      </c>
      <c r="G26">
        <v>5</v>
      </c>
    </row>
    <row r="27" spans="2:11" x14ac:dyDescent="0.25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1" t="s">
        <v>85</v>
      </c>
      <c r="D40">
        <v>2</v>
      </c>
      <c r="F40" s="2" t="s">
        <v>86</v>
      </c>
      <c r="G40">
        <v>2</v>
      </c>
    </row>
    <row r="41" spans="3:15" x14ac:dyDescent="0.25">
      <c r="C41" s="34" t="s">
        <v>87</v>
      </c>
      <c r="D41">
        <v>2</v>
      </c>
      <c r="F41" s="2" t="s">
        <v>88</v>
      </c>
      <c r="G41">
        <v>2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19</v>
      </c>
      <c r="N43" s="13" t="str">
        <f>'[1]Ingeplande per TC'!$B$3</f>
        <v>Bart Van der Beken</v>
      </c>
      <c r="O43" s="13"/>
    </row>
    <row r="44" spans="3:15" x14ac:dyDescent="0.25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30</v>
      </c>
      <c r="N46" s="13" t="str">
        <f>'[1]Ingeplande per TC'!$B$6</f>
        <v>Dominique De Clercq</v>
      </c>
      <c r="O46" s="13"/>
    </row>
    <row r="47" spans="3:15" x14ac:dyDescent="0.25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22</v>
      </c>
      <c r="N49" s="13" t="str">
        <f>'[1]Ingeplande per TC'!$B$9</f>
        <v>Kenneth De Rick</v>
      </c>
      <c r="O49" s="13"/>
    </row>
    <row r="50" spans="3:15" x14ac:dyDescent="0.25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168</v>
      </c>
      <c r="N50" s="14" t="s">
        <v>109</v>
      </c>
      <c r="O50" s="14"/>
    </row>
    <row r="51" spans="3:15" x14ac:dyDescent="0.25">
      <c r="C51" s="31" t="s">
        <v>110</v>
      </c>
      <c r="D51">
        <v>2</v>
      </c>
      <c r="F51" s="2" t="s">
        <v>111</v>
      </c>
      <c r="G51">
        <v>2</v>
      </c>
    </row>
    <row r="52" spans="3:15" x14ac:dyDescent="0.25">
      <c r="C52" s="34" t="s">
        <v>112</v>
      </c>
      <c r="D52">
        <v>2</v>
      </c>
      <c r="F52" s="2" t="s">
        <v>113</v>
      </c>
      <c r="G52">
        <v>2</v>
      </c>
    </row>
    <row r="53" spans="3:15" x14ac:dyDescent="0.25">
      <c r="C53" s="31" t="s">
        <v>114</v>
      </c>
      <c r="D53">
        <v>2</v>
      </c>
      <c r="F53" s="2" t="s">
        <v>115</v>
      </c>
      <c r="G53">
        <v>2</v>
      </c>
    </row>
    <row r="54" spans="3:15" x14ac:dyDescent="0.25">
      <c r="C54" s="34" t="s">
        <v>116</v>
      </c>
      <c r="D54">
        <v>2</v>
      </c>
      <c r="F54" s="2" t="s">
        <v>117</v>
      </c>
      <c r="G54">
        <v>2</v>
      </c>
    </row>
    <row r="55" spans="3:15" x14ac:dyDescent="0.25">
      <c r="C55" s="34" t="s">
        <v>118</v>
      </c>
      <c r="D55">
        <v>2</v>
      </c>
      <c r="F55" s="2" t="s">
        <v>119</v>
      </c>
      <c r="G55">
        <v>2</v>
      </c>
    </row>
    <row r="56" spans="3:15" x14ac:dyDescent="0.25">
      <c r="C56" s="34" t="s">
        <v>120</v>
      </c>
      <c r="D56">
        <v>2</v>
      </c>
      <c r="F56" s="2" t="s">
        <v>121</v>
      </c>
      <c r="G56">
        <v>2</v>
      </c>
    </row>
    <row r="57" spans="3:15" x14ac:dyDescent="0.25">
      <c r="C57" s="31" t="s">
        <v>122</v>
      </c>
      <c r="D57">
        <v>2</v>
      </c>
      <c r="F57" s="2" t="s">
        <v>123</v>
      </c>
      <c r="G57">
        <v>2</v>
      </c>
    </row>
    <row r="58" spans="3:15" x14ac:dyDescent="0.25">
      <c r="C58" s="31" t="s">
        <v>124</v>
      </c>
      <c r="D58">
        <v>2</v>
      </c>
      <c r="F58" s="2" t="s">
        <v>125</v>
      </c>
      <c r="G58">
        <v>2</v>
      </c>
    </row>
    <row r="59" spans="3:15" x14ac:dyDescent="0.25">
      <c r="C59" s="34" t="s">
        <v>126</v>
      </c>
      <c r="D59">
        <v>2</v>
      </c>
      <c r="F59" s="2" t="s">
        <v>127</v>
      </c>
      <c r="G59">
        <v>2</v>
      </c>
    </row>
    <row r="60" spans="3:15" x14ac:dyDescent="0.25">
      <c r="C60" s="31" t="s">
        <v>128</v>
      </c>
      <c r="D60">
        <v>2</v>
      </c>
      <c r="F60" s="2" t="s">
        <v>129</v>
      </c>
      <c r="G60">
        <v>2</v>
      </c>
    </row>
    <row r="61" spans="3:15" x14ac:dyDescent="0.25">
      <c r="C61" s="31" t="s">
        <v>130</v>
      </c>
      <c r="D61">
        <v>2</v>
      </c>
      <c r="F61" s="2" t="s">
        <v>131</v>
      </c>
      <c r="G61">
        <v>2</v>
      </c>
    </row>
    <row r="62" spans="3:15" x14ac:dyDescent="0.25">
      <c r="C62" s="34" t="s">
        <v>132</v>
      </c>
      <c r="D62">
        <v>2</v>
      </c>
      <c r="F62" s="2" t="s">
        <v>133</v>
      </c>
      <c r="G62">
        <v>2</v>
      </c>
    </row>
    <row r="63" spans="3:15" x14ac:dyDescent="0.25">
      <c r="C63" s="34" t="s">
        <v>134</v>
      </c>
      <c r="D63">
        <v>2</v>
      </c>
      <c r="F63" s="2" t="s">
        <v>135</v>
      </c>
      <c r="G63">
        <v>2</v>
      </c>
    </row>
    <row r="64" spans="3:15" x14ac:dyDescent="0.25">
      <c r="C64" s="31" t="s">
        <v>136</v>
      </c>
      <c r="D64">
        <v>2</v>
      </c>
      <c r="F64" s="2" t="s">
        <v>137</v>
      </c>
      <c r="G64">
        <v>1</v>
      </c>
    </row>
    <row r="65" spans="3:7" x14ac:dyDescent="0.25">
      <c r="C65" s="34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383" activePane="bottomLeft" state="frozen"/>
      <selection activeCell="F1" sqref="F1"/>
      <selection pane="bottomLeft" activeCell="Z856" sqref="Z856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8" t="s">
        <v>373</v>
      </c>
      <c r="G1" s="39" t="s">
        <v>374</v>
      </c>
      <c r="H1" s="39" t="s">
        <v>375</v>
      </c>
      <c r="I1" s="39" t="s">
        <v>376</v>
      </c>
      <c r="J1" s="36" t="s">
        <v>377</v>
      </c>
      <c r="K1" s="36" t="s">
        <v>378</v>
      </c>
      <c r="L1" s="36" t="s">
        <v>379</v>
      </c>
      <c r="M1" s="36" t="s">
        <v>380</v>
      </c>
      <c r="N1" s="36" t="s">
        <v>381</v>
      </c>
      <c r="O1" s="36" t="s">
        <v>382</v>
      </c>
      <c r="P1" s="36" t="s">
        <v>383</v>
      </c>
      <c r="Q1" s="36" t="s">
        <v>384</v>
      </c>
      <c r="R1" s="36" t="s">
        <v>385</v>
      </c>
      <c r="S1" s="36" t="s">
        <v>386</v>
      </c>
      <c r="T1" s="40" t="s">
        <v>387</v>
      </c>
      <c r="U1" s="26" t="s">
        <v>388</v>
      </c>
      <c r="V1" s="36" t="s">
        <v>7</v>
      </c>
      <c r="W1" s="36" t="s">
        <v>8</v>
      </c>
      <c r="X1" t="s">
        <v>389</v>
      </c>
      <c r="Y1" t="s">
        <v>390</v>
      </c>
      <c r="Z1" s="2" t="s">
        <v>3556</v>
      </c>
      <c r="AA1" s="42" t="s">
        <v>3633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1339</v>
      </c>
      <c r="V840" s="37">
        <v>1</v>
      </c>
      <c r="W840" s="37"/>
      <c r="X840" t="s">
        <v>3514</v>
      </c>
      <c r="Y840" t="s">
        <v>1340</v>
      </c>
      <c r="Z840" s="2">
        <v>5938</v>
      </c>
      <c r="AA840" s="42" t="s">
        <v>3560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3501</v>
      </c>
      <c r="V841" s="37">
        <v>1</v>
      </c>
      <c r="W841" s="37"/>
      <c r="X841" t="s">
        <v>3515</v>
      </c>
      <c r="Y841" t="s">
        <v>100</v>
      </c>
      <c r="Z841" s="2">
        <v>5263</v>
      </c>
      <c r="AA841" s="42" t="s">
        <v>3560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3501</v>
      </c>
      <c r="V842" s="37">
        <v>1</v>
      </c>
      <c r="W842" s="37"/>
      <c r="X842" t="s">
        <v>3515</v>
      </c>
      <c r="Y842" t="s">
        <v>100</v>
      </c>
      <c r="Z842" s="2">
        <v>5263</v>
      </c>
      <c r="AA842" s="43" t="s">
        <v>3561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1341</v>
      </c>
      <c r="V843" s="37">
        <v>1</v>
      </c>
      <c r="W843" s="37"/>
      <c r="X843" t="s">
        <v>3515</v>
      </c>
      <c r="Y843" t="s">
        <v>399</v>
      </c>
      <c r="Z843" s="2">
        <v>5233</v>
      </c>
      <c r="AA843" s="42" t="s">
        <v>3560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3505</v>
      </c>
      <c r="V844" s="37">
        <v>1</v>
      </c>
      <c r="W844" s="37"/>
      <c r="X844" t="s">
        <v>3514</v>
      </c>
      <c r="Y844" t="s">
        <v>3506</v>
      </c>
      <c r="Z844" s="2">
        <v>550311</v>
      </c>
      <c r="AA844" s="42" t="s">
        <v>3560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3498</v>
      </c>
      <c r="V845" s="37">
        <v>1</v>
      </c>
      <c r="W845" s="37"/>
      <c r="X845" t="s">
        <v>3513</v>
      </c>
      <c r="Y845" t="s">
        <v>3499</v>
      </c>
      <c r="Z845" s="2">
        <v>5324</v>
      </c>
      <c r="AA845" s="42" t="s">
        <v>3560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3511</v>
      </c>
      <c r="V846" s="37"/>
      <c r="W846" s="37">
        <v>1</v>
      </c>
      <c r="X846" t="s">
        <v>3549</v>
      </c>
      <c r="Y846" t="s">
        <v>3512</v>
      </c>
      <c r="Z846" s="2">
        <v>6319</v>
      </c>
      <c r="AA846" s="43" t="s">
        <v>3560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3500</v>
      </c>
      <c r="V847" s="37"/>
      <c r="W847" s="37">
        <v>1</v>
      </c>
      <c r="X847" t="s">
        <v>3549</v>
      </c>
      <c r="Y847" t="s">
        <v>5</v>
      </c>
      <c r="Z847" s="2">
        <v>6316</v>
      </c>
      <c r="AA847" s="43" t="s">
        <v>3560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3502</v>
      </c>
      <c r="V848" s="37">
        <v>1</v>
      </c>
      <c r="W848" s="37"/>
      <c r="X848" t="s">
        <v>3514</v>
      </c>
      <c r="Y848" t="s">
        <v>10</v>
      </c>
      <c r="Z848" s="2">
        <v>2548</v>
      </c>
      <c r="AA848" s="42" t="s">
        <v>3560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3503</v>
      </c>
      <c r="V849" s="37">
        <v>1</v>
      </c>
      <c r="W849" s="37"/>
      <c r="X849" t="s">
        <v>3514</v>
      </c>
      <c r="Y849" t="s">
        <v>3504</v>
      </c>
      <c r="Z849" s="2">
        <v>5931</v>
      </c>
      <c r="AA849" s="42" t="s">
        <v>3560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3548</v>
      </c>
      <c r="V850" s="37">
        <v>1</v>
      </c>
      <c r="W850" s="37"/>
      <c r="X850" t="s">
        <v>3515</v>
      </c>
      <c r="Y850" t="s">
        <v>13</v>
      </c>
      <c r="Z850" s="2">
        <v>5259</v>
      </c>
      <c r="AA850" s="42" t="s">
        <v>3560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3507</v>
      </c>
      <c r="V851" s="37"/>
      <c r="W851" s="37">
        <v>1</v>
      </c>
      <c r="X851" t="s">
        <v>3549</v>
      </c>
      <c r="Y851" t="s">
        <v>75</v>
      </c>
      <c r="Z851" s="2">
        <v>6331</v>
      </c>
      <c r="AA851" s="43" t="s">
        <v>3560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3508</v>
      </c>
      <c r="V852" s="37">
        <v>1</v>
      </c>
      <c r="W852" s="37"/>
      <c r="X852" t="s">
        <v>3513</v>
      </c>
      <c r="Y852" t="s">
        <v>119</v>
      </c>
      <c r="Z852" s="2">
        <v>5042</v>
      </c>
      <c r="AA852" s="42" t="s">
        <v>3560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3558</v>
      </c>
      <c r="V853" s="37">
        <v>1</v>
      </c>
      <c r="W853" s="37"/>
      <c r="X853" t="s">
        <v>3514</v>
      </c>
      <c r="Y853" t="s">
        <v>3559</v>
      </c>
      <c r="Z853" s="2">
        <v>4678</v>
      </c>
      <c r="AA853" s="43" t="s">
        <v>3560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3509</v>
      </c>
      <c r="V854" s="37"/>
      <c r="W854" s="37">
        <v>1</v>
      </c>
      <c r="X854" t="s">
        <v>3550</v>
      </c>
      <c r="Y854" t="s">
        <v>3510</v>
      </c>
      <c r="Z854" s="2">
        <v>6369</v>
      </c>
      <c r="AA854" s="43" t="s">
        <v>3560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3563</v>
      </c>
      <c r="V855" s="37">
        <v>1</v>
      </c>
      <c r="W855" s="37"/>
      <c r="X855" t="s">
        <v>3515</v>
      </c>
      <c r="Y855" t="s">
        <v>48</v>
      </c>
      <c r="Z855" s="2">
        <v>5265</v>
      </c>
      <c r="AA855" s="43" t="s">
        <v>3560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3568</v>
      </c>
      <c r="V856" s="37">
        <v>1</v>
      </c>
      <c r="W856" s="37"/>
      <c r="X856" t="s">
        <v>3515</v>
      </c>
      <c r="Y856" t="s">
        <v>100</v>
      </c>
      <c r="Z856" s="2">
        <v>2193</v>
      </c>
      <c r="AA856" s="43" t="s">
        <v>3560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3551</v>
      </c>
      <c r="V857" s="37"/>
      <c r="W857" s="37">
        <v>1</v>
      </c>
      <c r="X857" t="s">
        <v>3550</v>
      </c>
      <c r="Y857" t="s">
        <v>3552</v>
      </c>
      <c r="Z857" s="2">
        <v>6374</v>
      </c>
      <c r="AA857" s="43" t="s">
        <v>3561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3553</v>
      </c>
      <c r="V858" s="37">
        <v>1</v>
      </c>
      <c r="W858" s="37"/>
      <c r="X858" t="s">
        <v>3513</v>
      </c>
      <c r="Y858" t="s">
        <v>25</v>
      </c>
      <c r="Z858" s="2">
        <v>5237</v>
      </c>
      <c r="AA858" s="42" t="s">
        <v>3560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3555</v>
      </c>
      <c r="V859" s="37">
        <v>1</v>
      </c>
      <c r="W859" s="37"/>
      <c r="X859" t="s">
        <v>3514</v>
      </c>
      <c r="Y859" t="s">
        <v>51</v>
      </c>
      <c r="Z859" s="2">
        <v>5763</v>
      </c>
      <c r="AA859" s="42" t="s">
        <v>3560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3554</v>
      </c>
      <c r="V860" s="37">
        <v>1</v>
      </c>
      <c r="W860" s="37"/>
      <c r="X860" t="s">
        <v>3514</v>
      </c>
      <c r="Y860" t="s">
        <v>3552</v>
      </c>
      <c r="Z860" s="2">
        <v>5488</v>
      </c>
      <c r="AA860" s="42" t="s">
        <v>3560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3557</v>
      </c>
      <c r="V861" s="37"/>
      <c r="W861" s="37">
        <v>1</v>
      </c>
      <c r="X861" t="s">
        <v>3549</v>
      </c>
      <c r="Y861" t="s">
        <v>1314</v>
      </c>
      <c r="Z861" s="2">
        <v>6334</v>
      </c>
      <c r="AA861" s="42" t="s">
        <v>3561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3564</v>
      </c>
      <c r="V862" s="37"/>
      <c r="W862" s="37"/>
      <c r="X862" t="s">
        <v>3514</v>
      </c>
      <c r="Y862" t="s">
        <v>3565</v>
      </c>
      <c r="Z862" s="2">
        <v>5913</v>
      </c>
      <c r="AA862" s="43" t="s">
        <v>3560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3626</v>
      </c>
      <c r="V863" s="37"/>
      <c r="W863" s="37"/>
      <c r="X863" t="s">
        <v>3514</v>
      </c>
      <c r="Y863" t="s">
        <v>28</v>
      </c>
      <c r="Z863" s="2">
        <v>5488</v>
      </c>
      <c r="AA863" s="43" t="s">
        <v>3560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3625</v>
      </c>
      <c r="V864" s="37">
        <v>1</v>
      </c>
      <c r="W864" s="37"/>
      <c r="X864" t="s">
        <v>3514</v>
      </c>
      <c r="Y864" t="s">
        <v>535</v>
      </c>
      <c r="Z864" s="2">
        <v>5488</v>
      </c>
      <c r="AA864" s="43" t="s">
        <v>3561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3630</v>
      </c>
      <c r="V865" s="37"/>
      <c r="W865" s="37"/>
      <c r="X865" t="s">
        <v>3514</v>
      </c>
      <c r="Y865" t="s">
        <v>84</v>
      </c>
      <c r="Z865" s="2">
        <v>5923</v>
      </c>
      <c r="AA865" s="43" t="s">
        <v>3560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3627</v>
      </c>
      <c r="V866" s="37"/>
      <c r="W866" s="37"/>
      <c r="X866" t="s">
        <v>3514</v>
      </c>
      <c r="Y866" t="s">
        <v>3628</v>
      </c>
      <c r="Z866" s="2">
        <v>2047</v>
      </c>
      <c r="AA866" s="43" t="s">
        <v>3560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3629</v>
      </c>
      <c r="V867" s="37"/>
      <c r="W867" s="37"/>
      <c r="X867" t="s">
        <v>3550</v>
      </c>
      <c r="Y867" t="s">
        <v>5</v>
      </c>
      <c r="Z867" s="2">
        <v>6375</v>
      </c>
      <c r="AA867" s="43" t="s">
        <v>3560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3631</v>
      </c>
      <c r="V868" s="37"/>
      <c r="W868" s="37"/>
      <c r="X868" t="s">
        <v>3515</v>
      </c>
      <c r="Y868" t="s">
        <v>3632</v>
      </c>
      <c r="Z868" s="2">
        <v>5225</v>
      </c>
      <c r="AA868" s="43" t="s">
        <v>3633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3634</v>
      </c>
      <c r="V869" s="37"/>
      <c r="W869" s="37"/>
      <c r="X869" t="s">
        <v>3514</v>
      </c>
      <c r="Y869" t="s">
        <v>40</v>
      </c>
      <c r="Z869" s="2">
        <v>2047</v>
      </c>
      <c r="AA869" s="43" t="s">
        <v>3560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3636</v>
      </c>
      <c r="V870" s="37"/>
      <c r="W870" s="37"/>
      <c r="X870" t="s">
        <v>3549</v>
      </c>
      <c r="Y870" t="s">
        <v>75</v>
      </c>
      <c r="Z870" s="2">
        <v>6328</v>
      </c>
      <c r="AA870" s="43" t="s">
        <v>3561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3635</v>
      </c>
      <c r="V871" s="37"/>
      <c r="W871" s="37"/>
      <c r="X871" t="s">
        <v>3514</v>
      </c>
      <c r="Y871" t="s">
        <v>3628</v>
      </c>
      <c r="Z871" s="2">
        <v>2085</v>
      </c>
      <c r="AA871" s="43" t="s">
        <v>3560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3637</v>
      </c>
      <c r="V872" s="37"/>
      <c r="W872" s="37"/>
      <c r="X872" t="s">
        <v>3514</v>
      </c>
      <c r="Y872" t="s">
        <v>3638</v>
      </c>
      <c r="Z872" s="2">
        <v>5922</v>
      </c>
      <c r="AA872" s="43" t="s">
        <v>3561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3639</v>
      </c>
      <c r="V873" s="37"/>
      <c r="W873" s="37"/>
      <c r="X873" t="s">
        <v>3514</v>
      </c>
      <c r="Y873" t="s">
        <v>1325</v>
      </c>
      <c r="Z873" s="2">
        <v>5938</v>
      </c>
      <c r="AA873" s="43" t="s">
        <v>3561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3640</v>
      </c>
      <c r="V874" s="37"/>
      <c r="W874" s="37"/>
      <c r="X874" t="s">
        <v>3514</v>
      </c>
      <c r="Y874" t="s">
        <v>16</v>
      </c>
      <c r="Z874" s="2">
        <v>5773</v>
      </c>
      <c r="AA874" s="43" t="s">
        <v>3560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3641</v>
      </c>
      <c r="V875" s="37"/>
      <c r="W875" s="37"/>
      <c r="X875" t="s">
        <v>3515</v>
      </c>
      <c r="Y875" t="s">
        <v>113</v>
      </c>
      <c r="Z875" s="2">
        <v>2190</v>
      </c>
      <c r="AA875" s="43" t="s">
        <v>3560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3642</v>
      </c>
      <c r="V876" s="37"/>
      <c r="W876" s="37"/>
      <c r="X876" t="s">
        <v>3514</v>
      </c>
      <c r="Y876" t="s">
        <v>31</v>
      </c>
      <c r="Z876" s="2">
        <v>5910</v>
      </c>
      <c r="AA876" s="43" t="s">
        <v>3560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3643</v>
      </c>
      <c r="V877" s="37"/>
      <c r="W877" s="37"/>
      <c r="X877" t="s">
        <v>3514</v>
      </c>
      <c r="Y877" t="s">
        <v>1291</v>
      </c>
      <c r="Z877" s="2">
        <v>5917</v>
      </c>
      <c r="AA877" s="43" t="s">
        <v>3560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3644</v>
      </c>
      <c r="V878" s="37"/>
      <c r="W878" s="37"/>
      <c r="X878" t="s">
        <v>3514</v>
      </c>
      <c r="Y878" t="s">
        <v>610</v>
      </c>
      <c r="Z878" s="2">
        <v>5768</v>
      </c>
      <c r="AA878" s="43" t="s">
        <v>3560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3645</v>
      </c>
      <c r="V879" s="37"/>
      <c r="W879" s="37"/>
      <c r="X879" t="s">
        <v>3514</v>
      </c>
      <c r="Y879" t="s">
        <v>3504</v>
      </c>
      <c r="Z879" s="2">
        <v>5913</v>
      </c>
      <c r="AA879" s="43" t="s">
        <v>3560</v>
      </c>
    </row>
    <row r="880" spans="1:27" x14ac:dyDescent="0.25">
      <c r="B880" t="e">
        <f>_xlfn.CONCAT(bron[[#This Row],[personeelsnr]]," ",bron[[#This Row],[achternaam]]," ",bron[[#This Row],[voornaam]])</f>
        <v>#N/A</v>
      </c>
      <c r="C880" t="e">
        <f>VLOOKUP(bron[[#This Row],[personeelsnr]],'data hastus'!$A:$C,2,0)</f>
        <v>#N/A</v>
      </c>
      <c r="D880" t="e">
        <f>VLOOKUP(bron[[#This Row],[personeelsnr]],'data hastus'!$A:$C,3,0)</f>
        <v>#N/A</v>
      </c>
      <c r="E880" s="2" t="e">
        <f>VLOOKUP(bron[[#This Row],[personeelsnr]],'data hastus'!A:K,11,FALSE)</f>
        <v>#N/A</v>
      </c>
      <c r="G880" s="39"/>
      <c r="H880" s="39"/>
      <c r="I880" s="39"/>
      <c r="S880" s="36">
        <f>SUM(bron[[#This Row],[Januari]:[December]])</f>
        <v>0</v>
      </c>
      <c r="V880" s="37"/>
      <c r="W880" s="37"/>
    </row>
    <row r="881" spans="2:23" x14ac:dyDescent="0.25">
      <c r="B881" t="e">
        <f>_xlfn.CONCAT(bron[[#This Row],[personeelsnr]]," ",bron[[#This Row],[achternaam]]," ",bron[[#This Row],[voornaam]])</f>
        <v>#N/A</v>
      </c>
      <c r="C881" t="e">
        <f>VLOOKUP(bron[[#This Row],[personeelsnr]],'data hastus'!$A:$C,2,0)</f>
        <v>#N/A</v>
      </c>
      <c r="D881" t="e">
        <f>VLOOKUP(bron[[#This Row],[personeelsnr]],'data hastus'!$A:$C,3,0)</f>
        <v>#N/A</v>
      </c>
      <c r="E881" s="2" t="e">
        <f>VLOOKUP(bron[[#This Row],[personeelsnr]],'data hastus'!A:K,11,FALSE)</f>
        <v>#N/A</v>
      </c>
      <c r="G881" s="39"/>
      <c r="H881" s="39"/>
      <c r="I881" s="39"/>
      <c r="S881" s="36">
        <f>SUM(bron[[#This Row],[Januari]:[December]])</f>
        <v>0</v>
      </c>
      <c r="V881" s="37"/>
      <c r="W881" s="37"/>
    </row>
    <row r="882" spans="2:23" x14ac:dyDescent="0.25">
      <c r="B882" t="e">
        <f>_xlfn.CONCAT(bron[[#This Row],[personeelsnr]]," ",bron[[#This Row],[achternaam]]," ",bron[[#This Row],[voornaam]])</f>
        <v>#N/A</v>
      </c>
      <c r="C882" t="e">
        <f>VLOOKUP(bron[[#This Row],[personeelsnr]],'data hastus'!$A:$C,2,0)</f>
        <v>#N/A</v>
      </c>
      <c r="D882" t="e">
        <f>VLOOKUP(bron[[#This Row],[personeelsnr]],'data hastus'!$A:$C,3,0)</f>
        <v>#N/A</v>
      </c>
      <c r="E882" s="2" t="e">
        <f>VLOOKUP(bron[[#This Row],[personeelsnr]],'data hastus'!A:K,11,FALSE)</f>
        <v>#N/A</v>
      </c>
      <c r="G882" s="39"/>
      <c r="H882" s="39"/>
      <c r="I882" s="39"/>
      <c r="S882" s="36">
        <f>SUM(bron[[#This Row],[Januari]:[December]])</f>
        <v>0</v>
      </c>
      <c r="V882" s="37"/>
      <c r="W882" s="37"/>
    </row>
    <row r="883" spans="2:23" x14ac:dyDescent="0.25">
      <c r="B883" t="e">
        <f>_xlfn.CONCAT(bron[[#This Row],[personeelsnr]]," ",bron[[#This Row],[achternaam]]," ",bron[[#This Row],[voornaam]])</f>
        <v>#N/A</v>
      </c>
      <c r="C883" t="e">
        <f>VLOOKUP(bron[[#This Row],[personeelsnr]],'data hastus'!$A:$C,2,0)</f>
        <v>#N/A</v>
      </c>
      <c r="D883" t="e">
        <f>VLOOKUP(bron[[#This Row],[personeelsnr]],'data hastus'!$A:$C,3,0)</f>
        <v>#N/A</v>
      </c>
      <c r="E883" s="2" t="e">
        <f>VLOOKUP(bron[[#This Row],[personeelsnr]],'data hastus'!A:K,11,FALSE)</f>
        <v>#N/A</v>
      </c>
      <c r="G883" s="39"/>
      <c r="H883" s="39"/>
      <c r="I883" s="39"/>
      <c r="S883" s="36">
        <f>SUM(bron[[#This Row],[Januari]:[December]])</f>
        <v>0</v>
      </c>
      <c r="V883" s="37"/>
      <c r="W883" s="37"/>
    </row>
    <row r="884" spans="2:23" x14ac:dyDescent="0.25">
      <c r="B884" t="e">
        <f>_xlfn.CONCAT(bron[[#This Row],[personeelsnr]]," ",bron[[#This Row],[achternaam]]," ",bron[[#This Row],[voornaam]])</f>
        <v>#N/A</v>
      </c>
      <c r="C884" t="e">
        <f>VLOOKUP(bron[[#This Row],[personeelsnr]],'data hastus'!$A:$C,2,0)</f>
        <v>#N/A</v>
      </c>
      <c r="D884" t="e">
        <f>VLOOKUP(bron[[#This Row],[personeelsnr]],'data hastus'!$A:$C,3,0)</f>
        <v>#N/A</v>
      </c>
      <c r="E884" s="2" t="e">
        <f>VLOOKUP(bron[[#This Row],[personeelsnr]],'data hastus'!A:K,11,FALSE)</f>
        <v>#N/A</v>
      </c>
      <c r="G884" s="39"/>
      <c r="H884" s="39"/>
      <c r="I884" s="39"/>
      <c r="S884" s="36">
        <f>SUM(bron[[#This Row],[Januari]:[December]])</f>
        <v>0</v>
      </c>
      <c r="V884" s="37"/>
      <c r="W884" s="37"/>
    </row>
    <row r="885" spans="2:23" x14ac:dyDescent="0.25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s="2" t="e">
        <f>VLOOKUP(bron[[#This Row],[personeelsnr]],'data hastus'!A:K,11,FALSE)</f>
        <v>#N/A</v>
      </c>
      <c r="G885" s="39"/>
      <c r="H885" s="39"/>
      <c r="I885" s="39"/>
      <c r="S885" s="36">
        <f>SUM(bron[[#This Row],[Januari]:[December]])</f>
        <v>0</v>
      </c>
      <c r="V885" s="37"/>
      <c r="W885" s="37"/>
    </row>
    <row r="886" spans="2:23" x14ac:dyDescent="0.25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s="2" t="e">
        <f>VLOOKUP(bron[[#This Row],[personeelsnr]],'data hastus'!A:K,11,FALSE)</f>
        <v>#N/A</v>
      </c>
      <c r="G886" s="39"/>
      <c r="H886" s="39"/>
      <c r="I886" s="39"/>
      <c r="S886" s="36">
        <f>SUM(bron[[#This Row],[Januari]:[December]])</f>
        <v>0</v>
      </c>
      <c r="V886" s="37"/>
      <c r="W886" s="37"/>
    </row>
    <row r="887" spans="2:23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s="2" t="e">
        <f>VLOOKUP(bron[[#This Row],[personeelsnr]],'data hastus'!A:K,11,FALSE)</f>
        <v>#N/A</v>
      </c>
      <c r="G887" s="39"/>
      <c r="H887" s="39"/>
      <c r="I887" s="39"/>
      <c r="S887" s="36">
        <f>SUM(bron[[#This Row],[Januari]:[December]])</f>
        <v>0</v>
      </c>
      <c r="V887" s="37"/>
      <c r="W887" s="37"/>
    </row>
    <row r="888" spans="2:23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s="2" t="e">
        <f>VLOOKUP(bron[[#This Row],[personeelsnr]],'data hastus'!A:K,11,FALSE)</f>
        <v>#N/A</v>
      </c>
      <c r="G888" s="39"/>
      <c r="H888" s="39"/>
      <c r="I888" s="39"/>
      <c r="S888" s="36">
        <f>SUM(bron[[#This Row],[Januari]:[December]])</f>
        <v>0</v>
      </c>
      <c r="V888" s="37"/>
      <c r="W888" s="37"/>
    </row>
    <row r="889" spans="2:23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s="2" t="e">
        <f>VLOOKUP(bron[[#This Row],[personeelsnr]],'data hastus'!A:K,11,FALSE)</f>
        <v>#N/A</v>
      </c>
      <c r="G889" s="39"/>
      <c r="H889" s="39"/>
      <c r="I889" s="39"/>
      <c r="S889" s="36">
        <f>SUM(bron[[#This Row],[Januari]:[December]])</f>
        <v>0</v>
      </c>
      <c r="V889" s="37"/>
      <c r="W889" s="37"/>
    </row>
    <row r="890" spans="2:23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39"/>
      <c r="H890" s="39"/>
      <c r="I890" s="39"/>
      <c r="S890" s="36">
        <f>SUM(bron[[#This Row],[Januari]:[December]])</f>
        <v>0</v>
      </c>
      <c r="V890" s="37"/>
      <c r="W890" s="37"/>
    </row>
    <row r="891" spans="2:23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2:23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2:23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2:23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2:23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2:23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3566</v>
      </c>
    </row>
    <row r="39" spans="1:3" x14ac:dyDescent="0.25">
      <c r="A39">
        <v>23079</v>
      </c>
      <c r="B39" t="s">
        <v>3545</v>
      </c>
      <c r="C39" s="8" t="s">
        <v>3567</v>
      </c>
    </row>
    <row r="40" spans="1:3" x14ac:dyDescent="0.25">
      <c r="A40">
        <v>40152</v>
      </c>
      <c r="B40" t="s">
        <v>3623</v>
      </c>
      <c r="C40" s="8" t="s">
        <v>3624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2025-09-29T10:00:28Z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