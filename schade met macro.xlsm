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81" documentId="13_ncr:1_{10FCACA5-8197-478D-90D3-5F83063FB753}" xr6:coauthVersionLast="47" xr6:coauthVersionMax="47" xr10:uidLastSave="{3CDED11E-8A6F-4EA6-8EF4-A5189695A7EB}"/>
  <bookViews>
    <workbookView minimized="1" xWindow="4845" yWindow="391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2" i="1" l="1"/>
  <c r="B971" i="1"/>
  <c r="B970" i="1"/>
  <c r="B969" i="1"/>
  <c r="B968" i="1"/>
  <c r="B967" i="1"/>
  <c r="C972" i="1"/>
  <c r="D972" i="1"/>
  <c r="E972" i="1"/>
  <c r="S972" i="1"/>
  <c r="C971" i="1"/>
  <c r="D971" i="1"/>
  <c r="E971" i="1"/>
  <c r="S971" i="1"/>
  <c r="C970" i="1"/>
  <c r="D970" i="1"/>
  <c r="E970" i="1"/>
  <c r="S970" i="1"/>
  <c r="C969" i="1"/>
  <c r="D969" i="1"/>
  <c r="E969" i="1"/>
  <c r="S969" i="1"/>
  <c r="C968" i="1"/>
  <c r="D968" i="1"/>
  <c r="E968" i="1"/>
  <c r="S968" i="1"/>
  <c r="C967" i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B948" i="1" s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C944" i="1"/>
  <c r="D944" i="1"/>
  <c r="E944" i="1"/>
  <c r="S944" i="1"/>
  <c r="B944" i="1" l="1"/>
  <c r="B945" i="1"/>
  <c r="B946" i="1"/>
  <c r="B947" i="1"/>
  <c r="Y936" i="1"/>
  <c r="C943" i="1" l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33" i="1"/>
  <c r="D933" i="1"/>
  <c r="E933" i="1"/>
  <c r="S933" i="1"/>
  <c r="C923" i="1"/>
  <c r="D923" i="1"/>
  <c r="E923" i="1"/>
  <c r="S923" i="1"/>
  <c r="C921" i="1"/>
  <c r="D921" i="1"/>
  <c r="E921" i="1"/>
  <c r="S921" i="1"/>
  <c r="C931" i="1"/>
  <c r="D931" i="1"/>
  <c r="E931" i="1"/>
  <c r="S931" i="1"/>
  <c r="C913" i="1"/>
  <c r="D913" i="1"/>
  <c r="E913" i="1"/>
  <c r="S913" i="1"/>
  <c r="C925" i="1"/>
  <c r="D925" i="1"/>
  <c r="E925" i="1"/>
  <c r="S925" i="1"/>
  <c r="C930" i="1"/>
  <c r="D930" i="1"/>
  <c r="E930" i="1"/>
  <c r="S930" i="1"/>
  <c r="C932" i="1"/>
  <c r="D932" i="1"/>
  <c r="E932" i="1"/>
  <c r="S932" i="1"/>
  <c r="C927" i="1"/>
  <c r="D927" i="1"/>
  <c r="E927" i="1"/>
  <c r="S927" i="1"/>
  <c r="C928" i="1"/>
  <c r="D928" i="1"/>
  <c r="E928" i="1"/>
  <c r="S928" i="1"/>
  <c r="C922" i="1"/>
  <c r="D922" i="1"/>
  <c r="E922" i="1"/>
  <c r="S922" i="1"/>
  <c r="C926" i="1"/>
  <c r="D926" i="1"/>
  <c r="E926" i="1"/>
  <c r="S926" i="1"/>
  <c r="C929" i="1"/>
  <c r="D929" i="1"/>
  <c r="E929" i="1"/>
  <c r="S929" i="1"/>
  <c r="C920" i="1"/>
  <c r="D920" i="1"/>
  <c r="E920" i="1"/>
  <c r="S920" i="1"/>
  <c r="C924" i="1"/>
  <c r="D924" i="1"/>
  <c r="E924" i="1"/>
  <c r="S924" i="1"/>
  <c r="C919" i="1"/>
  <c r="D919" i="1"/>
  <c r="E919" i="1"/>
  <c r="S919" i="1"/>
  <c r="C908" i="1"/>
  <c r="D908" i="1"/>
  <c r="E908" i="1"/>
  <c r="S908" i="1"/>
  <c r="C917" i="1"/>
  <c r="D917" i="1"/>
  <c r="E917" i="1"/>
  <c r="S917" i="1"/>
  <c r="C907" i="1"/>
  <c r="D907" i="1"/>
  <c r="E907" i="1"/>
  <c r="S907" i="1"/>
  <c r="C918" i="1"/>
  <c r="D918" i="1"/>
  <c r="E918" i="1"/>
  <c r="S918" i="1"/>
  <c r="C916" i="1"/>
  <c r="D916" i="1"/>
  <c r="E916" i="1"/>
  <c r="S916" i="1"/>
  <c r="C912" i="1"/>
  <c r="D912" i="1"/>
  <c r="E912" i="1"/>
  <c r="S912" i="1"/>
  <c r="C914" i="1"/>
  <c r="D914" i="1"/>
  <c r="E914" i="1"/>
  <c r="S914" i="1"/>
  <c r="C901" i="1"/>
  <c r="D901" i="1"/>
  <c r="E901" i="1"/>
  <c r="S901" i="1"/>
  <c r="C915" i="1"/>
  <c r="D915" i="1"/>
  <c r="E915" i="1"/>
  <c r="S915" i="1"/>
  <c r="C904" i="1"/>
  <c r="D904" i="1"/>
  <c r="E904" i="1"/>
  <c r="S904" i="1"/>
  <c r="C910" i="1"/>
  <c r="D910" i="1"/>
  <c r="E910" i="1"/>
  <c r="S910" i="1"/>
  <c r="C909" i="1"/>
  <c r="D909" i="1"/>
  <c r="E909" i="1"/>
  <c r="S909" i="1"/>
  <c r="C902" i="1"/>
  <c r="D902" i="1"/>
  <c r="E902" i="1"/>
  <c r="S902" i="1"/>
  <c r="C911" i="1"/>
  <c r="D911" i="1"/>
  <c r="E911" i="1"/>
  <c r="S911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0" i="1" l="1"/>
  <c r="B941" i="1"/>
  <c r="B930" i="1"/>
  <c r="B935" i="1"/>
  <c r="B923" i="1"/>
  <c r="B942" i="1"/>
  <c r="B933" i="1"/>
  <c r="B943" i="1"/>
  <c r="B939" i="1"/>
  <c r="B936" i="1"/>
  <c r="B938" i="1"/>
  <c r="B937" i="1"/>
  <c r="B934" i="1"/>
  <c r="B921" i="1"/>
  <c r="B931" i="1"/>
  <c r="B913" i="1"/>
  <c r="B925" i="1"/>
  <c r="B915" i="1"/>
  <c r="B901" i="1"/>
  <c r="B912" i="1"/>
  <c r="B907" i="1"/>
  <c r="B917" i="1"/>
  <c r="B908" i="1"/>
  <c r="B919" i="1"/>
  <c r="B932" i="1"/>
  <c r="B927" i="1"/>
  <c r="B928" i="1"/>
  <c r="B922" i="1"/>
  <c r="B926" i="1"/>
  <c r="B929" i="1"/>
  <c r="B920" i="1"/>
  <c r="B924" i="1"/>
  <c r="B914" i="1"/>
  <c r="B918" i="1"/>
  <c r="B916" i="1"/>
  <c r="B911" i="1"/>
  <c r="B909" i="1"/>
  <c r="B904" i="1"/>
  <c r="B906" i="1"/>
  <c r="B910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<sst xmlns="http://schemas.openxmlformats.org/spreadsheetml/2006/main" count="8839" uniqueCount="3792">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</sst>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  <filterColumn colId="25">
      <filters>
        <filter val="5042"/>
      </filters>
    </filterColumn>
  </autoFilter>
  <sortState xmlns:xlrd2="http://schemas.microsoft.com/office/spreadsheetml/2017/richdata2" ref="A515:AA943">
    <sortCondition ref="T1:T943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80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U974" sqref="U97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3717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hidden="1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hidden="1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3715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3725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hidden="1" x14ac:dyDescent="0.25">
      <c r="A913">
        <v>20543</v>
      </c>
      <c r="B913" t="str">
        <f>_xlfn.CONCAT(bron[[#This Row],[personeelsnr]]," ",bron[[#This Row],[achternaam]]," ",bron[[#This Row],[voornaam]])</f>
        <v>20543 Pekdemir Ilkmur</v>
      </c>
      <c r="C913" t="str">
        <f>VLOOKUP(bron[[#This Row],[personeelsnr]],'data hastus'!$A:$C,2,0)</f>
        <v>Pekdemir</v>
      </c>
      <c r="D913" t="str">
        <f>VLOOKUP(bron[[#This Row],[personeelsnr]],'data hastus'!$A:$C,3,0)</f>
        <v>Ilkmur</v>
      </c>
      <c r="E913" s="2" t="str">
        <f>VLOOKUP(bron[[#This Row],[personeelsnr]],'data hastus'!A:K,11,FALSE)</f>
        <v>Kenneth De Rick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3745</v>
      </c>
      <c r="V913" s="37"/>
      <c r="W913" s="37"/>
      <c r="X913" t="s">
        <v>3547</v>
      </c>
      <c r="Y913" t="s">
        <v>199</v>
      </c>
      <c r="Z913" s="2">
        <v>6314</v>
      </c>
      <c r="AA913" s="43" t="s">
        <v>3558</v>
      </c>
    </row>
    <row r="914" spans="1:27" hidden="1" x14ac:dyDescent="0.25">
      <c r="A914">
        <v>41870</v>
      </c>
      <c r="B914" t="str">
        <f>_xlfn.CONCAT(bron[[#This Row],[personeelsnr]]," ",bron[[#This Row],[achternaam]]," ",bron[[#This Row],[voornaam]])</f>
        <v>41870 Goossens Yannick</v>
      </c>
      <c r="C914" t="str">
        <f>VLOOKUP(bron[[#This Row],[personeelsnr]],'data hastus'!$A:$C,2,0)</f>
        <v>Goossens</v>
      </c>
      <c r="D914" t="str">
        <f>VLOOKUP(bron[[#This Row],[personeelsnr]],'data hastus'!$A:$C,3,0)</f>
        <v>Yannick</v>
      </c>
      <c r="E914" s="2" t="str">
        <f>VLOOKUP(bron[[#This Row],[personeelsnr]],'data hastus'!A:K,11,FALSE)</f>
        <v>Steven Storm</v>
      </c>
      <c r="F914" s="10"/>
      <c r="G914" s="39"/>
      <c r="H914" s="39"/>
      <c r="I914" s="39"/>
      <c r="S914" s="36">
        <f>SUM(bron[[#This Row],[Januari]:[December]])</f>
        <v>0</v>
      </c>
      <c r="T914" s="41">
        <v>45948</v>
      </c>
      <c r="U914" s="5" t="s">
        <v>3724</v>
      </c>
      <c r="V914" s="37"/>
      <c r="W914" s="37"/>
      <c r="X914" t="s">
        <v>3512</v>
      </c>
      <c r="Y914" t="s">
        <v>84</v>
      </c>
      <c r="Z914" s="2">
        <v>550822</v>
      </c>
      <c r="AA914" s="43" t="s">
        <v>3559</v>
      </c>
    </row>
    <row r="915" spans="1:27" hidden="1" x14ac:dyDescent="0.25">
      <c r="A915">
        <v>20653</v>
      </c>
      <c r="B915" t="str">
        <f>_xlfn.CONCAT(bron[[#This Row],[personeelsnr]]," ",bron[[#This Row],[achternaam]]," ",bron[[#This Row],[voornaam]])</f>
        <v>20653 Mestdag Marius</v>
      </c>
      <c r="C915" t="str">
        <f>VLOOKUP(bron[[#This Row],[personeelsnr]],'data hastus'!$A:$C,2,0)</f>
        <v>Mestdag</v>
      </c>
      <c r="D915" t="str">
        <f>VLOOKUP(bron[[#This Row],[personeelsnr]],'data hastus'!$A:$C,3,0)</f>
        <v>Marius</v>
      </c>
      <c r="E915" s="2" t="str">
        <f>VLOOKUP(bron[[#This Row],[personeelsnr]],'data hastus'!A:K,11,FALSE)</f>
        <v>Bart Van Der Beken</v>
      </c>
      <c r="G915" s="39"/>
      <c r="H915" s="39"/>
      <c r="I915" s="39"/>
      <c r="S915" s="36">
        <f>SUM(bron[[#This Row],[Januari]:[December]])</f>
        <v>0</v>
      </c>
      <c r="T915" s="41">
        <v>45950</v>
      </c>
      <c r="U915" s="5" t="s">
        <v>3720</v>
      </c>
      <c r="V915" s="37"/>
      <c r="W915" s="37"/>
      <c r="X915" t="s">
        <v>3548</v>
      </c>
      <c r="Y915" t="s">
        <v>3721</v>
      </c>
      <c r="Z915" s="2">
        <v>6366</v>
      </c>
      <c r="AA915" s="43" t="s">
        <v>3558</v>
      </c>
    </row>
    <row r="916" spans="1:27" hidden="1" x14ac:dyDescent="0.25">
      <c r="A916">
        <v>40938</v>
      </c>
      <c r="B916" t="str">
        <f>_xlfn.CONCAT(bron[[#This Row],[personeelsnr]]," ",bron[[#This Row],[achternaam]]," ",bron[[#This Row],[voornaam]])</f>
        <v>40938 Hasnaoui Nejmeddine</v>
      </c>
      <c r="C916" t="str">
        <f>VLOOKUP(bron[[#This Row],[personeelsnr]],'data hastus'!$A:$C,2,0)</f>
        <v>Hasnaoui</v>
      </c>
      <c r="D916" t="str">
        <f>VLOOKUP(bron[[#This Row],[personeelsnr]],'data hastus'!$A:$C,3,0)</f>
        <v>Nejmeddine</v>
      </c>
      <c r="E916" s="2" t="str">
        <f>VLOOKUP(bron[[#This Row],[personeelsnr]],'data hastus'!A:K,11,FALSE)</f>
        <v>Dominique De Clercq</v>
      </c>
      <c r="F916" s="10"/>
      <c r="G916" s="39"/>
      <c r="H916" s="39"/>
      <c r="I916" s="39"/>
      <c r="S916" s="36">
        <f>SUM(bron[[#This Row],[Januari]:[December]])</f>
        <v>0</v>
      </c>
      <c r="T916" s="41">
        <v>45951</v>
      </c>
      <c r="U916" s="5" t="s">
        <v>3726</v>
      </c>
      <c r="V916" s="37"/>
      <c r="W916" s="37"/>
      <c r="X916" t="s">
        <v>3513</v>
      </c>
      <c r="Y916" t="s">
        <v>3727</v>
      </c>
      <c r="Z916" s="2">
        <v>5259</v>
      </c>
      <c r="AA916" s="43" t="s">
        <v>3559</v>
      </c>
    </row>
    <row r="917" spans="1:27" hidden="1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3731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hidden="1" x14ac:dyDescent="0.25">
      <c r="A918">
        <v>40138</v>
      </c>
      <c r="B918" t="str">
        <f>_xlfn.CONCAT(bron[[#This Row],[personeelsnr]]," ",bron[[#This Row],[achternaam]]," ",bron[[#This Row],[voornaam]])</f>
        <v>40138 Moerman Tjimmy</v>
      </c>
      <c r="C918" t="str">
        <f>VLOOKUP(bron[[#This Row],[personeelsnr]],'data hastus'!$A:$C,2,0)</f>
        <v>Moerman</v>
      </c>
      <c r="D918" t="str">
        <f>VLOOKUP(bron[[#This Row],[personeelsnr]],'data hastus'!$A:$C,3,0)</f>
        <v>Tjimmy</v>
      </c>
      <c r="E918" s="2" t="str">
        <f>VLOOKUP(bron[[#This Row],[personeelsnr]],'data hastus'!A:K,11,FALSE)</f>
        <v>Christoff Rotty</v>
      </c>
      <c r="F918" s="10"/>
      <c r="G918" s="39"/>
      <c r="H918" s="39"/>
      <c r="I918" s="39"/>
      <c r="S918" s="36">
        <f>SUM(bron[[#This Row],[Januari]:[December]])</f>
        <v>0</v>
      </c>
      <c r="T918" s="41">
        <v>45952</v>
      </c>
      <c r="U918" s="5" t="s">
        <v>3728</v>
      </c>
      <c r="V918" s="37"/>
      <c r="W918" s="37"/>
      <c r="X918" t="s">
        <v>3513</v>
      </c>
      <c r="Y918" t="s">
        <v>3729</v>
      </c>
      <c r="Z918" s="2">
        <v>2195</v>
      </c>
      <c r="AA918" s="43" t="s">
        <v>3558</v>
      </c>
    </row>
    <row r="919" spans="1:27" hidden="1" x14ac:dyDescent="0.25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3733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hidden="1" x14ac:dyDescent="0.25">
      <c r="A920">
        <v>35645</v>
      </c>
      <c r="B920" t="str">
        <f>_xlfn.CONCAT(bron[[#This Row],[personeelsnr]]," ",bron[[#This Row],[achternaam]]," ",bron[[#This Row],[voornaam]])</f>
        <v>35645 Jalili Yaseeb</v>
      </c>
      <c r="C920" t="str">
        <f>VLOOKUP(bron[[#This Row],[personeelsnr]],'data hastus'!$A:$C,2,0)</f>
        <v>Jalili</v>
      </c>
      <c r="D920" t="str">
        <f>VLOOKUP(bron[[#This Row],[personeelsnr]],'data hastus'!$A:$C,3,0)</f>
        <v>Yaseeb</v>
      </c>
      <c r="E920" s="2" t="str">
        <f>VLOOKUP(bron[[#This Row],[personeelsnr]],'data hastus'!A:K,11,FALSE)</f>
        <v>Steven Storm</v>
      </c>
      <c r="F920" s="10"/>
      <c r="G920" s="39"/>
      <c r="H920" s="39"/>
      <c r="I920" s="39"/>
      <c r="S920" s="36">
        <f>SUM(bron[[#This Row],[Januari]:[December]])</f>
        <v>0</v>
      </c>
      <c r="T920" s="41">
        <v>45954</v>
      </c>
      <c r="U920" s="5" t="s">
        <v>3735</v>
      </c>
      <c r="V920" s="37"/>
      <c r="W920" s="37"/>
      <c r="X920" t="s">
        <v>3512</v>
      </c>
      <c r="Y920" t="s">
        <v>10</v>
      </c>
      <c r="Z920" s="2">
        <v>5764</v>
      </c>
      <c r="AA920" s="43" t="s">
        <v>3558</v>
      </c>
    </row>
    <row r="921" spans="1:27" hidden="1" x14ac:dyDescent="0.25">
      <c r="A921">
        <v>16895</v>
      </c>
      <c r="B921" t="str">
        <f>_xlfn.CONCAT(bron[[#This Row],[personeelsnr]]," ",bron[[#This Row],[achternaam]]," ",bron[[#This Row],[voornaam]])</f>
        <v>16895 Van Lauwe Freddy</v>
      </c>
      <c r="C921" t="str">
        <f>VLOOKUP(bron[[#This Row],[personeelsnr]],'data hastus'!$A:$C,2,0)</f>
        <v>Van Lauwe</v>
      </c>
      <c r="D921" t="str">
        <f>VLOOKUP(bron[[#This Row],[personeelsnr]],'data hastus'!$A:$C,3,0)</f>
        <v>Freddy</v>
      </c>
      <c r="E921" s="2" t="str">
        <f>VLOOKUP(bron[[#This Row],[personeelsnr]],'data hastus'!A:K,11,FALSE)</f>
        <v>Bart Van Der Beken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3748</v>
      </c>
      <c r="V921" s="37"/>
      <c r="W921" s="37"/>
      <c r="X921" t="s">
        <v>3548</v>
      </c>
      <c r="Y921" t="s">
        <v>31</v>
      </c>
      <c r="Z921" s="2">
        <v>6368</v>
      </c>
      <c r="AA921" s="43" t="s">
        <v>3558</v>
      </c>
    </row>
    <row r="922" spans="1:27" hidden="1" x14ac:dyDescent="0.25">
      <c r="A922">
        <v>42307</v>
      </c>
      <c r="B922" t="str">
        <f>_xlfn.CONCAT(bron[[#This Row],[personeelsnr]]," ",bron[[#This Row],[achternaam]]," ",bron[[#This Row],[voornaam]])</f>
        <v>42307 Helleputte Jens</v>
      </c>
      <c r="C922" t="str">
        <f>VLOOKUP(bron[[#This Row],[personeelsnr]],'data hastus'!$A:$C,2,0)</f>
        <v>Helleputte</v>
      </c>
      <c r="D922" t="str">
        <f>VLOOKUP(bron[[#This Row],[personeelsnr]],'data hastus'!$A:$C,3,0)</f>
        <v>Jens</v>
      </c>
      <c r="E922" s="2" t="str">
        <f>VLOOKUP(bron[[#This Row],[personeelsnr]],'data hastus'!A:K,11,FALSE)</f>
        <v>Christoff Rotty</v>
      </c>
      <c r="F922" s="10"/>
      <c r="G922" s="39"/>
      <c r="H922" s="39"/>
      <c r="I922" s="39"/>
      <c r="S922" s="36">
        <f>SUM(bron[[#This Row],[Januari]:[December]])</f>
        <v>0</v>
      </c>
      <c r="T922" s="41">
        <v>45955</v>
      </c>
      <c r="U922" s="5" t="s">
        <v>3738</v>
      </c>
      <c r="V922" s="37"/>
      <c r="W922" s="37"/>
      <c r="X922" t="s">
        <v>3512</v>
      </c>
      <c r="Y922" t="s">
        <v>84</v>
      </c>
      <c r="Z922" s="2">
        <v>5767</v>
      </c>
      <c r="AA922" s="43" t="s">
        <v>3558</v>
      </c>
    </row>
    <row r="923" spans="1:27" hidden="1" x14ac:dyDescent="0.25">
      <c r="A923">
        <v>27673</v>
      </c>
      <c r="B923" t="str">
        <f>_xlfn.CONCAT(bron[[#This Row],[personeelsnr]]," ",bron[[#This Row],[achternaam]]," ",bron[[#This Row],[voornaam]])</f>
        <v>27673 Verbanck Koen</v>
      </c>
      <c r="C923" t="str">
        <f>VLOOKUP(bron[[#This Row],[personeelsnr]],'data hastus'!$A:$C,2,0)</f>
        <v>Verbanck</v>
      </c>
      <c r="D923" t="str">
        <f>VLOOKUP(bron[[#This Row],[personeelsnr]],'data hastus'!$A:$C,3,0)</f>
        <v>Koen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3749</v>
      </c>
      <c r="V923" s="37"/>
      <c r="W923" s="37"/>
      <c r="X923" t="s">
        <v>3548</v>
      </c>
      <c r="Y923" t="s">
        <v>1312</v>
      </c>
      <c r="Z923" s="2">
        <v>6375</v>
      </c>
      <c r="AA923" s="43" t="s">
        <v>3558</v>
      </c>
    </row>
    <row r="924" spans="1:27" hidden="1" x14ac:dyDescent="0.25">
      <c r="A924">
        <v>15220</v>
      </c>
      <c r="B924" t="str">
        <f>_xlfn.CONCAT(bron[[#This Row],[personeelsnr]]," ",bron[[#This Row],[achternaam]]," ",bron[[#This Row],[voornaam]])</f>
        <v>15220 Dejonghe Katleen</v>
      </c>
      <c r="C924" t="str">
        <f>VLOOKUP(bron[[#This Row],[personeelsnr]],'data hastus'!$A:$C,2,0)</f>
        <v>Dejonghe</v>
      </c>
      <c r="D924" t="str">
        <f>VLOOKUP(bron[[#This Row],[personeelsnr]],'data hastus'!$A:$C,3,0)</f>
        <v>Katleen</v>
      </c>
      <c r="E924" s="2" t="str">
        <f>VLOOKUP(bron[[#This Row],[personeelsnr]],'data hastus'!A:K,11,FALSE)</f>
        <v>Dominique De Clercq</v>
      </c>
      <c r="F924" s="10"/>
      <c r="G924" s="39"/>
      <c r="H924" s="39"/>
      <c r="I924" s="39"/>
      <c r="S924" s="36">
        <f>SUM(bron[[#This Row],[Januari]:[December]])</f>
        <v>0</v>
      </c>
      <c r="T924" s="41">
        <v>45956</v>
      </c>
      <c r="U924" s="5" t="s">
        <v>3734</v>
      </c>
      <c r="V924" s="37"/>
      <c r="W924" s="37"/>
      <c r="X924" t="s">
        <v>3547</v>
      </c>
      <c r="Y924" t="s">
        <v>3508</v>
      </c>
      <c r="Z924" s="2">
        <v>6321</v>
      </c>
      <c r="AA924" s="43" t="s">
        <v>3558</v>
      </c>
    </row>
    <row r="925" spans="1:27" hidden="1" x14ac:dyDescent="0.25">
      <c r="A925">
        <v>27209</v>
      </c>
      <c r="B925" t="str">
        <f>_xlfn.CONCAT(bron[[#This Row],[personeelsnr]]," ",bron[[#This Row],[achternaam]]," ",bron[[#This Row],[voornaam]])</f>
        <v>27209 Meyvaert Steven</v>
      </c>
      <c r="C925" t="str">
        <f>VLOOKUP(bron[[#This Row],[personeelsnr]],'data hastus'!$A:$C,2,0)</f>
        <v>Meyvaert</v>
      </c>
      <c r="D925" t="str">
        <f>VLOOKUP(bron[[#This Row],[personeelsnr]],'data hastus'!$A:$C,3,0)</f>
        <v>Steven</v>
      </c>
      <c r="E925" s="2" t="str">
        <f>VLOOKUP(bron[[#This Row],[personeelsnr]],'data hastus'!A:K,11,FALSE)</f>
        <v>Els Dewulf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3744</v>
      </c>
      <c r="V925" s="37"/>
      <c r="W925" s="37"/>
      <c r="X925" t="s">
        <v>3513</v>
      </c>
      <c r="Y925" t="s">
        <v>13</v>
      </c>
      <c r="Z925" s="2">
        <v>5232</v>
      </c>
      <c r="AA925" s="43" t="s">
        <v>3558</v>
      </c>
    </row>
    <row r="926" spans="1:27" hidden="1" x14ac:dyDescent="0.25">
      <c r="A926">
        <v>5559</v>
      </c>
      <c r="B926" t="str">
        <f>_xlfn.CONCAT(bron[[#This Row],[personeelsnr]]," ",bron[[#This Row],[achternaam]]," ",bron[[#This Row],[voornaam]])</f>
        <v>5559 Hoste Tania</v>
      </c>
      <c r="C926" t="str">
        <f>VLOOKUP(bron[[#This Row],[personeelsnr]],'data hastus'!$A:$C,2,0)</f>
        <v>Hoste</v>
      </c>
      <c r="D926" t="str">
        <f>VLOOKUP(bron[[#This Row],[personeelsnr]],'data hastus'!$A:$C,3,0)</f>
        <v>Tania</v>
      </c>
      <c r="E926" s="2" t="str">
        <f>VLOOKUP(bron[[#This Row],[personeelsnr]],'data hastus'!A:K,11,FALSE)</f>
        <v>Steven Storm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3737</v>
      </c>
      <c r="V926" s="37"/>
      <c r="W926" s="37"/>
      <c r="X926" t="s">
        <v>3548</v>
      </c>
      <c r="Y926" t="s">
        <v>19</v>
      </c>
      <c r="Z926" s="2">
        <v>6374</v>
      </c>
      <c r="AA926" s="43" t="s">
        <v>3559</v>
      </c>
    </row>
    <row r="927" spans="1:27" hidden="1" x14ac:dyDescent="0.25">
      <c r="A927">
        <v>40278</v>
      </c>
      <c r="B927" t="str">
        <f>_xlfn.CONCAT(bron[[#This Row],[personeelsnr]]," ",bron[[#This Row],[achternaam]]," ",bron[[#This Row],[voornaam]])</f>
        <v>40278 Ates Firat</v>
      </c>
      <c r="C927" t="str">
        <f>VLOOKUP(bron[[#This Row],[personeelsnr]],'data hastus'!$A:$C,2,0)</f>
        <v>Ates</v>
      </c>
      <c r="D927" t="str">
        <f>VLOOKUP(bron[[#This Row],[personeelsnr]],'data hastus'!$A:$C,3,0)</f>
        <v>Firat</v>
      </c>
      <c r="E927" s="2" t="str">
        <f>VLOOKUP(bron[[#This Row],[personeelsnr]],'data hastus'!A:K,11,FALSE)</f>
        <v>Christoff Rotty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3740</v>
      </c>
      <c r="V927" s="37"/>
      <c r="W927" s="37"/>
      <c r="X927" t="s">
        <v>3511</v>
      </c>
      <c r="Y927" t="s">
        <v>3741</v>
      </c>
      <c r="Z927" s="2">
        <v>5271</v>
      </c>
      <c r="AA927" s="43" t="s">
        <v>3558</v>
      </c>
    </row>
    <row r="928" spans="1:27" hidden="1" x14ac:dyDescent="0.25">
      <c r="A928">
        <v>37345</v>
      </c>
      <c r="B928" t="str">
        <f>_xlfn.CONCAT(bron[[#This Row],[personeelsnr]]," ",bron[[#This Row],[achternaam]]," ",bron[[#This Row],[voornaam]])</f>
        <v>37345 Walleyn Renaat</v>
      </c>
      <c r="C928" t="str">
        <f>VLOOKUP(bron[[#This Row],[personeelsnr]],'data hastus'!$A:$C,2,0)</f>
        <v>Walleyn</v>
      </c>
      <c r="D928" t="str">
        <f>VLOOKUP(bron[[#This Row],[personeelsnr]],'data hastus'!$A:$C,3,0)</f>
        <v>Renaat</v>
      </c>
      <c r="E928" s="2" t="str">
        <f>VLOOKUP(bron[[#This Row],[personeelsnr]],'data hastus'!A:K,11,FALSE)</f>
        <v>Lucie Vande Velde</v>
      </c>
      <c r="F928" s="10"/>
      <c r="G928" s="39"/>
      <c r="H928" s="39"/>
      <c r="I928" s="39"/>
      <c r="S928" s="36">
        <f>SUM(bron[[#This Row],[Januari]:[December]])</f>
        <v>0</v>
      </c>
      <c r="T928" s="41">
        <v>45958</v>
      </c>
      <c r="U928" s="5" t="s">
        <v>3739</v>
      </c>
      <c r="V928" s="37"/>
      <c r="W928" s="37"/>
      <c r="X928" t="s">
        <v>3547</v>
      </c>
      <c r="Y928" t="s">
        <v>250</v>
      </c>
      <c r="Z928" s="2">
        <v>6318</v>
      </c>
      <c r="AA928" s="43" t="s">
        <v>3558</v>
      </c>
    </row>
    <row r="929" spans="1:27" hidden="1" x14ac:dyDescent="0.25">
      <c r="A929">
        <v>40938</v>
      </c>
      <c r="B929" t="str">
        <f>_xlfn.CONCAT(bron[[#This Row],[personeelsnr]]," ",bron[[#This Row],[achternaam]]," ",bron[[#This Row],[voornaam]])</f>
        <v>40938 Hasnaoui Nejmeddine</v>
      </c>
      <c r="C929" t="str">
        <f>VLOOKUP(bron[[#This Row],[personeelsnr]],'data hastus'!$A:$C,2,0)</f>
        <v>Hasnaoui</v>
      </c>
      <c r="D929" t="str">
        <f>VLOOKUP(bron[[#This Row],[personeelsnr]],'data hastus'!$A:$C,3,0)</f>
        <v>Nejmeddine</v>
      </c>
      <c r="E929" s="2" t="str">
        <f>VLOOKUP(bron[[#This Row],[personeelsnr]],'data hastus'!A:K,11,FALSE)</f>
        <v>Dominique De Clercq</v>
      </c>
      <c r="F929" s="10"/>
      <c r="G929" s="39"/>
      <c r="H929" s="39"/>
      <c r="I929" s="39"/>
      <c r="S929" s="36">
        <f>SUM(bron[[#This Row],[Januari]:[December]])</f>
        <v>0</v>
      </c>
      <c r="T929" s="41">
        <v>45960</v>
      </c>
      <c r="U929" s="8" t="s">
        <v>3736</v>
      </c>
      <c r="V929" s="37"/>
      <c r="W929" s="37"/>
      <c r="X929" t="s">
        <v>3512</v>
      </c>
      <c r="Y929" t="s">
        <v>13</v>
      </c>
      <c r="Z929" s="2">
        <v>13024</v>
      </c>
      <c r="AA929" s="43" t="s">
        <v>3558</v>
      </c>
    </row>
    <row r="930" spans="1:27" hidden="1" x14ac:dyDescent="0.25">
      <c r="A930">
        <v>42105</v>
      </c>
      <c r="B930" t="str">
        <f>_xlfn.CONCAT(bron[[#This Row],[personeelsnr]]," ",bron[[#This Row],[achternaam]]," ",bron[[#This Row],[voornaam]])</f>
        <v>42105 Van den Bossche Jarne</v>
      </c>
      <c r="C930" t="str">
        <f>VLOOKUP(bron[[#This Row],[personeelsnr]],'data hastus'!$A:$C,2,0)</f>
        <v>Van den Bossche</v>
      </c>
      <c r="D930" t="str">
        <f>VLOOKUP(bron[[#This Row],[personeelsnr]],'data hastus'!$A:$C,3,0)</f>
        <v>Jarne</v>
      </c>
      <c r="E930" s="2" t="str">
        <f>VLOOKUP(bron[[#This Row],[personeelsnr]],'data hastus'!A:K,11,FALSE)</f>
        <v>Els Dewulf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5" t="s">
        <v>3743</v>
      </c>
      <c r="V930" s="37"/>
      <c r="W930" s="37"/>
      <c r="X930" t="s">
        <v>3512</v>
      </c>
      <c r="Y930" t="s">
        <v>31</v>
      </c>
      <c r="Z930" s="2">
        <v>5489</v>
      </c>
      <c r="AA930" s="43" t="s">
        <v>3558</v>
      </c>
    </row>
    <row r="931" spans="1:27" hidden="1" x14ac:dyDescent="0.25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3746</v>
      </c>
      <c r="V931" s="37"/>
      <c r="W931" s="37"/>
      <c r="X931" t="s">
        <v>3513</v>
      </c>
      <c r="Y931" t="s">
        <v>3747</v>
      </c>
      <c r="Z931" s="2">
        <v>5052</v>
      </c>
      <c r="AA931" s="43" t="s">
        <v>3558</v>
      </c>
    </row>
    <row r="932" spans="1:27" hidden="1" x14ac:dyDescent="0.25">
      <c r="A932">
        <v>39858</v>
      </c>
      <c r="B932" t="str">
        <f>_xlfn.CONCAT(bron[[#This Row],[personeelsnr]]," ",bron[[#This Row],[achternaam]]," ",bron[[#This Row],[voornaam]])</f>
        <v>39858 Jacobs Elos</v>
      </c>
      <c r="C932" t="str">
        <f>VLOOKUP(bron[[#This Row],[personeelsnr]],'data hastus'!$A:$C,2,0)</f>
        <v>Jacobs</v>
      </c>
      <c r="D932" t="str">
        <f>VLOOKUP(bron[[#This Row],[personeelsnr]],'data hastus'!$A:$C,3,0)</f>
        <v>Elos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45961</v>
      </c>
      <c r="U932" s="5" t="s">
        <v>3742</v>
      </c>
      <c r="V932" s="37"/>
      <c r="W932" s="37"/>
      <c r="X932" t="s">
        <v>3511</v>
      </c>
      <c r="Y932" t="s">
        <v>663</v>
      </c>
      <c r="Z932" s="2">
        <v>5229</v>
      </c>
      <c r="AA932" s="43" t="s">
        <v>3558</v>
      </c>
    </row>
    <row r="933" spans="1:27" hidden="1" x14ac:dyDescent="0.25">
      <c r="A933">
        <v>37543</v>
      </c>
      <c r="B933" t="str">
        <f>_xlfn.CONCAT(bron[[#This Row],[personeelsnr]]," ",bron[[#This Row],[achternaam]]," ",bron[[#This Row],[voornaam]])</f>
        <v>37543 Öztürk Bilgehan</v>
      </c>
      <c r="C933" t="str">
        <f>VLOOKUP(bron[[#This Row],[personeelsnr]],'data hastus'!$A:$C,2,0)</f>
        <v>Öztürk</v>
      </c>
      <c r="D933" t="str">
        <f>VLOOKUP(bron[[#This Row],[personeelsnr]],'data hastus'!$A:$C,3,0)</f>
        <v>Bilgehan</v>
      </c>
      <c r="E933" s="2" t="str">
        <f>VLOOKUP(bron[[#This Row],[personeelsnr]],'data hastus'!A:K,11,FALSE)</f>
        <v>Kenneth De Rick</v>
      </c>
      <c r="F933" s="10"/>
      <c r="G933" s="39"/>
      <c r="H933" s="39"/>
      <c r="I933" s="39"/>
      <c r="S933" s="36">
        <f>SUM(bron[[#This Row],[Januari]:[December]])</f>
        <v>0</v>
      </c>
      <c r="T933" s="41">
        <v>45962</v>
      </c>
      <c r="U933" s="5" t="s">
        <v>3750</v>
      </c>
      <c r="V933" s="37"/>
      <c r="W933" s="37"/>
      <c r="X933" t="s">
        <v>3513</v>
      </c>
      <c r="Y933" t="s">
        <v>3751</v>
      </c>
      <c r="Z933" s="2">
        <v>5233</v>
      </c>
      <c r="AA933" s="43" t="s">
        <v>3559</v>
      </c>
    </row>
    <row r="934" spans="1:27" hidden="1" x14ac:dyDescent="0.25">
      <c r="A934">
        <v>35463</v>
      </c>
      <c r="B934" t="str">
        <f>_xlfn.CONCAT(bron[[#This Row],[personeelsnr]]," ",bron[[#This Row],[achternaam]]," ",bron[[#This Row],[voornaam]])</f>
        <v>35463 Vandaele Tom</v>
      </c>
      <c r="C934" t="str">
        <f>VLOOKUP(bron[[#This Row],[personeelsnr]],'data hastus'!$A:$C,2,0)</f>
        <v>Vandaele</v>
      </c>
      <c r="D934" t="str">
        <f>VLOOKUP(bron[[#This Row],[personeelsnr]],'data hastus'!$A:$C,3,0)</f>
        <v>Tom</v>
      </c>
      <c r="E934" s="2" t="str">
        <f>VLOOKUP(bron[[#This Row],[personeelsnr]],'data hastus'!A:K,11,FALSE)</f>
        <v>Dominique De Clercq</v>
      </c>
      <c r="F934" s="10"/>
      <c r="G934" s="39"/>
      <c r="H934" s="39"/>
      <c r="I934" s="39"/>
      <c r="S934" s="36">
        <f>SUM(bron[[#This Row],[Januari]:[December]])</f>
        <v>0</v>
      </c>
      <c r="T934" s="41">
        <v>45963</v>
      </c>
      <c r="U934" s="5" t="s">
        <v>3752</v>
      </c>
      <c r="V934" s="37"/>
      <c r="W934" s="37"/>
      <c r="X934" t="s">
        <v>3547</v>
      </c>
      <c r="Y934" t="s">
        <v>5</v>
      </c>
      <c r="Z934" s="2">
        <v>6312</v>
      </c>
      <c r="AA934" s="43" t="s">
        <v>3558</v>
      </c>
    </row>
    <row r="935" spans="1:27" hidden="1" x14ac:dyDescent="0.25">
      <c r="A935">
        <v>40362</v>
      </c>
      <c r="B935" t="str">
        <f>_xlfn.CONCAT(bron[[#This Row],[personeelsnr]]," ",bron[[#This Row],[achternaam]]," ",bron[[#This Row],[voornaam]])</f>
        <v>40362 Kuru Cetin</v>
      </c>
      <c r="C935" t="str">
        <f>VLOOKUP(bron[[#This Row],[personeelsnr]],'data hastus'!$A:$C,2,0)</f>
        <v>Kuru</v>
      </c>
      <c r="D935" t="str">
        <f>VLOOKUP(bron[[#This Row],[personeelsnr]],'data hastus'!$A:$C,3,0)</f>
        <v>Cetin</v>
      </c>
      <c r="E935" s="2" t="str">
        <f>VLOOKUP(bron[[#This Row],[personeelsnr]],'data hastus'!A:K,11,FALSE)</f>
        <v>Kenneth De Rick</v>
      </c>
      <c r="F935" s="10"/>
      <c r="G935" s="39"/>
      <c r="H935" s="39"/>
      <c r="I935" s="39"/>
      <c r="S935" s="36">
        <f>SUM(bron[[#This Row],[Januari]:[December]])</f>
        <v>0</v>
      </c>
      <c r="T935" s="41">
        <v>45964</v>
      </c>
      <c r="U935" s="5" t="s">
        <v>3753</v>
      </c>
      <c r="V935" s="37"/>
      <c r="W935" s="37"/>
      <c r="X935" t="s">
        <v>3512</v>
      </c>
      <c r="Y935" t="s">
        <v>3754</v>
      </c>
      <c r="Z935" s="2">
        <v>5935</v>
      </c>
      <c r="AA935" s="43" t="s">
        <v>3558</v>
      </c>
    </row>
    <row r="936" spans="1:27" hidden="1" x14ac:dyDescent="0.25">
      <c r="A936">
        <v>42143</v>
      </c>
      <c r="B936" t="str">
        <f>_xlfn.CONCAT(bron[[#This Row],[personeelsnr]]," ",bron[[#This Row],[achternaam]]," ",bron[[#This Row],[voornaam]])</f>
        <v>42143 Rahoens Christ</v>
      </c>
      <c r="C936" t="str">
        <f>VLOOKUP(bron[[#This Row],[personeelsnr]],'data hastus'!$A:$C,2,0)</f>
        <v>Rahoens</v>
      </c>
      <c r="D936" t="str">
        <f>VLOOKUP(bron[[#This Row],[personeelsnr]],'data hastus'!$A:$C,3,0)</f>
        <v>Christ</v>
      </c>
      <c r="E936" s="2" t="str">
        <f>VLOOKUP(bron[[#This Row],[personeelsnr]],'data hastus'!A:K,11,FALSE)</f>
        <v>Bart Van Der Beken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3755</v>
      </c>
      <c r="V936" s="37"/>
      <c r="W936" s="37"/>
      <c r="X936" t="s">
        <v>3512</v>
      </c>
      <c r="Y936" t="str">
        <f>Y935</f>
        <v>Port Arthurlaan</v>
      </c>
      <c r="Z936" s="2">
        <v>550821</v>
      </c>
      <c r="AA936" s="43" t="s">
        <v>3631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26639</v>
      </c>
      <c r="B938" t="str">
        <f>_xlfn.CONCAT(bron[[#This Row],[personeelsnr]]," ",bron[[#This Row],[achternaam]]," ",bron[[#This Row],[voornaam]])</f>
        <v>26639 Engels Wendy</v>
      </c>
      <c r="C938" t="str">
        <f>VLOOKUP(bron[[#This Row],[personeelsnr]],'data hastus'!$A:$C,2,0)</f>
        <v>Engels</v>
      </c>
      <c r="D938" t="str">
        <f>VLOOKUP(bron[[#This Row],[personeelsnr]],'data hastus'!$A:$C,3,0)</f>
        <v>Wendy</v>
      </c>
      <c r="E938" s="2" t="str">
        <f>VLOOKUP(bron[[#This Row],[personeelsnr]],'data hastus'!A:K,11,FALSE)</f>
        <v>Kenneth De Rick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3757</v>
      </c>
      <c r="V938" s="37"/>
      <c r="W938" s="37"/>
      <c r="X938" t="s">
        <v>3512</v>
      </c>
      <c r="Y938" t="s">
        <v>3758</v>
      </c>
      <c r="Z938" s="2">
        <v>5938</v>
      </c>
      <c r="AA938" s="43" t="s">
        <v>3558</v>
      </c>
    </row>
    <row r="939" spans="1:27" hidden="1" x14ac:dyDescent="0.25">
      <c r="A939">
        <v>39651</v>
      </c>
      <c r="B939" t="str">
        <f>_xlfn.CONCAT(bron[[#This Row],[personeelsnr]]," ",bron[[#This Row],[achternaam]]," ",bron[[#This Row],[voornaam]])</f>
        <v>39651 Kallenbach Sunny</v>
      </c>
      <c r="C939" t="str">
        <f>VLOOKUP(bron[[#This Row],[personeelsnr]],'data hastus'!$A:$C,2,0)</f>
        <v>Kallenbach</v>
      </c>
      <c r="D939" t="str">
        <f>VLOOKUP(bron[[#This Row],[personeelsnr]],'data hastus'!$A:$C,3,0)</f>
        <v>Sunny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45964</v>
      </c>
      <c r="U939" s="5" t="s">
        <v>3759</v>
      </c>
      <c r="V939" s="37"/>
      <c r="W939" s="37"/>
      <c r="X939" t="s">
        <v>3513</v>
      </c>
      <c r="Y939" t="s">
        <v>737</v>
      </c>
      <c r="Z939" s="2">
        <v>5263</v>
      </c>
      <c r="AA939" s="43" t="s">
        <v>3558</v>
      </c>
    </row>
    <row r="940" spans="1:27" hidden="1" x14ac:dyDescent="0.25">
      <c r="A940">
        <v>34328</v>
      </c>
      <c r="B940" t="str">
        <f>_xlfn.CONCAT(bron[[#This Row],[personeelsnr]]," ",bron[[#This Row],[achternaam]]," ",bron[[#This Row],[voornaam]])</f>
        <v>34328 Kerremans Jürgen</v>
      </c>
      <c r="C940" t="str">
        <f>VLOOKUP(bron[[#This Row],[personeelsnr]],'data hastus'!$A:$C,2,0)</f>
        <v>Kerremans</v>
      </c>
      <c r="D940" t="str">
        <f>VLOOKUP(bron[[#This Row],[personeelsnr]],'data hastus'!$A:$C,3,0)</f>
        <v>Jürgen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45959</v>
      </c>
      <c r="U940" s="5" t="s">
        <v>3760</v>
      </c>
      <c r="V940" s="37"/>
      <c r="W940" s="37"/>
      <c r="X940" t="s">
        <v>3547</v>
      </c>
      <c r="Y940" t="s">
        <v>5</v>
      </c>
      <c r="Z940" s="2">
        <v>6334</v>
      </c>
      <c r="AA940" s="43" t="s">
        <v>3558</v>
      </c>
    </row>
    <row r="941" spans="1:27" hidden="1" x14ac:dyDescent="0.25">
      <c r="A941">
        <v>11023</v>
      </c>
      <c r="B941" t="str">
        <f>_xlfn.CONCAT(bron[[#This Row],[personeelsnr]]," ",bron[[#This Row],[achternaam]]," ",bron[[#This Row],[voornaam]])</f>
        <v>11023 Goethals Jeffrey</v>
      </c>
      <c r="C941" t="str">
        <f>VLOOKUP(bron[[#This Row],[personeelsnr]],'data hastus'!$A:$C,2,0)</f>
        <v>Goethals</v>
      </c>
      <c r="D941" t="str">
        <f>VLOOKUP(bron[[#This Row],[personeelsnr]],'data hastus'!$A:$C,3,0)</f>
        <v>Jeffrey</v>
      </c>
      <c r="E941" s="2" t="str">
        <f>VLOOKUP(bron[[#This Row],[personeelsnr]],'data hastus'!A:K,11,FALSE)</f>
        <v>Els Vanhoe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3761</v>
      </c>
      <c r="V941" s="37"/>
      <c r="W941" s="37"/>
      <c r="X941" t="s">
        <v>3548</v>
      </c>
      <c r="Y941" t="s">
        <v>265</v>
      </c>
      <c r="Z941" s="2">
        <v>6364</v>
      </c>
      <c r="AA941" s="43" t="s">
        <v>3558</v>
      </c>
    </row>
    <row r="942" spans="1:27" hidden="1" x14ac:dyDescent="0.25">
      <c r="A942">
        <v>38938</v>
      </c>
      <c r="B942" t="str">
        <f>_xlfn.CONCAT(bron[[#This Row],[personeelsnr]]," ",bron[[#This Row],[achternaam]]," ",bron[[#This Row],[voornaam]])</f>
        <v>38938 Sedighi Hamid</v>
      </c>
      <c r="C942" t="str">
        <f>VLOOKUP(bron[[#This Row],[personeelsnr]],'data hastus'!$A:$C,2,0)</f>
        <v>Sedighi</v>
      </c>
      <c r="D942" t="str">
        <f>VLOOKUP(bron[[#This Row],[personeelsnr]],'data hastus'!$A:$C,3,0)</f>
        <v>Hamid</v>
      </c>
      <c r="E942" s="2" t="str">
        <f>VLOOKUP(bron[[#This Row],[personeelsnr]],'data hastus'!A:K,11,FALSE)</f>
        <v>Lucie Vande Velde</v>
      </c>
      <c r="F942" s="10"/>
      <c r="G942" s="39"/>
      <c r="H942" s="39"/>
      <c r="I942" s="39"/>
      <c r="S942" s="36">
        <f>SUM(bron[[#This Row],[Januari]:[December]])</f>
        <v>0</v>
      </c>
      <c r="T942" s="41">
        <v>45967</v>
      </c>
      <c r="U942" s="5" t="s">
        <v>3762</v>
      </c>
      <c r="V942" s="37"/>
      <c r="W942" s="37"/>
      <c r="X942" t="s">
        <v>3547</v>
      </c>
      <c r="Y942" t="s">
        <v>169</v>
      </c>
      <c r="Z942" s="2">
        <v>6318</v>
      </c>
      <c r="AA942" s="43" t="s">
        <v>3558</v>
      </c>
    </row>
    <row r="943" spans="1:27" hidden="1" x14ac:dyDescent="0.25">
      <c r="A943">
        <v>14072</v>
      </c>
      <c r="B943" t="str">
        <f>_xlfn.CONCAT(bron[[#This Row],[personeelsnr]]," ",bron[[#This Row],[achternaam]]," ",bron[[#This Row],[voornaam]])</f>
        <v>14072 Vervoort Koen</v>
      </c>
      <c r="C943" t="str">
        <f>VLOOKUP(bron[[#This Row],[personeelsnr]],'data hastus'!$A:$C,2,0)</f>
        <v>Vervoort</v>
      </c>
      <c r="D943" t="str">
        <f>VLOOKUP(bron[[#This Row],[personeelsnr]],'data hastus'!$A:$C,3,0)</f>
        <v>Koen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45961</v>
      </c>
      <c r="U943" s="5" t="s">
        <v>3763</v>
      </c>
      <c r="V943" s="37"/>
      <c r="W943" s="37"/>
      <c r="X943" t="s">
        <v>3548</v>
      </c>
      <c r="Y943" t="s">
        <v>10</v>
      </c>
      <c r="Z943" s="2">
        <v>6363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27209</v>
      </c>
      <c r="B945" t="str">
        <f>_xlfn.CONCAT(bron[[#This Row],[personeelsnr]]," ",bron[[#This Row],[achternaam]]," ",bron[[#This Row],[voornaam]])</f>
        <v>27209 Meyvaert Steven</v>
      </c>
      <c r="C945" t="str">
        <f>VLOOKUP(bron[[#This Row],[personeelsnr]],'data hastus'!$A:$C,2,0)</f>
        <v>Meyvaert</v>
      </c>
      <c r="D945" t="str">
        <f>VLOOKUP(bron[[#This Row],[personeelsnr]],'data hastus'!$A:$C,3,0)</f>
        <v>Steven</v>
      </c>
      <c r="E945" s="2" t="str">
        <f>VLOOKUP(bron[[#This Row],[personeelsnr]],'data hastus'!A:K,11,FALSE)</f>
        <v>Els Dewulf</v>
      </c>
      <c r="F945" s="10"/>
      <c r="G945" s="39"/>
      <c r="H945" s="39"/>
      <c r="I945" s="39"/>
      <c r="S945" s="44">
        <f>SUM(bron[[#This Row],[Januari]:[December]])</f>
        <v>0</v>
      </c>
      <c r="T945" s="41">
        <v>45968</v>
      </c>
      <c r="U945" s="5" t="s">
        <v>3766</v>
      </c>
      <c r="V945" s="37"/>
      <c r="W945" s="37"/>
      <c r="X945" t="s">
        <v>3512</v>
      </c>
      <c r="Y945" t="s">
        <v>10</v>
      </c>
      <c r="Z945" s="2">
        <v>5922</v>
      </c>
      <c r="AA945" s="43" t="s">
        <v>3558</v>
      </c>
    </row>
    <row r="946" spans="1:27" hidden="1" x14ac:dyDescent="0.25">
      <c r="A946">
        <v>39379</v>
      </c>
      <c r="B946" t="str">
        <f>_xlfn.CONCAT(bron[[#This Row],[personeelsnr]]," ",bron[[#This Row],[achternaam]]," ",bron[[#This Row],[voornaam]])</f>
        <v>39379 Bensalah Mohammed</v>
      </c>
      <c r="C946" t="str">
        <f>VLOOKUP(bron[[#This Row],[personeelsnr]],'data hastus'!$A:$C,2,0)</f>
        <v>Bensalah</v>
      </c>
      <c r="D946" t="str">
        <f>VLOOKUP(bron[[#This Row],[personeelsnr]],'data hastus'!$A:$C,3,0)</f>
        <v>Mohammed</v>
      </c>
      <c r="E946" s="2" t="str">
        <f>VLOOKUP(bron[[#This Row],[personeelsnr]],'data hastus'!A:K,11,FALSE)</f>
        <v>Christoff Rotty</v>
      </c>
      <c r="F946" s="10"/>
      <c r="G946" s="39"/>
      <c r="H946" s="39"/>
      <c r="I946" s="39"/>
      <c r="S946" s="44">
        <f>SUM(bron[[#This Row],[Januari]:[December]])</f>
        <v>0</v>
      </c>
      <c r="T946" s="41">
        <v>45966</v>
      </c>
      <c r="U946" s="5" t="s">
        <v>3767</v>
      </c>
      <c r="V946" s="37"/>
      <c r="W946" s="37"/>
      <c r="X946" t="s">
        <v>3512</v>
      </c>
      <c r="Y946" t="s">
        <v>3768</v>
      </c>
      <c r="Z946" s="2">
        <v>5933</v>
      </c>
      <c r="AA946" s="43" t="s">
        <v>3558</v>
      </c>
    </row>
    <row r="947" spans="1:27" hidden="1" x14ac:dyDescent="0.25">
      <c r="A947">
        <v>32620</v>
      </c>
      <c r="B947" t="str">
        <f>_xlfn.CONCAT(bron[[#This Row],[personeelsnr]]," ",bron[[#This Row],[achternaam]]," ",bron[[#This Row],[voornaam]])</f>
        <v>32620 Saey Elias</v>
      </c>
      <c r="C947" t="str">
        <f>VLOOKUP(bron[[#This Row],[personeelsnr]],'data hastus'!$A:$C,2,0)</f>
        <v>Saey</v>
      </c>
      <c r="D947" t="str">
        <f>VLOOKUP(bron[[#This Row],[personeelsnr]],'data hastus'!$A:$C,3,0)</f>
        <v>Elias</v>
      </c>
      <c r="E947" s="2" t="str">
        <f>VLOOKUP(bron[[#This Row],[personeelsnr]],'data hastus'!A:K,11,FALSE)</f>
        <v>Els Vanhoe</v>
      </c>
      <c r="F947" s="10"/>
      <c r="G947" s="39"/>
      <c r="H947" s="39"/>
      <c r="I947" s="39"/>
      <c r="S947" s="44">
        <f>SUM(bron[[#This Row],[Januari]:[December]])</f>
        <v>0</v>
      </c>
      <c r="T947" s="41">
        <v>45973</v>
      </c>
      <c r="U947" s="5" t="s">
        <v>3769</v>
      </c>
      <c r="V947" s="37"/>
      <c r="W947" s="37"/>
      <c r="X947" t="s">
        <v>3513</v>
      </c>
      <c r="Y947" t="s">
        <v>3770</v>
      </c>
      <c r="Z947" s="2">
        <v>5047</v>
      </c>
      <c r="AA947" s="43" t="s">
        <v>3559</v>
      </c>
    </row>
    <row r="948" spans="1:27" hidden="1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hidden="1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hidden="1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hidden="1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hidden="1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hidden="1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hidden="1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hidden="1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hidden="1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hidden="1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hidden="1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hidden="1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hidden="1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1:27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1:27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1:27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1:27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7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A966">
        <v>35588</v>
      </c>
      <c r="B966" t="str">
        <f>_xlfn.CONCAT(bron[[#This Row],[personeelsnr]]," ",bron[[#This Row],[achternaam]]," ",bron[[#This Row],[voornaam]])</f>
        <v>35588 Smesman Glenn</v>
      </c>
      <c r="C966" t="str">
        <f>VLOOKUP(bron[[#This Row],[personeelsnr]],'data hastus'!$A:$C,2,0)</f>
        <v>Smesman</v>
      </c>
      <c r="D966" t="str">
        <f>VLOOKUP(bron[[#This Row],[personeelsnr]],'data hastus'!$A:$C,3,0)</f>
        <v>Glenn</v>
      </c>
      <c r="E966" s="2" t="str">
        <f>VLOOKUP(bron[[#This Row],[personeelsnr]],'data hastus'!A:K,11,FALSE)</f>
        <v>Lucie Vande Velde</v>
      </c>
      <c r="F966" s="10"/>
      <c r="G966" s="39"/>
      <c r="H966" s="39"/>
      <c r="I966" s="39"/>
      <c r="S966" s="44">
        <f>SUM(bron[[#This Row],[Januari]:[December]])</f>
        <v>0</v>
      </c>
      <c r="T966" s="41">
        <v>45943</v>
      </c>
      <c r="U966" s="5" t="s">
        <v>3791</v>
      </c>
      <c r="V966" s="37"/>
      <c r="W966" s="37"/>
      <c r="X966" t="s">
        <v>3512</v>
      </c>
      <c r="Y966" t="s">
        <v>728</v>
      </c>
      <c r="Z966" s="2">
        <v>5772</v>
      </c>
      <c r="AA966" s="43" t="s">
        <v>3558</v>
      </c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1:27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29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2025-11-13T10:58:02Z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