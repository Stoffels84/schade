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15" documentId="13_ncr:1_{10FCACA5-8197-478D-90D3-5F83063FB753}" xr6:coauthVersionLast="47" xr6:coauthVersionMax="47" xr10:uidLastSave="{1FCE06E4-8CBC-4125-8656-B8EE1ECB7F8D}"/>
  <bookViews>
    <workbookView xWindow="1560" yWindow="156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45" i="1" l="1"/>
  <c r="D945" i="1"/>
  <c r="E945" i="1"/>
  <c r="S945" i="1"/>
  <c r="Y937" i="1" l="1"/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D939" i="1"/>
  <c r="E939" i="1"/>
  <c r="S939" i="1"/>
  <c r="C938" i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9" i="1" l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<sst xmlns="http://schemas.openxmlformats.org/spreadsheetml/2006/main" count="8793" uniqueCount="3767">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</sst>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10</v>
          </cell>
          <cell r="B2" t="str">
            <v>Christoff Rotty</v>
          </cell>
          <cell r="D2">
            <v>32</v>
          </cell>
        </row>
        <row r="3">
          <cell r="A3">
            <v>17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24</v>
          </cell>
        </row>
        <row r="5">
          <cell r="A5">
            <v>9</v>
          </cell>
          <cell r="B5" t="str">
            <v>Els Vanhoe</v>
          </cell>
          <cell r="D5">
            <v>29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18</v>
          </cell>
        </row>
        <row r="8">
          <cell r="A8">
            <v>11</v>
          </cell>
          <cell r="B8" t="str">
            <v>Lucie Vande Velde</v>
          </cell>
          <cell r="D8">
            <v>26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5" totalsRowShown="0" headerRowDxfId="10">
  <autoFilter ref="A1:AA945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32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17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24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29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18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85</v>
      </c>
      <c r="J50" s="14" t="s">
        <v>109</v>
      </c>
      <c r="K50" s="14"/>
      <c r="L50" s="25"/>
      <c r="M50" s="14">
        <f>SUM(M42:M49)</f>
        <v>220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5"/>
  <sheetViews>
    <sheetView tabSelected="1" zoomScale="85" zoomScaleNormal="85" workbookViewId="0">
      <pane ySplit="1" topLeftCell="A917" activePane="bottomLeft" state="frozen"/>
      <selection activeCell="F1" sqref="F1"/>
      <selection pane="bottomLeft" activeCell="X945" sqref="X94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U944" s="5" t="s">
        <v>3764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  <row r="945" spans="1:27" x14ac:dyDescent="0.25">
      <c r="A945">
        <v>40110</v>
      </c>
      <c r="B945" s="44"/>
      <c r="C945" t="str">
        <f>VLOOKUP(bron[[#This Row],[personeelsnr]],'data hastus'!$A:$C,2,0)</f>
        <v>Vanlerberghe</v>
      </c>
      <c r="D945" t="str">
        <f>VLOOKUP(bron[[#This Row],[personeelsnr]],'data hastus'!$A:$C,3,0)</f>
        <v>Sandra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5">
        <f>SUM(bron[[#This Row],[Januari]:[December]])</f>
        <v>0</v>
      </c>
      <c r="T945" s="41">
        <v>45965</v>
      </c>
      <c r="U945" s="5" t="s">
        <v>3766</v>
      </c>
      <c r="V945" s="37"/>
      <c r="W945" s="37"/>
      <c r="X945" t="s">
        <v>3511</v>
      </c>
      <c r="Y945" t="s">
        <v>3765</v>
      </c>
      <c r="Z945" s="2">
        <v>5265</v>
      </c>
      <c r="AA945" s="43" t="s">
        <v>3558</v>
      </c>
    </row>
  </sheetData>
  <sheetProtection sort="0" autoFilter="0"/>
  <phoneticPr fontId="1" type="noConversion"/>
  <conditionalFormatting sqref="F2:F94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2025-11-05T16:58:53Z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