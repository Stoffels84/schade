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92" documentId="13_ncr:1_{10FCACA5-8197-478D-90D3-5F83063FB753}" xr6:coauthVersionLast="47" xr6:coauthVersionMax="47" xr10:uidLastSave="{73173CD4-91FF-4AC9-8AD2-7143072B3DDF}"/>
  <bookViews>
    <workbookView xWindow="-28920" yWindow="-75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937" i="1" l="1"/>
  <c r="C944" i="1" l="1"/>
  <c r="B944" i="1" s="1"/>
  <c r="D944" i="1"/>
  <c r="E944" i="1"/>
  <c r="S944" i="1"/>
  <c r="C943" i="1"/>
  <c r="B943" i="1" s="1"/>
  <c r="D943" i="1"/>
  <c r="E943" i="1"/>
  <c r="S943" i="1"/>
  <c r="C942" i="1"/>
  <c r="B942" i="1" s="1"/>
  <c r="D942" i="1"/>
  <c r="E942" i="1"/>
  <c r="S942" i="1"/>
  <c r="C941" i="1"/>
  <c r="B941" i="1" s="1"/>
  <c r="D941" i="1"/>
  <c r="E941" i="1"/>
  <c r="S941" i="1"/>
  <c r="C940" i="1"/>
  <c r="B940" i="1" s="1"/>
  <c r="D940" i="1"/>
  <c r="E940" i="1"/>
  <c r="S940" i="1"/>
  <c r="C939" i="1"/>
  <c r="D939" i="1"/>
  <c r="E939" i="1"/>
  <c r="S939" i="1"/>
  <c r="C938" i="1"/>
  <c r="D938" i="1"/>
  <c r="E938" i="1"/>
  <c r="S938" i="1"/>
  <c r="C937" i="1"/>
  <c r="B937" i="1" s="1"/>
  <c r="D937" i="1"/>
  <c r="E937" i="1"/>
  <c r="S937" i="1"/>
  <c r="C936" i="1"/>
  <c r="B936" i="1" s="1"/>
  <c r="D936" i="1"/>
  <c r="E936" i="1"/>
  <c r="S936" i="1"/>
  <c r="C935" i="1"/>
  <c r="D935" i="1"/>
  <c r="E935" i="1"/>
  <c r="S935" i="1"/>
  <c r="C934" i="1"/>
  <c r="B934" i="1" s="1"/>
  <c r="D934" i="1"/>
  <c r="E934" i="1"/>
  <c r="S934" i="1"/>
  <c r="C924" i="1"/>
  <c r="B924" i="1" s="1"/>
  <c r="D924" i="1"/>
  <c r="E924" i="1"/>
  <c r="S924" i="1"/>
  <c r="C922" i="1"/>
  <c r="D922" i="1"/>
  <c r="E922" i="1"/>
  <c r="S922" i="1"/>
  <c r="C932" i="1"/>
  <c r="D932" i="1"/>
  <c r="E932" i="1"/>
  <c r="S932" i="1"/>
  <c r="C914" i="1"/>
  <c r="D914" i="1"/>
  <c r="E914" i="1"/>
  <c r="S914" i="1"/>
  <c r="C926" i="1"/>
  <c r="D926" i="1"/>
  <c r="E926" i="1"/>
  <c r="S926" i="1"/>
  <c r="C931" i="1"/>
  <c r="B931" i="1" s="1"/>
  <c r="D931" i="1"/>
  <c r="E931" i="1"/>
  <c r="S931" i="1"/>
  <c r="C933" i="1"/>
  <c r="D933" i="1"/>
  <c r="E933" i="1"/>
  <c r="S933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0" i="1"/>
  <c r="D930" i="1"/>
  <c r="E930" i="1"/>
  <c r="S930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9" i="1"/>
  <c r="D909" i="1"/>
  <c r="E909" i="1"/>
  <c r="S909" i="1"/>
  <c r="C918" i="1"/>
  <c r="D918" i="1"/>
  <c r="E918" i="1"/>
  <c r="S918" i="1"/>
  <c r="C908" i="1"/>
  <c r="D908" i="1"/>
  <c r="E908" i="1"/>
  <c r="S908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2" i="1"/>
  <c r="D902" i="1"/>
  <c r="E902" i="1"/>
  <c r="S902" i="1"/>
  <c r="C916" i="1"/>
  <c r="D916" i="1"/>
  <c r="E916" i="1"/>
  <c r="S916" i="1"/>
  <c r="C905" i="1"/>
  <c r="D905" i="1"/>
  <c r="E905" i="1"/>
  <c r="S905" i="1"/>
  <c r="C911" i="1"/>
  <c r="D911" i="1"/>
  <c r="E911" i="1"/>
  <c r="S911" i="1"/>
  <c r="C910" i="1"/>
  <c r="D910" i="1"/>
  <c r="E910" i="1"/>
  <c r="S910" i="1"/>
  <c r="C903" i="1"/>
  <c r="D903" i="1"/>
  <c r="E903" i="1"/>
  <c r="S903" i="1"/>
  <c r="C912" i="1"/>
  <c r="D912" i="1"/>
  <c r="E912" i="1"/>
  <c r="S912" i="1"/>
  <c r="C907" i="1"/>
  <c r="D907" i="1"/>
  <c r="E907" i="1"/>
  <c r="S907" i="1"/>
  <c r="C904" i="1"/>
  <c r="D904" i="1"/>
  <c r="E904" i="1"/>
  <c r="S904" i="1"/>
  <c r="C898" i="1"/>
  <c r="D898" i="1"/>
  <c r="E898" i="1"/>
  <c r="S898" i="1"/>
  <c r="C906" i="1"/>
  <c r="D906" i="1"/>
  <c r="E906" i="1"/>
  <c r="S906" i="1"/>
  <c r="C897" i="1"/>
  <c r="D897" i="1"/>
  <c r="E897" i="1"/>
  <c r="S897" i="1"/>
  <c r="C901" i="1"/>
  <c r="D901" i="1"/>
  <c r="E901" i="1"/>
  <c r="S901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2" i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4" i="1"/>
  <c r="D894" i="1"/>
  <c r="E894" i="1"/>
  <c r="S894" i="1"/>
  <c r="C887" i="1"/>
  <c r="D887" i="1"/>
  <c r="E887" i="1"/>
  <c r="S887" i="1"/>
  <c r="C893" i="1"/>
  <c r="D893" i="1"/>
  <c r="E893" i="1"/>
  <c r="S893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9" i="1" l="1"/>
  <c r="B938" i="1"/>
  <c r="B935" i="1"/>
  <c r="B922" i="1"/>
  <c r="B932" i="1"/>
  <c r="B914" i="1"/>
  <c r="B926" i="1"/>
  <c r="B916" i="1"/>
  <c r="B902" i="1"/>
  <c r="B913" i="1"/>
  <c r="B908" i="1"/>
  <c r="B918" i="1"/>
  <c r="B909" i="1"/>
  <c r="B920" i="1"/>
  <c r="B933" i="1"/>
  <c r="B928" i="1"/>
  <c r="B929" i="1"/>
  <c r="B923" i="1"/>
  <c r="B927" i="1"/>
  <c r="B930" i="1"/>
  <c r="B921" i="1"/>
  <c r="B925" i="1"/>
  <c r="B915" i="1"/>
  <c r="B919" i="1"/>
  <c r="B917" i="1"/>
  <c r="B912" i="1"/>
  <c r="B910" i="1"/>
  <c r="B905" i="1"/>
  <c r="B907" i="1"/>
  <c r="B911" i="1"/>
  <c r="B903" i="1"/>
  <c r="B855" i="1"/>
  <c r="B886" i="1"/>
  <c r="B890" i="1"/>
  <c r="B896" i="1"/>
  <c r="B898" i="1"/>
  <c r="B884" i="1"/>
  <c r="B887" i="1"/>
  <c r="B895" i="1"/>
  <c r="B901" i="1"/>
  <c r="B906" i="1"/>
  <c r="B904" i="1"/>
  <c r="B897" i="1"/>
  <c r="B883" i="1"/>
  <c r="B882" i="1"/>
  <c r="B885" i="1"/>
  <c r="B893" i="1"/>
  <c r="B894" i="1"/>
  <c r="B889" i="1"/>
  <c r="B891" i="1"/>
  <c r="B899" i="1"/>
  <c r="B900" i="1"/>
  <c r="B875" i="1"/>
  <c r="B881" i="1"/>
  <c r="B877" i="1"/>
  <c r="B892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<sst xmlns="http://schemas.openxmlformats.org/spreadsheetml/2006/main" count="8780" uniqueCount="3762">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</sst>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10</v>
          </cell>
          <cell r="B2" t="str">
            <v>Christoff Rotty</v>
          </cell>
          <cell r="D2">
            <v>32</v>
          </cell>
        </row>
        <row r="3">
          <cell r="A3">
            <v>17</v>
          </cell>
          <cell r="B3" t="str">
            <v>Bart Van der Beken</v>
          </cell>
          <cell r="D3">
            <v>28</v>
          </cell>
        </row>
        <row r="4">
          <cell r="A4">
            <v>13</v>
          </cell>
          <cell r="B4" t="str">
            <v>Els Dewulf</v>
          </cell>
          <cell r="D4">
            <v>24</v>
          </cell>
        </row>
        <row r="5">
          <cell r="A5">
            <v>9</v>
          </cell>
          <cell r="B5" t="str">
            <v>Els Vanhoe</v>
          </cell>
          <cell r="D5">
            <v>29</v>
          </cell>
        </row>
        <row r="6">
          <cell r="A6">
            <v>9</v>
          </cell>
          <cell r="B6" t="str">
            <v>Dominique De Clercq</v>
          </cell>
          <cell r="D6">
            <v>38</v>
          </cell>
        </row>
        <row r="7">
          <cell r="A7">
            <v>6</v>
          </cell>
          <cell r="B7" t="str">
            <v>Steven Storm</v>
          </cell>
          <cell r="D7">
            <v>18</v>
          </cell>
        </row>
        <row r="8">
          <cell r="A8">
            <v>11</v>
          </cell>
          <cell r="B8" t="str">
            <v>Lucie Vande Velde</v>
          </cell>
          <cell r="D8">
            <v>26</v>
          </cell>
        </row>
        <row r="9">
          <cell r="A9">
            <v>10</v>
          </cell>
          <cell r="B9" t="str">
            <v>Kenneth De Rick</v>
          </cell>
          <cell r="D9">
            <v>25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44" totalsRowShown="0" headerRowDxfId="10">
  <autoFilter ref="A1:AA944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44">
    <sortCondition ref="T1:T944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28515625" style="27" bestFit="1" customWidth="1"/>
    <col min="10" max="10" width="16.28515625" style="27" bestFit="1" customWidth="1"/>
    <col min="11" max="12" width="9.85546875" style="27" bestFit="1" customWidth="1"/>
    <col min="13" max="13" width="7.5703125" style="27" bestFit="1" customWidth="1"/>
    <col min="14" max="14" width="6.85546875" style="27" bestFit="1" customWidth="1"/>
    <col min="15" max="15" width="2.28515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4</v>
      </c>
      <c r="D13">
        <v>7</v>
      </c>
      <c r="F13" s="2" t="s">
        <v>5</v>
      </c>
      <c r="G13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9</v>
      </c>
      <c r="D14">
        <v>6</v>
      </c>
      <c r="F14" s="2" t="s">
        <v>10</v>
      </c>
      <c r="G14">
        <v>15</v>
      </c>
      <c r="I14" s="2" t="s">
        <v>11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 x14ac:dyDescent="0.25">
      <c r="C15" s="34" t="s">
        <v>15</v>
      </c>
      <c r="D15">
        <v>5</v>
      </c>
      <c r="F15" s="2" t="s">
        <v>16</v>
      </c>
      <c r="G15">
        <v>11</v>
      </c>
      <c r="I15" s="2" t="s">
        <v>14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 x14ac:dyDescent="0.25">
      <c r="C16" s="32" t="s">
        <v>36</v>
      </c>
      <c r="D16">
        <v>5</v>
      </c>
      <c r="F16" s="2" t="s">
        <v>13</v>
      </c>
      <c r="G16">
        <v>10</v>
      </c>
      <c r="I16" s="2" t="s">
        <v>17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 x14ac:dyDescent="0.25">
      <c r="C17" s="31" t="s">
        <v>12</v>
      </c>
      <c r="D17">
        <v>5</v>
      </c>
      <c r="F17" s="2" t="s">
        <v>19</v>
      </c>
      <c r="G17">
        <v>10</v>
      </c>
      <c r="I17" s="2" t="s">
        <v>20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 x14ac:dyDescent="0.25">
      <c r="C18" s="34" t="s">
        <v>18</v>
      </c>
      <c r="D18">
        <v>4</v>
      </c>
      <c r="F18" s="2" t="s">
        <v>34</v>
      </c>
      <c r="G18">
        <v>8</v>
      </c>
      <c r="I18" s="2" t="s">
        <v>23</v>
      </c>
      <c r="J18"/>
      <c r="K18">
        <v>5</v>
      </c>
      <c r="L18">
        <v>9</v>
      </c>
      <c r="M18">
        <v>14</v>
      </c>
      <c r="N18">
        <v>2</v>
      </c>
      <c r="O18"/>
    </row>
    <row r="19" spans="2:15" x14ac:dyDescent="0.25">
      <c r="C19" s="31" t="s">
        <v>21</v>
      </c>
      <c r="D19">
        <v>4</v>
      </c>
      <c r="F19" s="2" t="s">
        <v>25</v>
      </c>
      <c r="G19">
        <v>8</v>
      </c>
      <c r="I19" s="2" t="s">
        <v>26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 x14ac:dyDescent="0.25">
      <c r="C20" s="34" t="s">
        <v>27</v>
      </c>
      <c r="D20">
        <v>3</v>
      </c>
      <c r="F20" s="2" t="s">
        <v>31</v>
      </c>
      <c r="G20">
        <v>8</v>
      </c>
      <c r="I20" s="2" t="s">
        <v>29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 x14ac:dyDescent="0.25">
      <c r="C21" s="34" t="s">
        <v>103</v>
      </c>
      <c r="D21">
        <v>3</v>
      </c>
      <c r="F21" s="2" t="s">
        <v>37</v>
      </c>
      <c r="G21">
        <v>7</v>
      </c>
      <c r="I21" s="2" t="s">
        <v>32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 x14ac:dyDescent="0.25">
      <c r="C22" s="33" t="s">
        <v>24</v>
      </c>
      <c r="D22">
        <v>3</v>
      </c>
      <c r="F22" s="2" t="s">
        <v>28</v>
      </c>
      <c r="G22">
        <v>7</v>
      </c>
      <c r="I22" s="2" t="s">
        <v>35</v>
      </c>
      <c r="J22"/>
      <c r="K22">
        <v>4</v>
      </c>
      <c r="L22">
        <v>8</v>
      </c>
      <c r="M22">
        <v>7</v>
      </c>
      <c r="N22">
        <v>1</v>
      </c>
      <c r="O22"/>
    </row>
    <row r="23" spans="2:15" x14ac:dyDescent="0.25">
      <c r="C23" s="34" t="s">
        <v>47</v>
      </c>
      <c r="D23">
        <v>3</v>
      </c>
      <c r="F23" s="2" t="s">
        <v>22</v>
      </c>
      <c r="G23">
        <v>7</v>
      </c>
      <c r="I23" s="2" t="s">
        <v>38</v>
      </c>
      <c r="J23"/>
      <c r="K23"/>
      <c r="L23"/>
      <c r="M23"/>
      <c r="N23"/>
      <c r="O23"/>
    </row>
    <row r="24" spans="2:15" x14ac:dyDescent="0.25">
      <c r="C24" s="2" t="s">
        <v>320</v>
      </c>
      <c r="D24">
        <v>3</v>
      </c>
      <c r="F24" s="2" t="s">
        <v>51</v>
      </c>
      <c r="G24">
        <v>6</v>
      </c>
      <c r="I24" s="2" t="s">
        <v>41</v>
      </c>
      <c r="J24"/>
      <c r="K24"/>
      <c r="L24"/>
      <c r="M24"/>
      <c r="N24"/>
      <c r="O24"/>
    </row>
    <row r="25" spans="2:15" x14ac:dyDescent="0.25">
      <c r="C25" s="31" t="s">
        <v>45</v>
      </c>
      <c r="D25">
        <v>3</v>
      </c>
      <c r="F25" s="2" t="s">
        <v>40</v>
      </c>
      <c r="G25">
        <v>6</v>
      </c>
      <c r="I25" s="2" t="s">
        <v>44</v>
      </c>
      <c r="J25"/>
      <c r="K25"/>
      <c r="L25"/>
      <c r="M25"/>
      <c r="N25"/>
      <c r="O25"/>
    </row>
    <row r="26" spans="2:15" x14ac:dyDescent="0.25">
      <c r="C26" s="34" t="s">
        <v>42</v>
      </c>
      <c r="D26">
        <v>3</v>
      </c>
      <c r="F26" s="2" t="s">
        <v>100</v>
      </c>
      <c r="G26">
        <v>6</v>
      </c>
    </row>
    <row r="27" spans="2:15" x14ac:dyDescent="0.25">
      <c r="C27" s="2" t="s">
        <v>239</v>
      </c>
      <c r="D27">
        <v>3</v>
      </c>
      <c r="F27" s="2" t="s">
        <v>46</v>
      </c>
      <c r="G27">
        <v>6</v>
      </c>
      <c r="I27" s="1" t="s">
        <v>49</v>
      </c>
      <c r="J27" t="s">
        <v>1</v>
      </c>
    </row>
    <row r="28" spans="2:15" x14ac:dyDescent="0.25">
      <c r="C28" s="31" t="s">
        <v>30</v>
      </c>
      <c r="D28">
        <v>3</v>
      </c>
      <c r="F28" s="2" t="s">
        <v>48</v>
      </c>
      <c r="G28">
        <v>6</v>
      </c>
      <c r="I28" s="2" t="s">
        <v>52</v>
      </c>
      <c r="J28">
        <v>68</v>
      </c>
    </row>
    <row r="29" spans="2:15" x14ac:dyDescent="0.25">
      <c r="C29" s="31" t="s">
        <v>39</v>
      </c>
      <c r="D29">
        <v>3</v>
      </c>
      <c r="F29" s="2" t="s">
        <v>113</v>
      </c>
      <c r="G29">
        <v>5</v>
      </c>
      <c r="I29" s="2" t="s">
        <v>55</v>
      </c>
      <c r="J29">
        <v>57</v>
      </c>
    </row>
    <row r="30" spans="2:15" x14ac:dyDescent="0.25">
      <c r="C30" s="34" t="s">
        <v>83</v>
      </c>
      <c r="D30">
        <v>3</v>
      </c>
      <c r="F30" s="2" t="s">
        <v>43</v>
      </c>
      <c r="G30">
        <v>5</v>
      </c>
      <c r="I30" s="2" t="s">
        <v>61</v>
      </c>
      <c r="J30">
        <v>51</v>
      </c>
    </row>
    <row r="31" spans="2:15" x14ac:dyDescent="0.25">
      <c r="B31" s="30">
        <f>AVERAGE(D13:D196)</f>
        <v>1.6304347826086956</v>
      </c>
      <c r="C31" s="31" t="s">
        <v>74</v>
      </c>
      <c r="D31">
        <v>3</v>
      </c>
      <c r="F31" s="2" t="s">
        <v>75</v>
      </c>
      <c r="G31">
        <v>5</v>
      </c>
      <c r="I31" s="2" t="s">
        <v>58</v>
      </c>
      <c r="J31">
        <v>49</v>
      </c>
    </row>
    <row r="32" spans="2:15" x14ac:dyDescent="0.25">
      <c r="C32" s="34" t="s">
        <v>118</v>
      </c>
      <c r="D32">
        <v>3</v>
      </c>
      <c r="F32" s="2" t="s">
        <v>72</v>
      </c>
      <c r="G32">
        <v>5</v>
      </c>
      <c r="I32" s="2" t="s">
        <v>64</v>
      </c>
      <c r="J32">
        <v>39</v>
      </c>
    </row>
    <row r="33" spans="3:15" x14ac:dyDescent="0.25">
      <c r="C33" s="34" t="s">
        <v>95</v>
      </c>
      <c r="D33">
        <v>3</v>
      </c>
      <c r="F33" s="2" t="s">
        <v>119</v>
      </c>
      <c r="G33">
        <v>4</v>
      </c>
      <c r="I33" s="2" t="s">
        <v>67</v>
      </c>
      <c r="J33">
        <v>34</v>
      </c>
    </row>
    <row r="34" spans="3:15" x14ac:dyDescent="0.25">
      <c r="C34" s="2" t="s">
        <v>356</v>
      </c>
      <c r="D34">
        <v>3</v>
      </c>
      <c r="F34" s="2" t="s">
        <v>81</v>
      </c>
      <c r="G34">
        <v>4</v>
      </c>
      <c r="I34" s="2" t="s">
        <v>73</v>
      </c>
      <c r="J34">
        <v>33</v>
      </c>
    </row>
    <row r="35" spans="3:15" x14ac:dyDescent="0.25">
      <c r="C35" s="31" t="s">
        <v>107</v>
      </c>
      <c r="D35">
        <v>2</v>
      </c>
      <c r="F35" s="2" t="s">
        <v>108</v>
      </c>
      <c r="G35">
        <v>3</v>
      </c>
      <c r="I35" s="2" t="s">
        <v>70</v>
      </c>
      <c r="J35">
        <v>31</v>
      </c>
    </row>
    <row r="36" spans="3:15" x14ac:dyDescent="0.25">
      <c r="C36" s="2" t="s">
        <v>347</v>
      </c>
      <c r="D36">
        <v>2</v>
      </c>
      <c r="F36" s="2" t="s">
        <v>66</v>
      </c>
      <c r="G36">
        <v>3</v>
      </c>
      <c r="I36" s="2" t="s">
        <v>79</v>
      </c>
      <c r="J36">
        <v>9</v>
      </c>
    </row>
    <row r="37" spans="3:15" x14ac:dyDescent="0.25">
      <c r="C37" s="34" t="s">
        <v>87</v>
      </c>
      <c r="D37">
        <v>2</v>
      </c>
      <c r="F37" s="2" t="s">
        <v>54</v>
      </c>
      <c r="G37">
        <v>3</v>
      </c>
      <c r="I37" s="2" t="s">
        <v>76</v>
      </c>
      <c r="J37">
        <v>4</v>
      </c>
    </row>
    <row r="38" spans="3:15" x14ac:dyDescent="0.25">
      <c r="C38" s="2" t="s">
        <v>229</v>
      </c>
      <c r="D38">
        <v>2</v>
      </c>
      <c r="F38" s="2" t="s">
        <v>106</v>
      </c>
      <c r="G38">
        <v>3</v>
      </c>
      <c r="I38" s="2" t="s">
        <v>82</v>
      </c>
      <c r="J38">
        <v>375</v>
      </c>
    </row>
    <row r="39" spans="3:15" x14ac:dyDescent="0.25">
      <c r="C39" s="34" t="s">
        <v>101</v>
      </c>
      <c r="D39">
        <v>2</v>
      </c>
      <c r="F39" s="2" t="s">
        <v>63</v>
      </c>
      <c r="G39">
        <v>3</v>
      </c>
      <c r="I39"/>
      <c r="J39"/>
    </row>
    <row r="40" spans="3:15" x14ac:dyDescent="0.25">
      <c r="C40" s="34" t="s">
        <v>105</v>
      </c>
      <c r="D40">
        <v>2</v>
      </c>
      <c r="F40" s="2" t="s">
        <v>84</v>
      </c>
      <c r="G40">
        <v>3</v>
      </c>
    </row>
    <row r="41" spans="3:15" x14ac:dyDescent="0.25">
      <c r="C41" s="34" t="s">
        <v>116</v>
      </c>
      <c r="D41">
        <v>2</v>
      </c>
      <c r="F41" s="2" t="s">
        <v>57</v>
      </c>
      <c r="G41">
        <v>3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25">
      <c r="C42" s="2" t="s">
        <v>245</v>
      </c>
      <c r="D42">
        <v>2</v>
      </c>
      <c r="F42" s="2" t="s">
        <v>78</v>
      </c>
      <c r="G42">
        <v>3</v>
      </c>
      <c r="I42" s="13">
        <f>'[1]Ingeplande per TC'!$A$2</f>
        <v>10</v>
      </c>
      <c r="J42" s="13" t="str">
        <f>'[1]Ingeplande per TC'!$B$2</f>
        <v>Christoff Rotty</v>
      </c>
      <c r="K42" s="13"/>
      <c r="L42" s="25"/>
      <c r="M42" s="13">
        <f>'[1]Ingeplande per TC'!$D$2</f>
        <v>32</v>
      </c>
      <c r="N42" s="13" t="str">
        <f>'[1]Ingeplande per TC'!$B$2</f>
        <v>Christoff Rotty</v>
      </c>
      <c r="O42" s="13"/>
    </row>
    <row r="43" spans="3:15" x14ac:dyDescent="0.25">
      <c r="C43" s="31" t="s">
        <v>50</v>
      </c>
      <c r="D43">
        <v>2</v>
      </c>
      <c r="F43" s="2" t="s">
        <v>69</v>
      </c>
      <c r="G43">
        <v>3</v>
      </c>
      <c r="I43" s="13">
        <f>'[1]Ingeplande per TC'!$A$3</f>
        <v>17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252</v>
      </c>
      <c r="D44">
        <v>2</v>
      </c>
      <c r="F44" s="2" t="s">
        <v>131</v>
      </c>
      <c r="G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24</v>
      </c>
      <c r="N44" s="13" t="str">
        <f>'[1]Ingeplande per TC'!$B$4</f>
        <v>Els Dewulf</v>
      </c>
      <c r="O44" s="13"/>
    </row>
    <row r="45" spans="3:15" x14ac:dyDescent="0.25">
      <c r="C45" s="2" t="s">
        <v>337</v>
      </c>
      <c r="D45">
        <v>2</v>
      </c>
      <c r="F45" s="2" t="s">
        <v>133</v>
      </c>
      <c r="G45">
        <v>3</v>
      </c>
      <c r="I45" s="13">
        <f>'[1]Ingeplande per TC'!$A$5</f>
        <v>9</v>
      </c>
      <c r="J45" s="13" t="str">
        <f>'[1]Ingeplande per TC'!$B$5</f>
        <v>Els Vanhoe</v>
      </c>
      <c r="K45" s="13"/>
      <c r="L45" s="25"/>
      <c r="M45" s="13">
        <f>'[1]Ingeplande per TC'!$D$5</f>
        <v>29</v>
      </c>
      <c r="N45" s="13" t="str">
        <f>'[1]Ingeplande per TC'!$B$5</f>
        <v>Els Vanhoe</v>
      </c>
      <c r="O45" s="13"/>
    </row>
    <row r="46" spans="3:15" x14ac:dyDescent="0.25">
      <c r="C46" s="31" t="s">
        <v>97</v>
      </c>
      <c r="D46">
        <v>2</v>
      </c>
      <c r="F46" s="2" t="s">
        <v>60</v>
      </c>
      <c r="G46">
        <v>3</v>
      </c>
      <c r="I46" s="13">
        <f>'[1]Ingeplande per TC'!$A$6</f>
        <v>9</v>
      </c>
      <c r="J46" s="13" t="str">
        <f>'[1]Ingeplande per TC'!$B$6</f>
        <v>Dominique De Clercq</v>
      </c>
      <c r="K46" s="13"/>
      <c r="L46" s="25"/>
      <c r="M46" s="13">
        <f>'[1]Ingeplande per TC'!$D$6</f>
        <v>38</v>
      </c>
      <c r="N46" s="13" t="str">
        <f>'[1]Ingeplande per TC'!$B$6</f>
        <v>Dominique De Clercq</v>
      </c>
      <c r="O46" s="13"/>
    </row>
    <row r="47" spans="3:15" x14ac:dyDescent="0.25">
      <c r="C47" s="2" t="s">
        <v>282</v>
      </c>
      <c r="D47">
        <v>2</v>
      </c>
      <c r="F47" s="2" t="s">
        <v>3626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18</v>
      </c>
      <c r="N47" s="13" t="str">
        <f>'[1]Ingeplande per TC'!$B$7</f>
        <v>Steven Storm</v>
      </c>
      <c r="O47" s="13"/>
    </row>
    <row r="48" spans="3:15" x14ac:dyDescent="0.25">
      <c r="C48" s="31" t="s">
        <v>110</v>
      </c>
      <c r="D48">
        <v>2</v>
      </c>
      <c r="F48" s="2" t="s">
        <v>121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26</v>
      </c>
      <c r="N48" s="13" t="str">
        <f>'[1]Ingeplande per TC'!$B$8</f>
        <v>Lucie Vande Velde</v>
      </c>
      <c r="O48" s="13"/>
    </row>
    <row r="49" spans="3:15" x14ac:dyDescent="0.25">
      <c r="C49" s="34" t="s">
        <v>112</v>
      </c>
      <c r="D49">
        <v>2</v>
      </c>
      <c r="F49" s="2" t="s">
        <v>965</v>
      </c>
      <c r="G49">
        <v>2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25</v>
      </c>
      <c r="N49" s="13" t="str">
        <f>'[1]Ingeplande per TC'!$B$9</f>
        <v>Kenneth De Rick</v>
      </c>
      <c r="O49" s="13"/>
    </row>
    <row r="50" spans="3:15" x14ac:dyDescent="0.25">
      <c r="C50" s="31" t="s">
        <v>114</v>
      </c>
      <c r="D50">
        <v>2</v>
      </c>
      <c r="F50" s="2" t="s">
        <v>748</v>
      </c>
      <c r="G50">
        <v>2</v>
      </c>
      <c r="I50" s="14">
        <f>SUM(I42:I49)</f>
        <v>85</v>
      </c>
      <c r="J50" s="14" t="s">
        <v>109</v>
      </c>
      <c r="K50" s="14"/>
      <c r="L50" s="25"/>
      <c r="M50" s="14">
        <f>SUM(M42:M49)</f>
        <v>220</v>
      </c>
      <c r="N50" s="14" t="s">
        <v>109</v>
      </c>
      <c r="O50" s="14"/>
    </row>
    <row r="51" spans="3:15" x14ac:dyDescent="0.25">
      <c r="C51" s="2" t="s">
        <v>311</v>
      </c>
      <c r="D51">
        <v>2</v>
      </c>
      <c r="F51" s="2" t="s">
        <v>3502</v>
      </c>
      <c r="G51">
        <v>2</v>
      </c>
    </row>
    <row r="52" spans="3:15" x14ac:dyDescent="0.25">
      <c r="C52" s="31" t="s">
        <v>65</v>
      </c>
      <c r="D52">
        <v>2</v>
      </c>
      <c r="F52" s="2" t="s">
        <v>111</v>
      </c>
      <c r="G52">
        <v>2</v>
      </c>
    </row>
    <row r="53" spans="3:15" x14ac:dyDescent="0.25">
      <c r="C53" s="2" t="s">
        <v>188</v>
      </c>
      <c r="D53">
        <v>2</v>
      </c>
      <c r="F53" s="2" t="s">
        <v>104</v>
      </c>
      <c r="G53">
        <v>2</v>
      </c>
    </row>
    <row r="54" spans="3:15" x14ac:dyDescent="0.25">
      <c r="C54" s="34" t="s">
        <v>138</v>
      </c>
      <c r="D54">
        <v>2</v>
      </c>
      <c r="F54" s="2" t="s">
        <v>226</v>
      </c>
      <c r="G54">
        <v>2</v>
      </c>
    </row>
    <row r="55" spans="3:15" x14ac:dyDescent="0.25">
      <c r="C55" s="31" t="s">
        <v>124</v>
      </c>
      <c r="D55">
        <v>2</v>
      </c>
      <c r="F55" s="2" t="s">
        <v>102</v>
      </c>
      <c r="G55">
        <v>2</v>
      </c>
    </row>
    <row r="56" spans="3:15" x14ac:dyDescent="0.25">
      <c r="C56" s="2" t="s">
        <v>316</v>
      </c>
      <c r="D56">
        <v>2</v>
      </c>
      <c r="F56" s="2" t="s">
        <v>115</v>
      </c>
      <c r="G56">
        <v>2</v>
      </c>
    </row>
    <row r="57" spans="3:15" x14ac:dyDescent="0.25">
      <c r="C57" s="31" t="s">
        <v>128</v>
      </c>
      <c r="D57">
        <v>2</v>
      </c>
      <c r="F57" s="2" t="s">
        <v>127</v>
      </c>
      <c r="G57">
        <v>2</v>
      </c>
    </row>
    <row r="58" spans="3:15" x14ac:dyDescent="0.25">
      <c r="C58" s="34" t="s">
        <v>53</v>
      </c>
      <c r="D58">
        <v>2</v>
      </c>
      <c r="F58" s="2" t="s">
        <v>135</v>
      </c>
      <c r="G58">
        <v>2</v>
      </c>
    </row>
    <row r="59" spans="3:15" x14ac:dyDescent="0.25">
      <c r="C59" s="34" t="s">
        <v>132</v>
      </c>
      <c r="D59">
        <v>2</v>
      </c>
      <c r="F59" s="2" t="s">
        <v>117</v>
      </c>
      <c r="G59">
        <v>2</v>
      </c>
    </row>
    <row r="60" spans="3:15" x14ac:dyDescent="0.25">
      <c r="C60" s="31" t="s">
        <v>122</v>
      </c>
      <c r="D60">
        <v>2</v>
      </c>
      <c r="F60" s="2" t="s">
        <v>92</v>
      </c>
      <c r="G60">
        <v>2</v>
      </c>
    </row>
    <row r="61" spans="3:15" x14ac:dyDescent="0.25">
      <c r="C61" s="2" t="s">
        <v>307</v>
      </c>
      <c r="D61">
        <v>2</v>
      </c>
      <c r="F61" s="2" t="s">
        <v>125</v>
      </c>
      <c r="G61">
        <v>2</v>
      </c>
    </row>
    <row r="62" spans="3:15" x14ac:dyDescent="0.25">
      <c r="C62" s="34" t="s">
        <v>126</v>
      </c>
      <c r="D62">
        <v>2</v>
      </c>
      <c r="F62" s="2" t="s">
        <v>94</v>
      </c>
      <c r="G62">
        <v>2</v>
      </c>
    </row>
    <row r="63" spans="3:15" x14ac:dyDescent="0.25">
      <c r="C63" s="2" t="s">
        <v>192</v>
      </c>
      <c r="D63">
        <v>2</v>
      </c>
      <c r="F63" s="2" t="s">
        <v>88</v>
      </c>
      <c r="G63">
        <v>2</v>
      </c>
    </row>
    <row r="64" spans="3:15" x14ac:dyDescent="0.25">
      <c r="C64" s="2" t="s">
        <v>348</v>
      </c>
      <c r="D64">
        <v>2</v>
      </c>
      <c r="F64" s="2" t="s">
        <v>218</v>
      </c>
      <c r="G64">
        <v>2</v>
      </c>
    </row>
    <row r="65" spans="3:7" x14ac:dyDescent="0.25">
      <c r="C65" s="31" t="s">
        <v>80</v>
      </c>
      <c r="D65">
        <v>2</v>
      </c>
      <c r="F65" s="2" t="s">
        <v>1323</v>
      </c>
      <c r="G65">
        <v>2</v>
      </c>
    </row>
    <row r="66" spans="3:7" x14ac:dyDescent="0.25">
      <c r="C66" s="31" t="s">
        <v>130</v>
      </c>
      <c r="D66">
        <v>2</v>
      </c>
      <c r="F66" s="2" t="s">
        <v>98</v>
      </c>
      <c r="G66">
        <v>2</v>
      </c>
    </row>
    <row r="67" spans="3:7" x14ac:dyDescent="0.25">
      <c r="C67" s="33" t="s">
        <v>62</v>
      </c>
      <c r="D67">
        <v>2</v>
      </c>
      <c r="F67" s="2" t="s">
        <v>578</v>
      </c>
      <c r="G67">
        <v>2</v>
      </c>
    </row>
    <row r="68" spans="3:7" x14ac:dyDescent="0.25">
      <c r="C68" s="34" t="s">
        <v>71</v>
      </c>
      <c r="D68">
        <v>2</v>
      </c>
      <c r="F68" s="2" t="s">
        <v>234</v>
      </c>
      <c r="G68">
        <v>2</v>
      </c>
    </row>
    <row r="69" spans="3:7" x14ac:dyDescent="0.25">
      <c r="C69" s="2" t="s">
        <v>235</v>
      </c>
      <c r="D69">
        <v>2</v>
      </c>
      <c r="F69" s="2" t="s">
        <v>666</v>
      </c>
      <c r="G69">
        <v>2</v>
      </c>
    </row>
    <row r="70" spans="3:7" x14ac:dyDescent="0.25">
      <c r="C70" s="34" t="s">
        <v>134</v>
      </c>
      <c r="D70">
        <v>2</v>
      </c>
      <c r="F70" s="2" t="s">
        <v>86</v>
      </c>
      <c r="G70">
        <v>2</v>
      </c>
    </row>
    <row r="71" spans="3:7" x14ac:dyDescent="0.25">
      <c r="C71" s="31" t="s">
        <v>85</v>
      </c>
      <c r="D71">
        <v>2</v>
      </c>
      <c r="F71" s="2" t="s">
        <v>96</v>
      </c>
      <c r="G71">
        <v>2</v>
      </c>
    </row>
    <row r="72" spans="3:7" x14ac:dyDescent="0.25">
      <c r="C72" s="2" t="s">
        <v>3659</v>
      </c>
      <c r="D72">
        <v>2</v>
      </c>
      <c r="F72" s="2" t="s">
        <v>242</v>
      </c>
      <c r="G72">
        <v>2</v>
      </c>
    </row>
    <row r="73" spans="3:7" x14ac:dyDescent="0.25">
      <c r="C73" s="34" t="s">
        <v>120</v>
      </c>
      <c r="D73">
        <v>2</v>
      </c>
      <c r="F73" s="2" t="s">
        <v>3550</v>
      </c>
      <c r="G73">
        <v>2</v>
      </c>
    </row>
    <row r="74" spans="3:7" x14ac:dyDescent="0.25">
      <c r="C74" s="31" t="s">
        <v>136</v>
      </c>
      <c r="D74">
        <v>2</v>
      </c>
      <c r="F74" s="2" t="s">
        <v>129</v>
      </c>
      <c r="G74">
        <v>2</v>
      </c>
    </row>
    <row r="75" spans="3:7" x14ac:dyDescent="0.25">
      <c r="C75" s="2" t="s">
        <v>247</v>
      </c>
      <c r="D75">
        <v>2</v>
      </c>
      <c r="F75" s="2" t="s">
        <v>123</v>
      </c>
      <c r="G75">
        <v>2</v>
      </c>
    </row>
    <row r="76" spans="3:7" x14ac:dyDescent="0.25">
      <c r="C76" s="31" t="s">
        <v>56</v>
      </c>
      <c r="D76">
        <v>2</v>
      </c>
      <c r="F76" s="2" t="s">
        <v>189</v>
      </c>
      <c r="G76">
        <v>1</v>
      </c>
    </row>
    <row r="77" spans="3:7" x14ac:dyDescent="0.25">
      <c r="C77" s="31" t="s">
        <v>93</v>
      </c>
      <c r="D77">
        <v>2</v>
      </c>
      <c r="F77" s="2" t="s">
        <v>1338</v>
      </c>
      <c r="G77">
        <v>1</v>
      </c>
    </row>
    <row r="78" spans="3:7" x14ac:dyDescent="0.25">
      <c r="C78" s="34" t="s">
        <v>99</v>
      </c>
      <c r="D78">
        <v>2</v>
      </c>
      <c r="F78" s="2" t="s">
        <v>149</v>
      </c>
      <c r="G78">
        <v>1</v>
      </c>
    </row>
    <row r="79" spans="3:7" x14ac:dyDescent="0.25">
      <c r="C79" s="31" t="s">
        <v>91</v>
      </c>
      <c r="D79">
        <v>2</v>
      </c>
      <c r="F79" s="2" t="s">
        <v>159</v>
      </c>
      <c r="G79">
        <v>1</v>
      </c>
    </row>
    <row r="80" spans="3:7" x14ac:dyDescent="0.25">
      <c r="C80" s="2" t="s">
        <v>59</v>
      </c>
      <c r="D80">
        <v>2</v>
      </c>
      <c r="F80" s="2" t="s">
        <v>212</v>
      </c>
      <c r="G80">
        <v>1</v>
      </c>
    </row>
    <row r="81" spans="3:7" x14ac:dyDescent="0.25">
      <c r="C81" s="2" t="s">
        <v>170</v>
      </c>
      <c r="D81">
        <v>2</v>
      </c>
      <c r="F81" s="2" t="s">
        <v>487</v>
      </c>
      <c r="G81">
        <v>1</v>
      </c>
    </row>
    <row r="82" spans="3:7" x14ac:dyDescent="0.25">
      <c r="C82" s="31" t="s">
        <v>77</v>
      </c>
      <c r="D82">
        <v>2</v>
      </c>
      <c r="F82" s="2" t="s">
        <v>259</v>
      </c>
      <c r="G82">
        <v>1</v>
      </c>
    </row>
    <row r="83" spans="3:7" x14ac:dyDescent="0.25">
      <c r="C83" s="2" t="s">
        <v>314</v>
      </c>
      <c r="D83">
        <v>2</v>
      </c>
      <c r="F83" s="2" t="s">
        <v>163</v>
      </c>
      <c r="G83">
        <v>1</v>
      </c>
    </row>
    <row r="84" spans="3:7" x14ac:dyDescent="0.25">
      <c r="C84" s="2" t="s">
        <v>144</v>
      </c>
      <c r="D84">
        <v>2</v>
      </c>
      <c r="F84" s="2" t="s">
        <v>1321</v>
      </c>
      <c r="G84">
        <v>1</v>
      </c>
    </row>
    <row r="85" spans="3:7" x14ac:dyDescent="0.25">
      <c r="C85" s="31" t="s">
        <v>68</v>
      </c>
      <c r="D85">
        <v>2</v>
      </c>
      <c r="F85" s="2" t="s">
        <v>1318</v>
      </c>
      <c r="G85">
        <v>1</v>
      </c>
    </row>
    <row r="86" spans="3:7" x14ac:dyDescent="0.25">
      <c r="C86" s="2" t="s">
        <v>215</v>
      </c>
      <c r="D86">
        <v>2</v>
      </c>
      <c r="F86" s="2" t="s">
        <v>155</v>
      </c>
      <c r="G86">
        <v>1</v>
      </c>
    </row>
    <row r="87" spans="3:7" x14ac:dyDescent="0.25">
      <c r="C87" s="2" t="s">
        <v>3660</v>
      </c>
      <c r="D87">
        <v>2</v>
      </c>
      <c r="F87" s="2" t="s">
        <v>167</v>
      </c>
      <c r="G87">
        <v>1</v>
      </c>
    </row>
    <row r="88" spans="3:7" x14ac:dyDescent="0.25">
      <c r="C88" s="2" t="s">
        <v>305</v>
      </c>
      <c r="D88">
        <v>2</v>
      </c>
      <c r="F88" s="2" t="s">
        <v>397</v>
      </c>
      <c r="G88">
        <v>1</v>
      </c>
    </row>
    <row r="89" spans="3:7" x14ac:dyDescent="0.25">
      <c r="C89" s="2" t="s">
        <v>223</v>
      </c>
      <c r="D89">
        <v>2</v>
      </c>
      <c r="F89" s="2" t="s">
        <v>171</v>
      </c>
      <c r="G89">
        <v>1</v>
      </c>
    </row>
    <row r="90" spans="3:7" x14ac:dyDescent="0.25">
      <c r="C90" s="2" t="s">
        <v>204</v>
      </c>
      <c r="D90">
        <v>2</v>
      </c>
      <c r="F90" s="2" t="s">
        <v>251</v>
      </c>
      <c r="G90">
        <v>1</v>
      </c>
    </row>
    <row r="91" spans="3:7" x14ac:dyDescent="0.25">
      <c r="C91" s="2" t="s">
        <v>355</v>
      </c>
      <c r="D91">
        <v>2</v>
      </c>
      <c r="F91" s="2" t="s">
        <v>175</v>
      </c>
      <c r="G91">
        <v>1</v>
      </c>
    </row>
    <row r="92" spans="3:7" x14ac:dyDescent="0.25">
      <c r="C92" s="2" t="s">
        <v>335</v>
      </c>
      <c r="D92">
        <v>1</v>
      </c>
      <c r="F92" s="2" t="s">
        <v>250</v>
      </c>
      <c r="G92">
        <v>1</v>
      </c>
    </row>
    <row r="93" spans="3:7" x14ac:dyDescent="0.25">
      <c r="C93" s="2" t="s">
        <v>3661</v>
      </c>
      <c r="D93">
        <v>1</v>
      </c>
      <c r="F93" s="2" t="s">
        <v>179</v>
      </c>
      <c r="G93">
        <v>1</v>
      </c>
    </row>
    <row r="94" spans="3:7" x14ac:dyDescent="0.25">
      <c r="C94" s="2" t="s">
        <v>172</v>
      </c>
      <c r="D94">
        <v>1</v>
      </c>
      <c r="F94" s="2" t="s">
        <v>283</v>
      </c>
      <c r="G94">
        <v>1</v>
      </c>
    </row>
    <row r="95" spans="3:7" x14ac:dyDescent="0.25">
      <c r="C95" s="2" t="s">
        <v>174</v>
      </c>
      <c r="D95">
        <v>1</v>
      </c>
      <c r="F95" s="2" t="s">
        <v>183</v>
      </c>
      <c r="G95">
        <v>1</v>
      </c>
    </row>
    <row r="96" spans="3:7" x14ac:dyDescent="0.25">
      <c r="C96" s="2" t="s">
        <v>148</v>
      </c>
      <c r="D96">
        <v>1</v>
      </c>
      <c r="F96" s="2" t="s">
        <v>291</v>
      </c>
      <c r="G96">
        <v>1</v>
      </c>
    </row>
    <row r="97" spans="3:7" x14ac:dyDescent="0.25">
      <c r="C97" s="2" t="s">
        <v>256</v>
      </c>
      <c r="D97">
        <v>1</v>
      </c>
      <c r="F97" s="2" t="s">
        <v>737</v>
      </c>
      <c r="G97">
        <v>1</v>
      </c>
    </row>
    <row r="98" spans="3:7" x14ac:dyDescent="0.25">
      <c r="C98" s="2" t="s">
        <v>296</v>
      </c>
      <c r="D98">
        <v>1</v>
      </c>
      <c r="F98" s="2" t="s">
        <v>147</v>
      </c>
      <c r="G98">
        <v>1</v>
      </c>
    </row>
    <row r="99" spans="3:7" x14ac:dyDescent="0.25">
      <c r="C99" s="2" t="s">
        <v>182</v>
      </c>
      <c r="D99">
        <v>1</v>
      </c>
      <c r="F99" s="2" t="s">
        <v>857</v>
      </c>
      <c r="G99">
        <v>1</v>
      </c>
    </row>
    <row r="100" spans="3:7" x14ac:dyDescent="0.25">
      <c r="C100" s="2" t="s">
        <v>3662</v>
      </c>
      <c r="D100">
        <v>1</v>
      </c>
      <c r="F100" s="2" t="s">
        <v>255</v>
      </c>
      <c r="G100">
        <v>1</v>
      </c>
    </row>
    <row r="101" spans="3:7" x14ac:dyDescent="0.25">
      <c r="C101" s="2" t="s">
        <v>186</v>
      </c>
      <c r="D101">
        <v>1</v>
      </c>
      <c r="F101" s="2" t="s">
        <v>191</v>
      </c>
      <c r="G101">
        <v>1</v>
      </c>
    </row>
    <row r="102" spans="3:7" x14ac:dyDescent="0.25">
      <c r="C102" s="2" t="s">
        <v>325</v>
      </c>
      <c r="D102">
        <v>1</v>
      </c>
      <c r="F102" s="2" t="s">
        <v>211</v>
      </c>
      <c r="G102">
        <v>1</v>
      </c>
    </row>
    <row r="103" spans="3:7" x14ac:dyDescent="0.25">
      <c r="C103" s="2" t="s">
        <v>190</v>
      </c>
      <c r="D103">
        <v>1</v>
      </c>
      <c r="F103" s="2" t="s">
        <v>1330</v>
      </c>
      <c r="G103">
        <v>1</v>
      </c>
    </row>
    <row r="104" spans="3:7" x14ac:dyDescent="0.25">
      <c r="C104" s="2" t="s">
        <v>333</v>
      </c>
      <c r="D104">
        <v>1</v>
      </c>
      <c r="F104" s="2" t="s">
        <v>145</v>
      </c>
      <c r="G104">
        <v>1</v>
      </c>
    </row>
    <row r="105" spans="3:7" x14ac:dyDescent="0.25">
      <c r="C105" s="2" t="s">
        <v>194</v>
      </c>
      <c r="D105">
        <v>1</v>
      </c>
      <c r="F105" s="2" t="s">
        <v>269</v>
      </c>
      <c r="G105">
        <v>1</v>
      </c>
    </row>
    <row r="106" spans="3:7" x14ac:dyDescent="0.25">
      <c r="C106" s="2" t="s">
        <v>343</v>
      </c>
      <c r="D106">
        <v>1</v>
      </c>
      <c r="F106" s="2" t="s">
        <v>279</v>
      </c>
      <c r="G106">
        <v>1</v>
      </c>
    </row>
    <row r="107" spans="3:7" x14ac:dyDescent="0.25">
      <c r="C107" s="2" t="s">
        <v>198</v>
      </c>
      <c r="D107">
        <v>1</v>
      </c>
      <c r="F107" s="2" t="s">
        <v>299</v>
      </c>
      <c r="G107">
        <v>1</v>
      </c>
    </row>
    <row r="108" spans="3:7" x14ac:dyDescent="0.25">
      <c r="C108" s="2" t="s">
        <v>306</v>
      </c>
      <c r="D108">
        <v>1</v>
      </c>
      <c r="F108" s="2" t="s">
        <v>238</v>
      </c>
      <c r="G108">
        <v>1</v>
      </c>
    </row>
    <row r="109" spans="3:7" x14ac:dyDescent="0.25">
      <c r="C109" s="2" t="s">
        <v>202</v>
      </c>
      <c r="D109">
        <v>1</v>
      </c>
      <c r="F109" s="2" t="s">
        <v>205</v>
      </c>
      <c r="G109">
        <v>1</v>
      </c>
    </row>
    <row r="110" spans="3:7" x14ac:dyDescent="0.25">
      <c r="C110" s="2" t="s">
        <v>290</v>
      </c>
      <c r="D110">
        <v>1</v>
      </c>
      <c r="F110" s="2" t="s">
        <v>960</v>
      </c>
      <c r="G110">
        <v>1</v>
      </c>
    </row>
    <row r="111" spans="3:7" x14ac:dyDescent="0.25">
      <c r="C111" s="2" t="s">
        <v>3663</v>
      </c>
      <c r="D111">
        <v>1</v>
      </c>
      <c r="F111" s="2" t="s">
        <v>207</v>
      </c>
      <c r="G111">
        <v>1</v>
      </c>
    </row>
    <row r="112" spans="3:7" x14ac:dyDescent="0.25">
      <c r="C112" s="2" t="s">
        <v>301</v>
      </c>
      <c r="D112">
        <v>1</v>
      </c>
      <c r="F112" s="2" t="s">
        <v>201</v>
      </c>
      <c r="G112">
        <v>1</v>
      </c>
    </row>
    <row r="113" spans="3:7" x14ac:dyDescent="0.25">
      <c r="C113" s="2" t="s">
        <v>206</v>
      </c>
      <c r="D113">
        <v>1</v>
      </c>
      <c r="F113" s="2" t="s">
        <v>1332</v>
      </c>
      <c r="G113">
        <v>1</v>
      </c>
    </row>
    <row r="114" spans="3:7" x14ac:dyDescent="0.25">
      <c r="C114" s="2" t="s">
        <v>309</v>
      </c>
      <c r="D114">
        <v>1</v>
      </c>
      <c r="F114" s="2" t="s">
        <v>517</v>
      </c>
      <c r="G114">
        <v>1</v>
      </c>
    </row>
    <row r="115" spans="3:7" x14ac:dyDescent="0.25">
      <c r="C115" s="2" t="s">
        <v>210</v>
      </c>
      <c r="D115">
        <v>1</v>
      </c>
      <c r="F115" s="2" t="s">
        <v>214</v>
      </c>
      <c r="G115">
        <v>1</v>
      </c>
    </row>
    <row r="116" spans="3:7" x14ac:dyDescent="0.25">
      <c r="C116" s="2" t="s">
        <v>315</v>
      </c>
      <c r="D116">
        <v>1</v>
      </c>
      <c r="F116" s="2" t="s">
        <v>169</v>
      </c>
      <c r="G116">
        <v>1</v>
      </c>
    </row>
    <row r="117" spans="3:7" x14ac:dyDescent="0.25">
      <c r="C117" s="2" t="s">
        <v>213</v>
      </c>
      <c r="D117">
        <v>1</v>
      </c>
      <c r="F117" s="2" t="s">
        <v>257</v>
      </c>
      <c r="G117">
        <v>1</v>
      </c>
    </row>
    <row r="118" spans="3:7" x14ac:dyDescent="0.25">
      <c r="C118" s="2" t="s">
        <v>327</v>
      </c>
      <c r="D118">
        <v>1</v>
      </c>
      <c r="F118" s="2" t="s">
        <v>287</v>
      </c>
      <c r="G118">
        <v>1</v>
      </c>
    </row>
    <row r="119" spans="3:7" x14ac:dyDescent="0.25">
      <c r="C119" s="2" t="s">
        <v>217</v>
      </c>
      <c r="D119">
        <v>1</v>
      </c>
      <c r="F119" s="2" t="s">
        <v>253</v>
      </c>
      <c r="G119">
        <v>1</v>
      </c>
    </row>
    <row r="120" spans="3:7" x14ac:dyDescent="0.25">
      <c r="C120" s="2" t="s">
        <v>341</v>
      </c>
      <c r="D120">
        <v>1</v>
      </c>
      <c r="F120" s="2" t="s">
        <v>199</v>
      </c>
      <c r="G120">
        <v>1</v>
      </c>
    </row>
    <row r="121" spans="3:7" x14ac:dyDescent="0.25">
      <c r="C121" s="2" t="s">
        <v>3664</v>
      </c>
      <c r="D121">
        <v>1</v>
      </c>
      <c r="F121" s="2" t="s">
        <v>3658</v>
      </c>
      <c r="G121">
        <v>1</v>
      </c>
    </row>
    <row r="122" spans="3:7" x14ac:dyDescent="0.25">
      <c r="C122" s="2" t="s">
        <v>154</v>
      </c>
      <c r="D122">
        <v>1</v>
      </c>
      <c r="F122" s="2" t="s">
        <v>3497</v>
      </c>
      <c r="G122">
        <v>1</v>
      </c>
    </row>
    <row r="123" spans="3:7" x14ac:dyDescent="0.25">
      <c r="C123" s="2" t="s">
        <v>225</v>
      </c>
      <c r="D123">
        <v>1</v>
      </c>
      <c r="F123" s="2" t="s">
        <v>297</v>
      </c>
      <c r="G123">
        <v>1</v>
      </c>
    </row>
    <row r="124" spans="3:7" x14ac:dyDescent="0.25">
      <c r="C124" s="2" t="s">
        <v>162</v>
      </c>
      <c r="D124">
        <v>1</v>
      </c>
      <c r="F124" s="2" t="s">
        <v>3508</v>
      </c>
      <c r="G124">
        <v>1</v>
      </c>
    </row>
    <row r="125" spans="3:7" x14ac:dyDescent="0.25">
      <c r="C125" s="2" t="s">
        <v>3665</v>
      </c>
      <c r="D125">
        <v>1</v>
      </c>
      <c r="F125" s="2" t="s">
        <v>293</v>
      </c>
      <c r="G125">
        <v>1</v>
      </c>
    </row>
    <row r="126" spans="3:7" x14ac:dyDescent="0.25">
      <c r="C126" s="2" t="s">
        <v>302</v>
      </c>
      <c r="D126">
        <v>1</v>
      </c>
      <c r="F126" s="2" t="s">
        <v>248</v>
      </c>
      <c r="G126">
        <v>1</v>
      </c>
    </row>
    <row r="127" spans="3:7" x14ac:dyDescent="0.25">
      <c r="C127" s="2" t="s">
        <v>3666</v>
      </c>
      <c r="D127">
        <v>1</v>
      </c>
      <c r="F127" s="2" t="s">
        <v>139</v>
      </c>
      <c r="G127">
        <v>1</v>
      </c>
    </row>
    <row r="128" spans="3:7" x14ac:dyDescent="0.25">
      <c r="C128" s="2" t="s">
        <v>360</v>
      </c>
      <c r="D128">
        <v>1</v>
      </c>
      <c r="F128" s="2" t="s">
        <v>558</v>
      </c>
      <c r="G128">
        <v>1</v>
      </c>
    </row>
    <row r="129" spans="3:7" x14ac:dyDescent="0.25">
      <c r="C129" s="2" t="s">
        <v>3667</v>
      </c>
      <c r="D129">
        <v>1</v>
      </c>
      <c r="F129" s="2" t="s">
        <v>228</v>
      </c>
      <c r="G129">
        <v>1</v>
      </c>
    </row>
    <row r="130" spans="3:7" x14ac:dyDescent="0.25">
      <c r="C130" s="2" t="s">
        <v>278</v>
      </c>
      <c r="D130">
        <v>1</v>
      </c>
      <c r="F130" s="2" t="s">
        <v>165</v>
      </c>
      <c r="G130">
        <v>1</v>
      </c>
    </row>
    <row r="131" spans="3:7" x14ac:dyDescent="0.25">
      <c r="C131" s="2" t="s">
        <v>3668</v>
      </c>
      <c r="D131">
        <v>1</v>
      </c>
      <c r="F131" s="2" t="s">
        <v>1291</v>
      </c>
      <c r="G131">
        <v>1</v>
      </c>
    </row>
    <row r="132" spans="3:7" x14ac:dyDescent="0.25">
      <c r="C132" s="2" t="s">
        <v>208</v>
      </c>
      <c r="D132">
        <v>1</v>
      </c>
      <c r="F132" s="2" t="s">
        <v>181</v>
      </c>
      <c r="G132">
        <v>1</v>
      </c>
    </row>
    <row r="133" spans="3:7" x14ac:dyDescent="0.25">
      <c r="C133" s="2" t="s">
        <v>233</v>
      </c>
      <c r="D133">
        <v>1</v>
      </c>
      <c r="F133" s="2" t="s">
        <v>246</v>
      </c>
      <c r="G133">
        <v>1</v>
      </c>
    </row>
    <row r="134" spans="3:7" x14ac:dyDescent="0.25">
      <c r="C134" s="2" t="s">
        <v>298</v>
      </c>
      <c r="D134">
        <v>1</v>
      </c>
      <c r="F134" s="2" t="s">
        <v>240</v>
      </c>
      <c r="G134">
        <v>1</v>
      </c>
    </row>
    <row r="135" spans="3:7" x14ac:dyDescent="0.25">
      <c r="C135" s="2" t="s">
        <v>272</v>
      </c>
      <c r="D135">
        <v>1</v>
      </c>
      <c r="F135" s="2" t="s">
        <v>1289</v>
      </c>
      <c r="G135">
        <v>1</v>
      </c>
    </row>
    <row r="136" spans="3:7" x14ac:dyDescent="0.25">
      <c r="C136" s="2" t="s">
        <v>303</v>
      </c>
      <c r="D136">
        <v>1</v>
      </c>
      <c r="F136" s="2" t="s">
        <v>244</v>
      </c>
      <c r="G136">
        <v>1</v>
      </c>
    </row>
    <row r="137" spans="3:7" x14ac:dyDescent="0.25">
      <c r="C137" s="2" t="s">
        <v>3669</v>
      </c>
      <c r="D137">
        <v>1</v>
      </c>
      <c r="F137" s="2" t="s">
        <v>3654</v>
      </c>
      <c r="G137">
        <v>1</v>
      </c>
    </row>
    <row r="138" spans="3:7" x14ac:dyDescent="0.25">
      <c r="C138" s="2" t="s">
        <v>286</v>
      </c>
      <c r="D138">
        <v>1</v>
      </c>
      <c r="F138" s="2" t="s">
        <v>203</v>
      </c>
      <c r="G138">
        <v>1</v>
      </c>
    </row>
    <row r="139" spans="3:7" x14ac:dyDescent="0.25">
      <c r="C139" s="2" t="s">
        <v>241</v>
      </c>
      <c r="D139">
        <v>1</v>
      </c>
      <c r="F139" s="2" t="s">
        <v>187</v>
      </c>
      <c r="G139">
        <v>1</v>
      </c>
    </row>
    <row r="140" spans="3:7" x14ac:dyDescent="0.25">
      <c r="C140" s="2" t="s">
        <v>3670</v>
      </c>
      <c r="D140">
        <v>1</v>
      </c>
      <c r="F140" s="2" t="s">
        <v>161</v>
      </c>
      <c r="G140">
        <v>1</v>
      </c>
    </row>
    <row r="141" spans="3:7" x14ac:dyDescent="0.25">
      <c r="C141" s="2" t="s">
        <v>3671</v>
      </c>
      <c r="D141">
        <v>1</v>
      </c>
      <c r="F141" s="2" t="s">
        <v>232</v>
      </c>
      <c r="G141">
        <v>1</v>
      </c>
    </row>
    <row r="142" spans="3:7" x14ac:dyDescent="0.25">
      <c r="C142" s="2" t="s">
        <v>3672</v>
      </c>
      <c r="D142">
        <v>1</v>
      </c>
      <c r="F142" s="2" t="s">
        <v>193</v>
      </c>
      <c r="G142">
        <v>1</v>
      </c>
    </row>
    <row r="143" spans="3:7" x14ac:dyDescent="0.25">
      <c r="C143" s="2" t="s">
        <v>249</v>
      </c>
      <c r="D143">
        <v>1</v>
      </c>
      <c r="F143" s="2" t="s">
        <v>261</v>
      </c>
      <c r="G143">
        <v>1</v>
      </c>
    </row>
    <row r="144" spans="3:7" x14ac:dyDescent="0.25">
      <c r="C144" s="2" t="s">
        <v>142</v>
      </c>
      <c r="D144">
        <v>1</v>
      </c>
      <c r="F144" s="2" t="s">
        <v>137</v>
      </c>
      <c r="G144">
        <v>1</v>
      </c>
    </row>
    <row r="145" spans="3:7" x14ac:dyDescent="0.25">
      <c r="C145" s="2" t="s">
        <v>3673</v>
      </c>
      <c r="D145">
        <v>1</v>
      </c>
      <c r="F145" s="2" t="s">
        <v>425</v>
      </c>
      <c r="G145">
        <v>1</v>
      </c>
    </row>
    <row r="146" spans="3:7" x14ac:dyDescent="0.25">
      <c r="C146" s="2" t="s">
        <v>321</v>
      </c>
      <c r="D146">
        <v>1</v>
      </c>
      <c r="F146" s="2" t="s">
        <v>197</v>
      </c>
      <c r="G146">
        <v>1</v>
      </c>
    </row>
    <row r="147" spans="3:7" x14ac:dyDescent="0.25">
      <c r="C147" s="2" t="s">
        <v>3674</v>
      </c>
      <c r="D147">
        <v>1</v>
      </c>
      <c r="F147" s="2" t="s">
        <v>265</v>
      </c>
      <c r="G147">
        <v>1</v>
      </c>
    </row>
    <row r="148" spans="3:7" x14ac:dyDescent="0.25">
      <c r="C148" s="2" t="s">
        <v>331</v>
      </c>
      <c r="D148">
        <v>1</v>
      </c>
      <c r="F148" s="2" t="s">
        <v>263</v>
      </c>
      <c r="G148">
        <v>1</v>
      </c>
    </row>
    <row r="149" spans="3:7" x14ac:dyDescent="0.25">
      <c r="C149" s="2" t="s">
        <v>260</v>
      </c>
      <c r="D149">
        <v>1</v>
      </c>
      <c r="F149" s="2" t="s">
        <v>3563</v>
      </c>
      <c r="G149">
        <v>1</v>
      </c>
    </row>
    <row r="150" spans="3:7" x14ac:dyDescent="0.25">
      <c r="C150" s="2" t="s">
        <v>3675</v>
      </c>
      <c r="D150">
        <v>1</v>
      </c>
      <c r="F150" s="2" t="s">
        <v>267</v>
      </c>
      <c r="G150">
        <v>1</v>
      </c>
    </row>
    <row r="151" spans="3:7" x14ac:dyDescent="0.25">
      <c r="C151" s="2" t="s">
        <v>3676</v>
      </c>
      <c r="D151">
        <v>1</v>
      </c>
      <c r="F151" s="2" t="s">
        <v>157</v>
      </c>
      <c r="G151">
        <v>1</v>
      </c>
    </row>
    <row r="152" spans="3:7" x14ac:dyDescent="0.25">
      <c r="C152" s="2" t="s">
        <v>266</v>
      </c>
      <c r="D152">
        <v>1</v>
      </c>
      <c r="F152" s="2" t="s">
        <v>271</v>
      </c>
      <c r="G152">
        <v>1</v>
      </c>
    </row>
    <row r="153" spans="3:7" x14ac:dyDescent="0.25">
      <c r="C153" s="2" t="s">
        <v>268</v>
      </c>
      <c r="D153">
        <v>1</v>
      </c>
      <c r="F153" s="2" t="s">
        <v>3636</v>
      </c>
      <c r="G153">
        <v>1</v>
      </c>
    </row>
    <row r="154" spans="3:7" x14ac:dyDescent="0.25">
      <c r="C154" s="2" t="s">
        <v>150</v>
      </c>
      <c r="D154">
        <v>1</v>
      </c>
      <c r="F154" s="2" t="s">
        <v>275</v>
      </c>
      <c r="G154">
        <v>1</v>
      </c>
    </row>
    <row r="155" spans="3:7" x14ac:dyDescent="0.25">
      <c r="C155" s="2" t="s">
        <v>276</v>
      </c>
      <c r="D155">
        <v>1</v>
      </c>
      <c r="F155" s="2" t="s">
        <v>236</v>
      </c>
      <c r="G155">
        <v>1</v>
      </c>
    </row>
    <row r="156" spans="3:7" x14ac:dyDescent="0.25">
      <c r="C156" s="2" t="s">
        <v>158</v>
      </c>
      <c r="D156">
        <v>1</v>
      </c>
      <c r="F156" s="2" t="s">
        <v>222</v>
      </c>
      <c r="G156">
        <v>1</v>
      </c>
    </row>
    <row r="157" spans="3:7" x14ac:dyDescent="0.25">
      <c r="C157" s="2" t="s">
        <v>280</v>
      </c>
      <c r="D157">
        <v>1</v>
      </c>
      <c r="F157" s="2" t="s">
        <v>285</v>
      </c>
      <c r="G157">
        <v>1</v>
      </c>
    </row>
    <row r="158" spans="3:7" x14ac:dyDescent="0.25">
      <c r="C158" s="2" t="s">
        <v>345</v>
      </c>
      <c r="D158">
        <v>1</v>
      </c>
      <c r="F158" s="2" t="s">
        <v>185</v>
      </c>
      <c r="G158">
        <v>1</v>
      </c>
    </row>
    <row r="159" spans="3:7" x14ac:dyDescent="0.25">
      <c r="C159" s="2" t="s">
        <v>317</v>
      </c>
      <c r="D159">
        <v>1</v>
      </c>
      <c r="F159" s="2" t="s">
        <v>289</v>
      </c>
      <c r="G159">
        <v>1</v>
      </c>
    </row>
    <row r="160" spans="3:7" x14ac:dyDescent="0.25">
      <c r="C160" s="2" t="s">
        <v>200</v>
      </c>
      <c r="D160">
        <v>1</v>
      </c>
      <c r="F160" s="2" t="s">
        <v>143</v>
      </c>
      <c r="G160">
        <v>1</v>
      </c>
    </row>
    <row r="161" spans="3:7" x14ac:dyDescent="0.25">
      <c r="C161" s="2" t="s">
        <v>288</v>
      </c>
      <c r="D161">
        <v>1</v>
      </c>
      <c r="F161" s="2" t="s">
        <v>623</v>
      </c>
      <c r="G161">
        <v>1</v>
      </c>
    </row>
    <row r="162" spans="3:7" x14ac:dyDescent="0.25">
      <c r="C162" s="2" t="s">
        <v>352</v>
      </c>
      <c r="D162">
        <v>1</v>
      </c>
      <c r="F162" s="2" t="s">
        <v>209</v>
      </c>
      <c r="G162">
        <v>1</v>
      </c>
    </row>
    <row r="163" spans="3:7" x14ac:dyDescent="0.25">
      <c r="C163" s="2" t="s">
        <v>292</v>
      </c>
      <c r="D163">
        <v>1</v>
      </c>
      <c r="F163" s="2" t="s">
        <v>608</v>
      </c>
      <c r="G163">
        <v>1</v>
      </c>
    </row>
    <row r="164" spans="3:7" x14ac:dyDescent="0.25">
      <c r="C164" s="2" t="s">
        <v>304</v>
      </c>
      <c r="D164">
        <v>1</v>
      </c>
      <c r="F164" s="2" t="s">
        <v>141</v>
      </c>
      <c r="G164">
        <v>1</v>
      </c>
    </row>
    <row r="165" spans="3:7" x14ac:dyDescent="0.25">
      <c r="C165" s="2" t="s">
        <v>339</v>
      </c>
      <c r="D165">
        <v>1</v>
      </c>
      <c r="F165" s="2" t="s">
        <v>295</v>
      </c>
      <c r="G165">
        <v>1</v>
      </c>
    </row>
    <row r="166" spans="3:7" x14ac:dyDescent="0.25">
      <c r="C166" s="2" t="s">
        <v>3677</v>
      </c>
      <c r="D166">
        <v>1</v>
      </c>
      <c r="F166" s="2" t="s">
        <v>195</v>
      </c>
      <c r="G166">
        <v>1</v>
      </c>
    </row>
    <row r="167" spans="3:7" x14ac:dyDescent="0.25">
      <c r="C167" s="2" t="s">
        <v>353</v>
      </c>
      <c r="D167">
        <v>1</v>
      </c>
      <c r="F167" s="2" t="s">
        <v>173</v>
      </c>
      <c r="G167">
        <v>1</v>
      </c>
    </row>
    <row r="168" spans="3:7" x14ac:dyDescent="0.25">
      <c r="C168" s="2" t="s">
        <v>350</v>
      </c>
      <c r="D168">
        <v>1</v>
      </c>
      <c r="F168" s="2" t="s">
        <v>1286</v>
      </c>
      <c r="G168">
        <v>1</v>
      </c>
    </row>
    <row r="169" spans="3:7" x14ac:dyDescent="0.25">
      <c r="C169" s="2" t="s">
        <v>3678</v>
      </c>
      <c r="D169">
        <v>1</v>
      </c>
      <c r="F169" s="2" t="s">
        <v>216</v>
      </c>
      <c r="G169">
        <v>1</v>
      </c>
    </row>
    <row r="170" spans="3:7" x14ac:dyDescent="0.25">
      <c r="C170" s="2" t="s">
        <v>152</v>
      </c>
      <c r="D170">
        <v>1</v>
      </c>
      <c r="F170" s="2" t="s">
        <v>3504</v>
      </c>
      <c r="G170">
        <v>1</v>
      </c>
    </row>
    <row r="171" spans="3:7" x14ac:dyDescent="0.25">
      <c r="C171" s="2" t="s">
        <v>357</v>
      </c>
      <c r="D171">
        <v>1</v>
      </c>
      <c r="F171" s="2" t="s">
        <v>153</v>
      </c>
      <c r="G171">
        <v>1</v>
      </c>
    </row>
    <row r="172" spans="3:7" x14ac:dyDescent="0.25">
      <c r="C172" s="2" t="s">
        <v>3679</v>
      </c>
      <c r="D172">
        <v>1</v>
      </c>
      <c r="F172" s="2" t="s">
        <v>3510</v>
      </c>
      <c r="G172">
        <v>1</v>
      </c>
    </row>
    <row r="173" spans="3:7" x14ac:dyDescent="0.25">
      <c r="C173" s="2" t="s">
        <v>359</v>
      </c>
      <c r="D173">
        <v>1</v>
      </c>
      <c r="F173" s="2" t="s">
        <v>220</v>
      </c>
      <c r="G173">
        <v>1</v>
      </c>
    </row>
    <row r="174" spans="3:7" x14ac:dyDescent="0.25">
      <c r="C174" s="2" t="s">
        <v>3680</v>
      </c>
      <c r="D174">
        <v>1</v>
      </c>
      <c r="F174" s="2" t="s">
        <v>3557</v>
      </c>
      <c r="G174">
        <v>1</v>
      </c>
    </row>
    <row r="175" spans="3:7" x14ac:dyDescent="0.25">
      <c r="C175" s="2" t="s">
        <v>3681</v>
      </c>
      <c r="D175">
        <v>1</v>
      </c>
      <c r="F175" s="2" t="s">
        <v>177</v>
      </c>
      <c r="G175">
        <v>1</v>
      </c>
    </row>
    <row r="176" spans="3:7" x14ac:dyDescent="0.25">
      <c r="C176" s="2" t="s">
        <v>294</v>
      </c>
      <c r="D176">
        <v>1</v>
      </c>
      <c r="F176" s="2" t="s">
        <v>151</v>
      </c>
      <c r="G176">
        <v>1</v>
      </c>
    </row>
    <row r="177" spans="3:7" x14ac:dyDescent="0.25">
      <c r="C177" s="2" t="s">
        <v>361</v>
      </c>
      <c r="D177">
        <v>1</v>
      </c>
      <c r="F177" s="2" t="s">
        <v>224</v>
      </c>
      <c r="G177">
        <v>1</v>
      </c>
    </row>
    <row r="178" spans="3:7" x14ac:dyDescent="0.25">
      <c r="C178" s="2" t="s">
        <v>319</v>
      </c>
      <c r="D178">
        <v>1</v>
      </c>
      <c r="F178" s="2" t="s">
        <v>533</v>
      </c>
      <c r="G178">
        <v>1</v>
      </c>
    </row>
    <row r="179" spans="3:7" x14ac:dyDescent="0.25">
      <c r="C179" s="2" t="s">
        <v>3682</v>
      </c>
      <c r="D179">
        <v>1</v>
      </c>
      <c r="F179" s="2" t="s">
        <v>3630</v>
      </c>
      <c r="G179">
        <v>1</v>
      </c>
    </row>
    <row r="180" spans="3:7" x14ac:dyDescent="0.25">
      <c r="C180" s="2" t="s">
        <v>176</v>
      </c>
      <c r="D180">
        <v>1</v>
      </c>
      <c r="F180" s="2" t="s">
        <v>273</v>
      </c>
      <c r="G180">
        <v>1</v>
      </c>
    </row>
    <row r="181" spans="3:7" x14ac:dyDescent="0.25">
      <c r="C181" s="2" t="s">
        <v>362</v>
      </c>
      <c r="D181">
        <v>1</v>
      </c>
      <c r="F181" s="2" t="s">
        <v>3648</v>
      </c>
      <c r="G181">
        <v>1</v>
      </c>
    </row>
    <row r="182" spans="3:7" x14ac:dyDescent="0.25">
      <c r="C182" s="2" t="s">
        <v>219</v>
      </c>
      <c r="D182">
        <v>1</v>
      </c>
      <c r="F182" s="2" t="s">
        <v>277</v>
      </c>
      <c r="G182">
        <v>1</v>
      </c>
    </row>
    <row r="183" spans="3:7" x14ac:dyDescent="0.25">
      <c r="C183" s="2" t="s">
        <v>312</v>
      </c>
      <c r="D183">
        <v>1</v>
      </c>
      <c r="F183" s="2" t="s">
        <v>281</v>
      </c>
      <c r="G183">
        <v>1</v>
      </c>
    </row>
    <row r="184" spans="3:7" x14ac:dyDescent="0.25">
      <c r="C184" s="2" t="s">
        <v>156</v>
      </c>
      <c r="D184">
        <v>1</v>
      </c>
      <c r="F184" s="2" t="s">
        <v>1305</v>
      </c>
      <c r="G184">
        <v>1</v>
      </c>
    </row>
    <row r="185" spans="3:7" x14ac:dyDescent="0.25">
      <c r="C185" s="2" t="s">
        <v>3683</v>
      </c>
      <c r="D185">
        <v>1</v>
      </c>
      <c r="F185" s="2" t="s">
        <v>230</v>
      </c>
      <c r="G185">
        <v>1</v>
      </c>
    </row>
    <row r="186" spans="3:7" x14ac:dyDescent="0.25">
      <c r="C186" s="2" t="s">
        <v>3684</v>
      </c>
      <c r="D186">
        <v>1</v>
      </c>
      <c r="F186"/>
      <c r="G186"/>
    </row>
    <row r="187" spans="3:7" x14ac:dyDescent="0.25">
      <c r="C187" s="2" t="s">
        <v>178</v>
      </c>
      <c r="D187">
        <v>1</v>
      </c>
      <c r="F187"/>
      <c r="G187"/>
    </row>
    <row r="188" spans="3:7" x14ac:dyDescent="0.25">
      <c r="C188" s="2" t="s">
        <v>3685</v>
      </c>
      <c r="D188">
        <v>1</v>
      </c>
      <c r="F188"/>
      <c r="G188"/>
    </row>
    <row r="189" spans="3:7" x14ac:dyDescent="0.25">
      <c r="C189" s="2" t="s">
        <v>318</v>
      </c>
      <c r="D189">
        <v>1</v>
      </c>
      <c r="F189"/>
      <c r="G189"/>
    </row>
    <row r="190" spans="3:7" x14ac:dyDescent="0.25">
      <c r="C190" s="2" t="s">
        <v>3686</v>
      </c>
      <c r="D190">
        <v>1</v>
      </c>
      <c r="F190"/>
      <c r="G190"/>
    </row>
    <row r="191" spans="3:7" x14ac:dyDescent="0.25">
      <c r="C191" s="2" t="s">
        <v>3687</v>
      </c>
      <c r="D191">
        <v>1</v>
      </c>
      <c r="F191"/>
      <c r="G191"/>
    </row>
    <row r="192" spans="3:7" x14ac:dyDescent="0.25">
      <c r="C192" s="2" t="s">
        <v>227</v>
      </c>
      <c r="D192">
        <v>1</v>
      </c>
      <c r="F192"/>
      <c r="G192"/>
    </row>
    <row r="193" spans="3:7" x14ac:dyDescent="0.25">
      <c r="C193" s="2" t="s">
        <v>221</v>
      </c>
      <c r="D193">
        <v>1</v>
      </c>
      <c r="F193"/>
      <c r="G193"/>
    </row>
    <row r="194" spans="3:7" x14ac:dyDescent="0.25">
      <c r="C194" s="2" t="s">
        <v>313</v>
      </c>
      <c r="D194">
        <v>1</v>
      </c>
      <c r="F194"/>
      <c r="G194"/>
    </row>
    <row r="195" spans="3:7" x14ac:dyDescent="0.25">
      <c r="C195" s="2" t="s">
        <v>322</v>
      </c>
      <c r="D195">
        <v>1</v>
      </c>
      <c r="F195"/>
      <c r="G195"/>
    </row>
    <row r="196" spans="3:7" x14ac:dyDescent="0.25">
      <c r="C196" s="2" t="s">
        <v>231</v>
      </c>
      <c r="D196">
        <v>1</v>
      </c>
      <c r="F196"/>
      <c r="G196"/>
    </row>
    <row r="197" spans="3:7" x14ac:dyDescent="0.25">
      <c r="C197" s="2" t="s">
        <v>324</v>
      </c>
      <c r="D197">
        <v>1</v>
      </c>
      <c r="F197"/>
      <c r="G197"/>
    </row>
    <row r="198" spans="3:7" x14ac:dyDescent="0.25">
      <c r="C198" s="2" t="s">
        <v>3688</v>
      </c>
      <c r="D198">
        <v>1</v>
      </c>
      <c r="F198"/>
      <c r="G198"/>
    </row>
    <row r="199" spans="3:7" x14ac:dyDescent="0.25">
      <c r="C199" s="2" t="s">
        <v>326</v>
      </c>
      <c r="D199">
        <v>1</v>
      </c>
      <c r="F199"/>
      <c r="G199"/>
    </row>
    <row r="200" spans="3:7" x14ac:dyDescent="0.25">
      <c r="C200" s="2" t="s">
        <v>184</v>
      </c>
      <c r="D200">
        <v>1</v>
      </c>
      <c r="F200"/>
      <c r="G200"/>
    </row>
    <row r="201" spans="3:7" x14ac:dyDescent="0.25">
      <c r="C201" s="2" t="s">
        <v>328</v>
      </c>
      <c r="D201">
        <v>1</v>
      </c>
      <c r="F201"/>
      <c r="G201"/>
    </row>
    <row r="202" spans="3:7" x14ac:dyDescent="0.25">
      <c r="C202" s="2" t="s">
        <v>160</v>
      </c>
      <c r="D202">
        <v>1</v>
      </c>
      <c r="F202"/>
      <c r="G202"/>
    </row>
    <row r="203" spans="3:7" x14ac:dyDescent="0.25">
      <c r="C203" s="2" t="s">
        <v>330</v>
      </c>
      <c r="D203">
        <v>1</v>
      </c>
      <c r="F203"/>
      <c r="G203"/>
    </row>
    <row r="204" spans="3:7" x14ac:dyDescent="0.25">
      <c r="C204" s="2" t="s">
        <v>323</v>
      </c>
      <c r="D204">
        <v>1</v>
      </c>
      <c r="F204"/>
      <c r="G204"/>
    </row>
    <row r="205" spans="3:7" x14ac:dyDescent="0.25">
      <c r="C205" s="2" t="s">
        <v>332</v>
      </c>
      <c r="D205">
        <v>1</v>
      </c>
      <c r="F205"/>
      <c r="G205"/>
    </row>
    <row r="206" spans="3:7" x14ac:dyDescent="0.25">
      <c r="C206" s="2" t="s">
        <v>329</v>
      </c>
      <c r="D206">
        <v>1</v>
      </c>
      <c r="F206"/>
      <c r="G206"/>
    </row>
    <row r="207" spans="3:7" x14ac:dyDescent="0.25">
      <c r="C207" s="2" t="s">
        <v>3689</v>
      </c>
      <c r="D207">
        <v>1</v>
      </c>
      <c r="F207"/>
      <c r="G207"/>
    </row>
    <row r="208" spans="3:7" x14ac:dyDescent="0.25">
      <c r="C208" s="2" t="s">
        <v>243</v>
      </c>
      <c r="D208">
        <v>1</v>
      </c>
      <c r="F208"/>
      <c r="G208"/>
    </row>
    <row r="209" spans="3:7" x14ac:dyDescent="0.25">
      <c r="C209" s="2" t="s">
        <v>336</v>
      </c>
      <c r="D209">
        <v>1</v>
      </c>
      <c r="F209"/>
      <c r="G209"/>
    </row>
    <row r="210" spans="3:7" x14ac:dyDescent="0.25">
      <c r="C210" s="2" t="s">
        <v>3690</v>
      </c>
      <c r="D210">
        <v>1</v>
      </c>
      <c r="F210"/>
      <c r="G210"/>
    </row>
    <row r="211" spans="3:7" x14ac:dyDescent="0.25">
      <c r="C211" s="2" t="s">
        <v>3691</v>
      </c>
      <c r="D211">
        <v>1</v>
      </c>
      <c r="F211"/>
      <c r="G211"/>
    </row>
    <row r="212" spans="3:7" x14ac:dyDescent="0.25">
      <c r="C212" s="2" t="s">
        <v>284</v>
      </c>
      <c r="D212">
        <v>1</v>
      </c>
      <c r="F212"/>
      <c r="G212"/>
    </row>
    <row r="213" spans="3:7" x14ac:dyDescent="0.25">
      <c r="C213" s="2" t="s">
        <v>338</v>
      </c>
      <c r="D213">
        <v>1</v>
      </c>
      <c r="F213"/>
      <c r="G213"/>
    </row>
    <row r="214" spans="3:7" x14ac:dyDescent="0.25">
      <c r="C214" s="2" t="s">
        <v>3692</v>
      </c>
      <c r="D214">
        <v>1</v>
      </c>
      <c r="F214"/>
      <c r="G214"/>
    </row>
    <row r="215" spans="3:7" x14ac:dyDescent="0.25">
      <c r="C215" s="2" t="s">
        <v>340</v>
      </c>
      <c r="D215">
        <v>1</v>
      </c>
      <c r="F215"/>
      <c r="G215"/>
    </row>
    <row r="216" spans="3:7" x14ac:dyDescent="0.25">
      <c r="C216" s="2" t="s">
        <v>146</v>
      </c>
      <c r="D216">
        <v>1</v>
      </c>
      <c r="F216"/>
      <c r="G216"/>
    </row>
    <row r="217" spans="3:7" x14ac:dyDescent="0.25">
      <c r="C217" s="2" t="s">
        <v>342</v>
      </c>
      <c r="D217">
        <v>1</v>
      </c>
      <c r="F217"/>
      <c r="G217"/>
    </row>
    <row r="218" spans="3:7" x14ac:dyDescent="0.25">
      <c r="C218" s="2" t="s">
        <v>164</v>
      </c>
      <c r="D218">
        <v>1</v>
      </c>
      <c r="F218"/>
      <c r="G218"/>
    </row>
    <row r="219" spans="3:7" x14ac:dyDescent="0.25">
      <c r="C219" s="2" t="s">
        <v>3693</v>
      </c>
      <c r="D219">
        <v>1</v>
      </c>
      <c r="F219"/>
      <c r="G219"/>
    </row>
    <row r="220" spans="3:7" x14ac:dyDescent="0.25">
      <c r="C220" s="2" t="s">
        <v>254</v>
      </c>
      <c r="D220">
        <v>1</v>
      </c>
      <c r="F220"/>
      <c r="G220"/>
    </row>
    <row r="221" spans="3:7" x14ac:dyDescent="0.25">
      <c r="C221" s="2" t="s">
        <v>346</v>
      </c>
      <c r="D221">
        <v>1</v>
      </c>
      <c r="F221"/>
      <c r="G221"/>
    </row>
    <row r="222" spans="3:7" x14ac:dyDescent="0.25">
      <c r="C222" s="2" t="s">
        <v>196</v>
      </c>
      <c r="D222">
        <v>1</v>
      </c>
      <c r="F222"/>
      <c r="G222"/>
    </row>
    <row r="223" spans="3:7" x14ac:dyDescent="0.25">
      <c r="C223" s="2" t="s">
        <v>264</v>
      </c>
      <c r="D223">
        <v>1</v>
      </c>
      <c r="F223"/>
      <c r="G223"/>
    </row>
    <row r="224" spans="3:7" x14ac:dyDescent="0.25">
      <c r="C224" s="2" t="s">
        <v>258</v>
      </c>
      <c r="D224">
        <v>1</v>
      </c>
      <c r="F224"/>
      <c r="G224"/>
    </row>
    <row r="225" spans="3:7" x14ac:dyDescent="0.25">
      <c r="C225" s="2" t="s">
        <v>3694</v>
      </c>
      <c r="D225">
        <v>1</v>
      </c>
      <c r="F225"/>
      <c r="G225"/>
    </row>
    <row r="226" spans="3:7" x14ac:dyDescent="0.25">
      <c r="C226" s="2" t="s">
        <v>140</v>
      </c>
      <c r="D226">
        <v>1</v>
      </c>
      <c r="F226"/>
      <c r="G226"/>
    </row>
    <row r="227" spans="3:7" x14ac:dyDescent="0.25">
      <c r="C227" s="2" t="s">
        <v>351</v>
      </c>
      <c r="D227">
        <v>1</v>
      </c>
      <c r="F227"/>
      <c r="G227"/>
    </row>
    <row r="228" spans="3:7" x14ac:dyDescent="0.25">
      <c r="C228" s="2" t="s">
        <v>262</v>
      </c>
      <c r="D228">
        <v>1</v>
      </c>
      <c r="F228"/>
      <c r="G228"/>
    </row>
    <row r="229" spans="3:7" x14ac:dyDescent="0.25">
      <c r="C229" s="2" t="s">
        <v>168</v>
      </c>
      <c r="D229">
        <v>1</v>
      </c>
      <c r="F229"/>
      <c r="G229"/>
    </row>
    <row r="230" spans="3:7" x14ac:dyDescent="0.25">
      <c r="C230" s="2" t="s">
        <v>166</v>
      </c>
      <c r="D230">
        <v>1</v>
      </c>
      <c r="F230"/>
      <c r="G230"/>
    </row>
    <row r="231" spans="3:7" x14ac:dyDescent="0.25">
      <c r="C231" s="2" t="s">
        <v>270</v>
      </c>
      <c r="D231">
        <v>1</v>
      </c>
      <c r="F231"/>
      <c r="G231"/>
    </row>
    <row r="232" spans="3:7" x14ac:dyDescent="0.25">
      <c r="C232" s="2" t="s">
        <v>349</v>
      </c>
      <c r="D232">
        <v>1</v>
      </c>
      <c r="F232"/>
      <c r="G232"/>
    </row>
    <row r="233" spans="3:7" x14ac:dyDescent="0.25">
      <c r="C233" s="2" t="s">
        <v>180</v>
      </c>
      <c r="D233">
        <v>1</v>
      </c>
      <c r="F233"/>
      <c r="G233"/>
    </row>
    <row r="234" spans="3:7" x14ac:dyDescent="0.25">
      <c r="C234" s="2" t="s">
        <v>300</v>
      </c>
      <c r="D234">
        <v>1</v>
      </c>
      <c r="F234"/>
      <c r="G234"/>
    </row>
    <row r="235" spans="3:7" x14ac:dyDescent="0.25">
      <c r="C235" s="2" t="s">
        <v>274</v>
      </c>
      <c r="D235">
        <v>1</v>
      </c>
      <c r="F235"/>
      <c r="G235"/>
    </row>
    <row r="236" spans="3:7" x14ac:dyDescent="0.25">
      <c r="C236" s="2" t="s">
        <v>3695</v>
      </c>
      <c r="D236">
        <v>1</v>
      </c>
      <c r="F236"/>
      <c r="G236"/>
    </row>
    <row r="237" spans="3:7" x14ac:dyDescent="0.25">
      <c r="C237" s="2" t="s">
        <v>310</v>
      </c>
      <c r="D237">
        <v>1</v>
      </c>
      <c r="F237"/>
      <c r="G237"/>
    </row>
    <row r="238" spans="3:7" x14ac:dyDescent="0.25">
      <c r="C238" s="2" t="s">
        <v>354</v>
      </c>
      <c r="D238">
        <v>1</v>
      </c>
    </row>
    <row r="239" spans="3:7" x14ac:dyDescent="0.25">
      <c r="C239" s="2" t="s">
        <v>3696</v>
      </c>
      <c r="D239">
        <v>1</v>
      </c>
    </row>
    <row r="240" spans="3:7" x14ac:dyDescent="0.25">
      <c r="C240" s="2" t="s">
        <v>237</v>
      </c>
      <c r="D240">
        <v>1</v>
      </c>
    </row>
    <row r="241" spans="3:4" x14ac:dyDescent="0.25">
      <c r="C241" s="2" t="s">
        <v>334</v>
      </c>
      <c r="D241">
        <v>1</v>
      </c>
    </row>
    <row r="242" spans="3:4" x14ac:dyDescent="0.25">
      <c r="C242" s="2" t="s">
        <v>358</v>
      </c>
      <c r="D242">
        <v>1</v>
      </c>
    </row>
    <row r="243" spans="3:4" x14ac:dyDescent="0.25">
      <c r="C243" s="2" t="s">
        <v>3697</v>
      </c>
      <c r="D243">
        <v>1</v>
      </c>
    </row>
    <row r="244" spans="3:4" x14ac:dyDescent="0.25">
      <c r="C244" s="2" t="s">
        <v>308</v>
      </c>
      <c r="D244">
        <v>1</v>
      </c>
    </row>
    <row r="245" spans="3:4" x14ac:dyDescent="0.25">
      <c r="C245" s="2" t="s">
        <v>344</v>
      </c>
      <c r="D245">
        <v>1</v>
      </c>
    </row>
    <row r="246" spans="3:4" x14ac:dyDescent="0.25">
      <c r="C246" s="2" t="s">
        <v>3698</v>
      </c>
      <c r="D246">
        <v>1</v>
      </c>
    </row>
    <row r="247" spans="3:4" x14ac:dyDescent="0.25">
      <c r="C247" s="2" t="s">
        <v>3699</v>
      </c>
      <c r="D247">
        <v>1</v>
      </c>
    </row>
    <row r="248" spans="3:4" x14ac:dyDescent="0.25">
      <c r="C248" s="2" t="s">
        <v>82</v>
      </c>
      <c r="D248">
        <v>351</v>
      </c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44"/>
  <sheetViews>
    <sheetView tabSelected="1" zoomScale="85" zoomScaleNormal="85" workbookViewId="0">
      <pane ySplit="1" topLeftCell="A917" activePane="bottomLeft" state="frozen"/>
      <selection activeCell="F1" sqref="F1"/>
      <selection pane="bottomLeft" activeCell="U942" sqref="U942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41619</v>
      </c>
      <c r="B892" t="str">
        <f>_xlfn.CONCAT(bron[[#This Row],[personeelsnr]]," ",bron[[#This Row],[achternaam]]," ",bron[[#This Row],[voornaam]])</f>
        <v>41619 Bachiri Ousama</v>
      </c>
      <c r="C892" t="str">
        <f>VLOOKUP(bron[[#This Row],[personeelsnr]],'data hastus'!$A:$C,2,0)</f>
        <v>Bachiri</v>
      </c>
      <c r="D892" t="str">
        <f>VLOOKUP(bron[[#This Row],[personeelsnr]],'data hastus'!$A:$C,3,0)</f>
        <v>Ousama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3703</v>
      </c>
      <c r="V892" s="37"/>
      <c r="W892" s="37"/>
      <c r="X892" t="s">
        <v>3513</v>
      </c>
      <c r="Y892" t="s">
        <v>51</v>
      </c>
      <c r="Z892" s="2">
        <v>5042</v>
      </c>
      <c r="AA892" s="43" t="s">
        <v>3558</v>
      </c>
    </row>
    <row r="893" spans="1:27" x14ac:dyDescent="0.25">
      <c r="A893">
        <v>41948</v>
      </c>
      <c r="B893" t="str">
        <f>_xlfn.CONCAT(bron[[#This Row],[personeelsnr]]," ",bron[[#This Row],[achternaam]]," ",bron[[#This Row],[voornaam]])</f>
        <v>41948 Vervaecke Wim</v>
      </c>
      <c r="C893" t="str">
        <f>VLOOKUP(bron[[#This Row],[personeelsnr]],'data hastus'!$A:$C,2,0)</f>
        <v>Vervaecke</v>
      </c>
      <c r="D893" t="str">
        <f>VLOOKUP(bron[[#This Row],[personeelsnr]],'data hastus'!$A:$C,3,0)</f>
        <v>Wim</v>
      </c>
      <c r="E893" s="2" t="str">
        <f>VLOOKUP(bron[[#This Row],[personeelsnr]],'data hastus'!A:K,11,FALSE)</f>
        <v>Els Dewulf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3655</v>
      </c>
      <c r="V893" s="37"/>
      <c r="W893" s="37"/>
      <c r="X893" t="s">
        <v>3512</v>
      </c>
      <c r="Y893" t="s">
        <v>578</v>
      </c>
      <c r="Z893" s="2">
        <v>2548</v>
      </c>
      <c r="AA893" s="43" t="s">
        <v>3558</v>
      </c>
    </row>
    <row r="894" spans="1:27" x14ac:dyDescent="0.25">
      <c r="A894">
        <v>38555</v>
      </c>
      <c r="B894" t="str">
        <f>_xlfn.CONCAT(bron[[#This Row],[personeelsnr]]," ",bron[[#This Row],[achternaam]]," ",bron[[#This Row],[voornaam]])</f>
        <v>38555 Almohammad Malek</v>
      </c>
      <c r="C894" t="str">
        <f>VLOOKUP(bron[[#This Row],[personeelsnr]],'data hastus'!$A:$C,2,0)</f>
        <v>Almohammad</v>
      </c>
      <c r="D894" t="str">
        <f>VLOOKUP(bron[[#This Row],[personeelsnr]],'data hastus'!$A:$C,3,0)</f>
        <v>Malek</v>
      </c>
      <c r="E894" s="2" t="str">
        <f>VLOOKUP(bron[[#This Row],[personeelsnr]],'data hastus'!A:K,11,FALSE)</f>
        <v>Els Vanhoe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3657</v>
      </c>
      <c r="V894" s="37"/>
      <c r="W894" s="37"/>
      <c r="X894" t="s">
        <v>3513</v>
      </c>
      <c r="Y894" t="s">
        <v>3658</v>
      </c>
      <c r="Z894" s="2">
        <v>5044</v>
      </c>
      <c r="AA894" s="43" t="s">
        <v>3558</v>
      </c>
    </row>
    <row r="895" spans="1:27" x14ac:dyDescent="0.25">
      <c r="A895">
        <v>32611</v>
      </c>
      <c r="B895" t="str">
        <f>_xlfn.CONCAT(bron[[#This Row],[personeelsnr]]," ",bron[[#This Row],[achternaam]]," ",bron[[#This Row],[voornaam]])</f>
        <v>32611 Özer Özgur</v>
      </c>
      <c r="C895" t="str">
        <f>VLOOKUP(bron[[#This Row],[personeelsnr]],'data hastus'!$A:$C,2,0)</f>
        <v>Özer</v>
      </c>
      <c r="D895" t="str">
        <f>VLOOKUP(bron[[#This Row],[personeelsnr]],'data hastus'!$A:$C,3,0)</f>
        <v>Özgur</v>
      </c>
      <c r="E895" s="2" t="str">
        <f>VLOOKUP(bron[[#This Row],[personeelsnr]],'data hastus'!A:K,11,FALSE)</f>
        <v>Kenneth De Rick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3706</v>
      </c>
      <c r="V895" s="37"/>
      <c r="W895" s="37"/>
      <c r="X895" t="s">
        <v>3547</v>
      </c>
      <c r="Y895" t="s">
        <v>169</v>
      </c>
      <c r="Z895" s="2">
        <v>6315</v>
      </c>
      <c r="AA895" s="43" t="s">
        <v>3558</v>
      </c>
    </row>
    <row r="896" spans="1:27" x14ac:dyDescent="0.25">
      <c r="A896">
        <v>41520</v>
      </c>
      <c r="B896" t="str">
        <f>_xlfn.CONCAT(bron[[#This Row],[personeelsnr]]," ",bron[[#This Row],[achternaam]]," ",bron[[#This Row],[voornaam]])</f>
        <v>41520 Smets Avery</v>
      </c>
      <c r="C896" t="str">
        <f>VLOOKUP(bron[[#This Row],[personeelsnr]],'data hastus'!$A:$C,2,0)</f>
        <v>Smets</v>
      </c>
      <c r="D896" t="str">
        <f>VLOOKUP(bron[[#This Row],[personeelsnr]],'data hastus'!$A:$C,3,0)</f>
        <v>Avery</v>
      </c>
      <c r="E896" s="2" t="str">
        <f>VLOOKUP(bron[[#This Row],[personeelsnr]],'data hastus'!A:K,11,FALSE)</f>
        <v>Christoff Rotty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3709</v>
      </c>
      <c r="V896" s="37"/>
      <c r="W896" s="37"/>
      <c r="X896" t="s">
        <v>3513</v>
      </c>
      <c r="Y896" t="s">
        <v>40</v>
      </c>
      <c r="Z896" s="2">
        <v>2196</v>
      </c>
      <c r="AA896" s="43" t="s">
        <v>3558</v>
      </c>
    </row>
    <row r="897" spans="1:27" x14ac:dyDescent="0.25">
      <c r="A897">
        <v>39856</v>
      </c>
      <c r="B897" t="str">
        <f>_xlfn.CONCAT(bron[[#This Row],[personeelsnr]]," ",bron[[#This Row],[achternaam]]," ",bron[[#This Row],[voornaam]])</f>
        <v>39856 Curukcu Bayram</v>
      </c>
      <c r="C897" t="str">
        <f>VLOOKUP(bron[[#This Row],[personeelsnr]],'data hastus'!$A:$C,2,0)</f>
        <v>Curukcu</v>
      </c>
      <c r="D897" t="str">
        <f>VLOOKUP(bron[[#This Row],[personeelsnr]],'data hastus'!$A:$C,3,0)</f>
        <v>Bayram</v>
      </c>
      <c r="E897" s="2" t="str">
        <f>VLOOKUP(bron[[#This Row],[personeelsnr]],'data hastus'!A:K,11,FALSE)</f>
        <v>Kenneth De Rick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3711</v>
      </c>
      <c r="V897" s="37"/>
      <c r="W897" s="37"/>
      <c r="X897" t="s">
        <v>3513</v>
      </c>
      <c r="Y897" t="s">
        <v>25</v>
      </c>
      <c r="Z897" s="2">
        <v>5052</v>
      </c>
      <c r="AA897" s="43" t="s">
        <v>3558</v>
      </c>
    </row>
    <row r="898" spans="1:27" x14ac:dyDescent="0.25">
      <c r="A898">
        <v>41871</v>
      </c>
      <c r="B898" t="str">
        <f>_xlfn.CONCAT(bron[[#This Row],[personeelsnr]]," ",bron[[#This Row],[achternaam]]," ",bron[[#This Row],[voornaam]])</f>
        <v>41871 Karanfil Ibrahim</v>
      </c>
      <c r="C898" t="str">
        <f>VLOOKUP(bron[[#This Row],[personeelsnr]],'data hastus'!$A:$C,2,0)</f>
        <v>Karanfil</v>
      </c>
      <c r="D898" t="str">
        <f>VLOOKUP(bron[[#This Row],[personeelsnr]],'data hastus'!$A:$C,3,0)</f>
        <v>Ibrahim</v>
      </c>
      <c r="E898" s="2" t="str">
        <f>VLOOKUP(bron[[#This Row],[personeelsnr]],'data hastus'!A:K,11,FALSE)</f>
        <v>Dominique De Clercq</v>
      </c>
      <c r="G898" s="39"/>
      <c r="H898" s="39"/>
      <c r="I898" s="39"/>
      <c r="S898" s="36">
        <f>SUM(bron[[#This Row],[Januari]:[December]])</f>
        <v>0</v>
      </c>
      <c r="T898" s="41">
        <v>45936</v>
      </c>
      <c r="U898" s="5" t="s">
        <v>3713</v>
      </c>
      <c r="V898" s="37"/>
      <c r="W898" s="37"/>
      <c r="X898" t="s">
        <v>3512</v>
      </c>
      <c r="Y898" t="s">
        <v>46</v>
      </c>
      <c r="Z898" s="2">
        <v>5487</v>
      </c>
      <c r="AA898" s="43" t="s">
        <v>3558</v>
      </c>
    </row>
    <row r="899" spans="1:27" x14ac:dyDescent="0.25">
      <c r="A899">
        <v>42015</v>
      </c>
      <c r="B899" t="str">
        <f>_xlfn.CONCAT(bron[[#This Row],[personeelsnr]]," ",bron[[#This Row],[achternaam]]," ",bron[[#This Row],[voornaam]])</f>
        <v>42015 Crop Alexander</v>
      </c>
      <c r="C899" t="str">
        <f>VLOOKUP(bron[[#This Row],[personeelsnr]],'data hastus'!$A:$C,2,0)</f>
        <v>Crop</v>
      </c>
      <c r="D899" t="str">
        <f>VLOOKUP(bron[[#This Row],[personeelsnr]],'data hastus'!$A:$C,3,0)</f>
        <v>Alexander</v>
      </c>
      <c r="E899" s="2" t="str">
        <f>VLOOKUP(bron[[#This Row],[personeelsnr]],'data hastus'!A:K,11,FALSE)</f>
        <v>Els Vanhoe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3705</v>
      </c>
      <c r="V899" s="37"/>
      <c r="W899" s="37"/>
      <c r="X899" t="s">
        <v>3512</v>
      </c>
      <c r="Y899" t="s">
        <v>54</v>
      </c>
      <c r="Z899" s="2">
        <v>5771</v>
      </c>
      <c r="AA899" s="43" t="s">
        <v>3558</v>
      </c>
    </row>
    <row r="900" spans="1:27" x14ac:dyDescent="0.25">
      <c r="A900">
        <v>12024</v>
      </c>
      <c r="B900" t="str">
        <f>_xlfn.CONCAT(bron[[#This Row],[personeelsnr]]," ",bron[[#This Row],[achternaam]]," ",bron[[#This Row],[voornaam]])</f>
        <v>12024 De Cooman Kurt</v>
      </c>
      <c r="C900" t="str">
        <f>VLOOKUP(bron[[#This Row],[personeelsnr]],'data hastus'!$A:$C,2,0)</f>
        <v>De Cooman</v>
      </c>
      <c r="D900" t="str">
        <f>VLOOKUP(bron[[#This Row],[personeelsnr]],'data hastus'!$A:$C,3,0)</f>
        <v>Kurt</v>
      </c>
      <c r="E900" s="2" t="str">
        <f>VLOOKUP(bron[[#This Row],[personeelsnr]],'data hastus'!A:K,11,FALSE)</f>
        <v>Lucie Vande Velde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5" t="s">
        <v>3707</v>
      </c>
      <c r="V900" s="37"/>
      <c r="W900" s="37"/>
      <c r="X900" t="s">
        <v>3513</v>
      </c>
      <c r="Y900" t="s">
        <v>3708</v>
      </c>
      <c r="Z900" s="2">
        <v>5328</v>
      </c>
      <c r="AA900" s="43" t="s">
        <v>3558</v>
      </c>
    </row>
    <row r="901" spans="1:27" x14ac:dyDescent="0.25">
      <c r="A901">
        <v>41482</v>
      </c>
      <c r="B901" t="str">
        <f>_xlfn.CONCAT(bron[[#This Row],[personeelsnr]]," ",bron[[#This Row],[achternaam]]," ",bron[[#This Row],[voornaam]])</f>
        <v>41482 Özdemir Osman</v>
      </c>
      <c r="C901" t="str">
        <f>VLOOKUP(bron[[#This Row],[personeelsnr]],'data hastus'!$A:$C,2,0)</f>
        <v>Özdemir</v>
      </c>
      <c r="D901" t="str">
        <f>VLOOKUP(bron[[#This Row],[personeelsnr]],'data hastus'!$A:$C,3,0)</f>
        <v>Osman</v>
      </c>
      <c r="E901" s="2" t="str">
        <f>VLOOKUP(bron[[#This Row],[personeelsnr]],'data hastus'!A:K,11,FALSE)</f>
        <v>Bart Van Der Beken</v>
      </c>
      <c r="G901" s="39"/>
      <c r="H901" s="39"/>
      <c r="I901" s="39"/>
      <c r="S901" s="36">
        <f>SUM(bron[[#This Row],[Januari]:[December]])</f>
        <v>0</v>
      </c>
      <c r="T901" s="41">
        <v>45938</v>
      </c>
      <c r="U901" s="24" t="s">
        <v>3710</v>
      </c>
      <c r="V901" s="37"/>
      <c r="W901" s="37"/>
      <c r="X901" t="s">
        <v>3513</v>
      </c>
      <c r="Y901" t="s">
        <v>240</v>
      </c>
      <c r="Z901" s="2">
        <v>2189</v>
      </c>
      <c r="AA901" s="43" t="s">
        <v>3558</v>
      </c>
    </row>
    <row r="902" spans="1:27" x14ac:dyDescent="0.25">
      <c r="A902">
        <v>30623</v>
      </c>
      <c r="B902" t="str">
        <f>_xlfn.CONCAT(bron[[#This Row],[personeelsnr]]," ",bron[[#This Row],[achternaam]]," ",bron[[#This Row],[voornaam]])</f>
        <v>30623 Gassa Mustafa</v>
      </c>
      <c r="C902" t="str">
        <f>VLOOKUP(bron[[#This Row],[personeelsnr]],'data hastus'!$A:$C,2,0)</f>
        <v>Gassa</v>
      </c>
      <c r="D902" t="str">
        <f>VLOOKUP(bron[[#This Row],[personeelsnr]],'data hastus'!$A:$C,3,0)</f>
        <v>Mustafa</v>
      </c>
      <c r="E902" s="2" t="str">
        <f>VLOOKUP(bron[[#This Row],[personeelsnr]],'data hastus'!A:K,11,FALSE)</f>
        <v>Kenneth De Rick</v>
      </c>
      <c r="F902" s="10"/>
      <c r="G902" s="39"/>
      <c r="H902" s="39"/>
      <c r="I902" s="39"/>
      <c r="S902" s="36">
        <f>SUM(bron[[#This Row],[Januari]:[December]])</f>
        <v>0</v>
      </c>
      <c r="T902" s="41">
        <v>45938</v>
      </c>
      <c r="U902" s="5" t="s">
        <v>3723</v>
      </c>
      <c r="V902" s="37"/>
      <c r="W902" s="37"/>
      <c r="X902" t="s">
        <v>3512</v>
      </c>
      <c r="Y902" t="s">
        <v>3724</v>
      </c>
      <c r="Z902" s="2">
        <v>5770</v>
      </c>
      <c r="AA902" s="43" t="s">
        <v>3558</v>
      </c>
    </row>
    <row r="903" spans="1:27" x14ac:dyDescent="0.25">
      <c r="A903">
        <v>40138</v>
      </c>
      <c r="B903" t="str">
        <f>_xlfn.CONCAT(bron[[#This Row],[personeelsnr]]," ",bron[[#This Row],[achternaam]]," ",bron[[#This Row],[voornaam]])</f>
        <v>40138 Moerman Tjimmy</v>
      </c>
      <c r="C903" t="str">
        <f>VLOOKUP(bron[[#This Row],[personeelsnr]],'data hastus'!$A:$C,2,0)</f>
        <v>Moerman</v>
      </c>
      <c r="D903" t="str">
        <f>VLOOKUP(bron[[#This Row],[personeelsnr]],'data hastus'!$A:$C,3,0)</f>
        <v>Tjimmy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45939</v>
      </c>
      <c r="U903" s="5" t="s">
        <v>3717</v>
      </c>
      <c r="V903" s="37"/>
      <c r="W903" s="37"/>
      <c r="X903" t="s">
        <v>3513</v>
      </c>
      <c r="Y903" t="s">
        <v>236</v>
      </c>
      <c r="Z903" s="2">
        <v>5041</v>
      </c>
      <c r="AA903" s="43" t="s">
        <v>3559</v>
      </c>
    </row>
    <row r="904" spans="1:27" x14ac:dyDescent="0.25">
      <c r="A904">
        <v>39929</v>
      </c>
      <c r="B904" t="str">
        <f>_xlfn.CONCAT(bron[[#This Row],[personeelsnr]]," ",bron[[#This Row],[achternaam]]," ",bron[[#This Row],[voornaam]])</f>
        <v>39929 Staneva Mariyana</v>
      </c>
      <c r="C904" t="str">
        <f>VLOOKUP(bron[[#This Row],[personeelsnr]],'data hastus'!$A:$C,2,0)</f>
        <v>Staneva</v>
      </c>
      <c r="D904" t="str">
        <f>VLOOKUP(bron[[#This Row],[personeelsnr]],'data hastus'!$A:$C,3,0)</f>
        <v>Mariyana</v>
      </c>
      <c r="E904" s="2" t="str">
        <f>VLOOKUP(bron[[#This Row],[personeelsnr]],'data hastus'!A:K,11,FALSE)</f>
        <v>Christoff Rotty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3714</v>
      </c>
      <c r="V904" s="37"/>
      <c r="W904" s="37"/>
      <c r="X904" t="s">
        <v>3513</v>
      </c>
      <c r="Y904" t="s">
        <v>19</v>
      </c>
      <c r="Z904" s="2">
        <v>2195</v>
      </c>
      <c r="AA904" s="43" t="s">
        <v>3559</v>
      </c>
    </row>
    <row r="905" spans="1:27" x14ac:dyDescent="0.25">
      <c r="A905">
        <v>20542</v>
      </c>
      <c r="B905" t="str">
        <f>_xlfn.CONCAT(bron[[#This Row],[personeelsnr]]," ",bron[[#This Row],[achternaam]]," ",bron[[#This Row],[voornaam]])</f>
        <v>20542 Kizilmese Emra</v>
      </c>
      <c r="C905" t="str">
        <f>VLOOKUP(bron[[#This Row],[personeelsnr]],'data hastus'!$A:$C,2,0)</f>
        <v>Kizilmese</v>
      </c>
      <c r="D905" t="str">
        <f>VLOOKUP(bron[[#This Row],[personeelsnr]],'data hastus'!$A:$C,3,0)</f>
        <v>Emra</v>
      </c>
      <c r="E905" s="2" t="str">
        <f>VLOOKUP(bron[[#This Row],[personeelsnr]],'data hastus'!A:K,11,FALSE)</f>
        <v>Els Dewulf</v>
      </c>
      <c r="G905" s="39"/>
      <c r="H905" s="39"/>
      <c r="I905" s="39"/>
      <c r="S905" s="36">
        <f>SUM(bron[[#This Row],[Januari]:[December]])</f>
        <v>0</v>
      </c>
      <c r="T905" s="41">
        <v>45940</v>
      </c>
      <c r="U905" s="5" t="s">
        <v>3720</v>
      </c>
      <c r="V905" s="37"/>
      <c r="W905" s="37"/>
      <c r="X905" t="s">
        <v>3513</v>
      </c>
      <c r="Y905" t="s">
        <v>25</v>
      </c>
      <c r="Z905" s="2">
        <v>5235</v>
      </c>
      <c r="AA905" s="43" t="s">
        <v>3558</v>
      </c>
    </row>
    <row r="906" spans="1:27" x14ac:dyDescent="0.25">
      <c r="A906">
        <v>35430</v>
      </c>
      <c r="B906" t="str">
        <f>_xlfn.CONCAT(bron[[#This Row],[personeelsnr]]," ",bron[[#This Row],[achternaam]]," ",bron[[#This Row],[voornaam]])</f>
        <v>35430 Vlaminck Dirk</v>
      </c>
      <c r="C906" t="str">
        <f>VLOOKUP(bron[[#This Row],[personeelsnr]],'data hastus'!$A:$C,2,0)</f>
        <v>Vlaminck</v>
      </c>
      <c r="D906" t="str">
        <f>VLOOKUP(bron[[#This Row],[personeelsnr]],'data hastus'!$A:$C,3,0)</f>
        <v>Dirk</v>
      </c>
      <c r="E906" s="2" t="str">
        <f>VLOOKUP(bron[[#This Row],[personeelsnr]],'data hastus'!A:K,11,FALSE)</f>
        <v>Els Vanhoe</v>
      </c>
      <c r="G906" s="39"/>
      <c r="H906" s="39"/>
      <c r="I906" s="39"/>
      <c r="S906" s="36">
        <f>SUM(bron[[#This Row],[Januari]:[December]])</f>
        <v>0</v>
      </c>
      <c r="T906" s="41">
        <v>45941</v>
      </c>
      <c r="U906" s="5" t="s">
        <v>3712</v>
      </c>
      <c r="V906" s="37"/>
      <c r="W906" s="37"/>
      <c r="X906" t="s">
        <v>3513</v>
      </c>
      <c r="Y906" t="s">
        <v>3658</v>
      </c>
      <c r="Z906" s="2">
        <v>5237</v>
      </c>
      <c r="AA906" s="43" t="s">
        <v>3631</v>
      </c>
    </row>
    <row r="907" spans="1:27" x14ac:dyDescent="0.25">
      <c r="A907">
        <v>15219</v>
      </c>
      <c r="B907" t="str">
        <f>_xlfn.CONCAT(bron[[#This Row],[personeelsnr]]," ",bron[[#This Row],[achternaam]]," ",bron[[#This Row],[voornaam]])</f>
        <v>15219 De Mey Peter</v>
      </c>
      <c r="C907" t="str">
        <f>VLOOKUP(bron[[#This Row],[personeelsnr]],'data hastus'!$A:$C,2,0)</f>
        <v>De Mey</v>
      </c>
      <c r="D907" t="str">
        <f>VLOOKUP(bron[[#This Row],[personeelsnr]],'data hastus'!$A:$C,3,0)</f>
        <v>Peter</v>
      </c>
      <c r="E907" s="2" t="str">
        <f>VLOOKUP(bron[[#This Row],[personeelsnr]],'data hastus'!A:K,11,FALSE)</f>
        <v>Bart Van Der Beken</v>
      </c>
      <c r="G907" s="39"/>
      <c r="H907" s="39"/>
      <c r="I907" s="39"/>
      <c r="S907" s="36">
        <f>SUM(bron[[#This Row],[Januari]:[December]])</f>
        <v>0</v>
      </c>
      <c r="T907" s="41">
        <v>45942</v>
      </c>
      <c r="U907" s="5" t="s">
        <v>3715</v>
      </c>
      <c r="V907" s="37"/>
      <c r="W907" s="37"/>
      <c r="X907" t="s">
        <v>3548</v>
      </c>
      <c r="Y907" t="s">
        <v>487</v>
      </c>
      <c r="Z907" s="2">
        <v>6362</v>
      </c>
      <c r="AA907" s="43" t="s">
        <v>3558</v>
      </c>
    </row>
    <row r="908" spans="1:27" x14ac:dyDescent="0.25">
      <c r="A908">
        <v>38633</v>
      </c>
      <c r="B908" t="str">
        <f>_xlfn.CONCAT(bron[[#This Row],[personeelsnr]]," ",bron[[#This Row],[achternaam]]," ",bron[[#This Row],[voornaam]])</f>
        <v>38633 Stomphorst Mattanja</v>
      </c>
      <c r="C908" t="str">
        <f>VLOOKUP(bron[[#This Row],[personeelsnr]],'data hastus'!$A:$C,2,0)</f>
        <v>Stomphorst</v>
      </c>
      <c r="D908" t="str">
        <f>VLOOKUP(bron[[#This Row],[personeelsnr]],'data hastus'!$A:$C,3,0)</f>
        <v>Mattanja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3731</v>
      </c>
      <c r="V908" s="37"/>
      <c r="W908" s="37"/>
      <c r="X908" t="s">
        <v>3513</v>
      </c>
      <c r="Y908" t="s">
        <v>663</v>
      </c>
      <c r="Z908" s="2">
        <v>5047</v>
      </c>
      <c r="AA908" s="43" t="s">
        <v>3558</v>
      </c>
    </row>
    <row r="909" spans="1:27" x14ac:dyDescent="0.25">
      <c r="A909">
        <v>16275</v>
      </c>
      <c r="B909" t="str">
        <f>_xlfn.CONCAT(bron[[#This Row],[personeelsnr]]," ",bron[[#This Row],[achternaam]]," ",bron[[#This Row],[voornaam]])</f>
        <v>16275 Devriendt Patrick</v>
      </c>
      <c r="C909" t="str">
        <f>VLOOKUP(bron[[#This Row],[personeelsnr]],'data hastus'!$A:$C,2,0)</f>
        <v>Devriendt</v>
      </c>
      <c r="D909" t="str">
        <f>VLOOKUP(bron[[#This Row],[personeelsnr]],'data hastus'!$A:$C,3,0)</f>
        <v>Patrick</v>
      </c>
      <c r="E909" s="2" t="str">
        <f>VLOOKUP(bron[[#This Row],[personeelsnr]],'data hastus'!A:K,11,FALSE)</f>
        <v>Els Dewulf</v>
      </c>
      <c r="F909" s="10"/>
      <c r="G909" s="39"/>
      <c r="H909" s="39"/>
      <c r="I909" s="39"/>
      <c r="S909" s="36">
        <f>SUM(bron[[#This Row],[Januari]:[December]])</f>
        <v>0</v>
      </c>
      <c r="T909" s="41">
        <v>45943</v>
      </c>
      <c r="U909" s="5" t="s">
        <v>3733</v>
      </c>
      <c r="V909" s="37"/>
      <c r="W909" s="37"/>
      <c r="X909" t="s">
        <v>3547</v>
      </c>
      <c r="Y909" t="s">
        <v>5</v>
      </c>
      <c r="Z909" s="2">
        <v>6329</v>
      </c>
      <c r="AA909" s="43" t="s">
        <v>3558</v>
      </c>
    </row>
    <row r="910" spans="1:27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3718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3719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3716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3726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3746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3725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3721</v>
      </c>
      <c r="V916" s="37"/>
      <c r="W916" s="37"/>
      <c r="X916" t="s">
        <v>3548</v>
      </c>
      <c r="Y916" t="s">
        <v>3722</v>
      </c>
      <c r="Z916" s="2">
        <v>6366</v>
      </c>
      <c r="AA916" s="43" t="s">
        <v>3558</v>
      </c>
    </row>
    <row r="917" spans="1:27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3727</v>
      </c>
      <c r="V917" s="37"/>
      <c r="W917" s="37"/>
      <c r="X917" t="s">
        <v>3513</v>
      </c>
      <c r="Y917" t="s">
        <v>3728</v>
      </c>
      <c r="Z917" s="2">
        <v>5259</v>
      </c>
      <c r="AA917" s="43" t="s">
        <v>3559</v>
      </c>
    </row>
    <row r="918" spans="1:27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3732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3729</v>
      </c>
      <c r="V919" s="37"/>
      <c r="W919" s="37"/>
      <c r="X919" t="s">
        <v>3513</v>
      </c>
      <c r="Y919" t="s">
        <v>3730</v>
      </c>
      <c r="Z919" s="2">
        <v>2195</v>
      </c>
      <c r="AA919" s="43" t="s">
        <v>3558</v>
      </c>
    </row>
    <row r="920" spans="1:27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3734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3736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3749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3739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3750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3735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3745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3738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3741</v>
      </c>
      <c r="V928" s="37"/>
      <c r="W928" s="37"/>
      <c r="X928" t="s">
        <v>3511</v>
      </c>
      <c r="Y928" t="s">
        <v>3742</v>
      </c>
      <c r="Z928" s="2">
        <v>5271</v>
      </c>
      <c r="AA928" s="43" t="s">
        <v>3558</v>
      </c>
    </row>
    <row r="929" spans="1:27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3740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25">
      <c r="A930">
        <v>40938</v>
      </c>
      <c r="B930" t="str">
        <f>_xlfn.CONCAT(bron[[#This Row],[personeelsnr]]," ",bron[[#This Row],[achternaam]]," ",bron[[#This Row],[voornaam]])</f>
        <v>40938 Hasnaoui Nejmeddine</v>
      </c>
      <c r="C930" t="str">
        <f>VLOOKUP(bron[[#This Row],[personeelsnr]],'data hastus'!$A:$C,2,0)</f>
        <v>Hasnaoui</v>
      </c>
      <c r="D930" t="str">
        <f>VLOOKUP(bron[[#This Row],[personeelsnr]],'data hastus'!$A:$C,3,0)</f>
        <v>Nejmeddine</v>
      </c>
      <c r="E930" s="2" t="str">
        <f>VLOOKUP(bron[[#This Row],[personeelsnr]],'data hastus'!A:K,11,FALSE)</f>
        <v>Dominique De Clercq</v>
      </c>
      <c r="F930" s="10"/>
      <c r="G930" s="39"/>
      <c r="H930" s="39"/>
      <c r="I930" s="39"/>
      <c r="S930" s="36">
        <f>SUM(bron[[#This Row],[Januari]:[December]])</f>
        <v>0</v>
      </c>
      <c r="T930" s="41">
        <v>45960</v>
      </c>
      <c r="U930" s="8" t="s">
        <v>3737</v>
      </c>
      <c r="V930" s="37"/>
      <c r="W930" s="37"/>
      <c r="X930" t="s">
        <v>3512</v>
      </c>
      <c r="Y930" t="s">
        <v>13</v>
      </c>
      <c r="Z930" s="2">
        <v>13024</v>
      </c>
      <c r="AA930" s="43" t="s">
        <v>3558</v>
      </c>
    </row>
    <row r="931" spans="1:27" x14ac:dyDescent="0.25">
      <c r="A931">
        <v>42105</v>
      </c>
      <c r="B931" t="str">
        <f>_xlfn.CONCAT(bron[[#This Row],[personeelsnr]]," ",bron[[#This Row],[achternaam]]," ",bron[[#This Row],[voornaam]])</f>
        <v>42105 Van den Bossche Jarne</v>
      </c>
      <c r="C931" t="str">
        <f>VLOOKUP(bron[[#This Row],[personeelsnr]],'data hastus'!$A:$C,2,0)</f>
        <v>Van den Bossche</v>
      </c>
      <c r="D931" t="str">
        <f>VLOOKUP(bron[[#This Row],[personeelsnr]],'data hastus'!$A:$C,3,0)</f>
        <v>Jarne</v>
      </c>
      <c r="E931" s="2" t="str">
        <f>VLOOKUP(bron[[#This Row],[personeelsnr]],'data hastus'!A:K,11,FALSE)</f>
        <v>Els Dewulf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5" t="s">
        <v>3744</v>
      </c>
      <c r="V931" s="37"/>
      <c r="W931" s="37"/>
      <c r="X931" t="s">
        <v>3512</v>
      </c>
      <c r="Y931" t="s">
        <v>31</v>
      </c>
      <c r="Z931" s="2">
        <v>5489</v>
      </c>
      <c r="AA931" s="43" t="s">
        <v>3558</v>
      </c>
    </row>
    <row r="932" spans="1:27" x14ac:dyDescent="0.25">
      <c r="A932">
        <v>25873</v>
      </c>
      <c r="B932" t="str">
        <f>_xlfn.CONCAT(bron[[#This Row],[personeelsnr]]," ",bron[[#This Row],[achternaam]]," ",bron[[#This Row],[voornaam]])</f>
        <v>25873 Kazakbiyev Osman</v>
      </c>
      <c r="C932" t="str">
        <f>VLOOKUP(bron[[#This Row],[personeelsnr]],'data hastus'!$A:$C,2,0)</f>
        <v>Kazakbiyev</v>
      </c>
      <c r="D932" t="str">
        <f>VLOOKUP(bron[[#This Row],[personeelsnr]],'data hastus'!$A:$C,3,0)</f>
        <v>Osman</v>
      </c>
      <c r="E932" s="2" t="str">
        <f>VLOOKUP(bron[[#This Row],[personeelsnr]],'data hastus'!A:K,11,FALSE)</f>
        <v>Els Vanhoe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3747</v>
      </c>
      <c r="V932" s="37"/>
      <c r="W932" s="37"/>
      <c r="X932" t="s">
        <v>3513</v>
      </c>
      <c r="Y932" t="s">
        <v>3748</v>
      </c>
      <c r="Z932" s="2">
        <v>5052</v>
      </c>
      <c r="AA932" s="43" t="s">
        <v>3558</v>
      </c>
    </row>
    <row r="933" spans="1:27" x14ac:dyDescent="0.25">
      <c r="A933">
        <v>39858</v>
      </c>
      <c r="B933" t="str">
        <f>_xlfn.CONCAT(bron[[#This Row],[personeelsnr]]," ",bron[[#This Row],[achternaam]]," ",bron[[#This Row],[voornaam]])</f>
        <v>39858 Jacobs Elos</v>
      </c>
      <c r="C933" t="str">
        <f>VLOOKUP(bron[[#This Row],[personeelsnr]],'data hastus'!$A:$C,2,0)</f>
        <v>Jacobs</v>
      </c>
      <c r="D933" t="str">
        <f>VLOOKUP(bron[[#This Row],[personeelsnr]],'data hastus'!$A:$C,3,0)</f>
        <v>Elos</v>
      </c>
      <c r="E933" s="2" t="str">
        <f>VLOOKUP(bron[[#This Row],[personeelsnr]],'data hastus'!A:K,11,FALSE)</f>
        <v>Els Dewulf</v>
      </c>
      <c r="F933" s="10"/>
      <c r="G933" s="39"/>
      <c r="H933" s="39"/>
      <c r="I933" s="39"/>
      <c r="S933" s="36">
        <f>SUM(bron[[#This Row],[Januari]:[December]])</f>
        <v>0</v>
      </c>
      <c r="T933" s="41">
        <v>45961</v>
      </c>
      <c r="U933" s="5" t="s">
        <v>3743</v>
      </c>
      <c r="V933" s="37"/>
      <c r="W933" s="37"/>
      <c r="X933" t="s">
        <v>3511</v>
      </c>
      <c r="Y933" t="s">
        <v>663</v>
      </c>
      <c r="Z933" s="2">
        <v>5229</v>
      </c>
      <c r="AA933" s="43" t="s">
        <v>3558</v>
      </c>
    </row>
    <row r="934" spans="1:27" x14ac:dyDescent="0.25">
      <c r="A934">
        <v>37543</v>
      </c>
      <c r="B934" t="str">
        <f>_xlfn.CONCAT(bron[[#This Row],[personeelsnr]]," ",bron[[#This Row],[achternaam]]," ",bron[[#This Row],[voornaam]])</f>
        <v>37543 Öztürk Bilgehan</v>
      </c>
      <c r="C934" t="str">
        <f>VLOOKUP(bron[[#This Row],[personeelsnr]],'data hastus'!$A:$C,2,0)</f>
        <v>Öztürk</v>
      </c>
      <c r="D934" t="str">
        <f>VLOOKUP(bron[[#This Row],[personeelsnr]],'data hastus'!$A:$C,3,0)</f>
        <v>Bilgehan</v>
      </c>
      <c r="E934" s="2" t="str">
        <f>VLOOKUP(bron[[#This Row],[personeelsnr]],'data hastus'!A:K,11,FALSE)</f>
        <v>Kenneth De Rick</v>
      </c>
      <c r="F934" s="10"/>
      <c r="G934" s="39"/>
      <c r="H934" s="39"/>
      <c r="I934" s="39"/>
      <c r="S934" s="36">
        <f>SUM(bron[[#This Row],[Januari]:[December]])</f>
        <v>0</v>
      </c>
      <c r="T934" s="41">
        <v>45962</v>
      </c>
      <c r="U934" s="5" t="s">
        <v>3751</v>
      </c>
      <c r="V934" s="37"/>
      <c r="W934" s="37"/>
      <c r="X934" t="s">
        <v>3513</v>
      </c>
      <c r="Y934" t="s">
        <v>3752</v>
      </c>
      <c r="Z934" s="2">
        <v>5233</v>
      </c>
      <c r="AA934" s="43" t="s">
        <v>3559</v>
      </c>
    </row>
    <row r="935" spans="1:27" x14ac:dyDescent="0.25">
      <c r="A935">
        <v>35463</v>
      </c>
      <c r="B935" t="str">
        <f>_xlfn.CONCAT(bron[[#This Row],[personeelsnr]]," ",bron[[#This Row],[achternaam]]," ",bron[[#This Row],[voornaam]])</f>
        <v>35463 Vandaele Tom</v>
      </c>
      <c r="C935" t="str">
        <f>VLOOKUP(bron[[#This Row],[personeelsnr]],'data hastus'!$A:$C,2,0)</f>
        <v>Vandaele</v>
      </c>
      <c r="D935" t="str">
        <f>VLOOKUP(bron[[#This Row],[personeelsnr]],'data hastus'!$A:$C,3,0)</f>
        <v>Tom</v>
      </c>
      <c r="E935" s="2" t="str">
        <f>VLOOKUP(bron[[#This Row],[personeelsnr]],'data hastus'!A:K,11,FALSE)</f>
        <v>Dominique De Clercq</v>
      </c>
      <c r="F935" s="10"/>
      <c r="G935" s="39"/>
      <c r="H935" s="39"/>
      <c r="I935" s="39"/>
      <c r="S935" s="36">
        <f>SUM(bron[[#This Row],[Januari]:[December]])</f>
        <v>0</v>
      </c>
      <c r="T935" s="41">
        <v>45963</v>
      </c>
      <c r="U935" s="5" t="s">
        <v>3753</v>
      </c>
      <c r="V935" s="37"/>
      <c r="W935" s="37"/>
      <c r="X935" t="s">
        <v>3547</v>
      </c>
      <c r="Y935" t="s">
        <v>5</v>
      </c>
      <c r="Z935" s="2">
        <v>6312</v>
      </c>
      <c r="AA935" s="43" t="s">
        <v>3558</v>
      </c>
    </row>
    <row r="936" spans="1:27" x14ac:dyDescent="0.25">
      <c r="A936">
        <v>40362</v>
      </c>
      <c r="B936" t="str">
        <f>_xlfn.CONCAT(bron[[#This Row],[personeelsnr]]," ",bron[[#This Row],[achternaam]]," ",bron[[#This Row],[voornaam]])</f>
        <v>40362 Kuru Cetin</v>
      </c>
      <c r="C936" t="str">
        <f>VLOOKUP(bron[[#This Row],[personeelsnr]],'data hastus'!$A:$C,2,0)</f>
        <v>Kuru</v>
      </c>
      <c r="D936" t="str">
        <f>VLOOKUP(bron[[#This Row],[personeelsnr]],'data hastus'!$A:$C,3,0)</f>
        <v>Cetin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45964</v>
      </c>
      <c r="U936" s="5" t="s">
        <v>3754</v>
      </c>
      <c r="V936" s="37"/>
      <c r="W936" s="37"/>
      <c r="X936" t="s">
        <v>3512</v>
      </c>
      <c r="Y936" t="s">
        <v>3755</v>
      </c>
      <c r="Z936" s="2">
        <v>5935</v>
      </c>
      <c r="AA936" s="43" t="s">
        <v>3558</v>
      </c>
    </row>
    <row r="937" spans="1:27" x14ac:dyDescent="0.25">
      <c r="A937">
        <v>42143</v>
      </c>
      <c r="B937" t="str">
        <f>_xlfn.CONCAT(bron[[#This Row],[personeelsnr]]," ",bron[[#This Row],[achternaam]]," ",bron[[#This Row],[voornaam]])</f>
        <v>42143 Rahoens Christ</v>
      </c>
      <c r="C937" t="str">
        <f>VLOOKUP(bron[[#This Row],[personeelsnr]],'data hastus'!$A:$C,2,0)</f>
        <v>Rahoens</v>
      </c>
      <c r="D937" t="str">
        <f>VLOOKUP(bron[[#This Row],[personeelsnr]],'data hastus'!$A:$C,3,0)</f>
        <v>Christ</v>
      </c>
      <c r="E937" s="2" t="str">
        <f>VLOOKUP(bron[[#This Row],[personeelsnr]],'data hastus'!A:K,11,FALSE)</f>
        <v>Bart Van Der Beken</v>
      </c>
      <c r="F937" s="10"/>
      <c r="G937" s="39"/>
      <c r="H937" s="39"/>
      <c r="I937" s="39"/>
      <c r="S937" s="36">
        <f>SUM(bron[[#This Row],[Januari]:[December]])</f>
        <v>0</v>
      </c>
      <c r="T937" s="41">
        <v>45964</v>
      </c>
      <c r="U937" s="5" t="s">
        <v>3756</v>
      </c>
      <c r="V937" s="37"/>
      <c r="W937" s="37"/>
      <c r="X937" t="s">
        <v>3512</v>
      </c>
      <c r="Y937" t="str">
        <f>Y936</f>
        <v>Port Arthurlaan</v>
      </c>
      <c r="Z937" s="2">
        <v>550821</v>
      </c>
      <c r="AA937" s="43" t="s">
        <v>3631</v>
      </c>
    </row>
    <row r="938" spans="1:27" x14ac:dyDescent="0.25">
      <c r="A938">
        <v>41384</v>
      </c>
      <c r="B938" t="str">
        <f>_xlfn.CONCAT(bron[[#This Row],[personeelsnr]]," ",bron[[#This Row],[achternaam]]," ",bron[[#This Row],[voornaam]])</f>
        <v>41384 Hillaert Thimo</v>
      </c>
      <c r="C938" t="str">
        <f>VLOOKUP(bron[[#This Row],[personeelsnr]],'data hastus'!$A:$C,2,0)</f>
        <v>Hillaert</v>
      </c>
      <c r="D938" t="str">
        <f>VLOOKUP(bron[[#This Row],[personeelsnr]],'data hastus'!$A:$C,3,0)</f>
        <v>Thimo</v>
      </c>
      <c r="E938" s="2" t="str">
        <f>VLOOKUP(bron[[#This Row],[personeelsnr]],'data hastus'!A:K,11,FALSE)</f>
        <v>Christoff Rotty</v>
      </c>
      <c r="F938" s="10"/>
      <c r="G938" s="39"/>
      <c r="H938" s="39"/>
      <c r="I938" s="39"/>
      <c r="S938" s="36">
        <f>SUM(bron[[#This Row],[Januari]:[December]])</f>
        <v>0</v>
      </c>
      <c r="T938" s="41">
        <v>45962</v>
      </c>
      <c r="U938" s="5" t="s">
        <v>3757</v>
      </c>
      <c r="V938" s="37"/>
      <c r="W938" s="37"/>
      <c r="X938" t="s">
        <v>3512</v>
      </c>
      <c r="Y938" t="s">
        <v>3636</v>
      </c>
      <c r="Z938" s="2">
        <v>5916</v>
      </c>
      <c r="AA938" s="43" t="s">
        <v>3558</v>
      </c>
    </row>
    <row r="939" spans="1:27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3758</v>
      </c>
      <c r="V939" s="37"/>
      <c r="W939" s="37"/>
      <c r="X939" t="s">
        <v>3512</v>
      </c>
      <c r="Y939" t="s">
        <v>3759</v>
      </c>
      <c r="Z939" s="2">
        <v>5938</v>
      </c>
      <c r="AA939" s="43" t="s">
        <v>3558</v>
      </c>
    </row>
    <row r="940" spans="1:27" x14ac:dyDescent="0.25">
      <c r="A940">
        <v>39651</v>
      </c>
      <c r="B940" t="str">
        <f>_xlfn.CONCAT(bron[[#This Row],[personeelsnr]]," ",bron[[#This Row],[achternaam]]," ",bron[[#This Row],[voornaam]])</f>
        <v>39651 Kallenbach Sunny</v>
      </c>
      <c r="C940" t="str">
        <f>VLOOKUP(bron[[#This Row],[personeelsnr]],'data hastus'!$A:$C,2,0)</f>
        <v>Kallenbach</v>
      </c>
      <c r="D940" t="str">
        <f>VLOOKUP(bron[[#This Row],[personeelsnr]],'data hastus'!$A:$C,3,0)</f>
        <v>Sunny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3760</v>
      </c>
      <c r="V940" s="37"/>
      <c r="W940" s="37"/>
      <c r="X940" t="s">
        <v>3513</v>
      </c>
      <c r="Y940" t="s">
        <v>737</v>
      </c>
      <c r="Z940" s="2">
        <v>5263</v>
      </c>
      <c r="AA940" s="43" t="s">
        <v>3558</v>
      </c>
    </row>
    <row r="941" spans="1:27" x14ac:dyDescent="0.25">
      <c r="A941">
        <v>34328</v>
      </c>
      <c r="B941" t="str">
        <f>_xlfn.CONCAT(bron[[#This Row],[personeelsnr]]," ",bron[[#This Row],[achternaam]]," ",bron[[#This Row],[voornaam]])</f>
        <v>34328 Kerremans Jürgen</v>
      </c>
      <c r="C941" t="str">
        <f>VLOOKUP(bron[[#This Row],[personeelsnr]],'data hastus'!$A:$C,2,0)</f>
        <v>Kerremans</v>
      </c>
      <c r="D941" t="str">
        <f>VLOOKUP(bron[[#This Row],[personeelsnr]],'data hastus'!$A:$C,3,0)</f>
        <v>Jürgen</v>
      </c>
      <c r="E941" s="2" t="str">
        <f>VLOOKUP(bron[[#This Row],[personeelsnr]],'data hastus'!A:K,11,FALSE)</f>
        <v>Kenneth De Rick</v>
      </c>
      <c r="F941" s="10"/>
      <c r="G941" s="39"/>
      <c r="H941" s="39"/>
      <c r="I941" s="39"/>
      <c r="S941" s="36">
        <f>SUM(bron[[#This Row],[Januari]:[December]])</f>
        <v>0</v>
      </c>
      <c r="T941" s="41">
        <v>45959</v>
      </c>
      <c r="U941" s="5" t="s">
        <v>3761</v>
      </c>
      <c r="V941" s="37"/>
      <c r="W941" s="37"/>
      <c r="X941" t="s">
        <v>3547</v>
      </c>
      <c r="Y941" t="s">
        <v>5</v>
      </c>
      <c r="Z941" s="2">
        <v>6334</v>
      </c>
      <c r="AA941" s="43" t="s">
        <v>3558</v>
      </c>
    </row>
    <row r="942" spans="1:27" x14ac:dyDescent="0.25">
      <c r="A942">
        <v>11023</v>
      </c>
      <c r="B942" t="str">
        <f>_xlfn.CONCAT(bron[[#This Row],[personeelsnr]]," ",bron[[#This Row],[achternaam]]," ",bron[[#This Row],[voornaam]])</f>
        <v>11023 Goethals Jeffrey</v>
      </c>
      <c r="C942" t="str">
        <f>VLOOKUP(bron[[#This Row],[personeelsnr]],'data hastus'!$A:$C,2,0)</f>
        <v>Goethals</v>
      </c>
      <c r="D942" t="str">
        <f>VLOOKUP(bron[[#This Row],[personeelsnr]],'data hastus'!$A:$C,3,0)</f>
        <v>Jeffrey</v>
      </c>
      <c r="E942" s="2" t="str">
        <f>VLOOKUP(bron[[#This Row],[personeelsnr]],'data hastus'!A:K,11,FALSE)</f>
        <v>Els Vanhoe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V942" s="37"/>
      <c r="W942" s="37"/>
      <c r="X942" t="s">
        <v>3548</v>
      </c>
      <c r="Y942" t="s">
        <v>265</v>
      </c>
      <c r="Z942" s="2">
        <v>6364</v>
      </c>
      <c r="AA942" s="43" t="s">
        <v>3558</v>
      </c>
    </row>
    <row r="943" spans="1:27" x14ac:dyDescent="0.25">
      <c r="B943" t="e">
        <f>_xlfn.CONCAT(bron[[#This Row],[personeelsnr]]," ",bron[[#This Row],[achternaam]]," ",bron[[#This Row],[voornaam]])</f>
        <v>#N/A</v>
      </c>
      <c r="C943" t="e">
        <f>VLOOKUP(bron[[#This Row],[personeelsnr]],'data hastus'!$A:$C,2,0)</f>
        <v>#N/A</v>
      </c>
      <c r="D943" t="e">
        <f>VLOOKUP(bron[[#This Row],[personeelsnr]],'data hastus'!$A:$C,3,0)</f>
        <v>#N/A</v>
      </c>
      <c r="E943" s="2" t="e">
        <f>VLOOKUP(bron[[#This Row],[personeelsnr]],'data hastus'!A:K,11,FALSE)</f>
        <v>#N/A</v>
      </c>
      <c r="F943" s="10"/>
      <c r="G943" s="39"/>
      <c r="H943" s="39"/>
      <c r="I943" s="39"/>
      <c r="S943" s="36">
        <f>SUM(bron[[#This Row],[Januari]:[December]])</f>
        <v>0</v>
      </c>
      <c r="V943" s="37"/>
      <c r="W943" s="37"/>
    </row>
    <row r="944" spans="1:27" x14ac:dyDescent="0.25">
      <c r="B944" t="e">
        <f>_xlfn.CONCAT(bron[[#This Row],[personeelsnr]]," ",bron[[#This Row],[achternaam]]," ",bron[[#This Row],[voornaam]])</f>
        <v>#N/A</v>
      </c>
      <c r="C944" t="e">
        <f>VLOOKUP(bron[[#This Row],[personeelsnr]],'data hastus'!$A:$C,2,0)</f>
        <v>#N/A</v>
      </c>
      <c r="D944" t="e">
        <f>VLOOKUP(bron[[#This Row],[personeelsnr]],'data hastus'!$A:$C,3,0)</f>
        <v>#N/A</v>
      </c>
      <c r="E944" s="2" t="e">
        <f>VLOOKUP(bron[[#This Row],[personeelsnr]],'data hastus'!A:K,11,FALSE)</f>
        <v>#N/A</v>
      </c>
      <c r="F944" s="10"/>
      <c r="G944" s="39"/>
      <c r="H944" s="39"/>
      <c r="I944" s="39"/>
      <c r="S944" s="36">
        <f>SUM(bron[[#This Row],[Januari]:[December]])</f>
        <v>0</v>
      </c>
      <c r="V944" s="37"/>
      <c r="W944" s="37"/>
    </row>
  </sheetData>
  <sheetProtection sort="0" autoFilter="0"/>
  <phoneticPr fontId="1" type="noConversion"/>
  <conditionalFormatting sqref="F2:F944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1" r:id="rId819" xr:uid="{7FC56684-76EF-413B-A479-630E352B6909}"/>
    <hyperlink ref="U930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E3478E0-B71A-4456-912A-81FF3A014F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2025-11-05T12:13:49Z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