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905" documentId="13_ncr:1_{BC833B0D-2F54-40DF-A6AF-902741D0EBA0}" xr6:coauthVersionLast="47" xr6:coauthVersionMax="47" xr10:uidLastSave="{296D1446-CDE7-4AA7-A46D-7B360AE6EE32}"/>
  <bookViews>
    <workbookView minimized="1" xWindow="32025" yWindow="2505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0" i="1" l="1"/>
  <c r="B860" i="1" s="1"/>
  <c r="D860" i="1"/>
  <c r="E860" i="1"/>
  <c r="S860" i="1"/>
  <c r="C859" i="1" l="1"/>
  <c r="D859" i="1"/>
  <c r="E859" i="1"/>
  <c r="S859" i="1"/>
  <c r="B859" i="1" l="1"/>
  <c r="C824" i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<sst xmlns="http://schemas.openxmlformats.org/spreadsheetml/2006/main" count="7776" uniqueCount="3597">
  <si>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</si>
  <si>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</si>
  <si>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</si>
  <si>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</si>
  <si>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</si>
  <si>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</si>
  <si>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</si>
  <si>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</si>
  <si>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</si>
  <si>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</si>
  <si>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</si>
  <si>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</si>
  <si>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</si>
  <si>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</si>
  <si>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</si>
  <si>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</si>
  <si>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</si>
  <si>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</si>
  <si>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</si>
  <si>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</si>
  <si>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</si>
  <si>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</si>
  <si>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</si>
  <si>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</si>
  <si>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</si>
  <si>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</si>
  <si>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</si>
  <si>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</si>
  <si>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</si>
  <si>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</si>
  <si>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</si>
  <si>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</si>
  <si>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</si>
  <si>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</si>
  <si>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</si>
  <si>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</si>
  <si>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</si>
  <si>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</si>
  <si>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</si>
  <si>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</si>
  <si>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</si>
  <si>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</si>
  <si>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</si>
  <si>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</si>
  <si>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</si>
  <si>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</si>
  <si>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</si>
  <si>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</si>
  <si>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</si>
  <si>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</si>
  <si>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</si>
  <si>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</si>
  <si>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</si>
  <si>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</si>
  <si>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</si>
  <si>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</si>
  <si>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</si>
  <si>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</si>
  <si>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</si>
  <si>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</si>
  <si>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</si>
  <si>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</si>
  <si>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</si>
  <si>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</si>
  <si>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</si>
  <si>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</si>
  <si>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</si>
  <si>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</si>
  <si>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</si>
  <si>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</si>
  <si>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</si>
  <si>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</si>
  <si>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</si>
  <si>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</si>
  <si>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</si>
  <si>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</si>
  <si>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</si>
  <si>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</si>
  <si>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</si>
  <si>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</si>
  <si>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</si>
  <si>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</si>
  <si>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</si>
  <si>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</si>
  <si>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</si>
  <si>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</si>
  <si>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</si>
  <si>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</si>
  <si>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</si>
  <si>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</si>
  <si>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</si>
  <si>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</si>
  <si>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</si>
  <si>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</si>
  <si>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</si>
  <si>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</si>
  <si>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</si>
  <si>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</si>
  <si>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</si>
  <si>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</si>
  <si>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</si>
  <si>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</si>
  <si>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</si>
  <si>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</si>
  <si>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</si>
  <si>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</si>
  <si>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</si>
  <si>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</si>
  <si>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</si>
  <si>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</si>
  <si>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</si>
  <si>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</si>
  <si>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</si>
  <si>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</si>
  <si>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</si>
  <si>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</si>
  <si>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</si>
  <si>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</si>
  <si>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</si>
  <si>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</si>
  <si>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</si>
  <si>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</si>
  <si>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</si>
  <si>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</si>
  <si>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</si>
  <si>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</si>
  <si>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</si>
  <si>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</si>
  <si>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</si>
  <si>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</si>
  <si>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</si>
  <si>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</si>
  <si>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</si>
  <si>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</si>
  <si>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</si>
  <si>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</si>
  <si>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</si>
  <si>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</si>
  <si>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</si>
  <si>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</si>
  <si>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</si>
  <si>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</si>
  <si>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</si>
  <si>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</si>
  <si>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</si>
  <si>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</si>
  <si>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</si>
  <si>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</si>
  <si>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</si>
  <si>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</si>
  <si>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</si>
  <si>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</si>
  <si>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</si>
  <si>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</si>
  <si>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</si>
  <si>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</si>
  <si>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</si>
  <si>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</si>
  <si>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</si>
  <si>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</si>
  <si>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</si>
  <si>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</si>
  <si>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</si>
  <si>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</si>
  <si>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</si>
  <si>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</si>
  <si>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</si>
  <si>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</si>
  <si>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</si>
  <si>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</si>
  <si>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</si>
  <si>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</si>
  <si>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</si>
  <si>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</si>
  <si>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</si>
  <si>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</si>
  <si>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</si>
  <si>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</si>
  <si>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</si>
  <si>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</si>
  <si>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</si>
  <si>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</si>
  <si>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</si>
  <si>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</si>
  <si>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</si>
  <si>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</si>
  <si>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</si>
  <si>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</si>
  <si>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</si>
  <si>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</si>
  <si>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</si>
  <si>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</si>
  <si>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</si>
  <si>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</si>
  <si>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</si>
  <si>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</si>
  <si>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</si>
  <si>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</si>
  <si>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</si>
  <si>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</si>
  <si>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</si>
  <si>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</si>
  <si>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</si>
  <si>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</si>
  <si>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</si>
  <si>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</si>
  <si>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</si>
  <si>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</si>
  <si>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</si>
  <si>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</si>
  <si>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</si>
  <si>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</si>
  <si>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</si>
  <si>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</si>
  <si>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</si>
  <si>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</si>
  <si>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</si>
  <si>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</si>
  <si>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</si>
  <si>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</si>
  <si>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</si>
  <si>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</si>
  <si>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</si>
  <si>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</si>
  <si>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</si>
  <si>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</si>
  <si>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</si>
  <si>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</si>
  <si>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</si>
  <si>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</si>
  <si>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</si>
  <si>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</si>
  <si>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</si>
  <si>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</si>
  <si>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</si>
  <si>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</si>
  <si>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</si>
  <si>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</si>
  <si>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</si>
  <si>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</si>
  <si>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</si>
  <si>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</si>
  <si>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</si>
  <si>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</si>
  <si>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</si>
  <si>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</si>
  <si>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</si>
  <si>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</si>
  <si>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</si>
  <si>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</si>
  <si>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</si>
  <si>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</si>
  <si>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</si>
  <si>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</si>
  <si>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</si>
  <si>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</si>
  <si>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</si>
  <si>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</si>
  <si>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</si>
  <si>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</si>
  <si>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</si>
  <si>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</si>
  <si>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</si>
  <si>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</si>
  <si>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</si>
  <si>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</si>
  <si>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</si>
  <si>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</si>
  <si>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</si>
  <si>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</si>
  <si>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</si>
  <si>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</si>
  <si>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</si>
  <si>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</si>
  <si>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</si>
  <si>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</si>
  <si>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</si>
  <si>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</si>
  <si>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</si>
  <si>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</si>
  <si>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</si>
  <si>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</si>
  <si>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</si>
  <si>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</si>
  <si>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</si>
  <si>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</si>
  <si>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</si>
  <si>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</si>
  <si>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</si>
  <si>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</si>
  <si>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</si>
  <si>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</si>
  <si>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</si>
  <si>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</si>
  <si>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</si>
  <si>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</si>
  <si>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</si>
  <si>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</si>
  <si>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</si>
  <si>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</si>
  <si>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</si>
  <si>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</si>
  <si>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</si>
  <si>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</si>
  <si>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</si>
  <si>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</si>
  <si>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</si>
  <si>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</si>
  <si>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</si>
  <si>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</si>
  <si>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</si>
  <si>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</si>
  <si>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</si>
  <si>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</si>
  <si>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</si>
  <si>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</si>
  <si>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</si>
  <si>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</si>
  <si>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</si>
  <si>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</si>
  <si>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</si>
  <si>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</si>
  <si>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</si>
  <si>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</si>
  <si>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</si>
  <si>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</si>
  <si>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</si>
  <si>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</si>
  <si>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</si>
  <si>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</si>
  <si>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</si>
  <si>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</si>
  <si>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</si>
  <si>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</si>
  <si>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</si>
  <si>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</si>
  <si>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</si>
  <si>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</si>
  <si>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</si>
  <si>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</si>
  <si>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</si>
  <si>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</si>
  <si>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</si>
  <si>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</si>
  <si>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</si>
  <si>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</si>
  <si>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</si>
  <si>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</si>
  <si>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</si>
  <si>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</si>
  <si>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</si>
  <si>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</si>
  <si>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</si>
  <si>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</si>
  <si>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</si>
  <si>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</si>
  <si>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</si>
  <si>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</si>
  <si>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</si>
  <si>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</si>
  <si>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</si>
  <si>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</si>
  <si>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</si>
  <si>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</si>
  <si>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</si>
  <si>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</si>
  <si>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</si>
  <si>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</si>
  <si>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</si>
  <si>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</si>
  <si>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</si>
  <si>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</si>
  <si>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</si>
  <si>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</si>
  <si>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</si>
  <si>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</si>
  <si>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</si>
  <si>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</si>
  <si>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</si>
  <si>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</si>
  <si>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</si>
  <si>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</si>
  <si>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</si>
  <si>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</si>
  <si>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</si>
  <si>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</si>
  <si>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</si>
  <si>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</si>
  <si>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</si>
  <si>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</si>
  <si>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</si>
  <si>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</si>
  <si>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</si>
  <si>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</si>
  <si>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</si>
  <si>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</si>
  <si>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</si>
  <si>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</si>
  <si>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</si>
  <si>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</si>
  <si>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</si>
  <si>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</si>
  <si>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</si>
  <si>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</si>
  <si>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</si>
  <si>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</si>
  <si>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</si>
  <si>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</si>
  <si>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</si>
  <si>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</si>
  <si>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</si>
  <si>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</si>
  <si>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</si>
  <si>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</si>
  <si>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</si>
  <si>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</si>
  <si>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</si>
  <si>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</si>
  <si>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</si>
  <si>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</si>
  <si>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</si>
  <si>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</si>
  <si>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</si>
  <si>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</si>
  <si>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</si>
  <si>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</si>
  <si>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</si>
  <si>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</si>
  <si>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</si>
  <si>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</si>
  <si>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</si>
  <si>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</si>
  <si>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</si>
  <si>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</si>
  <si>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</si>
  <si>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</si>
  <si>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</si>
  <si>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</si>
  <si>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</si>
  <si>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</si>
  <si>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</si>
  <si>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</si>
  <si>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</si>
  <si>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</si>
  <si>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</si>
  <si>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</si>
  <si>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</si>
  <si>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</si>
  <si>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</si>
  <si>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</si>
  <si>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</si>
  <si>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</si>
  <si>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</si>
  <si>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</si>
  <si>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</si>
  <si>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</si>
  <si>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</si>
  <si>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</si>
  <si>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</si>
  <si>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</si>
  <si>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</si>
  <si>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</si>
  <si>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</si>
  <si>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</si>
  <si>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</si>
  <si>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</si>
  <si>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</si>
  <si>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</si>
  <si>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</si>
  <si>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</si>
  <si>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</si>
  <si>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</si>
  <si>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</si>
  <si>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</si>
  <si>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</si>
  <si>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</si>
  <si>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</si>
  <si>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</si>
  <si>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</si>
  <si>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</si>
  <si>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</si>
  <si>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</si>
  <si>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</si>
  <si>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</si>
  <si>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</si>
  <si>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</si>
  <si>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</si>
  <si>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</si>
  <si>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</si>
  <si>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</si>
  <si>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</si>
  <si>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</si>
  <si>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</si>
  <si>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</si>
  <si>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</si>
  <si>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</si>
  <si>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</si>
  <si>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</si>
  <si>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</si>
  <si>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</si>
  <si>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</si>
  <si>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</si>
  <si>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</si>
  <si>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</si>
  <si>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</si>
  <si>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</si>
  <si>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</si>
  <si>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</si>
  <si>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</si>
  <si>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</si>
  <si>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</si>
  <si>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</si>
  <si>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</si>
  <si>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</si>
  <si>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</si>
  <si>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</si>
  <si>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</si>
  <si>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</si>
  <si>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</si>
  <si>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</si>
  <si>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</si>
  <si>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</si>
  <si>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</si>
  <si>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</si>
  <si>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</si>
  <si>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</si>
  <si>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</si>
  <si>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</si>
  <si>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</si>
  <si>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</si>
  <si>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</si>
  <si>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</si>
  <si>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</si>
  <si>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</si>
  <si>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</si>
  <si>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</si>
  <si>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</si>
  <si>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</si>
  <si>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</si>
  <si>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</si>
  <si>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</si>
  <si>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</si>
  <si>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</si>
  <si>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</si>
  <si>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</si>
  <si>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</si>
  <si>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</si>
  <si>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</si>
  <si>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</si>
  <si>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</si>
  <si>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</si>
  <si>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</si>
  <si>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</si>
  <si>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</si>
  <si>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</si>
  <si>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</si>
  <si>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</si>
  <si>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</si>
  <si>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</si>
  <si>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</si>
  <si>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</si>
  <si>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</si>
  <si>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</si>
  <si>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</si>
  <si>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</si>
  <si>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</si>
  <si>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</si>
  <si>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</si>
  <si>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</si>
  <si>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</si>
  <si>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</si>
  <si>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</si>
  <si>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</si>
  <si>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</si>
  <si>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</si>
  <si>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</si>
  <si>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</si>
  <si>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</si>
  <si>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</si>
  <si>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</si>
  <si>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</si>
  <si>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</si>
  <si>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</si>
  <si>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</si>
  <si>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</si>
  <si>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</si>
  <si>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</si>
  <si>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</si>
  <si>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</si>
  <si>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</si>
  <si>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</si>
  <si>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</si>
  <si>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</si>
  <si>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</si>
  <si>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</si>
  <si>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</si>
  <si>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</si>
  <si>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</si>
  <si>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</si>
  <si>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</si>
  <si>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</si>
  <si>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</si>
  <si>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</si>
  <si>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</si>
  <si>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</si>
  <si>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</si>
  <si>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</si>
  <si>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</si>
  <si>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</si>
  <si>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</si>
  <si>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</si>
  <si>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</si>
  <si>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</si>
  <si>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</si>
  <si>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</si>
  <si>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</si>
  <si>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</si>
  <si>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</si>
  <si>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</si>
  <si>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</si>
  <si>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</si>
  <si>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</si>
  <si>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</si>
  <si>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</si>
  <si>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</si>
  <si>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</si>
  <si>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</si>
  <si>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</si>
  <si>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</si>
  <si>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</si>
  <si>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</si>
  <si>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</si>
  <si>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</si>
  <si>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</si>
  <si>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</si>
  <si>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</si>
  <si>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</si>
  <si>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</si>
  <si>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</si>
  <si>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</si>
  <si>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</si>
  <si>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</si>
  <si>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</si>
  <si>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</si>
  <si>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</si>
  <si>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</si>
  <si>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</si>
  <si>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</si>
  <si>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</si>
  <si>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</si>
  <si>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</si>
  <si>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</si>
  <si>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</si>
  <si>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</si>
  <si>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</si>
  <si>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</si>
  <si>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</si>
  <si>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</si>
  <si>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</si>
  <si>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</si>
  <si>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</si>
  <si>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</si>
  <si>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</si>
  <si>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</si>
  <si>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</si>
  <si>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</si>
  <si>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</si>
  <si>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</si>
  <si>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</si>
  <si>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</si>
  <si>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</si>
  <si>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</si>
  <si>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</si>
  <si>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</si>
  <si>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</si>
  <si>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</si>
  <si>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</si>
  <si>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</si>
  <si>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</si>
  <si>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</si>
  <si>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</si>
  <si>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</si>
  <si>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</si>
  <si>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</si>
  <si>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</si>
  <si>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</si>
  <si>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</si>
  <si>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</si>
  <si>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</si>
  <si>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</si>
  <si>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</si>
  <si>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</si>
  <si>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</si>
  <si>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</si>
  <si>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</si>
  <si>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</si>
  <si>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</si>
  <si>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</si>
  <si>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</si>
  <si>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</si>
  <si>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</si>
  <si>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</si>
  <si>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</si>
  <si>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</si>
  <si>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</si>
  <si>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</si>
  <si>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</si>
  <si>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</si>
  <si>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</si>
  <si>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</si>
  <si>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</si>
  <si>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</si>
  <si>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</si>
  <si>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</si>
  <si>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</si>
  <si>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</si>
  <si>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</si>
  <si>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</si>
  <si>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</si>
  <si>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</si>
  <si>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</si>
  <si>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</si>
  <si>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</si>
  <si>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</si>
  <si>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</si>
  <si>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</si>
  <si>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</si>
  <si>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</si>
  <si>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</si>
  <si>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</si>
  <si>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</si>
  <si>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</si>
  <si>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</si>
  <si>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</si>
  <si>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</si>
  <si>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</si>
  <si>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</si>
  <si>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</si>
  <si>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</si>
  <si>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</si>
  <si>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</si>
  <si>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</si>
  <si>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</si>
  <si>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</si>
  <si>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</si>
  <si>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</si>
  <si>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</si>
  <si>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</si>
  <si>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</si>
  <si>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</si>
  <si>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</si>
  <si>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</si>
  <si>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</si>
  <si>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</si>
  <si>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</si>
  <si>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</si>
  <si>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</si>
  <si>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</si>
  <si>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</si>
  <si>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</si>
  <si>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</si>
  <si>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</si>
  <si>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</si>
  <si>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</si>
  <si>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</si>
  <si>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</si>
  <si>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</si>
  <si>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</si>
  <si>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</si>
  <si>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</si>
  <si>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</si>
  <si>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</si>
  <si>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</si>
  <si>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</si>
  <si>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</si>
  <si>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</si>
  <si>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</si>
  <si>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</si>
  <si>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</si>
  <si>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</si>
  <si>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</si>
  <si>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</si>
  <si>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</si>
  <si>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</si>
  <si>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</si>
  <si>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</si>
  <si>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</si>
  <si>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</si>
  <si>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</si>
  <si>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</si>
  <si>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</si>
  <si>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</si>
  <si>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</si>
  <si>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</si>
  <si>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</si>
  <si>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</si>
  <si>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</si>
  <si>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</si>
  <si>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</si>
  <si>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</si>
  <si>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</si>
  <si>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</si>
  <si>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</si>
  <si>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</si>
  <si>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</si>
  <si>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</si>
  <si>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</si>
  <si>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</si>
  <si>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</si>
  <si>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</si>
  <si>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</si>
  <si>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</si>
  <si>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</si>
  <si>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</si>
  <si>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</si>
  <si>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</si>
  <si>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</si>
  <si>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</si>
  <si>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</si>
  <si>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</si>
  <si>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</si>
  <si>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</si>
  <si>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</si>
  <si>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</si>
  <si>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</si>
  <si>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</si>
  <si>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</si>
  <si>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</si>
  <si>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</si>
  <si>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</si>
  <si>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</si>
  <si>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</si>
  <si>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</si>
  <si>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</si>
  <si>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</si>
  <si>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</si>
  <si>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</si>
  <si>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</si>
  <si>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</si>
  <si>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</si>
  <si>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</si>
  <si>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</si>
  <si>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</si>
  <si>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</si>
  <si>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</si>
  <si>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</si>
  <si>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</si>
  <si>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</si>
  <si>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</si>
  <si>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</si>
  <si>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</si>
  <si>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</si>
  <si>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</si>
  <si>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</si>
  <si>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</si>
  <si>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</si>
  <si>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</si>
  <si>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</si>
  <si>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</si>
  <si>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</si>
  <si>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</si>
  <si>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</si>
  <si>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</si>
  <si>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</si>
  <si>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</si>
  <si>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</si>
  <si>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</si>
  <si>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</si>
  <si>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</si>
  <si>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</si>
  <si>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</si>
  <si>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</si>
  <si>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</si>
  <si>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</si>
  <si>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</si>
  <si>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</si>
  <si>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</si>
  <si>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</si>
  <si>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</si>
  <si>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</si>
  <si>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</si>
  <si>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</si>
  <si>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</si>
  <si>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</si>
  <si>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</si>
  <si>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</si>
  <si>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</si>
  <si>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</si>
  <si>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</si>
  <si>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</si>
  <si>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</si>
  <si>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</si>
  <si>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</si>
  <si>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</si>
  <si>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</si>
  <si>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</si>
  <si>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</si>
  <si>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</si>
  <si>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</si>
  <si>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</si>
  <si>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</si>
  <si>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</si>
  <si>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</si>
  <si>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</si>
  <si>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</si>
  <si>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</si>
  <si>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</si>
  <si>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</si>
  <si>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</si>
  <si>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</si>
  <si>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</si>
  <si>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</si>
  <si>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</si>
  <si>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</si>
  <si>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</si>
  <si>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</si>
  <si>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</si>
  <si>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</si>
  <si>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</si>
  <si>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</si>
  <si>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</si>
  <si>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</si>
  <si>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</si>
  <si>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</si>
  <si>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</si>
  <si>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</si>
  <si>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</si>
  <si>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</si>
  <si>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</si>
  <si>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</si>
  <si>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</si>
  <si>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</si>
  <si>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</si>
  <si>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</si>
  <si>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</si>
  <si>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</si>
  <si>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</si>
  <si>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</si>
  <si>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</si>
  <si>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</si>
  <si>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</si>
  <si>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</si>
  <si>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</si>
  <si>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</si>
  <si>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</si>
  <si>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</si>
  <si>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</si>
  <si>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</si>
  <si>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</si>
  <si>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</si>
  <si>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</si>
  <si>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</si>
  <si>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</si>
  <si>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</si>
  <si>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</si>
  <si>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</si>
  <si>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</si>
  <si>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</si>
  <si>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</si>
  <si>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</si>
  <si>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</si>
  <si>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</si>
  <si>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</si>
  <si>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</si>
  <si>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</si>
  <si>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</si>
  <si>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</si>
  <si>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</si>
  <si>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</si>
  <si>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</si>
  <si>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</si>
  <si>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</si>
  <si>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</si>
  <si>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</si>
  <si>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</si>
  <si>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</si>
  <si>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</si>
  <si>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</si>
  <si>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</si>
  <si>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</si>
  <si>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</si>
  <si>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</si>
  <si>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</si>
  <si>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</si>
  <si>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</si>
  <si>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</si>
  <si>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</si>
  <si>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</si>
  <si>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</si>
  <si>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</si>
  <si>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</si>
  <si>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</si>
  <si>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</si>
  <si>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</si>
  <si>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</si>
  <si>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</si>
  <si>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</si>
  <si>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</si>
  <si>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</si>
  <si>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</si>
  <si>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</si>
  <si>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</si>
  <si>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</si>
  <si>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</si>
  <si>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</si>
  <si>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</si>
  <si>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</si>
  <si>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</si>
  <si>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</si>
  <si>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</si>
  <si>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</si>
  <si>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</si>
  <si>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</si>
  <si>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</si>
  <si>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</si>
  <si>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</si>
  <si>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</si>
  <si>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</si>
  <si>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</si>
  <si>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</si>
  <si>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</si>
  <si>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</si>
  <si>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</si>
  <si>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</si>
  <si>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</si>
  <si>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</si>
  <si>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</si>
  <si>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</si>
  <si>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</si>
  <si>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</si>
  <si>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</si>
  <si>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</si>
  <si>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</si>
  <si>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</si>
  <si>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</si>
  <si>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</si>
  <si>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</si>
  <si>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</si>
  <si>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</si>
  <si>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</si>
  <si>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</si>
  <si>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</si>
  <si>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</si>
  <si>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</si>
  <si>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</si>
  <si>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</si>
  <si>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</si>
  <si>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</si>
  <si>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</si>
  <si>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</si>
  <si>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</si>
  <si>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</si>
  <si>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</si>
  <si>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</si>
  <si>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</si>
  <si>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</si>
  <si>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</si>
  <si>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</si>
  <si>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</si>
  <si>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</si>
  <si>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</si>
  <si>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</si>
  <si>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</si>
  <si>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</si>
  <si>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</si>
  <si>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</si>
  <si>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</si>
  <si>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</si>
  <si>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</si>
  <si>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</si>
  <si>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</si>
  <si>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</si>
  <si>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</si>
  <si>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</si>
  <si>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</si>
  <si>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</si>
  <si>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</si>
  <si>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</si>
  <si>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</si>
  <si>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</si>
  <si>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</si>
  <si>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</si>
  <si>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</si>
  <si>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</si>
  <si>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</si>
  <si>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</si>
  <si>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</si>
  <si>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</si>
  <si>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</si>
  <si>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</si>
  <si>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</si>
  <si>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</si>
  <si>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</si>
  <si>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</si>
  <si>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</si>
  <si>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</si>
  <si>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</si>
  <si>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</si>
  <si>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</si>
  <si>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</si>
  <si>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</si>
  <si>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</si>
  <si>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</si>
  <si>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</si>
  <si>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</si>
  <si>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</si>
  <si>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</si>
  <si>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</si>
  <si>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</si>
  <si>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</si>
  <si>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</si>
  <si>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</si>
  <si>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</si>
  <si>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</si>
  <si>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</si>
  <si>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</si>
  <si>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</si>
  <si>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</si>
  <si>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</si>
  <si>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</si>
  <si>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</si>
  <si>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</si>
  <si>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</si>
  <si>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</si>
  <si>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</si>
  <si>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</si>
  <si>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</si>
  <si>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</si>
  <si>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</si>
  <si>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</si>
  <si>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</si>
  <si>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</si>
  <si>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</si>
  <si>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</si>
  <si>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</si>
  <si>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</si>
  <si>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</si>
  <si>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</si>
  <si>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</si>
  <si>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</si>
  <si>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</si>
  <si>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</si>
  <si>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</si>
  <si>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</si>
  <si>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</si>
  <si>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</si>
  <si>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</si>
  <si>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</si>
  <si>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</si>
  <si>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</si>
  <si>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</si>
  <si>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</si>
  <si>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</si>
  <si>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</si>
  <si>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</si>
  <si>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</si>
  <si>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</si>
  <si>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</si>
  <si>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</si>
  <si>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</si>
  <si>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</si>
  <si>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</si>
  <si>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</si>
  <si>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</si>
  <si>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</si>
  <si>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</si>
  <si>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</si>
  <si>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</si>
  <si>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</si>
  <si>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</si>
  <si>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</si>
  <si>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</si>
  <si>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</si>
  <si>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</si>
  <si>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</si>
  <si>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</si>
  <si>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</si>
  <si>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</si>
  <si>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</si>
  <si>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</si>
  <si>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</si>
  <si>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</si>
  <si>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</si>
  <si>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</si>
  <si>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</si>
  <si>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</si>
  <si>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</si>
  <si>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</si>
  <si>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</si>
  <si>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</si>
  <si>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</si>
  <si>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</si>
  <si>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</si>
  <si>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</si>
  <si>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</si>
  <si>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</si>
  <si>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</si>
  <si>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</si>
  <si>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</si>
  <si>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</si>
  <si>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</si>
  <si>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</si>
  <si>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</si>
  <si>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</si>
  <si>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</si>
  <si>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</si>
  <si>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</si>
  <si>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</si>
  <si>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</si>
  <si>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</si>
  <si>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</si>
  <si>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</si>
  <si>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</si>
  <si>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</si>
  <si>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</si>
  <si>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</si>
  <si>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</si>
  <si>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</si>
  <si>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</si>
  <si>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</si>
  <si>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</si>
  <si>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</si>
  <si>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</si>
  <si>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</si>
  <si>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</si>
  <si>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</si>
  <si>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</si>
  <si>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</si>
  <si>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</si>
  <si>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</si>
  <si>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</si>
  <si>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</si>
  <si>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</si>
  <si>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</si>
  <si>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</si>
  <si>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</si>
  <si>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</si>
  <si>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</si>
  <si>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</si>
  <si>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</si>
  <si>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</si>
  <si>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</si>
  <si>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</si>
  <si>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</si>
  <si>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</si>
  <si>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</si>
  <si>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</si>
  <si>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</si>
  <si>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</si>
  <si>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</si>
  <si>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</si>
  <si>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</si>
  <si>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</si>
  <si>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</si>
  <si>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</si>
  <si>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</si>
  <si>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</si>
  <si>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</si>
  <si>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</si>
  <si>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</si>
  <si>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</si>
  <si>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</si>
  <si>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</si>
  <si>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</si>
  <si>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</si>
  <si>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</si>
  <si>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</si>
  <si>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</si>
  <si>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</si>
  <si>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</si>
  <si>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</si>
  <si>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</si>
  <si>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</si>
  <si>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</si>
  <si>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</si>
  <si>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</si>
  <si>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</si>
  <si>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</si>
  <si>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</si>
  <si>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</si>
  <si>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</si>
  <si>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</si>
  <si>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</si>
  <si>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</si>
  <si>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</si>
  <si>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</si>
  <si>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</si>
  <si>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</si>
  <si>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</si>
  <si>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</si>
  <si>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</si>
  <si>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</si>
  <si>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</si>
  <si>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</si>
  <si>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</si>
  <si>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</si>
  <si>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</si>
  <si>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</si>
  <si>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</si>
  <si>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</si>
  <si>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</si>
  <si>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</si>
  <si>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</si>
  <si>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</si>
  <si>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</si>
  <si>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</si>
  <si>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</si>
  <si>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</si>
  <si>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</si>
  <si>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</si>
  <si>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</si>
  <si>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</si>
  <si>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</si>
  <si>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</si>
  <si>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</si>
  <si>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</si>
  <si>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</si>
  <si>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</si>
  <si>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</si>
  <si>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</si>
  <si>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</si>
  <si>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</si>
  <si>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</si>
  <si>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</si>
  <si>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</si>
  <si>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</si>
  <si>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</si>
  <si>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</si>
  <si>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</si>
  <si>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</si>
  <si>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</si>
  <si>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</si>
  <si>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</si>
  <si>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</si>
  <si>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</si>
  <si>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</si>
  <si>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</si>
  <si>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</si>
  <si>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</si>
  <si>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</si>
  <si>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</si>
  <si>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</si>
  <si>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</si>
  <si>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</si>
  <si>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</si>
  <si>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</si>
  <si>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</si>
  <si>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</si>
  <si>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</si>
  <si>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</si>
  <si>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</si>
  <si>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</si>
  <si>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</si>
  <si>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</si>
  <si>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</si>
  <si>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</si>
  <si>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</si>
  <si>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</si>
  <si>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</si>
  <si>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</si>
  <si>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</si>
  <si>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</si>
  <si>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</si>
  <si>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</si>
  <si>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</si>
  <si>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</si>
  <si>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</si>
  <si>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</si>
  <si>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</si>
  <si>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</si>
  <si>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</si>
  <si>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</si>
  <si>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</si>
  <si>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</si>
  <si>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</si>
  <si>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</si>
  <si>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</si>
  <si>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</si>
  <si>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</si>
  <si>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</si>
  <si>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</si>
  <si>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</si>
  <si>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</si>
  <si>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</si>
  <si>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</si>
  <si>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</si>
  <si>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</si>
  <si>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</si>
  <si>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</si>
  <si>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</si>
  <si>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</si>
  <si>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</si>
  <si>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</si>
  <si>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</si>
  <si>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</si>
  <si>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</si>
  <si>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</si>
  <si>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</si>
  <si>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</si>
  <si>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</si>
  <si>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</si>
  <si>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</si>
  <si>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</si>
  <si>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</si>
  <si>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</si>
  <si>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</si>
  <si>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</si>
  <si>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</si>
  <si>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</si>
  <si>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</si>
  <si>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</si>
  <si>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</si>
  <si>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</si>
  <si>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</si>
  <si>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</si>
  <si>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</si>
  <si>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</si>
  <si>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</si>
  <si>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</si>
  <si>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</si>
  <si>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</si>
  <si>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</si>
  <si>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</si>
  <si>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</si>
  <si>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</si>
  <si>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</si>
  <si>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</si>
  <si>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</si>
  <si>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</si>
  <si>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</si>
  <si>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</si>
  <si>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</si>
  <si>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</si>
  <si>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</si>
  <si>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</si>
  <si>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</si>
  <si>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</si>
  <si>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</si>
  <si>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</si>
  <si>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</si>
  <si>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</si>
  <si>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</si>
  <si>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</si>
  <si>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</si>
  <si>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</si>
  <si>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</si>
  <si>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</si>
  <si>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</si>
  <si>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</si>
  <si>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</si>
  <si>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</si>
  <si>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</si>
  <si>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</si>
  <si>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</si>
  <si>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</si>
  <si>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</si>
  <si>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</si>
  <si>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</si>
  <si>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</si>
  <si>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</si>
  <si>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</si>
  <si>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</si>
  <si>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</si>
  <si>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</si>
  <si>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</si>
  <si>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</si>
  <si>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</si>
  <si>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</si>
  <si>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</si>
  <si>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</si>
  <si>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</si>
  <si>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</si>
  <si>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</si>
  <si>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</si>
  <si>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</si>
  <si>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</si>
  <si>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</si>
  <si>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</si>
  <si>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</si>
  <si>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</si>
  <si>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</si>
  <si>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</si>
  <si>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</si>
  <si>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</si>
  <si>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</si>
  <si>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</si>
  <si>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</si>
  <si>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</si>
  <si>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</si>
  <si>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</si>
  <si>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</si>
  <si>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</si>
  <si>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</si>
  <si>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</si>
  <si>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</si>
  <si>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</si>
  <si>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</si>
  <si>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</si>
  <si>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</si>
  <si>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</si>
  <si>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</si>
  <si>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</si>
  <si>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</si>
  <si>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</si>
  <si>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</si>
  <si>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</si>
  <si>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</si>
  <si>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</si>
  <si>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</si>
  <si>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</si>
  <si>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</si>
  <si>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</si>
  <si>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</si>
  <si>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</si>
  <si>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</si>
  <si>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</si>
  <si>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</si>
  <si>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</si>
  <si>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</si>
  <si>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</si>
  <si>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</si>
  <si>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</si>
  <si>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</si>
  <si>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</si>
  <si>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</si>
  <si>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</si>
  <si>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</si>
  <si>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</si>
  <si>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</si>
  <si>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</si>
  <si>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</si>
  <si>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</si>
  <si>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</si>
  <si>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</si>
  <si>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</si>
  <si>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</si>
  <si>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</si>
  <si>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</si>
  <si>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</si>
  <si>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</si>
  <si>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</si>
  <si>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</si>
  <si>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</si>
  <si>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</si>
  <si>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</si>
  <si>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</si>
  <si>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</si>
  <si>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</si>
  <si>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</si>
  <si>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</si>
  <si>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</si>
  <si>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</si>
  <si>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</si>
  <si>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</si>
  <si>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</si>
  <si>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</si>
  <si>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</si>
  <si>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</si>
  <si>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</si>
  <si>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</si>
  <si>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</si>
  <si>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</si>
  <si>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</si>
  <si>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</si>
  <si>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</si>
  <si>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</si>
  <si>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</si>
  <si>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</si>
  <si>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</si>
  <si>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</si>
  <si>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</si>
  <si>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</si>
  <si>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</si>
  <si>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</si>
  <si>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</si>
  <si>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</si>
  <si>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</si>
  <si>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</si>
  <si>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</si>
  <si>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</si>
  <si>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</si>
  <si>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</si>
  <si>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</si>
  <si>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</si>
  <si>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</si>
  <si>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</si>
  <si>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</si>
  <si>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</si>
  <si>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</si>
  <si>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</si>
  <si>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</si>
  <si>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</si>
  <si>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</si>
  <si>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</si>
  <si>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</si>
  <si>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</si>
  <si>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</si>
  <si>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</si>
  <si>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</si>
  <si>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</si>
  <si>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</si>
  <si>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</si>
  <si>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</si>
  <si>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</si>
  <si>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</si>
  <si>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</si>
  <si>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</si>
  <si>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</si>
  <si>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</si>
  <si>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</si>
  <si>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</si>
  <si>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</si>
  <si>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</si>
  <si>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</si>
  <si>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</si>
  <si>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</si>
  <si>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</si>
  <si>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</si>
  <si>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</si>
  <si>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</si>
  <si>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</si>
  <si>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</si>
  <si>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</si>
  <si>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</si>
  <si>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</si>
  <si>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</si>
  <si>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</si>
  <si>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</si>
  <si>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</si>
  <si>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</si>
  <si>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</si>
  <si>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</si>
  <si>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</si>
  <si>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</si>
  <si>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</si>
  <si>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</si>
  <si>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</si>
  <si>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</si>
  <si>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</si>
  <si>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</si>
  <si>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</si>
  <si>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</si>
  <si>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</si>
  <si>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</si>
  <si>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</si>
  <si>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</si>
  <si>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</si>
  <si>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</si>
  <si>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</si>
  <si>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</si>
  <si>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</si>
  <si>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</si>
  <si>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</si>
  <si>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</si>
  <si>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</si>
  <si>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</si>
  <si>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</si>
  <si>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</si>
  <si>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</si>
  <si>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</si>
  <si>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</si>
  <si>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</si>
  <si>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</si>
  <si>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</si>
  <si>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</si>
  <si>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</si>
  <si>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</si>
  <si>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</si>
  <si>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</si>
  <si>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</si>
  <si>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</si>
  <si>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</si>
  <si>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</si>
  <si>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</si>
  <si>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</si>
  <si>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</si>
  <si>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</si>
  <si>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</si>
  <si>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</si>
  <si>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</si>
  <si>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</si>
  <si>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</si>
  <si>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</si>
  <si>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</si>
  <si>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</si>
  <si>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</si>
  <si>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</si>
  <si>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</si>
  <si>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</si>
  <si>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</si>
  <si>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</si>
  <si>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</si>
  <si>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</si>
  <si>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</si>
  <si>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</si>
  <si>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</si>
  <si>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</si>
  <si>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</si>
  <si>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</si>
  <si>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</si>
  <si>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</si>
  <si>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</si>
  <si>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</si>
  <si>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</si>
  <si>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</si>
  <si>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</si>
  <si>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</si>
  <si>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</si>
  <si>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</si>
  <si>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</si>
  <si>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</si>
  <si>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</si>
  <si>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</si>
  <si>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</si>
  <si>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</si>
  <si>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</si>
  <si>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</si>
  <si>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</si>
  <si>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</si>
  <si>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</si>
  <si>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</si>
  <si>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</si>
  <si>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</si>
  <si>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</si>
  <si>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</si>
  <si>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</si>
  <si>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</si>
  <si>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</si>
  <si>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</si>
  <si>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</si>
  <si>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</si>
  <si>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</si>
  <si>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</si>
  <si>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</si>
  <si>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</si>
  <si>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</si>
  <si>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</si>
  <si>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</si>
  <si>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</si>
  <si>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</si>
  <si>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</si>
  <si>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</si>
  <si>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</si>
  <si>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</si>
  <si>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</si>
  <si>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</si>
  <si>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</si>
  <si>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</si>
  <si>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</si>
  <si>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</si>
  <si>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</si>
  <si>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</si>
  <si>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</si>
  <si>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</si>
  <si>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</si>
  <si>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</si>
  <si>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</si>
  <si>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</si>
  <si>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</si>
  <si>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</si>
  <si>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</si>
  <si>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</si>
  <si>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</si>
  <si>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</si>
  <si>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</si>
  <si>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</si>
  <si>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</si>
  <si>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</si>
  <si>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</si>
  <si>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</si>
  <si>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</si>
  <si>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</si>
  <si>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</si>
  <si>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</si>
  <si>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</si>
  <si>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</si>
  <si>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</si>
  <si>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</si>
  <si>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</si>
  <si>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</si>
  <si>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</si>
  <si>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</si>
  <si>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</si>
  <si>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</si>
  <si>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</si>
  <si>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</si>
  <si>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</si>
  <si>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</si>
  <si>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</si>
  <si>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</si>
  <si>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</si>
  <si>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</si>
  <si>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</si>
  <si>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</si>
  <si>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</si>
  <si>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</si>
  <si>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</si>
  <si>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</si>
  <si>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</si>
  <si>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</si>
  <si>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</si>
  <si>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</si>
  <si>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</si>
  <si>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</si>
  <si>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</si>
  <si>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</si>
  <si>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</si>
  <si>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</si>
  <si>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</si>
  <si>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</si>
  <si>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</si>
  <si>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</si>
  <si>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</si>
  <si>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</si>
  <si>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</si>
  <si>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</si>
  <si>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</si>
  <si>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</si>
  <si>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</si>
  <si>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</si>
  <si>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</si>
  <si>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</si>
  <si>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</si>
  <si>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</si>
  <si>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</si>
  <si>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</si>
  <si>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</si>
  <si>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</si>
  <si>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</si>
  <si>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</si>
  <si>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</si>
  <si>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</si>
  <si>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</si>
  <si>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</si>
  <si>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</si>
  <si>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</si>
  <si>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</si>
  <si>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</si>
  <si>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</si>
  <si>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</si>
  <si>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</si>
  <si>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</si>
  <si>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</si>
  <si>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</si>
  <si>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</si>
  <si>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</si>
  <si>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</si>
  <si>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</si>
  <si>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</si>
  <si>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</si>
  <si>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</si>
  <si>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</si>
  <si>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</si>
  <si>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</si>
  <si>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</si>
  <si>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</si>
  <si>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</si>
  <si>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</si>
  <si>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</si>
  <si>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</si>
  <si>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</si>
  <si>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</si>
  <si>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</si>
  <si>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</si>
  <si>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</si>
  <si>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</si>
  <si>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</si>
  <si>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</si>
  <si>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</si>
  <si>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</si>
  <si>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</si>
  <si>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</si>
  <si>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</si>
  <si>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</si>
  <si>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</si>
  <si>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</si>
  <si>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</si>
  <si>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</si>
  <si>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</si>
  <si>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</si>
  <si>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</si>
  <si>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</si>
  <si>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</si>
  <si>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</si>
  <si>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</si>
  <si>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</si>
  <si>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</si>
  <si>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</si>
  <si>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</si>
  <si>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</si>
  <si>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</si>
  <si>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</si>
  <si>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</si>
  <si>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</si>
  <si>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</si>
  <si>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</si>
  <si>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</si>
  <si>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</si>
  <si>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</si>
  <si>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</si>
  <si>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</si>
  <si>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</si>
  <si>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</si>
  <si>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</si>
  <si>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</si>
  <si>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</si>
  <si>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</si>
  <si>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</si>
  <si>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</si>
  <si>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</si>
  <si>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</si>
  <si>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</si>
  <si>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</si>
  <si>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</si>
  <si>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</si>
  <si>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</si>
  <si>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</si>
  <si>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</si>
  <si>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</si>
  <si>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</si>
  <si>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</si>
  <si>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</si>
  <si>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</si>
  <si>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</si>
  <si>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</si>
  <si>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</si>
  <si>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</si>
  <si>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</si>
  <si>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</si>
  <si>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</si>
  <si>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</si>
  <si>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</si>
  <si>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</si>
  <si>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</si>
  <si>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</si>
  <si>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</si>
  <si>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</si>
  <si>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</si>
  <si>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</si>
  <si>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</si>
  <si>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</si>
  <si>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</si>
  <si>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</si>
  <si>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</si>
  <si>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</si>
  <si>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</si>
  <si>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</si>
  <si>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</si>
  <si>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</si>
  <si>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</si>
  <si>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</si>
  <si>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</si>
  <si>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</si>
  <si>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</si>
  <si>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</si>
  <si>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</si>
  <si>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</si>
  <si>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</si>
  <si>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</si>
  <si>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</si>
  <si>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</si>
  <si>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</si>
  <si>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</si>
  <si>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</si>
  <si>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</si>
  <si>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</si>
  <si>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</si>
  <si>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</si>
  <si>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</si>
  <si>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</si>
  <si>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</si>
  <si>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</si>
  <si>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</si>
  <si>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</si>
  <si>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</si>
  <si>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</si>
  <si>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</si>
  <si>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</si>
  <si>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</si>
  <si>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</si>
  <si>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</si>
  <si>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</si>
  <si>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</si>
  <si>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</si>
  <si>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</si>
  <si>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</si>
  <si>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</si>
  <si>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</si>
  <si>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</si>
  <si>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</si>
  <si>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</si>
  <si>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</si>
  <si>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</si>
  <si>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</si>
  <si>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</si>
  <si>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</si>
  <si>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</si>
  <si>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</si>
  <si>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</si>
  <si>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</si>
  <si>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</si>
  <si>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</si>
  <si>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</si>
  <si>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</si>
  <si>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</si>
  <si>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</si>
  <si>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</si>
  <si>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</si>
  <si>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</si>
  <si>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</si>
  <si>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</si>
  <si>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</si>
  <si>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</si>
  <si>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</si>
  <si>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</si>
  <si>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</si>
  <si>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</si>
  <si>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</si>
  <si>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</si>
  <si>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</si>
  <si>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</si>
  <si>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</si>
  <si>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</si>
  <si>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</si>
  <si>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</si>
  <si>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</si>
  <si>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</si>
  <si>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</si>
  <si>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</si>
  <si>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</si>
  <si>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</si>
  <si>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</si>
  <si>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</si>
  <si>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</si>
  <si>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</si>
  <si>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</si>
  <si>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</si>
  <si>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</si>
  <si>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</si>
  <si>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</si>
  <si>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</si>
  <si>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</si>
  <si>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</si>
  <si>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</si>
  <si>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</si>
  <si>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</si>
  <si>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</si>
  <si>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</si>
  <si>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</si>
  <si>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</si>
  <si>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</si>
  <si>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</si>
  <si>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</si>
  <si>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</si>
  <si>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</si>
  <si>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</si>
  <si>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</si>
  <si>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</si>
  <si>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</si>
  <si>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</si>
  <si>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</si>
  <si>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</si>
  <si>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</si>
  <si>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</si>
  <si>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</si>
  <si>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</si>
  <si>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</si>
  <si>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</si>
  <si>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</si>
  <si>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</si>
  <si>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</si>
  <si>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</si>
  <si>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</si>
  <si>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</si>
  <si>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</si>
  <si>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</si>
  <si>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</si>
  <si>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</si>
  <si>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</si>
  <si>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</si>
  <si>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</si>
  <si>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</si>
  <si>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</si>
  <si>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</si>
  <si>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</si>
  <si>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</si>
  <si>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</si>
  <si>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</si>
  <si>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</si>
  <si>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</si>
  <si>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</si>
  <si>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</si>
  <si>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</si>
  <si>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</si>
  <si>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</si>
  <si>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</si>
  <si>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</si>
  <si>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</si>
  <si>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</si>
  <si>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</si>
  <si>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</si>
  <si>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</si>
  <si>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</si>
  <si>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</si>
  <si>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</si>
  <si>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</si>
  <si>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</si>
  <si>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</si>
  <si>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</si>
  <si>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</si>
  <si>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</si>
  <si>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</si>
  <si>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</si>
  <si>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</si>
  <si>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</si>
  <si>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</si>
  <si>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</si>
  <si>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</si>
  <si>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</si>
  <si>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</si>
  <si>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</si>
  <si>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</si>
  <si>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</si>
  <si>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</si>
  <si>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</si>
  <si>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</si>
  <si>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</si>
  <si>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</si>
  <si>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</si>
  <si>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</si>
  <si>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</si>
  <si>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</si>
  <si>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</si>
  <si>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</si>
  <si>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</si>
  <si>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</si>
  <si>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</si>
  <si>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</si>
  <si>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</si>
  <si>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</si>
  <si>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</si>
  <si>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</si>
  <si>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</si>
  <si>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</si>
  <si>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</si>
  <si>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</si>
  <si>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</si>
  <si>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</si>
  <si>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</si>
  <si>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</si>
  <si>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</si>
  <si>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</si>
  <si>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</si>
  <si>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</si>
  <si>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</si>
  <si>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</si>
  <si>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</si>
  <si>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</si>
  <si>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</si>
  <si>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</si>
  <si>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</si>
  <si>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</si>
  <si>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</si>
  <si>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</si>
  <si>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</si>
  <si>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</si>
  <si>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</si>
  <si>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</si>
  <si>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</si>
  <si>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</si>
  <si>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</si>
  <si>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</si>
  <si>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</si>
  <si>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</si>
  <si>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</si>
  <si>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</si>
  <si>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</si>
  <si>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</si>
  <si>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</si>
  <si>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</si>
  <si>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</si>
  <si>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</si>
  <si>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</si>
  <si>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</si>
  <si>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</si>
  <si>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</si>
  <si>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</si>
  <si>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</si>
  <si>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</si>
  <si>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</si>
  <si>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</si>
  <si>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</si>
  <si>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</si>
  <si>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</si>
  <si>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</si>
  <si>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</si>
  <si>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</si>
  <si>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</si>
  <si>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</si>
  <si>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</si>
  <si>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</si>
  <si>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</si>
  <si>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</si>
  <si>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</si>
  <si>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</si>
  <si>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</si>
  <si>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</si>
  <si>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</si>
  <si>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</si>
  <si>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</si>
  <si>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</si>
  <si>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</si>
  <si>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</si>
  <si>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</si>
  <si>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</si>
  <si>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</si>
  <si>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</si>
  <si>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</si>
  <si>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</si>
  <si>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</si>
  <si>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</si>
  <si>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</si>
  <si>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</si>
  <si>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</si>
  <si>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</si>
  <si>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</si>
  <si>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</si>
  <si>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</si>
  <si>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</si>
  <si>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</si>
  <si>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</si>
  <si>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</si>
  <si>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</si>
  <si>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</si>
  <si>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</si>
  <si>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</si>
  <si>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</si>
  <si>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</si>
  <si>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</si>
  <si>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</si>
  <si>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</si>
  <si>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</si>
  <si>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</si>
  <si>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</si>
  <si>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</si>
  <si>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</si>
  <si>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</si>
  <si>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</si>
  <si>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</si>
  <si>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</si>
  <si>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</si>
  <si>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</si>
  <si>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</si>
  <si>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</si>
  <si>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</si>
  <si>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</si>
  <si>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</si>
  <si>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</si>
  <si>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</si>
  <si>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</si>
  <si>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</si>
  <si>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</si>
  <si>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</si>
  <si>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</si>
  <si>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</si>
  <si>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</si>
  <si>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</si>
  <si>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</si>
  <si>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</si>
  <si>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</si>
  <si>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</si>
  <si>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</si>
  <si>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</si>
  <si>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</si>
  <si>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</si>
  <si>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</si>
  <si>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</si>
  <si>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</si>
  <si>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</si>
  <si>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</si>
  <si>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</si>
  <si>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</si>
  <si>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</si>
  <si>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</si>
  <si>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</si>
  <si>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</si>
  <si>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</si>
  <si>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</si>
  <si>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</si>
  <si>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</si>
  <si>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</si>
  <si>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</si>
  <si>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</si>
  <si>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</si>
  <si>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</si>
  <si>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</si>
  <si>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</si>
  <si>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</si>
  <si>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</si>
  <si>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</si>
  <si>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</si>
  <si>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</si>
  <si>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</si>
  <si>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</si>
  <si>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</si>
  <si>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</si>
  <si>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</si>
  <si>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</si>
  <si>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</si>
  <si>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</si>
  <si>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</si>
  <si>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</si>
  <si>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</si>
  <si>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</si>
  <si>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</si>
  <si>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</si>
  <si>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</si>
  <si>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</si>
  <si>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</si>
  <si>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</si>
  <si>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</si>
  <si>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</si>
  <si>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</si>
  <si>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</si>
  <si>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</si>
  <si>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</si>
  <si>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</si>
  <si>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</si>
  <si>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</si>
  <si>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</si>
  <si>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</si>
  <si>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</si>
  <si>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</si>
  <si>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</si>
  <si>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</si>
  <si>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</si>
  <si>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</si>
  <si>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</si>
  <si>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</si>
  <si>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</si>
  <si>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</si>
  <si>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</si>
  <si>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</si>
  <si>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</si>
  <si>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</si>
  <si>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</si>
  <si>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</si>
  <si>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</si>
  <si>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</si>
  <si>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</si>
  <si>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</si>
  <si>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</si>
  <si>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</si>
  <si>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</si>
  <si>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</si>
  <si>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</si>
  <si>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</si>
  <si>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</si>
  <si>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</si>
  <si>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</si>
  <si>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</si>
  <si>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</si>
  <si>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</si>
  <si>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</si>
  <si>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</si>
  <si>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</si>
  <si>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</si>
  <si>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</si>
  <si>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</si>
  <si>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</si>
  <si>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</si>
  <si>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</si>
  <si>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</si>
  <si>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</si>
  <si>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</si>
  <si>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</si>
  <si>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</si>
  <si>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</si>
  <si>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</si>
  <si>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</si>
  <si>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</si>
  <si>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</si>
  <si>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</si>
  <si>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</si>
  <si>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</si>
  <si>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</si>
  <si>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</si>
  <si>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</si>
  <si>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</si>
  <si>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</si>
  <si>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</si>
  <si>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</si>
  <si>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</si>
  <si>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</si>
  <si>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</si>
  <si>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</si>
  <si>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</si>
  <si>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</si>
  <si>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</si>
  <si>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</si>
  <si>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</si>
  <si>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</si>
  <si>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</si>
  <si>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</si>
  <si>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</si>
  <si>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</si>
  <si>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</si>
  <si>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</si>
  <si>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</si>
  <si>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</si>
  <si>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</si>
  <si>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</si>
  <si>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</si>
  <si>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</si>
  <si>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</si>
  <si>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</si>
  <si>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</si>
  <si>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</si>
  <si>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</si>
  <si>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</si>
  <si>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</si>
  <si>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</si>
  <si>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</si>
  <si>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</si>
  <si>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</si>
  <si>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</si>
  <si>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</si>
  <si>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</si>
  <si>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</si>
  <si>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</si>
  <si>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</si>
  <si>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</si>
  <si>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</si>
  <si>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</si>
  <si>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</si>
  <si>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</si>
  <si>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</si>
  <si>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</si>
  <si>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</si>
  <si>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</si>
  <si>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</si>
  <si>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</si>
  <si>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</si>
  <si>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</si>
  <si>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</si>
  <si>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</si>
  <si>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</si>
  <si>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</si>
  <si>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</si>
  <si>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</si>
  <si>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</si>
  <si>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</si>
  <si>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</si>
  <si>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</si>
  <si>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</si>
  <si>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</si>
  <si>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</si>
  <si>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</si>
  <si>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</si>
  <si>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</si>
  <si>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</si>
  <si>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</si>
  <si>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</si>
  <si>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</si>
  <si>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</si>
  <si>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</si>
  <si>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</si>
  <si>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</si>
  <si>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</si>
  <si>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</si>
  <si>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</si>
  <si>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</si>
  <si>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</si>
  <si>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</si>
  <si>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</si>
  <si>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</si>
  <si>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</si>
  <si>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</si>
  <si>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</si>
  <si>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</si>
  <si>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</si>
  <si>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</si>
  <si>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</si>
  <si>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</si>
  <si>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</si>
  <si>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</si>
  <si>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</si>
  <si>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</si>
  <si>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</si>
  <si>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</si>
  <si>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</si>
  <si>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</si>
  <si>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</si>
  <si>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</si>
  <si>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</si>
  <si>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</si>
  <si>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</si>
  <si>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</si>
  <si>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</si>
  <si>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</si>
  <si>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</si>
  <si>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</si>
  <si>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</si>
  <si>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</si>
  <si>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</si>
  <si>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</si>
  <si>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</si>
  <si>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</si>
  <si>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</si>
  <si>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</si>
  <si>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</si>
  <si>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</si>
  <si>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</si>
  <si>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</si>
  <si>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</si>
  <si>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</si>
  <si>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</si>
  <si>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</si>
  <si>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</si>
  <si>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</si>
  <si>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</si>
  <si>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</si>
  <si>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</si>
  <si>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</si>
  <si>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</si>
  <si>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</si>
  <si>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</si>
  <si>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</si>
  <si>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</si>
  <si>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</si>
  <si>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</si>
  <si>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</si>
  <si>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</si>
  <si>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</si>
  <si>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</si>
  <si>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</si>
  <si>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</si>
  <si>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</si>
  <si>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</si>
  <si>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</si>
  <si>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</si>
  <si>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</si>
  <si>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</si>
  <si>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</si>
  <si>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</si>
  <si>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</si>
  <si>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</si>
  <si>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</si>
  <si>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</si>
  <si>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</si>
  <si>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</si>
  <si>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</si>
  <si>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</si>
  <si>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</si>
  <si>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</si>
  <si>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</si>
  <si>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</si>
  <si>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</si>
  <si>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</si>
  <si>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</si>
  <si>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</si>
  <si>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</si>
  <si>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</si>
  <si>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</si>
  <si>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</si>
  <si>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</si>
  <si>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</si>
  <si>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</si>
  <si>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</si>
  <si>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</si>
  <si>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</si>
  <si>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</si>
  <si>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</si>
  <si>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</si>
  <si>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</si>
  <si>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</si>
  <si>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</si>
  <si>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</si>
  <si>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</si>
  <si>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</si>
  <si>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</si>
  <si>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</si>
  <si>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</si>
  <si>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</si>
  <si>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</si>
  <si>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</si>
  <si>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</si>
  <si>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</si>
  <si>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</si>
  <si>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</si>
  <si>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</si>
  <si>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</si>
  <si>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</si>
  <si>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</si>
  <si>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</si>
  <si>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</si>
  <si>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</si>
  <si>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</si>
  <si>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</si>
  <si>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</si>
  <si>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</si>
  <si>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</si>
  <si>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</si>
  <si>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</si>
  <si>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</si>
  <si>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</si>
  <si>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</si>
  <si>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</si>
  <si>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</si>
  <si>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</si>
  <si>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</si>
  <si>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</si>
  <si>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</si>
  <si>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</si>
  <si>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</si>
  <si>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</si>
  <si>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</si>
  <si>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</si>
  <si>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</si>
  <si>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</si>
  <si>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</si>
  <si>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</si>
  <si>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</si>
  <si>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</si>
  <si>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</si>
  <si>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</si>
  <si>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</si>
  <si>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</si>
  <si>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</si>
  <si>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</si>
  <si>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</si>
  <si>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</si>
  <si>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</si>
  <si>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</si>
  <si>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</si>
  <si>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</si>
  <si>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</si>
  <si>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</si>
  <si>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</si>
  <si>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</si>
  <si>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</si>
  <si>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</si>
  <si>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</si>
  <si>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</si>
  <si>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</si>
  <si>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</si>
  <si>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</si>
  <si>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</si>
  <si>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</si>
  <si>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</si>
  <si>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</si>
  <si>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</si>
  <si>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</si>
  <si>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</si>
  <si>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</si>
  <si>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</si>
  <si>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</si>
  <si>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</si>
  <si>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</si>
  <si>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</si>
  <si>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</si>
  <si>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</si>
  <si>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</si>
  <si>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</si>
  <si>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</si>
  <si>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</si>
  <si>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</si>
  <si>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</si>
  <si>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</si>
  <si>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</si>
  <si>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</si>
  <si>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</si>
  <si>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</si>
  <si>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</si>
  <si>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</si>
  <si>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</si>
  <si>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</si>
  <si>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</si>
  <si>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</si>
  <si>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</si>
  <si>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</si>
  <si>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</si>
  <si>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</si>
  <si>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</si>
  <si>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</si>
  <si>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</si>
  <si>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</si>
  <si>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</si>
  <si>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</si>
  <si>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</si>
  <si>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</si>
  <si>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</si>
  <si>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</si>
  <si>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</si>
  <si>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</si>
  <si>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</si>
  <si>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</si>
  <si>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</si>
  <si>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</si>
  <si>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</si>
  <si>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</si>
  <si>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</si>
  <si>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</si>
  <si>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</si>
  <si>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</si>
  <si>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</si>
  <si>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</si>
  <si>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</si>
  <si>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</si>
  <si>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</si>
  <si>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</si>
  <si>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</si>
  <si>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</si>
  <si>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</si>
  <si>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</si>
  <si>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</si>
  <si>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</si>
  <si>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</si>
  <si>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</si>
  <si>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</si>
  <si>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</si>
  <si>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</si>
  <si>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</si>
  <si>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</si>
  <si>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</si>
  <si>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</si>
  <si>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</si>
  <si>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</si>
  <si>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</si>
  <si>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</si>
  <si>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</si>
  <si>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</si>
  <si>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</si>
  <si>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</si>
  <si>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</si>
  <si>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</si>
  <si>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</si>
  <si>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</si>
  <si>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</si>
  <si>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</si>
  <si>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</si>
  <si>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</si>
  <si>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</si>
  <si>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</si>
  <si>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</si>
  <si>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</si>
  <si>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</si>
  <si>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</si>
  <si>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</si>
  <si>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</si>
  <si>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</si>
  <si>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</si>
  <si>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</si>
  <si>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</si>
  <si>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</si>
  <si>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</si>
  <si>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</si>
  <si>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</si>
  <si>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</si>
  <si>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</si>
  <si>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</si>
  <si>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</si>
  <si>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</si>
  <si>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</si>
  <si>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</si>
  <si>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</si>
  <si>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</si>
  <si>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</si>
  <si>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</si>
  <si>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</si>
  <si>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</si>
  <si>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</si>
  <si>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</si>
  <si>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</si>
  <si>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</si>
  <si>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</si>
  <si>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</si>
  <si>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</si>
  <si>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</si>
  <si>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</si>
  <si>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</si>
  <si>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</si>
  <si>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</si>
  <si>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</si>
  <si>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</si>
  <si>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</si>
  <si>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</si>
  <si>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</si>
  <si>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</si>
  <si>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</si>
  <si>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</si>
  <si>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</si>
  <si>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</si>
  <si>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</si>
  <si>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</si>
  <si>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</si>
  <si>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</si>
  <si>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</si>
  <si>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</si>
  <si>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</si>
  <si>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</si>
  <si>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</si>
  <si>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</si>
  <si>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</si>
  <si>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</si>
  <si>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</si>
  <si>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</si>
  <si>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</si>
  <si>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</si>
  <si>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</si>
  <si>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</si>
  <si>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</si>
  <si>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</si>
  <si>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</si>
  <si>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</si>
  <si>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</si>
  <si>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</si>
  <si>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</si>
  <si>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</si>
  <si>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</si>
  <si>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</si>
  <si>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</si>
  <si>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</si>
  <si>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</si>
  <si>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</si>
  <si>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</si>
  <si>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</si>
  <si>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</si>
  <si>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</si>
  <si>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</si>
  <si>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</si>
  <si>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</si>
  <si>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</si>
  <si>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</si>
  <si>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</si>
  <si>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</si>
  <si>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</si>
  <si>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</si>
  <si>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</si>
  <si>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</si>
  <si>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</si>
  <si>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</si>
  <si>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</si>
  <si>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</si>
  <si>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</si>
  <si>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</si>
  <si>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</si>
  <si>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</si>
  <si>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</si>
  <si>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</si>
  <si>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</si>
  <si>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</si>
  <si>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</si>
  <si>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</si>
  <si>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</si>
  <si>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</si>
  <si>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</si>
  <si>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</si>
  <si>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</si>
  <si>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</si>
  <si>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</si>
  <si>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</si>
  <si>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</si>
  <si>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</si>
  <si>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</si>
  <si>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</si>
  <si>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</si>
  <si>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</si>
  <si>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</si>
  <si>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</si>
  <si>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</si>
  <si>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</si>
  <si>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</si>
  <si>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</si>
  <si>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</si>
  <si>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</si>
  <si>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</si>
  <si>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</si>
  <si>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</si>
  <si>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</si>
  <si>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</si>
  <si>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</si>
  <si>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</si>
  <si>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</si>
  <si>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</si>
  <si>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</si>
  <si>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</si>
  <si>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</si>
  <si>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</si>
  <si>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</si>
  <si>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</si>
  <si>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</si>
  <si>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</si>
  <si>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</si>
  <si>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</si>
  <si>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</si>
  <si>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</si>
  <si>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</si>
  <si>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</si>
  <si>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</si>
  <si>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</si>
  <si>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</si>
  <si>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</si>
  <si>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</si>
  <si>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</si>
  <si>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</si>
  <si>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</si>
  <si>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</si>
  <si>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</si>
  <si>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</si>
  <si>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</si>
  <si>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</si>
  <si>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</si>
  <si>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</si>
  <si>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</si>
  <si>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</si>
  <si>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</si>
  <si>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</si>
  <si>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</si>
  <si>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</si>
  <si>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</si>
  <si>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</si>
  <si>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</si>
  <si>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</si>
  <si>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</si>
  <si>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</si>
  <si>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</si>
  <si>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</si>
  <si>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</si>
  <si>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</si>
  <si>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</si>
  <si>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</si>
  <si>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</si>
  <si>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</si>
  <si>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</si>
  <si>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</si>
  <si>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</si>
  <si>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</si>
  <si>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</si>
  <si>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</si>
  <si>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</si>
  <si>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</si>
  <si>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</si>
  <si>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</si>
  <si>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</si>
  <si>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</si>
  <si>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</si>
  <si>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</si>
  <si>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</si>
  <si>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</si>
  <si>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</si>
  <si>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</si>
  <si>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</si>
  <si>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</si>
  <si>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</si>
  <si>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</si>
  <si>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</si>
  <si>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</si>
  <si>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</si>
  <si>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</si>
  <si>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</si>
  <si>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</si>
  <si>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</si>
  <si>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</si>
  <si>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</si>
  <si>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</si>
  <si>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</si>
  <si>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</si>
  <si>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</si>
  <si>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</si>
  <si>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</si>
  <si>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</si>
  <si>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</si>
  <si>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</si>
  <si>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</si>
  <si>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</si>
  <si>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</si>
  <si>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</si>
  <si>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</si>
  <si>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</si>
  <si>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</si>
  <si>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</si>
  <si>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</si>
  <si>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</si>
  <si>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</si>
  <si>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</si>
  <si>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</si>
  <si>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</si>
  <si>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</si>
  <si>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</si>
  <si>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</si>
  <si>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</si>
  <si>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</si>
  <si>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</si>
  <si>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</si>
  <si>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</si>
  <si>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</si>
  <si>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</si>
  <si>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</si>
  <si>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</si>
  <si>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</si>
  <si>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</si>
  <si>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</si>
  <si>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</si>
  <si>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</si>
  <si>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</si>
  <si>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</si>
  <si>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</si>
  <si>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</si>
  <si>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</si>
  <si>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</si>
  <si>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</si>
  <si>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</si>
  <si>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</si>
  <si>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</si>
  <si>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</si>
  <si>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</si>
  <si>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</si>
  <si>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</si>
  <si>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</si>
  <si>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</si>
  <si>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</si>
  <si>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</si>
  <si>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</si>
  <si>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</si>
  <si>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</si>
  <si>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</si>
  <si>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</si>
  <si>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</si>
  <si>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</si>
  <si>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</si>
  <si>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</si>
  <si>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</si>
  <si>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</si>
  <si>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</si>
  <si>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</si>
  <si>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</si>
  <si>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</si>
  <si>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</si>
  <si>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</si>
  <si>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</si>
  <si>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</si>
  <si>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</si>
  <si>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</si>
  <si>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</si>
  <si>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</si>
  <si>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</si>
  <si>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</si>
  <si>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</si>
  <si>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</si>
  <si>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</si>
  <si>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</si>
  <si>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</si>
  <si>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</si>
  <si>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</si>
  <si>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</si>
  <si>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</si>
  <si>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</si>
  <si>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</si>
  <si>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</si>
  <si>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</si>
  <si>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</si>
  <si>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</si>
  <si>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</si>
  <si>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</si>
  <si>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</si>
  <si>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</si>
  <si>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</si>
  <si>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</si>
  <si>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</si>
  <si>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</si>
  <si>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</si>
  <si>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</si>
  <si>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</si>
  <si>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</si>
  <si>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</si>
  <si>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</si>
  <si>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</si>
  <si>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</si>
  <si>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</si>
  <si>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</si>
  <si>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</si>
  <si>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</si>
  <si>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</si>
  <si>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</si>
  <si>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</si>
  <si>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</si>
  <si>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</si>
  <si>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</si>
  <si>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</si>
  <si>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</si>
  <si>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</si>
  <si>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</si>
  <si>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</si>
  <si>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</si>
  <si>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</si>
  <si>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</si>
  <si>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</si>
  <si>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</si>
  <si>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</si>
  <si>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</si>
  <si>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</si>
  <si>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</si>
  <si>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</si>
  <si>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</si>
  <si>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</si>
  <si>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</si>
  <si>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</si>
  <si>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</si>
  <si>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</si>
  <si>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</si>
  <si>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</si>
  <si>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</si>
  <si>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</si>
  <si>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</si>
  <si>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</si>
  <si>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</si>
  <si>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</si>
  <si>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</si>
  <si>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</si>
  <si>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</si>
  <si>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</si>
  <si>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</si>
  <si>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</si>
  <si>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</si>
  <si>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</si>
  <si>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</si>
  <si>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</si>
  <si>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</si>
  <si>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</si>
  <si>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</si>
  <si>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</si>
  <si>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</si>
  <si>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</si>
  <si>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</si>
  <si>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</si>
  <si>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</si>
  <si>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</si>
  <si>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</si>
  <si>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</si>
  <si>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</si>
  <si>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</si>
  <si>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</si>
  <si>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</si>
  <si>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</si>
  <si>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</si>
  <si>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</si>
  <si>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</si>
  <si>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</si>
  <si>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</si>
  <si>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</si>
  <si>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</si>
  <si>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</si>
  <si>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</si>
  <si>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</si>
  <si>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</si>
  <si>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</si>
  <si>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</si>
  <si>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</si>
  <si>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</si>
  <si>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</si>
  <si>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</si>
  <si>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</si>
  <si>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</si>
  <si>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</si>
  <si>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</si>
  <si>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</si>
  <si>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</si>
  <si>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</si>
  <si>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</si>
  <si>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</si>
  <si>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</si>
  <si>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</si>
  <si>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</si>
  <si>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</si>
  <si>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</si>
  <si>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</si>
  <si>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</si>
  <si>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</si>
  <si>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</si>
  <si>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</si>
  <si>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</si>
  <si>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</si>
  <si>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</si>
  <si>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</si>
  <si>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</si>
  <si>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</si>
  <si>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</si>
  <si>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</si>
  <si>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</si>
  <si>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</si>
  <si>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</si>
  <si>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</si>
  <si>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</si>
  <si>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</si>
  <si>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</si>
  <si>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</si>
  <si>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</si>
  <si>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</si>
  <si>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</si>
  <si>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</si>
  <si>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</si>
  <si>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</si>
  <si>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</si>
  <si>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</si>
  <si>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</si>
  <si>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</si>
  <si>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</si>
  <si>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</si>
  <si>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</si>
  <si>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</si>
  <si>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</si>
  <si>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</si>
  <si>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</si>
  <si>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</si>
  <si>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</si>
  <si>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</si>
  <si>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</si>
  <si>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</si>
  <si>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</si>
  <si>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</si>
  <si>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</si>
  <si>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</si>
  <si>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</si>
  <si>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</si>
  <si>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</si>
  <si>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</si>
  <si>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</si>
  <si>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</si>
  <si>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</si>
  <si>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</si>
  <si>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</si>
  <si>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</si>
  <si>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</si>
  <si>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</si>
  <si>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</si>
  <si>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</si>
  <si>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</si>
  <si>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</si>
  <si>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</si>
  <si>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</si>
  <si>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</si>
  <si>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</si>
  <si>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</si>
  <si>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</si>
  <si>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</si>
  <si>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</si>
  <si>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</si>
  <si>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</si>
  <si>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</si>
  <si>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</si>
  <si>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</si>
  <si>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</si>
  <si>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</si>
  <si>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</si>
  <si>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</si>
  <si>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</si>
  <si>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</si>
  <si>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</si>
  <si>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</si>
  <si>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</si>
  <si>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</si>
  <si>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</si>
  <si>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</si>
  <si>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</si>
  <si>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</si>
  <si>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</si>
  <si>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</si>
  <si>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</si>
  <si>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</si>
  <si>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</si>
  <si>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</si>
  <si>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</si>
  <si>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</si>
  <si>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</si>
  <si>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</si>
  <si>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</si>
  <si>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</si>
  <si>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</si>
  <si>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</si>
  <si>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</si>
  <si>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</si>
  <si>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</si>
  <si>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</si>
  <si>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</si>
  <si>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</si>
  <si>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</si>
  <si>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</si>
  <si>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</si>
  <si>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</si>
  <si>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</si>
  <si>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</si>
  <si>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</si>
  <si>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</si>
  <si>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</si>
  <si>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</si>
  <si>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</si>
  <si>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</si>
  <si>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</si>
  <si>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</si>
  <si>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</si>
  <si>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</si>
  <si>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</si>
  <si>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</si>
  <si>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</si>
  <si>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</si>
  <si>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</si>
  <si>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</si>
  <si>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</si>
  <si>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</si>
  <si>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</si>
  <si>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</si>
  <si>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</si>
  <si>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</si>
  <si>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</si>
  <si>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</si>
  <si>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</si>
  <si>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</si>
  <si>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</si>
  <si>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</si>
  <si>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</si>
  <si>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</si>
  <si>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</si>
  <si>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</si>
  <si>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</si>
  <si>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</si>
  <si>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</si>
  <si>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</si>
  <si>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</si>
  <si>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</si>
  <si>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</si>
  <si>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</si>
  <si>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</si>
  <si>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</si>
  <si>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</si>
  <si>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</si>
  <si>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</si>
  <si>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</si>
  <si>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</si>
  <si>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</si>
  <si>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</si>
  <si>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</si>
  <si>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</si>
  <si>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</si>
  <si>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</si>
  <si>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</si>
  <si>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</si>
  <si>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</si>
  <si>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</si>
  <si>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</si>
  <si>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</si>
  <si>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</si>
  <si>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</si>
  <si>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</si>
  <si>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</si>
  <si>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</si>
  <si>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</si>
  <si>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</si>
  <si>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</si>
  <si>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</si>
  <si>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</si>
  <si>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</si>
  <si>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</si>
  <si>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</si>
  <si>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</si>
  <si>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</si>
  <si>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</si>
  <si>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</si>
  <si>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</si>
  <si>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</si>
  <si>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</si>
  <si>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</si>
  <si>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</si>
  <si>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</si>
  <si>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</si>
  <si>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</si>
  <si>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</si>
  <si>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</si>
  <si>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</si>
  <si>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</si>
  <si>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</si>
  <si>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</si>
  <si>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</si>
  <si>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</si>
  <si>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</si>
  <si>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</si>
  <si>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</si>
  <si>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</si>
  <si>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</si>
  <si>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</si>
  <si>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</si>
  <si>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</si>
  <si>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</si>
  <si>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</si>
  <si>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</si>
  <si>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</si>
  <si>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</si>
  <si>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</si>
  <si>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</si>
  <si>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</si>
  <si>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</si>
  <si>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</si>
  <si>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</si>
  <si>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</si>
  <si>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</si>
  <si>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</si>
  <si>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</si>
  <si>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</si>
  <si>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</si>
  <si>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</si>
  <si>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</si>
  <si>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</si>
  <si>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</si>
  <si>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</si>
  <si>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</si>
  <si>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</si>
  <si>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</si>
  <si>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</si>
  <si>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</si>
  <si>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</si>
  <si>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</si>
  <si>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</si>
  <si>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</si>
  <si>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</si>
  <si>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</si>
  <si>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</si>
  <si>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</si>
  <si>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</si>
  <si>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</si>
  <si>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</si>
  <si>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</si>
  <si>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</si>
  <si>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</si>
  <si>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</si>
  <si>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</si>
  <si>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</si>
  <si>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</si>
  <si>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</si>
  <si>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</si>
  <si>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</si>
  <si>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</si>
  <si>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</si>
  <si>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</si>
  <si>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</si>
  <si>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</si>
  <si>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</si>
  <si>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</si>
  <si>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</si>
  <si>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</si>
  <si>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</si>
  <si>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</si>
  <si>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</si>
  <si>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</si>
  <si>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</si>
  <si>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</si>
  <si>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</si>
  <si>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</si>
  <si>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</si>
  <si>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</si>
  <si>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</si>
  <si>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</si>
  <si>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</si>
  <si>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</si>
  <si>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</si>
  <si>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</si>
  <si>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</si>
  <si>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</si>
  <si>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</si>
  <si>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</si>
  <si>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</si>
  <si>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</si>
  <si>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</si>
  <si>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</si>
  <si>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</si>
  <si>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</si>
  <si>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</si>
  <si>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</si>
  <si>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</si>
  <si>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</si>
  <si>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</si>
  <si>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</si>
  <si>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</si>
  <si>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</si>
  <si>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</si>
  <si>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</si>
  <si>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</si>
  <si>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</si>
  <si>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</si>
  <si>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</si>
  <si>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</si>
  <si>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</si>
  <si>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</si>
  <si>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</si>
  <si>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</si>
  <si>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</si>
  <si>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</si>
  <si>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</si>
  <si>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</si>
  <si>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</si>
  <si>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</si>
  <si>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</si>
  <si>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</si>
  <si>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</si>
  <si>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</si>
  <si>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</si>
  <si>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</si>
  <si>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</si>
  <si>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</si>
  <si>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</si>
  <si>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</si>
  <si>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</si>
  <si>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</si>
  <si>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</si>
  <si>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</si>
  <si>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</si>
  <si>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</si>
  <si>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</si>
  <si>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</si>
  <si>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</si>
  <si>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</si>
  <si>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</si>
  <si>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</si>
  <si>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</si>
  <si>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</si>
  <si>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</si>
  <si>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</si>
  <si>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</si>
  <si>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</si>
  <si>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</si>
  <si>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</si>
  <si>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</si>
  <si>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</si>
  <si>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</si>
  <si>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</si>
  <si>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</si>
  <si>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</si>
  <si>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</si>
  <si>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</si>
  <si>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</si>
  <si>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</si>
  <si>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</si>
  <si>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</si>
  <si>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</si>
  <si>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</si>
  <si>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</si>
  <si>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</si>
  <si>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</si>
  <si>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</si>
  <si>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</si>
  <si>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</si>
  <si>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</si>
  <si>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</si>
  <si>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</si>
  <si>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</si>
  <si>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</si>
  <si>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</si>
  <si>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</si>
  <si>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</si>
  <si>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</si>
  <si>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</si>
  <si>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</si>
  <si>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</si>
  <si>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</si>
  <si>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</si>
  <si>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</si>
  <si>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</si>
  <si>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</si>
  <si>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</si>
  <si>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</si>
  <si>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</si>
  <si>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</si>
  <si>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</si>
  <si>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</si>
  <si>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</si>
  <si>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</si>
  <si>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</si>
  <si>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</si>
  <si>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</si>
  <si>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</si>
  <si>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</si>
  <si>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</si>
  <si>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</si>
  <si>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</si>
  <si>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</si>
  <si>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</si>
  <si>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</si>
  <si>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</si>
  <si>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</si>
  <si>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</si>
  <si>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</si>
  <si>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</si>
  <si>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</si>
  <si>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</si>
  <si>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</si>
  <si>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</si>
  <si>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</si>
  <si>
    <t xml:space="preserve"> https://delijn.sharepoint.com/:b:/r/teams/CTM-OTGentStad/Shared%20Documents/General/EAF/CSI(nieuwe%20sharepoint)%202025/9.%20September/EAF%205265%2012092025%20Gent%2031634.pdf?csf=1&amp;web=1&amp;e=IK4Ous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</si>
</sst>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0" fillId="0" borderId="0" xfId="0" applyNumberFormat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60" totalsRowShown="0" headerRowDxfId="10">
  <autoFilter ref="A1:AA860" xr:uid="{2FDE3AF6-1CE1-4F38-BD72-1F03CD30F4FC}"/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60"/>
  <sheetViews>
    <sheetView tabSelected="1" zoomScale="85" zoomScaleNormal="85" workbookViewId="0">
      <pane ySplit="1" topLeftCell="A831" activePane="bottomLeft" state="frozen"/>
      <selection activeCell="F1" sqref="F1"/>
      <selection pane="bottomLeft" activeCell="AA857" sqref="AA857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/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/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45777</v>
      </c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3593</v>
      </c>
    </row>
    <row r="710" spans="1:27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/>
      <c r="G719" s="7"/>
      <c r="H719" s="7"/>
      <c r="I719" s="7"/>
      <c r="M719" s="5">
        <v>1</v>
      </c>
      <c r="S719" s="5">
        <f>SUM(bron[[#This Row],[Januari]:[December]])</f>
        <v>1</v>
      </c>
      <c r="T719" s="9">
        <v>45853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3593</v>
      </c>
    </row>
    <row r="720" spans="1:27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45782</v>
      </c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3593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3593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M728" s="5">
        <v>1</v>
      </c>
      <c r="S728" s="5">
        <f>SUM(bron[[#This Row],[Januari]:[December]])</f>
        <v>1</v>
      </c>
      <c r="T728" s="9">
        <v>45842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3593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/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45754</v>
      </c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3593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/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45735</v>
      </c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3593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/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>
        <v>45710</v>
      </c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3593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/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>
        <v>45660</v>
      </c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3593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N765" s="5">
        <v>1</v>
      </c>
      <c r="S765" s="5">
        <f>SUM(bron[[#This Row],[Januari]:[December]])</f>
        <v>1</v>
      </c>
      <c r="T765" s="9">
        <v>45890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3593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/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>
        <v>45630</v>
      </c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3593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/>
      <c r="G787" s="7"/>
      <c r="H787" s="7"/>
      <c r="I787" s="7"/>
      <c r="O787" s="5">
        <v>1</v>
      </c>
      <c r="S787" s="5">
        <f>SUM(bron[[#This Row],[Januari]:[December]])</f>
        <v>1</v>
      </c>
      <c r="T787" s="9">
        <v>45902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3593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Z803">
        <v>5928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Z804">
        <v>2194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Z805">
        <v>5912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Z806">
        <v>5766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Z807">
        <v>5770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Z808">
        <v>5909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Z809">
        <v>2548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Z810">
        <v>5935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Z811">
        <v>5767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Z812">
        <v>2200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Z813">
        <v>5046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Z814">
        <v>5927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Z815">
        <v>5769</v>
      </c>
      <c r="AA815" s="39" t="s">
        <v>3592</v>
      </c>
    </row>
    <row r="816" spans="1:27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Z817">
        <v>5929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Z818">
        <v>5924</v>
      </c>
      <c r="AA818" s="39" t="s">
        <v>3592</v>
      </c>
    </row>
    <row r="819" spans="1:27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Z820">
        <v>5910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Z821">
        <v>5920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Z822">
        <v>5928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Z823">
        <v>5916</v>
      </c>
      <c r="AA823" s="39" t="s">
        <v>3592</v>
      </c>
    </row>
    <row r="824" spans="1:27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Z826">
        <v>5271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/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>
        <v>45883</v>
      </c>
      <c r="U827" s="24" t="s">
        <v>1301</v>
      </c>
      <c r="V827" s="8">
        <v>1</v>
      </c>
      <c r="W827" s="8"/>
      <c r="X827" t="s">
        <v>7</v>
      </c>
      <c r="Y827" t="s">
        <v>10</v>
      </c>
      <c r="Z827">
        <v>5927</v>
      </c>
      <c r="AA827" s="39" t="s">
        <v>3593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Z828">
        <v>5909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Z829">
        <v>5489</v>
      </c>
      <c r="AA829" s="39" t="s">
        <v>3592</v>
      </c>
    </row>
    <row r="830" spans="1:27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45864</v>
      </c>
      <c r="U831" s="8" t="s">
        <v>1302</v>
      </c>
      <c r="V831" s="24">
        <v>1</v>
      </c>
      <c r="W831" s="24"/>
      <c r="X831" t="s">
        <v>7</v>
      </c>
      <c r="Y831" t="s">
        <v>108</v>
      </c>
      <c r="Z831">
        <v>5767</v>
      </c>
      <c r="AA831" s="39" t="s">
        <v>3593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Z832">
        <v>5928</v>
      </c>
      <c r="AA832" s="39" t="s">
        <v>3592</v>
      </c>
    </row>
    <row r="833" spans="1:27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Z835">
        <v>5919</v>
      </c>
      <c r="AA835" s="39" t="s">
        <v>3592</v>
      </c>
    </row>
    <row r="836" spans="1:27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Z837">
        <v>8138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Z838">
        <v>7897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Z839">
        <v>5927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Z840">
        <v>8232</v>
      </c>
      <c r="AA840" s="39" t="s">
        <v>3592</v>
      </c>
    </row>
    <row r="841" spans="1:27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Z842">
        <v>5771</v>
      </c>
      <c r="AA842" s="39" t="s">
        <v>3592</v>
      </c>
    </row>
    <row r="843" spans="1:27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Z844">
        <v>2546</v>
      </c>
      <c r="AA844" s="39" t="s">
        <v>3592</v>
      </c>
    </row>
    <row r="845" spans="1:27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Z846">
        <v>5938</v>
      </c>
      <c r="AA846" s="39" t="s">
        <v>3592</v>
      </c>
    </row>
    <row r="847" spans="1:27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Z848">
        <v>5921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Z849">
        <v>5923</v>
      </c>
      <c r="AA849" s="39" t="s">
        <v>3592</v>
      </c>
    </row>
    <row r="850" spans="1:27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/>
      <c r="G853" s="7"/>
      <c r="H853" s="7"/>
      <c r="I853" s="7"/>
      <c r="M853" s="5">
        <v>1</v>
      </c>
      <c r="S853" s="5">
        <f>SUM(bron[[#This Row],[Januari]:[December]])</f>
        <v>1</v>
      </c>
      <c r="T853" s="9">
        <v>45862</v>
      </c>
      <c r="U853" s="8" t="s">
        <v>1317</v>
      </c>
      <c r="V853" s="24">
        <v>1</v>
      </c>
      <c r="W853" s="24"/>
      <c r="X853" t="s">
        <v>3545</v>
      </c>
      <c r="Y853" t="s">
        <v>16</v>
      </c>
      <c r="Z853">
        <v>5924</v>
      </c>
      <c r="AA853" s="39" t="s">
        <v>3593</v>
      </c>
    </row>
    <row r="854" spans="1:27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/>
      <c r="G857" s="7"/>
      <c r="H857" s="7"/>
      <c r="I857" s="7"/>
      <c r="O857" s="5">
        <v>1</v>
      </c>
      <c r="S857" s="5">
        <f>SUM(bron[[#This Row],[Januari]:[December]])</f>
        <v>1</v>
      </c>
      <c r="T857" s="9">
        <v>45916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 t="s">
        <v>3593</v>
      </c>
    </row>
    <row r="858" spans="1:27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A859">
        <v>31634</v>
      </c>
      <c r="B859" t="str">
        <f>_xlfn.CONCAT(bron[[#This Row],[personeelsnr]]," ",bron[[#This Row],[achternaam]]," ",bron[[#This Row],[voornaam]])</f>
        <v>31634 Kirsan Ömer</v>
      </c>
      <c r="C859" t="str">
        <f>VLOOKUP(bron[[#This Row],[personeelsnr]],'data hastus'!$A:$C,2,0)</f>
        <v>Kirsan</v>
      </c>
      <c r="D859" t="str">
        <f>VLOOKUP(bron[[#This Row],[personeelsnr]],'data hastus'!$A:$C,3,0)</f>
        <v>Ömer</v>
      </c>
      <c r="E859" t="str">
        <f>VLOOKUP(bron[[#This Row],[personeelsnr]],'data hastus'!A:K,11,FALSE)</f>
        <v>Els Vanhoe</v>
      </c>
      <c r="F859" s="10"/>
      <c r="G859" s="7"/>
      <c r="H859" s="7"/>
      <c r="I859" s="7"/>
      <c r="S859" s="5">
        <f>SUM(bron[[#This Row],[Januari]:[December]])</f>
        <v>0</v>
      </c>
      <c r="T859" s="9">
        <v>45912</v>
      </c>
      <c r="U859" s="5" t="s">
        <v>3596</v>
      </c>
      <c r="V859" s="24">
        <v>1</v>
      </c>
      <c r="W859" s="24"/>
      <c r="X859" t="s">
        <v>3546</v>
      </c>
      <c r="Y859" t="s">
        <v>48</v>
      </c>
      <c r="Z859">
        <v>5265</v>
      </c>
      <c r="AA859" s="39" t="s">
        <v>3592</v>
      </c>
    </row>
    <row r="860" spans="1:27" x14ac:dyDescent="0.25">
      <c r="B860" t="e">
        <f>_xlfn.CONCAT(bron[[#This Row],[personeelsnr]]," ",bron[[#This Row],[achternaam]]," ",bron[[#This Row],[voornaam]])</f>
        <v>#N/A</v>
      </c>
      <c r="C860" t="e">
        <f>VLOOKUP(bron[[#This Row],[personeelsnr]],'data hastus'!$A:$C,2,0)</f>
        <v>#N/A</v>
      </c>
      <c r="D860" t="e">
        <f>VLOOKUP(bron[[#This Row],[personeelsnr]],'data hastus'!$A:$C,3,0)</f>
        <v>#N/A</v>
      </c>
      <c r="E860" t="e">
        <f>VLOOKUP(bron[[#This Row],[personeelsnr]],'data hastus'!A:K,11,FALSE)</f>
        <v>#N/A</v>
      </c>
      <c r="F860" s="10"/>
      <c r="G860" s="7"/>
      <c r="H860" s="7"/>
      <c r="I860" s="7"/>
      <c r="S860" s="40">
        <f>SUM(bron[[#This Row],[Januari]:[December]])</f>
        <v>0</v>
      </c>
      <c r="V860" s="24"/>
      <c r="W860" s="24"/>
    </row>
  </sheetData>
  <sheetProtection sort="0" autoFilter="0"/>
  <phoneticPr fontId="1" type="noConversion"/>
  <conditionalFormatting sqref="F2:F86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2025-09-17T11:54:25Z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