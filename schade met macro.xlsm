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6" documentId="13_ncr:1_{10FCACA5-8197-478D-90D3-5F83063FB753}" xr6:coauthVersionLast="47" xr6:coauthVersionMax="47" xr10:uidLastSave="{9E340283-C3C2-4721-8B93-AF0435E62B70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B932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1" i="1" l="1"/>
  <c r="B930" i="1"/>
  <c r="B929" i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<sst xmlns="http://schemas.openxmlformats.org/spreadsheetml/2006/main" count="8738" uniqueCount="3749">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</sst>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10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A932" sqref="A93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3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3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3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3">
      <c r="A930">
        <v>20543</v>
      </c>
      <c r="B930" t="str">
        <f>_xlfn.CONCAT(bron[[#This Row],[personeelsnr]]," ",bron[[#This Row],[achternaam]]," ",bron[[#This Row],[voornaam]])</f>
        <v>20543 Pekdemir Ilkmur</v>
      </c>
      <c r="C930" t="str">
        <f>VLOOKUP(bron[[#This Row],[personeelsnr]],'data hastus'!$A:$C,2,0)</f>
        <v>Pekdemir</v>
      </c>
      <c r="D930" t="str">
        <f>VLOOKUP(bron[[#This Row],[personeelsnr]],'data hastus'!$A:$C,3,0)</f>
        <v>Ilkmur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45947</v>
      </c>
      <c r="U930" s="5" t="s">
        <v>3746</v>
      </c>
      <c r="V930" s="37"/>
      <c r="W930" s="37"/>
      <c r="X930" t="s">
        <v>3547</v>
      </c>
      <c r="Y930" t="s">
        <v>199</v>
      </c>
      <c r="Z930" s="2">
        <v>6314</v>
      </c>
      <c r="AA930" s="43" t="s">
        <v>3558</v>
      </c>
    </row>
    <row r="931" spans="1:27" x14ac:dyDescent="0.3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3747</v>
      </c>
      <c r="V931" s="37"/>
      <c r="W931" s="37"/>
      <c r="X931" t="s">
        <v>3513</v>
      </c>
      <c r="Y931" t="s">
        <v>3748</v>
      </c>
      <c r="Z931" s="2">
        <v>5052</v>
      </c>
      <c r="AA931" s="43" t="s">
        <v>3558</v>
      </c>
    </row>
    <row r="932" spans="1:27" x14ac:dyDescent="0.3">
      <c r="B932" t="e">
        <f>_xlfn.CONCAT(bron[[#This Row],[personeelsnr]]," ",bron[[#This Row],[achternaam]]," ",bron[[#This Row],[voornaam]])</f>
        <v>#N/A</v>
      </c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36">
        <f>SUM(bron[[#This Row],[Januari]:[December]])</f>
        <v>0</v>
      </c>
      <c r="V932" s="37"/>
      <c r="W932" s="37"/>
    </row>
    <row r="933" spans="1:27" x14ac:dyDescent="0.3"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3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2025-10-31T22:50:08Z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