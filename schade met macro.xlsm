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94" documentId="8_{E6BCF386-B104-424C-B4A8-F32964540273}" xr6:coauthVersionLast="47" xr6:coauthVersionMax="47" xr10:uidLastSave="{6FA8FA8F-D8AC-4C58-9A8C-B7C123C1F09B}"/>
  <bookViews>
    <workbookView xWindow="-108" yWindow="-108" windowWidth="30960" windowHeight="17628" tabRatio="656" activeTab="1" xr2:uid="{D7AB5F58-0F25-45E4-9869-1B2DB4C7BDA0}"/>
  </bookViews>
  <sheets>
    <sheet name="Nieuw Dashboard" sheetId="11" r:id="rId1"/>
    <sheet name="BRON" sheetId="1" r:id="rId2"/>
    <sheet name="archief 2024" sheetId="10" state="hidden" r:id="rId3"/>
    <sheet name="data hastus" sheetId="3" state="hidden" r:id="rId4"/>
  </sheets>
  <externalReferences>
    <externalReference r:id="rId5"/>
  </externalReferences>
  <definedNames>
    <definedName name="_xlnm._FilterDatabase" localSheetId="1" hidden="1">BRON!$A$1:$E$1</definedName>
    <definedName name="_xlnm._FilterDatabase" localSheetId="3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6"/>
  </pivotCaches>
  <extLst>
    <ext xmlns:x14="http://schemas.microsoft.com/office/spreadsheetml/2009/9/main" uri="{BBE1A952-AA13-448e-AADC-164F8A28A991}">
      <x14:slicerCaches>
        <x14:slicerCache r:id="rId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08" i="1" l="1"/>
  <c r="D808" i="1"/>
  <c r="E808" i="1"/>
  <c r="S808" i="1"/>
  <c r="C807" i="1"/>
  <c r="D807" i="1"/>
  <c r="E807" i="1"/>
  <c r="S807" i="1"/>
  <c r="B31" i="11"/>
  <c r="I42" i="11"/>
  <c r="I48" i="11"/>
  <c r="C806" i="1"/>
  <c r="D806" i="1"/>
  <c r="E806" i="1"/>
  <c r="S806" i="1"/>
  <c r="C805" i="1"/>
  <c r="D805" i="1"/>
  <c r="E805" i="1"/>
  <c r="S805" i="1"/>
  <c r="C506" i="1"/>
  <c r="N49" i="11"/>
  <c r="M49" i="11"/>
  <c r="J49" i="11"/>
  <c r="I49" i="11"/>
  <c r="N48" i="11"/>
  <c r="M48" i="11"/>
  <c r="J48" i="11"/>
  <c r="N47" i="11"/>
  <c r="M47" i="11"/>
  <c r="J47" i="11"/>
  <c r="I47" i="11"/>
  <c r="N46" i="11"/>
  <c r="M46" i="11"/>
  <c r="J46" i="11"/>
  <c r="I46" i="11"/>
  <c r="N45" i="11"/>
  <c r="M45" i="11"/>
  <c r="J45" i="11"/>
  <c r="I45" i="11"/>
  <c r="N44" i="11"/>
  <c r="M44" i="11"/>
  <c r="J44" i="11"/>
  <c r="I44" i="11"/>
  <c r="N43" i="11"/>
  <c r="M43" i="11"/>
  <c r="J43" i="11"/>
  <c r="I43" i="11"/>
  <c r="N42" i="11"/>
  <c r="M42" i="11"/>
  <c r="J42" i="11"/>
  <c r="C804" i="1"/>
  <c r="D804" i="1"/>
  <c r="E804" i="1"/>
  <c r="C803" i="1"/>
  <c r="D803" i="1"/>
  <c r="E803" i="1"/>
  <c r="S803" i="1"/>
  <c r="C802" i="1"/>
  <c r="D802" i="1"/>
  <c r="E802" i="1"/>
  <c r="S802" i="1"/>
  <c r="B808" i="1" l="1"/>
  <c r="B807" i="1"/>
  <c r="B803" i="1"/>
  <c r="B804" i="1"/>
  <c r="B805" i="1"/>
  <c r="B806" i="1"/>
  <c r="I50" i="11"/>
  <c r="M50" i="11"/>
  <c r="B802" i="1"/>
  <c r="C801" i="1"/>
  <c r="D801" i="1"/>
  <c r="E801" i="1"/>
  <c r="S801" i="1"/>
  <c r="C800" i="1"/>
  <c r="D800" i="1"/>
  <c r="E800" i="1"/>
  <c r="S800" i="1"/>
  <c r="B800" i="1" l="1"/>
  <c r="B801" i="1"/>
  <c r="C799" i="1"/>
  <c r="D799" i="1"/>
  <c r="E799" i="1"/>
  <c r="S799" i="1"/>
  <c r="C798" i="1"/>
  <c r="D798" i="1"/>
  <c r="E798" i="1"/>
  <c r="S798" i="1"/>
  <c r="B798" i="1" l="1"/>
  <c r="B799" i="1"/>
  <c r="C797" i="1" l="1"/>
  <c r="D797" i="1"/>
  <c r="E797" i="1"/>
  <c r="S797" i="1"/>
  <c r="C796" i="1"/>
  <c r="D796" i="1"/>
  <c r="E796" i="1"/>
  <c r="S796" i="1"/>
  <c r="C795" i="1"/>
  <c r="D795" i="1"/>
  <c r="E795" i="1"/>
  <c r="S795" i="1"/>
  <c r="C794" i="1"/>
  <c r="D794" i="1"/>
  <c r="E794" i="1"/>
  <c r="S794" i="1"/>
  <c r="C793" i="1"/>
  <c r="D793" i="1"/>
  <c r="E793" i="1"/>
  <c r="S793" i="1"/>
  <c r="C792" i="1"/>
  <c r="D792" i="1"/>
  <c r="E792" i="1"/>
  <c r="S792" i="1"/>
  <c r="C791" i="1"/>
  <c r="D791" i="1"/>
  <c r="E791" i="1"/>
  <c r="S791" i="1"/>
  <c r="C790" i="1"/>
  <c r="D790" i="1"/>
  <c r="E790" i="1"/>
  <c r="S790" i="1"/>
  <c r="C789" i="1"/>
  <c r="D789" i="1"/>
  <c r="E789" i="1"/>
  <c r="S789" i="1"/>
  <c r="C788" i="1"/>
  <c r="D788" i="1"/>
  <c r="E788" i="1"/>
  <c r="S788" i="1"/>
  <c r="C787" i="1"/>
  <c r="D787" i="1"/>
  <c r="E787" i="1"/>
  <c r="S787" i="1"/>
  <c r="C786" i="1"/>
  <c r="D786" i="1"/>
  <c r="E786" i="1"/>
  <c r="S786" i="1"/>
  <c r="C785" i="1"/>
  <c r="D785" i="1"/>
  <c r="E785" i="1"/>
  <c r="S785" i="1"/>
  <c r="C784" i="1"/>
  <c r="D784" i="1"/>
  <c r="E784" i="1"/>
  <c r="S784" i="1"/>
  <c r="C783" i="1"/>
  <c r="D783" i="1"/>
  <c r="E783" i="1"/>
  <c r="S783" i="1"/>
  <c r="C782" i="1"/>
  <c r="D782" i="1"/>
  <c r="E782" i="1"/>
  <c r="S782" i="1"/>
  <c r="C781" i="1"/>
  <c r="D781" i="1"/>
  <c r="E781" i="1"/>
  <c r="S781" i="1"/>
  <c r="C780" i="1"/>
  <c r="D780" i="1"/>
  <c r="E780" i="1"/>
  <c r="S780" i="1"/>
  <c r="C779" i="1"/>
  <c r="D779" i="1"/>
  <c r="E779" i="1"/>
  <c r="S779" i="1"/>
  <c r="C778" i="1"/>
  <c r="D778" i="1"/>
  <c r="E778" i="1"/>
  <c r="S778" i="1"/>
  <c r="C777" i="1"/>
  <c r="D777" i="1"/>
  <c r="E777" i="1"/>
  <c r="S777" i="1"/>
  <c r="B776" i="1"/>
  <c r="S776" i="1"/>
  <c r="C775" i="1"/>
  <c r="D775" i="1"/>
  <c r="E775" i="1"/>
  <c r="S775" i="1"/>
  <c r="C774" i="1"/>
  <c r="D774" i="1"/>
  <c r="E774" i="1"/>
  <c r="S774" i="1"/>
  <c r="C773" i="1"/>
  <c r="D773" i="1"/>
  <c r="E773" i="1"/>
  <c r="S773" i="1"/>
  <c r="C772" i="1"/>
  <c r="D772" i="1"/>
  <c r="E772" i="1"/>
  <c r="S772" i="1"/>
  <c r="C771" i="1"/>
  <c r="D771" i="1"/>
  <c r="E771" i="1"/>
  <c r="S771" i="1"/>
  <c r="C770" i="1"/>
  <c r="D770" i="1"/>
  <c r="E770" i="1"/>
  <c r="S770" i="1"/>
  <c r="C769" i="1"/>
  <c r="D769" i="1"/>
  <c r="E769" i="1"/>
  <c r="S769" i="1"/>
  <c r="C768" i="1"/>
  <c r="D768" i="1"/>
  <c r="E768" i="1"/>
  <c r="S768" i="1"/>
  <c r="C767" i="1"/>
  <c r="D767" i="1"/>
  <c r="E767" i="1"/>
  <c r="S767" i="1"/>
  <c r="C766" i="1"/>
  <c r="D766" i="1"/>
  <c r="E766" i="1"/>
  <c r="S766" i="1"/>
  <c r="C765" i="1"/>
  <c r="D765" i="1"/>
  <c r="E765" i="1"/>
  <c r="S765" i="1"/>
  <c r="C764" i="1"/>
  <c r="D764" i="1"/>
  <c r="E764" i="1"/>
  <c r="S764" i="1"/>
  <c r="C763" i="1"/>
  <c r="D763" i="1"/>
  <c r="E763" i="1"/>
  <c r="S763" i="1"/>
  <c r="C762" i="1"/>
  <c r="D762" i="1"/>
  <c r="E762" i="1"/>
  <c r="S762" i="1"/>
  <c r="C761" i="1"/>
  <c r="D761" i="1"/>
  <c r="E761" i="1"/>
  <c r="S761" i="1"/>
  <c r="C760" i="1"/>
  <c r="D760" i="1"/>
  <c r="E760" i="1"/>
  <c r="S760" i="1"/>
  <c r="C759" i="1"/>
  <c r="D759" i="1"/>
  <c r="E759" i="1"/>
  <c r="S759" i="1"/>
  <c r="C758" i="1"/>
  <c r="D758" i="1"/>
  <c r="E758" i="1"/>
  <c r="S758" i="1"/>
  <c r="C757" i="1"/>
  <c r="D757" i="1"/>
  <c r="E757" i="1"/>
  <c r="S757" i="1"/>
  <c r="C756" i="1"/>
  <c r="D756" i="1"/>
  <c r="E756" i="1"/>
  <c r="S756" i="1"/>
  <c r="C755" i="1"/>
  <c r="D755" i="1"/>
  <c r="E755" i="1"/>
  <c r="S755" i="1"/>
  <c r="C754" i="1"/>
  <c r="D754" i="1"/>
  <c r="E754" i="1"/>
  <c r="S754" i="1"/>
  <c r="C753" i="1"/>
  <c r="D753" i="1"/>
  <c r="E753" i="1"/>
  <c r="S753" i="1"/>
  <c r="C752" i="1"/>
  <c r="D752" i="1"/>
  <c r="E752" i="1"/>
  <c r="S752" i="1"/>
  <c r="C751" i="1"/>
  <c r="D751" i="1"/>
  <c r="E751" i="1"/>
  <c r="S751" i="1"/>
  <c r="C750" i="1"/>
  <c r="D750" i="1"/>
  <c r="E750" i="1"/>
  <c r="S750" i="1"/>
  <c r="C749" i="1"/>
  <c r="D749" i="1"/>
  <c r="E749" i="1"/>
  <c r="S749" i="1"/>
  <c r="C748" i="1"/>
  <c r="D748" i="1"/>
  <c r="E748" i="1"/>
  <c r="S748" i="1"/>
  <c r="C747" i="1"/>
  <c r="D747" i="1"/>
  <c r="E747" i="1"/>
  <c r="S747" i="1"/>
  <c r="C746" i="1"/>
  <c r="D746" i="1"/>
  <c r="E746" i="1"/>
  <c r="S746" i="1"/>
  <c r="C745" i="1"/>
  <c r="D745" i="1"/>
  <c r="E745" i="1"/>
  <c r="S745" i="1"/>
  <c r="C744" i="1"/>
  <c r="D744" i="1"/>
  <c r="E744" i="1"/>
  <c r="S744" i="1"/>
  <c r="C743" i="1"/>
  <c r="D743" i="1"/>
  <c r="E743" i="1"/>
  <c r="S743" i="1"/>
  <c r="C742" i="1"/>
  <c r="D742" i="1"/>
  <c r="E742" i="1"/>
  <c r="S742" i="1"/>
  <c r="C741" i="1"/>
  <c r="D741" i="1"/>
  <c r="E741" i="1"/>
  <c r="S741" i="1"/>
  <c r="C740" i="1"/>
  <c r="D740" i="1"/>
  <c r="E740" i="1"/>
  <c r="S740" i="1"/>
  <c r="C739" i="1"/>
  <c r="D739" i="1"/>
  <c r="E739" i="1"/>
  <c r="S739" i="1"/>
  <c r="C738" i="1"/>
  <c r="D738" i="1"/>
  <c r="E738" i="1"/>
  <c r="S738" i="1"/>
  <c r="C737" i="1"/>
  <c r="D737" i="1"/>
  <c r="E737" i="1"/>
  <c r="S737" i="1"/>
  <c r="C736" i="1"/>
  <c r="D736" i="1"/>
  <c r="E736" i="1"/>
  <c r="S736" i="1"/>
  <c r="C735" i="1"/>
  <c r="D735" i="1"/>
  <c r="E735" i="1"/>
  <c r="S735" i="1"/>
  <c r="C734" i="1"/>
  <c r="D734" i="1"/>
  <c r="E734" i="1"/>
  <c r="S734" i="1"/>
  <c r="B795" i="1" l="1"/>
  <c r="B797" i="1"/>
  <c r="B796" i="1"/>
  <c r="B794" i="1"/>
  <c r="B793" i="1"/>
  <c r="B792" i="1"/>
  <c r="B791" i="1"/>
  <c r="B790" i="1"/>
  <c r="B789" i="1"/>
  <c r="B788" i="1"/>
  <c r="B786" i="1"/>
  <c r="B787" i="1"/>
  <c r="B780" i="1"/>
  <c r="B782" i="1"/>
  <c r="B784" i="1"/>
  <c r="B777" i="1"/>
  <c r="B779" i="1"/>
  <c r="B781" i="1"/>
  <c r="B783" i="1"/>
  <c r="B785" i="1"/>
  <c r="B774" i="1"/>
  <c r="B778" i="1"/>
  <c r="B775" i="1"/>
  <c r="B773" i="1"/>
  <c r="B766" i="1"/>
  <c r="B770" i="1"/>
  <c r="B772" i="1"/>
  <c r="B768" i="1"/>
  <c r="B769" i="1"/>
  <c r="B771" i="1"/>
  <c r="B764" i="1"/>
  <c r="B767" i="1"/>
  <c r="B765" i="1"/>
  <c r="B763" i="1"/>
  <c r="B762" i="1"/>
  <c r="B752" i="1"/>
  <c r="B756" i="1"/>
  <c r="B758" i="1"/>
  <c r="B759" i="1"/>
  <c r="B760" i="1"/>
  <c r="B761" i="1"/>
  <c r="B757" i="1"/>
  <c r="B753" i="1"/>
  <c r="B754" i="1"/>
  <c r="B755" i="1"/>
  <c r="B750" i="1"/>
  <c r="B751" i="1"/>
  <c r="B749" i="1"/>
  <c r="B748" i="1"/>
  <c r="B747" i="1"/>
  <c r="B746" i="1"/>
  <c r="B745" i="1"/>
  <c r="B744" i="1"/>
  <c r="B743" i="1"/>
  <c r="B742" i="1"/>
  <c r="B735" i="1"/>
  <c r="B739" i="1"/>
  <c r="B740" i="1"/>
  <c r="B741" i="1"/>
  <c r="B738" i="1"/>
  <c r="B737" i="1"/>
  <c r="B736" i="1"/>
  <c r="B734" i="1"/>
  <c r="C708" i="1" l="1"/>
  <c r="D708" i="1"/>
  <c r="E708" i="1"/>
  <c r="S708" i="1"/>
  <c r="C707" i="1"/>
  <c r="D707" i="1"/>
  <c r="E707" i="1"/>
  <c r="S707" i="1"/>
  <c r="C697" i="1"/>
  <c r="D697" i="1"/>
  <c r="E697" i="1"/>
  <c r="S697" i="1"/>
  <c r="C58" i="1"/>
  <c r="D58" i="1"/>
  <c r="E58" i="1"/>
  <c r="S58" i="1"/>
  <c r="S174" i="1"/>
  <c r="C250" i="1"/>
  <c r="D250" i="1"/>
  <c r="E250" i="1"/>
  <c r="S250" i="1"/>
  <c r="C254" i="1"/>
  <c r="D254" i="1"/>
  <c r="E254" i="1"/>
  <c r="S254" i="1"/>
  <c r="C214" i="1"/>
  <c r="D214" i="1"/>
  <c r="E214" i="1"/>
  <c r="S214" i="1"/>
  <c r="S242" i="1"/>
  <c r="C286" i="1"/>
  <c r="D286" i="1"/>
  <c r="E286" i="1"/>
  <c r="S286" i="1"/>
  <c r="C206" i="1"/>
  <c r="D206" i="1"/>
  <c r="E206" i="1"/>
  <c r="S206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5" i="1"/>
  <c r="D275" i="1"/>
  <c r="E275" i="1"/>
  <c r="S275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9" i="1"/>
  <c r="D289" i="1"/>
  <c r="E289" i="1"/>
  <c r="S289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4" i="1"/>
  <c r="D264" i="1"/>
  <c r="E264" i="1"/>
  <c r="S264" i="1"/>
  <c r="C420" i="1"/>
  <c r="D420" i="1"/>
  <c r="E420" i="1"/>
  <c r="S420" i="1"/>
  <c r="S217" i="1"/>
  <c r="C168" i="1"/>
  <c r="D168" i="1"/>
  <c r="E168" i="1"/>
  <c r="S168" i="1"/>
  <c r="S125" i="1"/>
  <c r="S260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7" i="1"/>
  <c r="D247" i="1"/>
  <c r="E247" i="1"/>
  <c r="S247" i="1"/>
  <c r="C199" i="1"/>
  <c r="D199" i="1"/>
  <c r="E199" i="1"/>
  <c r="S199" i="1"/>
  <c r="S150" i="1"/>
  <c r="S282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9" i="1"/>
  <c r="D319" i="1"/>
  <c r="E319" i="1"/>
  <c r="S319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30" i="1"/>
  <c r="D230" i="1"/>
  <c r="E230" i="1"/>
  <c r="S230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2" i="1"/>
  <c r="D212" i="1"/>
  <c r="E212" i="1"/>
  <c r="S212" i="1"/>
  <c r="C249" i="1"/>
  <c r="D249" i="1"/>
  <c r="E249" i="1"/>
  <c r="S249" i="1"/>
  <c r="C405" i="1"/>
  <c r="D405" i="1"/>
  <c r="E405" i="1"/>
  <c r="S405" i="1"/>
  <c r="S179" i="1"/>
  <c r="C241" i="1"/>
  <c r="D241" i="1"/>
  <c r="E241" i="1"/>
  <c r="S241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80" i="1"/>
  <c r="C494" i="1"/>
  <c r="D494" i="1"/>
  <c r="E494" i="1"/>
  <c r="S494" i="1"/>
  <c r="C124" i="1"/>
  <c r="D124" i="1"/>
  <c r="E124" i="1"/>
  <c r="S124" i="1"/>
  <c r="S244" i="1"/>
  <c r="C688" i="1"/>
  <c r="D688" i="1"/>
  <c r="E688" i="1"/>
  <c r="S688" i="1"/>
  <c r="C131" i="1"/>
  <c r="D131" i="1"/>
  <c r="E131" i="1"/>
  <c r="S131" i="1"/>
  <c r="C233" i="1"/>
  <c r="D233" i="1"/>
  <c r="E233" i="1"/>
  <c r="S233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90" i="1"/>
  <c r="D190" i="1"/>
  <c r="E190" i="1"/>
  <c r="S190" i="1"/>
  <c r="C211" i="1"/>
  <c r="D211" i="1"/>
  <c r="E211" i="1"/>
  <c r="S211" i="1"/>
  <c r="C312" i="1"/>
  <c r="D312" i="1"/>
  <c r="E312" i="1"/>
  <c r="S312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2" i="1"/>
  <c r="D192" i="1"/>
  <c r="E192" i="1"/>
  <c r="S192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10" i="1"/>
  <c r="D310" i="1"/>
  <c r="E310" i="1"/>
  <c r="S310" i="1"/>
  <c r="C107" i="1"/>
  <c r="D107" i="1"/>
  <c r="E107" i="1"/>
  <c r="S107" i="1"/>
  <c r="C375" i="1"/>
  <c r="D375" i="1"/>
  <c r="E375" i="1"/>
  <c r="S375" i="1"/>
  <c r="C285" i="1"/>
  <c r="D285" i="1"/>
  <c r="E285" i="1"/>
  <c r="S285" i="1"/>
  <c r="C709" i="1"/>
  <c r="D709" i="1"/>
  <c r="E709" i="1"/>
  <c r="S709" i="1"/>
  <c r="C11" i="1"/>
  <c r="D11" i="1"/>
  <c r="E11" i="1"/>
  <c r="S11" i="1"/>
  <c r="C117" i="1"/>
  <c r="D117" i="1"/>
  <c r="E117" i="1"/>
  <c r="S117" i="1"/>
  <c r="C257" i="1"/>
  <c r="D257" i="1"/>
  <c r="E257" i="1"/>
  <c r="S257" i="1"/>
  <c r="C309" i="1"/>
  <c r="D309" i="1"/>
  <c r="E309" i="1"/>
  <c r="S309" i="1"/>
  <c r="C116" i="1"/>
  <c r="D116" i="1"/>
  <c r="E116" i="1"/>
  <c r="S116" i="1"/>
  <c r="S175" i="1"/>
  <c r="C699" i="1"/>
  <c r="D699" i="1"/>
  <c r="E699" i="1"/>
  <c r="S699" i="1"/>
  <c r="C706" i="1"/>
  <c r="D706" i="1"/>
  <c r="E706" i="1"/>
  <c r="S706" i="1"/>
  <c r="C705" i="1"/>
  <c r="D705" i="1"/>
  <c r="E705" i="1"/>
  <c r="S705" i="1"/>
  <c r="C501" i="1"/>
  <c r="D501" i="1"/>
  <c r="E501" i="1"/>
  <c r="S501" i="1"/>
  <c r="C229" i="1"/>
  <c r="D229" i="1"/>
  <c r="E229" i="1"/>
  <c r="S229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8" i="1"/>
  <c r="D308" i="1"/>
  <c r="E308" i="1"/>
  <c r="S308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8" i="1"/>
  <c r="D218" i="1"/>
  <c r="E218" i="1"/>
  <c r="S218" i="1"/>
  <c r="C255" i="1"/>
  <c r="D255" i="1"/>
  <c r="E255" i="1"/>
  <c r="S255" i="1"/>
  <c r="C221" i="1"/>
  <c r="D221" i="1"/>
  <c r="E221" i="1"/>
  <c r="S221" i="1"/>
  <c r="C443" i="1"/>
  <c r="D443" i="1"/>
  <c r="E443" i="1"/>
  <c r="S443" i="1"/>
  <c r="C297" i="1"/>
  <c r="D297" i="1"/>
  <c r="E297" i="1"/>
  <c r="S297" i="1"/>
  <c r="C164" i="1"/>
  <c r="D164" i="1"/>
  <c r="E164" i="1"/>
  <c r="S164" i="1"/>
  <c r="C278" i="1"/>
  <c r="D278" i="1"/>
  <c r="E278" i="1"/>
  <c r="S278" i="1"/>
  <c r="C480" i="1"/>
  <c r="D480" i="1"/>
  <c r="E480" i="1"/>
  <c r="S480" i="1"/>
  <c r="C296" i="1"/>
  <c r="D296" i="1"/>
  <c r="E296" i="1"/>
  <c r="S296" i="1"/>
  <c r="C256" i="1"/>
  <c r="D256" i="1"/>
  <c r="E256" i="1"/>
  <c r="S256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3" i="1"/>
  <c r="C361" i="1"/>
  <c r="D361" i="1"/>
  <c r="E361" i="1"/>
  <c r="S361" i="1"/>
  <c r="C325" i="1"/>
  <c r="D325" i="1"/>
  <c r="E325" i="1"/>
  <c r="S325" i="1"/>
  <c r="C437" i="1"/>
  <c r="D437" i="1"/>
  <c r="E437" i="1"/>
  <c r="S437" i="1"/>
  <c r="S134" i="1"/>
  <c r="C305" i="1"/>
  <c r="D305" i="1"/>
  <c r="E305" i="1"/>
  <c r="S305" i="1"/>
  <c r="C201" i="1"/>
  <c r="D201" i="1"/>
  <c r="E201" i="1"/>
  <c r="S201" i="1"/>
  <c r="C284" i="1"/>
  <c r="D284" i="1"/>
  <c r="E284" i="1"/>
  <c r="S284" i="1"/>
  <c r="C295" i="1"/>
  <c r="D295" i="1"/>
  <c r="E295" i="1"/>
  <c r="S295" i="1"/>
  <c r="C228" i="1"/>
  <c r="D228" i="1"/>
  <c r="E228" i="1"/>
  <c r="S228" i="1"/>
  <c r="C353" i="1"/>
  <c r="D353" i="1"/>
  <c r="E353" i="1"/>
  <c r="S353" i="1"/>
  <c r="C288" i="1"/>
  <c r="D288" i="1"/>
  <c r="E288" i="1"/>
  <c r="S288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1" i="1"/>
  <c r="D321" i="1"/>
  <c r="E321" i="1"/>
  <c r="S321" i="1"/>
  <c r="C3" i="1"/>
  <c r="D3" i="1"/>
  <c r="E3" i="1"/>
  <c r="S3" i="1"/>
  <c r="C504" i="1"/>
  <c r="D504" i="1"/>
  <c r="E504" i="1"/>
  <c r="S504" i="1"/>
  <c r="S220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8" i="1"/>
  <c r="D268" i="1"/>
  <c r="E268" i="1"/>
  <c r="S268" i="1"/>
  <c r="C411" i="1"/>
  <c r="D411" i="1"/>
  <c r="E411" i="1"/>
  <c r="S411" i="1"/>
  <c r="C7" i="1"/>
  <c r="D7" i="1"/>
  <c r="E7" i="1"/>
  <c r="S7" i="1"/>
  <c r="C360" i="1"/>
  <c r="D360" i="1"/>
  <c r="E360" i="1"/>
  <c r="S360" i="1"/>
  <c r="C320" i="1"/>
  <c r="D320" i="1"/>
  <c r="E320" i="1"/>
  <c r="S320" i="1"/>
  <c r="C291" i="1"/>
  <c r="D291" i="1"/>
  <c r="E291" i="1"/>
  <c r="S291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4" i="1"/>
  <c r="D294" i="1"/>
  <c r="E294" i="1"/>
  <c r="S294" i="1"/>
  <c r="C205" i="1"/>
  <c r="D205" i="1"/>
  <c r="E205" i="1"/>
  <c r="S205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9" i="1"/>
  <c r="D259" i="1"/>
  <c r="E259" i="1"/>
  <c r="S259" i="1"/>
  <c r="C194" i="1"/>
  <c r="D194" i="1"/>
  <c r="E194" i="1"/>
  <c r="S194" i="1"/>
  <c r="S298" i="1"/>
  <c r="C366" i="1"/>
  <c r="D366" i="1"/>
  <c r="E366" i="1"/>
  <c r="S366" i="1"/>
  <c r="C261" i="1"/>
  <c r="D261" i="1"/>
  <c r="E261" i="1"/>
  <c r="S261" i="1"/>
  <c r="C386" i="1"/>
  <c r="D386" i="1"/>
  <c r="E386" i="1"/>
  <c r="S386" i="1"/>
  <c r="C408" i="1"/>
  <c r="D408" i="1"/>
  <c r="E408" i="1"/>
  <c r="S408" i="1"/>
  <c r="S235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1" i="1"/>
  <c r="D311" i="1"/>
  <c r="E311" i="1"/>
  <c r="S311" i="1"/>
  <c r="C317" i="1"/>
  <c r="D317" i="1"/>
  <c r="E317" i="1"/>
  <c r="S317" i="1"/>
  <c r="S324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7" i="1"/>
  <c r="D287" i="1"/>
  <c r="E287" i="1"/>
  <c r="S287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5" i="1"/>
  <c r="D225" i="1"/>
  <c r="E225" i="1"/>
  <c r="S225" i="1"/>
  <c r="S346" i="1"/>
  <c r="S315" i="1"/>
  <c r="S281" i="1"/>
  <c r="C183" i="1"/>
  <c r="D183" i="1"/>
  <c r="E183" i="1"/>
  <c r="S183" i="1"/>
  <c r="C703" i="1"/>
  <c r="D703" i="1"/>
  <c r="E703" i="1"/>
  <c r="S703" i="1"/>
  <c r="C191" i="1"/>
  <c r="D191" i="1"/>
  <c r="E191" i="1"/>
  <c r="S191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3" i="1"/>
  <c r="D193" i="1"/>
  <c r="E193" i="1"/>
  <c r="S193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3" i="1"/>
  <c r="D253" i="1"/>
  <c r="E253" i="1"/>
  <c r="S253" i="1"/>
  <c r="C210" i="1"/>
  <c r="D210" i="1"/>
  <c r="E210" i="1"/>
  <c r="S210" i="1"/>
  <c r="C203" i="1"/>
  <c r="D203" i="1"/>
  <c r="E203" i="1"/>
  <c r="S203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6" i="1"/>
  <c r="D246" i="1"/>
  <c r="E246" i="1"/>
  <c r="S246" i="1"/>
  <c r="S200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1" i="1"/>
  <c r="D251" i="1"/>
  <c r="E251" i="1"/>
  <c r="S251" i="1"/>
  <c r="C89" i="1"/>
  <c r="D89" i="1"/>
  <c r="E89" i="1"/>
  <c r="S89" i="1"/>
  <c r="C304" i="1"/>
  <c r="D304" i="1"/>
  <c r="E304" i="1"/>
  <c r="S304" i="1"/>
  <c r="C350" i="1"/>
  <c r="D350" i="1"/>
  <c r="E350" i="1"/>
  <c r="S350" i="1"/>
  <c r="C279" i="1"/>
  <c r="D279" i="1"/>
  <c r="E279" i="1"/>
  <c r="S279" i="1"/>
  <c r="C445" i="1"/>
  <c r="D445" i="1"/>
  <c r="E445" i="1"/>
  <c r="S445" i="1"/>
  <c r="C277" i="1"/>
  <c r="D277" i="1"/>
  <c r="E277" i="1"/>
  <c r="S277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1" i="1"/>
  <c r="D271" i="1"/>
  <c r="E271" i="1"/>
  <c r="S271" i="1"/>
  <c r="C248" i="1"/>
  <c r="D248" i="1"/>
  <c r="E248" i="1"/>
  <c r="S248" i="1"/>
  <c r="B146" i="1"/>
  <c r="S146" i="1"/>
  <c r="C267" i="1"/>
  <c r="D267" i="1"/>
  <c r="E267" i="1"/>
  <c r="S267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9" i="1"/>
  <c r="D269" i="1"/>
  <c r="E269" i="1"/>
  <c r="S269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9" i="1"/>
  <c r="D189" i="1"/>
  <c r="E189" i="1"/>
  <c r="S189" i="1"/>
  <c r="C302" i="1"/>
  <c r="D302" i="1"/>
  <c r="E302" i="1"/>
  <c r="S302" i="1"/>
  <c r="C413" i="1"/>
  <c r="D413" i="1"/>
  <c r="E413" i="1"/>
  <c r="S413" i="1"/>
  <c r="C234" i="1"/>
  <c r="D234" i="1"/>
  <c r="E234" i="1"/>
  <c r="S234" i="1"/>
  <c r="C188" i="1"/>
  <c r="D188" i="1"/>
  <c r="E188" i="1"/>
  <c r="S188" i="1"/>
  <c r="C176" i="1"/>
  <c r="D176" i="1"/>
  <c r="E176" i="1"/>
  <c r="S176" i="1"/>
  <c r="C34" i="1"/>
  <c r="D34" i="1"/>
  <c r="E34" i="1"/>
  <c r="S34" i="1"/>
  <c r="C273" i="1"/>
  <c r="D273" i="1"/>
  <c r="E273" i="1"/>
  <c r="S273" i="1"/>
  <c r="C213" i="1"/>
  <c r="D213" i="1"/>
  <c r="E213" i="1"/>
  <c r="S213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9" i="1"/>
  <c r="D299" i="1"/>
  <c r="E299" i="1"/>
  <c r="S299" i="1"/>
  <c r="C197" i="1"/>
  <c r="D197" i="1"/>
  <c r="E197" i="1"/>
  <c r="S197" i="1"/>
  <c r="D506" i="1"/>
  <c r="B506" i="1" s="1"/>
  <c r="E506" i="1"/>
  <c r="S506" i="1"/>
  <c r="C266" i="1"/>
  <c r="D266" i="1"/>
  <c r="E266" i="1"/>
  <c r="S266" i="1"/>
  <c r="C41" i="1"/>
  <c r="D41" i="1"/>
  <c r="E41" i="1"/>
  <c r="S41" i="1"/>
  <c r="C245" i="1"/>
  <c r="D245" i="1"/>
  <c r="E245" i="1"/>
  <c r="S245" i="1"/>
  <c r="C704" i="1"/>
  <c r="D704" i="1"/>
  <c r="E704" i="1"/>
  <c r="S704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6" i="1"/>
  <c r="D236" i="1"/>
  <c r="E236" i="1"/>
  <c r="S236" i="1"/>
  <c r="S103" i="1"/>
  <c r="C198" i="1"/>
  <c r="D198" i="1"/>
  <c r="E198" i="1"/>
  <c r="S198" i="1"/>
  <c r="C232" i="1"/>
  <c r="D232" i="1"/>
  <c r="E232" i="1"/>
  <c r="S232" i="1"/>
  <c r="C224" i="1"/>
  <c r="D224" i="1"/>
  <c r="E224" i="1"/>
  <c r="S224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40" i="1"/>
  <c r="D240" i="1"/>
  <c r="E240" i="1"/>
  <c r="S240" i="1"/>
  <c r="S270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2" i="1"/>
  <c r="D202" i="1"/>
  <c r="E202" i="1"/>
  <c r="S202" i="1"/>
  <c r="C81" i="1"/>
  <c r="D81" i="1"/>
  <c r="E81" i="1"/>
  <c r="S81" i="1"/>
  <c r="C383" i="1"/>
  <c r="D383" i="1"/>
  <c r="E383" i="1"/>
  <c r="S383" i="1"/>
  <c r="C293" i="1"/>
  <c r="D293" i="1"/>
  <c r="E293" i="1"/>
  <c r="S293" i="1"/>
  <c r="C113" i="1"/>
  <c r="D113" i="1"/>
  <c r="E113" i="1"/>
  <c r="S113" i="1"/>
  <c r="S272" i="1"/>
  <c r="S370" i="1"/>
  <c r="C9" i="1"/>
  <c r="D9" i="1"/>
  <c r="E9" i="1"/>
  <c r="S9" i="1"/>
  <c r="C216" i="1"/>
  <c r="D216" i="1"/>
  <c r="E216" i="1"/>
  <c r="S216" i="1"/>
  <c r="C93" i="1"/>
  <c r="D93" i="1"/>
  <c r="E93" i="1"/>
  <c r="S93" i="1"/>
  <c r="C239" i="1"/>
  <c r="D239" i="1"/>
  <c r="E239" i="1"/>
  <c r="S239" i="1"/>
  <c r="C444" i="1"/>
  <c r="D444" i="1"/>
  <c r="E444" i="1"/>
  <c r="S444" i="1"/>
  <c r="C292" i="1"/>
  <c r="D292" i="1"/>
  <c r="E292" i="1"/>
  <c r="S292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3" i="1"/>
  <c r="D313" i="1"/>
  <c r="E313" i="1"/>
  <c r="S313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9" i="1"/>
  <c r="D209" i="1"/>
  <c r="E209" i="1"/>
  <c r="S209" i="1"/>
  <c r="S314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1" i="1"/>
  <c r="D301" i="1"/>
  <c r="E301" i="1"/>
  <c r="S301" i="1"/>
  <c r="C300" i="1"/>
  <c r="D300" i="1"/>
  <c r="E300" i="1"/>
  <c r="S300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8" i="1"/>
  <c r="D318" i="1"/>
  <c r="E318" i="1"/>
  <c r="S318" i="1"/>
  <c r="C441" i="1"/>
  <c r="D441" i="1"/>
  <c r="E441" i="1"/>
  <c r="S441" i="1"/>
  <c r="S227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6" i="1"/>
  <c r="D196" i="1"/>
  <c r="E196" i="1"/>
  <c r="S196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5" i="1"/>
  <c r="C238" i="1"/>
  <c r="D238" i="1"/>
  <c r="E238" i="1"/>
  <c r="S238" i="1"/>
  <c r="C258" i="1"/>
  <c r="D258" i="1"/>
  <c r="E258" i="1"/>
  <c r="S258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6" i="1"/>
  <c r="D306" i="1"/>
  <c r="E306" i="1"/>
  <c r="S306" i="1"/>
  <c r="C142" i="1"/>
  <c r="D142" i="1"/>
  <c r="E142" i="1"/>
  <c r="S142" i="1"/>
  <c r="C322" i="1"/>
  <c r="D322" i="1"/>
  <c r="E322" i="1"/>
  <c r="S322" i="1"/>
  <c r="C378" i="1"/>
  <c r="D378" i="1"/>
  <c r="E378" i="1"/>
  <c r="S378" i="1"/>
  <c r="S219" i="1"/>
  <c r="C341" i="1"/>
  <c r="D341" i="1"/>
  <c r="E341" i="1"/>
  <c r="S341" i="1"/>
  <c r="C458" i="1"/>
  <c r="D458" i="1"/>
  <c r="E458" i="1"/>
  <c r="S458" i="1"/>
  <c r="C243" i="1"/>
  <c r="D243" i="1"/>
  <c r="E243" i="1"/>
  <c r="S243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90" i="1"/>
  <c r="D290" i="1"/>
  <c r="E290" i="1"/>
  <c r="S290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4" i="1"/>
  <c r="D204" i="1"/>
  <c r="E204" i="1"/>
  <c r="S204" i="1"/>
  <c r="C274" i="1"/>
  <c r="D274" i="1"/>
  <c r="E274" i="1"/>
  <c r="S274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3" i="1"/>
  <c r="D283" i="1"/>
  <c r="E283" i="1"/>
  <c r="S283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1" i="1"/>
  <c r="D231" i="1"/>
  <c r="E231" i="1"/>
  <c r="S231" i="1"/>
  <c r="C469" i="1"/>
  <c r="D469" i="1"/>
  <c r="E469" i="1"/>
  <c r="S469" i="1"/>
  <c r="C252" i="1"/>
  <c r="D252" i="1"/>
  <c r="E252" i="1"/>
  <c r="S252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2" i="1"/>
  <c r="D222" i="1"/>
  <c r="E222" i="1"/>
  <c r="S222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7" i="1"/>
  <c r="C307" i="1"/>
  <c r="D307" i="1"/>
  <c r="E307" i="1"/>
  <c r="S307" i="1"/>
  <c r="C208" i="1"/>
  <c r="D208" i="1"/>
  <c r="E208" i="1"/>
  <c r="S208" i="1"/>
  <c r="C434" i="1"/>
  <c r="D434" i="1"/>
  <c r="E434" i="1"/>
  <c r="S434" i="1"/>
  <c r="C39" i="1"/>
  <c r="D39" i="1"/>
  <c r="E39" i="1"/>
  <c r="S39" i="1"/>
  <c r="C702" i="1"/>
  <c r="D702" i="1"/>
  <c r="E702" i="1"/>
  <c r="S702" i="1"/>
  <c r="S373" i="1"/>
  <c r="C418" i="1"/>
  <c r="D418" i="1"/>
  <c r="E418" i="1"/>
  <c r="S418" i="1"/>
  <c r="C207" i="1"/>
  <c r="D207" i="1"/>
  <c r="E207" i="1"/>
  <c r="S207" i="1"/>
  <c r="C465" i="1"/>
  <c r="D465" i="1"/>
  <c r="E465" i="1"/>
  <c r="S465" i="1"/>
  <c r="C215" i="1"/>
  <c r="D215" i="1"/>
  <c r="E215" i="1"/>
  <c r="S215" i="1"/>
  <c r="C71" i="1"/>
  <c r="D71" i="1"/>
  <c r="E71" i="1"/>
  <c r="S71" i="1"/>
  <c r="C303" i="1"/>
  <c r="D303" i="1"/>
  <c r="E303" i="1"/>
  <c r="S303" i="1"/>
  <c r="S262" i="1"/>
  <c r="C20" i="1"/>
  <c r="D20" i="1"/>
  <c r="E20" i="1"/>
  <c r="S20" i="1"/>
  <c r="C130" i="1"/>
  <c r="D130" i="1"/>
  <c r="E130" i="1"/>
  <c r="S130" i="1"/>
  <c r="C323" i="1"/>
  <c r="D323" i="1"/>
  <c r="E323" i="1"/>
  <c r="S323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7" i="1"/>
  <c r="C115" i="1"/>
  <c r="D115" i="1"/>
  <c r="E115" i="1"/>
  <c r="S115" i="1"/>
  <c r="C119" i="1"/>
  <c r="D119" i="1"/>
  <c r="E119" i="1"/>
  <c r="S119" i="1"/>
  <c r="C276" i="1"/>
  <c r="D276" i="1"/>
  <c r="E276" i="1"/>
  <c r="S276" i="1"/>
  <c r="C399" i="1"/>
  <c r="D399" i="1"/>
  <c r="E399" i="1"/>
  <c r="S399" i="1"/>
  <c r="C139" i="1"/>
  <c r="D139" i="1"/>
  <c r="E139" i="1"/>
  <c r="S139" i="1"/>
  <c r="C316" i="1"/>
  <c r="D316" i="1"/>
  <c r="E316" i="1"/>
  <c r="S316" i="1"/>
  <c r="C88" i="1"/>
  <c r="D88" i="1"/>
  <c r="E88" i="1"/>
  <c r="S88" i="1"/>
  <c r="C226" i="1"/>
  <c r="D226" i="1"/>
  <c r="E226" i="1"/>
  <c r="S226" i="1"/>
  <c r="C121" i="1"/>
  <c r="D121" i="1"/>
  <c r="E121" i="1"/>
  <c r="S121" i="1"/>
  <c r="C417" i="1"/>
  <c r="D417" i="1"/>
  <c r="E417" i="1"/>
  <c r="S417" i="1"/>
  <c r="C265" i="1"/>
  <c r="D265" i="1"/>
  <c r="E265" i="1"/>
  <c r="S265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3" i="1"/>
  <c r="D263" i="1"/>
  <c r="E263" i="1"/>
  <c r="S263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6" i="1"/>
  <c r="D326" i="1"/>
  <c r="E326" i="1"/>
  <c r="S326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701" i="1"/>
  <c r="D701" i="1"/>
  <c r="E701" i="1"/>
  <c r="S701" i="1"/>
  <c r="B707" i="1" l="1"/>
  <c r="B708" i="1"/>
  <c r="B174" i="1"/>
  <c r="B697" i="1"/>
  <c r="B58" i="1"/>
  <c r="B250" i="1"/>
  <c r="B214" i="1"/>
  <c r="B254" i="1"/>
  <c r="B242" i="1"/>
  <c r="B206" i="1"/>
  <c r="B286" i="1"/>
  <c r="B118" i="1"/>
  <c r="B78" i="1"/>
  <c r="B184" i="1"/>
  <c r="B126" i="1"/>
  <c r="B169" i="1"/>
  <c r="B155" i="1"/>
  <c r="B87" i="1"/>
  <c r="B19" i="1"/>
  <c r="B16" i="1"/>
  <c r="B275" i="1"/>
  <c r="B436" i="1"/>
  <c r="B112" i="1"/>
  <c r="B182" i="1"/>
  <c r="B12" i="1"/>
  <c r="B128" i="1"/>
  <c r="B289" i="1"/>
  <c r="B354" i="1"/>
  <c r="B4" i="1"/>
  <c r="B56" i="1"/>
  <c r="B5" i="1"/>
  <c r="B69" i="1"/>
  <c r="B18" i="1"/>
  <c r="B97" i="1"/>
  <c r="B132" i="1"/>
  <c r="B137" i="1"/>
  <c r="B95" i="1"/>
  <c r="B422" i="1"/>
  <c r="B420" i="1"/>
  <c r="B264" i="1"/>
  <c r="B217" i="1"/>
  <c r="B168" i="1"/>
  <c r="B260" i="1"/>
  <c r="B125" i="1"/>
  <c r="B67" i="1"/>
  <c r="B167" i="1"/>
  <c r="B492" i="1"/>
  <c r="B159" i="1"/>
  <c r="B108" i="1"/>
  <c r="B247" i="1"/>
  <c r="B282" i="1"/>
  <c r="B199" i="1"/>
  <c r="B150" i="1"/>
  <c r="B391" i="1"/>
  <c r="B438" i="1"/>
  <c r="B481" i="1"/>
  <c r="B52" i="1"/>
  <c r="B319" i="1"/>
  <c r="B140" i="1"/>
  <c r="B390" i="1"/>
  <c r="B479" i="1"/>
  <c r="B230" i="1"/>
  <c r="B389" i="1"/>
  <c r="B477" i="1"/>
  <c r="B388" i="1"/>
  <c r="B511" i="1"/>
  <c r="B212" i="1"/>
  <c r="B396" i="1"/>
  <c r="B249" i="1"/>
  <c r="B179" i="1"/>
  <c r="B405" i="1"/>
  <c r="B85" i="1"/>
  <c r="B241" i="1"/>
  <c r="B86" i="1"/>
  <c r="B23" i="1"/>
  <c r="B457" i="1"/>
  <c r="B280" i="1"/>
  <c r="B494" i="1"/>
  <c r="B124" i="1"/>
  <c r="B244" i="1"/>
  <c r="B131" i="1"/>
  <c r="B688" i="1"/>
  <c r="B123" i="1"/>
  <c r="B233" i="1"/>
  <c r="B166" i="1"/>
  <c r="B122" i="1"/>
  <c r="B114" i="1"/>
  <c r="B190" i="1"/>
  <c r="B312" i="1"/>
  <c r="B165" i="1"/>
  <c r="B211" i="1"/>
  <c r="B395" i="1"/>
  <c r="B181" i="1"/>
  <c r="B192" i="1"/>
  <c r="B473" i="1"/>
  <c r="B509" i="1"/>
  <c r="B129" i="1"/>
  <c r="B371" i="1"/>
  <c r="B82" i="1"/>
  <c r="B310" i="1"/>
  <c r="B107" i="1"/>
  <c r="B285" i="1"/>
  <c r="B375" i="1"/>
  <c r="B709" i="1"/>
  <c r="B11" i="1"/>
  <c r="B117" i="1"/>
  <c r="B309" i="1"/>
  <c r="B257" i="1"/>
  <c r="B116" i="1"/>
  <c r="B175" i="1"/>
  <c r="B699" i="1"/>
  <c r="B705" i="1"/>
  <c r="B706" i="1"/>
  <c r="B501" i="1"/>
  <c r="B229" i="1"/>
  <c r="B339" i="1"/>
  <c r="B414" i="1"/>
  <c r="B500" i="1"/>
  <c r="B485" i="1"/>
  <c r="B505" i="1"/>
  <c r="B416" i="1"/>
  <c r="B180" i="1"/>
  <c r="B308" i="1"/>
  <c r="B379" i="1"/>
  <c r="B472" i="1"/>
  <c r="B73" i="1"/>
  <c r="B490" i="1"/>
  <c r="B50" i="1"/>
  <c r="B440" i="1"/>
  <c r="B459" i="1"/>
  <c r="B424" i="1"/>
  <c r="B96" i="1"/>
  <c r="B255" i="1"/>
  <c r="B218" i="1"/>
  <c r="B443" i="1"/>
  <c r="B221" i="1"/>
  <c r="B164" i="1"/>
  <c r="B384" i="1"/>
  <c r="B297" i="1"/>
  <c r="B278" i="1"/>
  <c r="B480" i="1"/>
  <c r="B256" i="1"/>
  <c r="B296" i="1"/>
  <c r="B27" i="1"/>
  <c r="B178" i="1"/>
  <c r="B397" i="1"/>
  <c r="B475" i="1"/>
  <c r="B331" i="1"/>
  <c r="B471" i="1"/>
  <c r="B412" i="1"/>
  <c r="B437" i="1"/>
  <c r="B223" i="1"/>
  <c r="B361" i="1"/>
  <c r="B325" i="1"/>
  <c r="B134" i="1"/>
  <c r="B201" i="1"/>
  <c r="B305" i="1"/>
  <c r="B284" i="1"/>
  <c r="B295" i="1"/>
  <c r="B228" i="1"/>
  <c r="B288" i="1"/>
  <c r="B353" i="1"/>
  <c r="B66" i="1"/>
  <c r="B15" i="1"/>
  <c r="B148" i="1"/>
  <c r="B426" i="1"/>
  <c r="B513" i="1"/>
  <c r="B450" i="1"/>
  <c r="B54" i="1"/>
  <c r="B321" i="1"/>
  <c r="B504" i="1"/>
  <c r="B3" i="1"/>
  <c r="B220" i="1"/>
  <c r="B484" i="1"/>
  <c r="B377" i="1"/>
  <c r="B439" i="1"/>
  <c r="B453" i="1"/>
  <c r="B404" i="1"/>
  <c r="B133" i="1"/>
  <c r="B456" i="1"/>
  <c r="B106" i="1"/>
  <c r="B186" i="1"/>
  <c r="B455" i="1"/>
  <c r="B503" i="1"/>
  <c r="B403" i="1"/>
  <c r="B333" i="1"/>
  <c r="B461" i="1"/>
  <c r="B411" i="1"/>
  <c r="B268" i="1"/>
  <c r="B7" i="1"/>
  <c r="B360" i="1"/>
  <c r="B320" i="1"/>
  <c r="B185" i="1"/>
  <c r="B291" i="1"/>
  <c r="B127" i="1"/>
  <c r="B298" i="1"/>
  <c r="B294" i="1"/>
  <c r="B447" i="1"/>
  <c r="B205" i="1"/>
  <c r="B14" i="1"/>
  <c r="B30" i="1"/>
  <c r="B381" i="1"/>
  <c r="B57" i="1"/>
  <c r="B259" i="1"/>
  <c r="B194" i="1"/>
  <c r="B366" i="1"/>
  <c r="B261" i="1"/>
  <c r="B408" i="1"/>
  <c r="B386" i="1"/>
  <c r="B235" i="1"/>
  <c r="B334" i="1"/>
  <c r="B158" i="1"/>
  <c r="B446" i="1"/>
  <c r="B311" i="1"/>
  <c r="B317" i="1"/>
  <c r="B49" i="1"/>
  <c r="B324" i="1"/>
  <c r="B154" i="1"/>
  <c r="B153" i="1"/>
  <c r="B172" i="1"/>
  <c r="B70" i="1"/>
  <c r="B152" i="1"/>
  <c r="B287" i="1"/>
  <c r="B31" i="1"/>
  <c r="B460" i="1"/>
  <c r="B24" i="1"/>
  <c r="B225" i="1"/>
  <c r="B337" i="1"/>
  <c r="B346" i="1"/>
  <c r="B315" i="1"/>
  <c r="B281" i="1"/>
  <c r="B703" i="1"/>
  <c r="B183" i="1"/>
  <c r="B191" i="1"/>
  <c r="B22" i="1"/>
  <c r="B161" i="1"/>
  <c r="B394" i="1"/>
  <c r="B352" i="1"/>
  <c r="B402" i="1"/>
  <c r="B193" i="1"/>
  <c r="B59" i="1"/>
  <c r="B48" i="1"/>
  <c r="B355" i="1"/>
  <c r="B328" i="1"/>
  <c r="B105" i="1"/>
  <c r="B393" i="1"/>
  <c r="B28" i="1"/>
  <c r="B387" i="1"/>
  <c r="B210" i="1"/>
  <c r="B253" i="1"/>
  <c r="B203" i="1"/>
  <c r="B423" i="1"/>
  <c r="B468" i="1"/>
  <c r="B335" i="1"/>
  <c r="B425" i="1"/>
  <c r="B454" i="1"/>
  <c r="B246" i="1"/>
  <c r="B508" i="1"/>
  <c r="B498" i="1"/>
  <c r="B200" i="1"/>
  <c r="B89" i="1"/>
  <c r="B362" i="1"/>
  <c r="B406" i="1"/>
  <c r="B380" i="1"/>
  <c r="B304" i="1"/>
  <c r="B251" i="1"/>
  <c r="B350" i="1"/>
  <c r="B279" i="1"/>
  <c r="B277" i="1"/>
  <c r="B157" i="1"/>
  <c r="B445" i="1"/>
  <c r="B428" i="1"/>
  <c r="B467" i="1"/>
  <c r="B419" i="1"/>
  <c r="B374" i="1"/>
  <c r="B497" i="1"/>
  <c r="B466" i="1"/>
  <c r="B171" i="1"/>
  <c r="B17" i="1"/>
  <c r="B345" i="1"/>
  <c r="B94" i="1"/>
  <c r="B136" i="1"/>
  <c r="B496" i="1"/>
  <c r="B177" i="1"/>
  <c r="B372" i="1"/>
  <c r="B489" i="1"/>
  <c r="B248" i="1"/>
  <c r="B271" i="1"/>
  <c r="B267" i="1"/>
  <c r="B329" i="1"/>
  <c r="B46" i="1"/>
  <c r="B135" i="1"/>
  <c r="B72" i="1"/>
  <c r="B2" i="1"/>
  <c r="B163" i="1"/>
  <c r="B269" i="1"/>
  <c r="B109" i="1"/>
  <c r="B358" i="1"/>
  <c r="B138" i="1"/>
  <c r="B176" i="1"/>
  <c r="B44" i="1"/>
  <c r="B189" i="1"/>
  <c r="B363" i="1"/>
  <c r="B302" i="1"/>
  <c r="B234" i="1"/>
  <c r="B413" i="1"/>
  <c r="B188" i="1"/>
  <c r="B34" i="1"/>
  <c r="B273" i="1"/>
  <c r="B213" i="1"/>
  <c r="B61" i="1"/>
  <c r="B427" i="1"/>
  <c r="B21" i="1"/>
  <c r="B197" i="1"/>
  <c r="B433" i="1"/>
  <c r="B299" i="1"/>
  <c r="B245" i="1"/>
  <c r="B266" i="1"/>
  <c r="B41" i="1"/>
  <c r="B704" i="1"/>
  <c r="B344" i="1"/>
  <c r="B26" i="1"/>
  <c r="B442" i="1"/>
  <c r="B347" i="1"/>
  <c r="B236" i="1"/>
  <c r="B103" i="1"/>
  <c r="B198" i="1"/>
  <c r="B224" i="1"/>
  <c r="B232" i="1"/>
  <c r="B45" i="1"/>
  <c r="B62" i="1"/>
  <c r="B449" i="1"/>
  <c r="B40" i="1"/>
  <c r="B365" i="1"/>
  <c r="B502" i="1"/>
  <c r="B488" i="1"/>
  <c r="B359" i="1"/>
  <c r="B240" i="1"/>
  <c r="B270" i="1"/>
  <c r="B357" i="1"/>
  <c r="B486" i="1"/>
  <c r="B29" i="1"/>
  <c r="B202" i="1"/>
  <c r="B383" i="1"/>
  <c r="B293" i="1"/>
  <c r="B81" i="1"/>
  <c r="B113" i="1"/>
  <c r="B272" i="1"/>
  <c r="B370" i="1"/>
  <c r="B9" i="1"/>
  <c r="B216" i="1"/>
  <c r="B93" i="1"/>
  <c r="B444" i="1"/>
  <c r="B239" i="1"/>
  <c r="B292" i="1"/>
  <c r="B25" i="1"/>
  <c r="B349" i="1"/>
  <c r="B36" i="1"/>
  <c r="B65" i="1"/>
  <c r="B92" i="1"/>
  <c r="B313" i="1"/>
  <c r="B43" i="1"/>
  <c r="B348" i="1"/>
  <c r="B170" i="1"/>
  <c r="B452" i="1"/>
  <c r="B430" i="1"/>
  <c r="B483" i="1"/>
  <c r="B369" i="1"/>
  <c r="B209" i="1"/>
  <c r="B35" i="1"/>
  <c r="B314" i="1"/>
  <c r="B478" i="1"/>
  <c r="B410" i="1"/>
  <c r="B64" i="1"/>
  <c r="B173" i="1"/>
  <c r="B301" i="1"/>
  <c r="B367" i="1"/>
  <c r="B300" i="1"/>
  <c r="B160" i="1"/>
  <c r="B409" i="1"/>
  <c r="B111" i="1"/>
  <c r="B463" i="1"/>
  <c r="B343" i="1"/>
  <c r="B487" i="1"/>
  <c r="B364" i="1"/>
  <c r="B151" i="1"/>
  <c r="B318" i="1"/>
  <c r="B385" i="1"/>
  <c r="B441" i="1"/>
  <c r="B227" i="1"/>
  <c r="B491" i="1"/>
  <c r="B145" i="1"/>
  <c r="B147" i="1"/>
  <c r="B144" i="1"/>
  <c r="B53" i="1"/>
  <c r="B110" i="1"/>
  <c r="B80" i="1"/>
  <c r="B75" i="1"/>
  <c r="B84" i="1"/>
  <c r="B400" i="1"/>
  <c r="B493" i="1"/>
  <c r="B351" i="1"/>
  <c r="B37" i="1"/>
  <c r="B77" i="1"/>
  <c r="B196" i="1"/>
  <c r="B415" i="1"/>
  <c r="B162" i="1"/>
  <c r="B143" i="1"/>
  <c r="B238" i="1"/>
  <c r="B195" i="1"/>
  <c r="B451" i="1"/>
  <c r="B342" i="1"/>
  <c r="B258" i="1"/>
  <c r="B507" i="1"/>
  <c r="B432" i="1"/>
  <c r="B306" i="1"/>
  <c r="B142" i="1"/>
  <c r="B458" i="1"/>
  <c r="B378" i="1"/>
  <c r="B322" i="1"/>
  <c r="B341" i="1"/>
  <c r="B219" i="1"/>
  <c r="B243" i="1"/>
  <c r="B101" i="1"/>
  <c r="B10" i="1"/>
  <c r="B470" i="1"/>
  <c r="B290" i="1"/>
  <c r="B33" i="1"/>
  <c r="B141" i="1"/>
  <c r="B462" i="1"/>
  <c r="B8" i="1"/>
  <c r="B356" i="1"/>
  <c r="B204" i="1"/>
  <c r="B274" i="1"/>
  <c r="B76" i="1"/>
  <c r="B32" i="1"/>
  <c r="B42" i="1"/>
  <c r="B13" i="1"/>
  <c r="B495" i="1"/>
  <c r="B336" i="1"/>
  <c r="B283" i="1"/>
  <c r="B51" i="1"/>
  <c r="B476" i="1"/>
  <c r="B100" i="1"/>
  <c r="B330" i="1"/>
  <c r="B421" i="1"/>
  <c r="B231" i="1"/>
  <c r="B368" i="1"/>
  <c r="B252" i="1"/>
  <c r="B469" i="1"/>
  <c r="B149" i="1"/>
  <c r="B104" i="1"/>
  <c r="B60" i="1"/>
  <c r="B499" i="1"/>
  <c r="B464" i="1"/>
  <c r="B156" i="1"/>
  <c r="B340" i="1"/>
  <c r="B91" i="1"/>
  <c r="B99" i="1"/>
  <c r="B510" i="1"/>
  <c r="B55" i="1"/>
  <c r="B407" i="1"/>
  <c r="B327" i="1"/>
  <c r="B398" i="1"/>
  <c r="B222" i="1"/>
  <c r="B435" i="1"/>
  <c r="B332" i="1"/>
  <c r="B307" i="1"/>
  <c r="B208" i="1"/>
  <c r="B434" i="1"/>
  <c r="B702" i="1"/>
  <c r="B39" i="1"/>
  <c r="B418" i="1"/>
  <c r="B373" i="1"/>
  <c r="B465" i="1"/>
  <c r="B207" i="1"/>
  <c r="B215" i="1"/>
  <c r="B71" i="1"/>
  <c r="B20" i="1"/>
  <c r="B303" i="1"/>
  <c r="B262" i="1"/>
  <c r="B130" i="1"/>
  <c r="B323" i="1"/>
  <c r="B429" i="1"/>
  <c r="B98" i="1"/>
  <c r="B401" i="1"/>
  <c r="B382" i="1"/>
  <c r="B6" i="1"/>
  <c r="B431" i="1"/>
  <c r="B187" i="1"/>
  <c r="B115" i="1"/>
  <c r="B237" i="1"/>
  <c r="B119" i="1"/>
  <c r="B276" i="1"/>
  <c r="B399" i="1"/>
  <c r="B316" i="1"/>
  <c r="B139" i="1"/>
  <c r="B88" i="1"/>
  <c r="B121" i="1"/>
  <c r="B68" i="1"/>
  <c r="B226" i="1"/>
  <c r="B417" i="1"/>
  <c r="B265" i="1"/>
  <c r="B47" i="1"/>
  <c r="B83" i="1"/>
  <c r="B74" i="1"/>
  <c r="B376" i="1"/>
  <c r="B120" i="1"/>
  <c r="B448" i="1"/>
  <c r="B263" i="1"/>
  <c r="B38" i="1"/>
  <c r="B79" i="1"/>
  <c r="B102" i="1"/>
  <c r="B512" i="1"/>
  <c r="B90" i="1"/>
  <c r="B63" i="1"/>
  <c r="B474" i="1"/>
  <c r="B326" i="1"/>
  <c r="B392" i="1"/>
  <c r="B482" i="1"/>
  <c r="B338" i="1"/>
  <c r="B701" i="1"/>
  <c r="C700" i="1"/>
  <c r="D700" i="1"/>
  <c r="E700" i="1"/>
  <c r="S700" i="1"/>
  <c r="E408" i="10"/>
  <c r="D408" i="10"/>
  <c r="C408" i="10"/>
  <c r="E407" i="10"/>
  <c r="D407" i="10"/>
  <c r="C407" i="10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E372" i="10"/>
  <c r="D372" i="10"/>
  <c r="C372" i="10"/>
  <c r="B371" i="10"/>
  <c r="E370" i="10"/>
  <c r="D370" i="10"/>
  <c r="C370" i="10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E334" i="10"/>
  <c r="D334" i="10"/>
  <c r="C334" i="10"/>
  <c r="E333" i="10"/>
  <c r="D333" i="10"/>
  <c r="C333" i="10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E325" i="10"/>
  <c r="D325" i="10"/>
  <c r="C325" i="10"/>
  <c r="E324" i="10"/>
  <c r="D324" i="10"/>
  <c r="C324" i="10"/>
  <c r="E323" i="10"/>
  <c r="D323" i="10"/>
  <c r="C323" i="10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E313" i="10"/>
  <c r="D313" i="10"/>
  <c r="C313" i="10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E280" i="10"/>
  <c r="D280" i="10"/>
  <c r="C280" i="10"/>
  <c r="E279" i="10"/>
  <c r="D279" i="10"/>
  <c r="C279" i="10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E270" i="10"/>
  <c r="D270" i="10"/>
  <c r="C270" i="10"/>
  <c r="E269" i="10"/>
  <c r="D269" i="10"/>
  <c r="C269" i="10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E260" i="10"/>
  <c r="D260" i="10"/>
  <c r="C260" i="10"/>
  <c r="E259" i="10"/>
  <c r="D259" i="10"/>
  <c r="C259" i="10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E242" i="10"/>
  <c r="D242" i="10"/>
  <c r="C242" i="10"/>
  <c r="E241" i="10"/>
  <c r="D241" i="10"/>
  <c r="C241" i="10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E235" i="10"/>
  <c r="D235" i="10"/>
  <c r="C235" i="10"/>
  <c r="E234" i="10"/>
  <c r="D234" i="10"/>
  <c r="C234" i="10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E221" i="10"/>
  <c r="D221" i="10"/>
  <c r="C221" i="10"/>
  <c r="E220" i="10"/>
  <c r="D220" i="10"/>
  <c r="C220" i="10"/>
  <c r="E219" i="10"/>
  <c r="D219" i="10"/>
  <c r="C219" i="10"/>
  <c r="E218" i="10"/>
  <c r="D218" i="10"/>
  <c r="C218" i="10"/>
  <c r="E217" i="10"/>
  <c r="D217" i="10"/>
  <c r="C217" i="10"/>
  <c r="E216" i="10"/>
  <c r="D216" i="10"/>
  <c r="C216" i="10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E174" i="10"/>
  <c r="D174" i="10"/>
  <c r="C174" i="10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E149" i="10"/>
  <c r="D149" i="10"/>
  <c r="C149" i="10"/>
  <c r="E148" i="10"/>
  <c r="D148" i="10"/>
  <c r="C148" i="10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E143" i="10"/>
  <c r="D143" i="10"/>
  <c r="C143" i="10"/>
  <c r="E142" i="10"/>
  <c r="D142" i="10"/>
  <c r="C142" i="10"/>
  <c r="E141" i="10"/>
  <c r="D141" i="10"/>
  <c r="C141" i="10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E27" i="10"/>
  <c r="D27" i="10"/>
  <c r="C27" i="10"/>
  <c r="E26" i="10"/>
  <c r="D26" i="10"/>
  <c r="C26" i="10"/>
  <c r="E25" i="10"/>
  <c r="D25" i="10"/>
  <c r="C25" i="10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E14" i="10"/>
  <c r="D14" i="10"/>
  <c r="C14" i="10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C698" i="1"/>
  <c r="D698" i="1"/>
  <c r="E698" i="1"/>
  <c r="S698" i="1"/>
  <c r="C694" i="1"/>
  <c r="D694" i="1"/>
  <c r="E694" i="1"/>
  <c r="S694" i="1"/>
  <c r="S643" i="1"/>
  <c r="S535" i="1"/>
  <c r="S681" i="1"/>
  <c r="S523" i="1"/>
  <c r="S598" i="1"/>
  <c r="S657" i="1"/>
  <c r="S640" i="1"/>
  <c r="S555" i="1"/>
  <c r="S658" i="1"/>
  <c r="S574" i="1"/>
  <c r="S516" i="1"/>
  <c r="S553" i="1"/>
  <c r="S570" i="1"/>
  <c r="S591" i="1"/>
  <c r="S538" i="1"/>
  <c r="S623" i="1"/>
  <c r="S583" i="1"/>
  <c r="S600" i="1"/>
  <c r="S592" i="1"/>
  <c r="S561" i="1"/>
  <c r="S536" i="1"/>
  <c r="S529" i="1"/>
  <c r="S606" i="1"/>
  <c r="S533" i="1"/>
  <c r="S518" i="1"/>
  <c r="S635" i="1"/>
  <c r="S714" i="1"/>
  <c r="S718" i="1"/>
  <c r="S669" i="1"/>
  <c r="S732" i="1"/>
  <c r="S527" i="1"/>
  <c r="S618" i="1"/>
  <c r="S629" i="1"/>
  <c r="S577" i="1"/>
  <c r="S627" i="1"/>
  <c r="S632" i="1"/>
  <c r="S540" i="1"/>
  <c r="S597" i="1"/>
  <c r="S532" i="1"/>
  <c r="S721" i="1"/>
  <c r="S656" i="1"/>
  <c r="S665" i="1"/>
  <c r="S575" i="1"/>
  <c r="S557" i="1"/>
  <c r="S608" i="1"/>
  <c r="S636" i="1"/>
  <c r="S731" i="1"/>
  <c r="S545" i="1"/>
  <c r="S715" i="1"/>
  <c r="S696" i="1"/>
  <c r="S637" i="1"/>
  <c r="S526" i="1"/>
  <c r="S543" i="1"/>
  <c r="S730" i="1"/>
  <c r="S613" i="1"/>
  <c r="S634" i="1"/>
  <c r="S519" i="1"/>
  <c r="S525" i="1"/>
  <c r="S585" i="1"/>
  <c r="S589" i="1"/>
  <c r="S717" i="1"/>
  <c r="S522" i="1"/>
  <c r="S514" i="1"/>
  <c r="S572" i="1"/>
  <c r="S647" i="1"/>
  <c r="S719" i="1"/>
  <c r="S649" i="1"/>
  <c r="S651" i="1"/>
  <c r="S534" i="1"/>
  <c r="S641" i="1"/>
  <c r="S723" i="1"/>
  <c r="S711" i="1"/>
  <c r="S567" i="1"/>
  <c r="S573" i="1"/>
  <c r="S537" i="1"/>
  <c r="S593" i="1"/>
  <c r="S560" i="1"/>
  <c r="S546" i="1"/>
  <c r="S559" i="1"/>
  <c r="S566" i="1"/>
  <c r="S551" i="1"/>
  <c r="S602" i="1"/>
  <c r="S552" i="1"/>
  <c r="S558" i="1"/>
  <c r="S726" i="1"/>
  <c r="S539" i="1"/>
  <c r="S724" i="1"/>
  <c r="S612" i="1"/>
  <c r="S601" i="1"/>
  <c r="S579" i="1"/>
  <c r="S727" i="1"/>
  <c r="S569" i="1"/>
  <c r="S610" i="1"/>
  <c r="S607" i="1"/>
  <c r="S655" i="1"/>
  <c r="S666" i="1"/>
  <c r="S664" i="1"/>
  <c r="S594" i="1"/>
  <c r="S630" i="1"/>
  <c r="S609" i="1"/>
  <c r="S626" i="1"/>
  <c r="S550" i="1"/>
  <c r="S604" i="1"/>
  <c r="S624" i="1"/>
  <c r="S653" i="1"/>
  <c r="S622" i="1"/>
  <c r="S616" i="1"/>
  <c r="S544" i="1"/>
  <c r="S595" i="1"/>
  <c r="S713" i="1"/>
  <c r="S548" i="1"/>
  <c r="S515" i="1"/>
  <c r="S633" i="1"/>
  <c r="S530" i="1"/>
  <c r="S521" i="1"/>
  <c r="S547" i="1"/>
  <c r="S554" i="1"/>
  <c r="S556" i="1"/>
  <c r="S716" i="1"/>
  <c r="S720" i="1"/>
  <c r="S617" i="1"/>
  <c r="S628" i="1"/>
  <c r="S638" i="1"/>
  <c r="S615" i="1"/>
  <c r="S631" i="1"/>
  <c r="S541" i="1"/>
  <c r="S642" i="1"/>
  <c r="S588" i="1"/>
  <c r="S678" i="1"/>
  <c r="S683" i="1"/>
  <c r="S644" i="1"/>
  <c r="S590" i="1"/>
  <c r="S646" i="1"/>
  <c r="S728" i="1"/>
  <c r="S660" i="1"/>
  <c r="S586" i="1"/>
  <c r="S645" i="1"/>
  <c r="S568" i="1"/>
  <c r="S520" i="1"/>
  <c r="S684" i="1"/>
  <c r="S549" i="1"/>
  <c r="S614" i="1"/>
  <c r="S648" i="1"/>
  <c r="S571" i="1"/>
  <c r="S650" i="1"/>
  <c r="S524" i="1"/>
  <c r="S671" i="1"/>
  <c r="S652" i="1"/>
  <c r="S528" i="1"/>
  <c r="S668" i="1"/>
  <c r="S603" i="1"/>
  <c r="S680" i="1"/>
  <c r="S675" i="1"/>
  <c r="S733" i="1"/>
  <c r="S587" i="1"/>
  <c r="S596" i="1"/>
  <c r="S667" i="1"/>
  <c r="S685" i="1"/>
  <c r="S565" i="1"/>
  <c r="S562" i="1"/>
  <c r="S639" i="1"/>
  <c r="S611" i="1"/>
  <c r="S654" i="1"/>
  <c r="S659" i="1"/>
  <c r="S662" i="1"/>
  <c r="S620" i="1"/>
  <c r="S580" i="1"/>
  <c r="S581" i="1"/>
  <c r="S619" i="1"/>
  <c r="S661" i="1"/>
  <c r="S531" i="1"/>
  <c r="S682" i="1"/>
  <c r="S670" i="1"/>
  <c r="S578" i="1"/>
  <c r="S564" i="1"/>
  <c r="S676" i="1"/>
  <c r="S621" i="1"/>
  <c r="S672" i="1"/>
  <c r="S599" i="1"/>
  <c r="S605" i="1"/>
  <c r="S673" i="1"/>
  <c r="S542" i="1"/>
  <c r="S722" i="1"/>
  <c r="S563" i="1"/>
  <c r="S582" i="1"/>
  <c r="S663" i="1"/>
  <c r="S584" i="1"/>
  <c r="S576" i="1"/>
  <c r="S625" i="1"/>
  <c r="S517" i="1"/>
  <c r="S674" i="1"/>
  <c r="S677" i="1"/>
  <c r="S687" i="1"/>
  <c r="S679" i="1"/>
  <c r="S689" i="1"/>
  <c r="S690" i="1"/>
  <c r="S729" i="1"/>
  <c r="S712" i="1"/>
  <c r="S710" i="1"/>
  <c r="S691" i="1"/>
  <c r="S693" i="1"/>
  <c r="S692" i="1"/>
  <c r="S695" i="1"/>
  <c r="S686" i="1"/>
  <c r="S725" i="1"/>
  <c r="C725" i="1"/>
  <c r="D725" i="1"/>
  <c r="E725" i="1"/>
  <c r="E686" i="1"/>
  <c r="D686" i="1"/>
  <c r="C686" i="1"/>
  <c r="E695" i="1"/>
  <c r="D695" i="1"/>
  <c r="C695" i="1"/>
  <c r="E692" i="1"/>
  <c r="D692" i="1"/>
  <c r="C692" i="1"/>
  <c r="C693" i="1"/>
  <c r="D693" i="1"/>
  <c r="E693" i="1"/>
  <c r="C691" i="1"/>
  <c r="D691" i="1"/>
  <c r="E691" i="1"/>
  <c r="C690" i="1"/>
  <c r="D690" i="1"/>
  <c r="E690" i="1"/>
  <c r="C689" i="1"/>
  <c r="D689" i="1"/>
  <c r="E689" i="1"/>
  <c r="C679" i="1"/>
  <c r="D679" i="1"/>
  <c r="E679" i="1"/>
  <c r="C687" i="1"/>
  <c r="D687" i="1"/>
  <c r="E687" i="1"/>
  <c r="C677" i="1"/>
  <c r="D677" i="1"/>
  <c r="E677" i="1"/>
  <c r="C674" i="1"/>
  <c r="D674" i="1"/>
  <c r="E674" i="1"/>
  <c r="B77" i="10" l="1"/>
  <c r="B408" i="10"/>
  <c r="B407" i="10"/>
  <c r="B406" i="10"/>
  <c r="B405" i="10"/>
  <c r="B404" i="10"/>
  <c r="B400" i="10"/>
  <c r="B403" i="10"/>
  <c r="B402" i="10"/>
  <c r="B401" i="10"/>
  <c r="B396" i="10"/>
  <c r="B399" i="10"/>
  <c r="B398" i="10"/>
  <c r="B394" i="10"/>
  <c r="B397" i="10"/>
  <c r="B395" i="10"/>
  <c r="B393" i="10"/>
  <c r="B392" i="10"/>
  <c r="B390" i="10"/>
  <c r="B382" i="10"/>
  <c r="B389" i="10"/>
  <c r="B388" i="10"/>
  <c r="B387" i="10"/>
  <c r="B385" i="10"/>
  <c r="B386" i="10"/>
  <c r="B384" i="10"/>
  <c r="B383" i="10"/>
  <c r="B380" i="10"/>
  <c r="B381" i="10"/>
  <c r="B377" i="10"/>
  <c r="B376" i="10"/>
  <c r="B379" i="10"/>
  <c r="B378" i="10"/>
  <c r="B374" i="10"/>
  <c r="B373" i="10"/>
  <c r="B375" i="10"/>
  <c r="B372" i="10"/>
  <c r="B370" i="10"/>
  <c r="B367" i="10"/>
  <c r="B369" i="10"/>
  <c r="B368" i="10"/>
  <c r="B360" i="10"/>
  <c r="B366" i="10"/>
  <c r="B365" i="10"/>
  <c r="B364" i="10"/>
  <c r="B362" i="10"/>
  <c r="B363" i="10"/>
  <c r="B359" i="10"/>
  <c r="B361" i="10"/>
  <c r="B354" i="10"/>
  <c r="B357" i="10"/>
  <c r="B358" i="10"/>
  <c r="B356" i="10"/>
  <c r="B355" i="10"/>
  <c r="B353" i="10"/>
  <c r="B351" i="10"/>
  <c r="B352" i="10"/>
  <c r="B350" i="10"/>
  <c r="B349" i="10"/>
  <c r="B347" i="10"/>
  <c r="B343" i="10"/>
  <c r="B348" i="10"/>
  <c r="B344" i="10"/>
  <c r="B346" i="10"/>
  <c r="B342" i="10"/>
  <c r="B345" i="10"/>
  <c r="B341" i="10"/>
  <c r="B339" i="10"/>
  <c r="B340" i="10"/>
  <c r="B338" i="10"/>
  <c r="B337" i="10"/>
  <c r="B335" i="10"/>
  <c r="B333" i="10"/>
  <c r="B334" i="10"/>
  <c r="B331" i="10"/>
  <c r="B327" i="10"/>
  <c r="B330" i="10"/>
  <c r="B329" i="10"/>
  <c r="B328" i="10"/>
  <c r="B326" i="10"/>
  <c r="B323" i="10"/>
  <c r="B325" i="10"/>
  <c r="B324" i="10"/>
  <c r="B322" i="10"/>
  <c r="B321" i="10"/>
  <c r="B320" i="10"/>
  <c r="B318" i="10"/>
  <c r="B319" i="10"/>
  <c r="B314" i="10"/>
  <c r="B317" i="10"/>
  <c r="B315" i="10"/>
  <c r="B316" i="10"/>
  <c r="B313" i="10"/>
  <c r="B310" i="10"/>
  <c r="B312" i="10"/>
  <c r="B311" i="10"/>
  <c r="B308" i="10"/>
  <c r="B309" i="10"/>
  <c r="B304" i="10"/>
  <c r="B307" i="10"/>
  <c r="B305" i="10"/>
  <c r="B306" i="10"/>
  <c r="B302" i="10"/>
  <c r="B303" i="10"/>
  <c r="B294" i="10"/>
  <c r="B301" i="10"/>
  <c r="B300" i="10"/>
  <c r="B296" i="10"/>
  <c r="B299" i="10"/>
  <c r="B298" i="10"/>
  <c r="B297" i="10"/>
  <c r="B290" i="10"/>
  <c r="B293" i="10"/>
  <c r="B295" i="10"/>
  <c r="B291" i="10"/>
  <c r="B289" i="10"/>
  <c r="B292" i="10"/>
  <c r="B288" i="10"/>
  <c r="B284" i="10"/>
  <c r="B287" i="10"/>
  <c r="B283" i="10"/>
  <c r="B286" i="10"/>
  <c r="B285" i="10"/>
  <c r="B282" i="10"/>
  <c r="B281" i="10"/>
  <c r="B280" i="10"/>
  <c r="B279" i="10"/>
  <c r="B278" i="10"/>
  <c r="B277" i="10"/>
  <c r="B276" i="10"/>
  <c r="B275" i="10"/>
  <c r="B274" i="10"/>
  <c r="B272" i="10"/>
  <c r="B273" i="10"/>
  <c r="B270" i="10"/>
  <c r="B269" i="10"/>
  <c r="B264" i="10"/>
  <c r="B271" i="10"/>
  <c r="B265" i="10"/>
  <c r="B259" i="10"/>
  <c r="B267" i="10"/>
  <c r="B268" i="10"/>
  <c r="B266" i="10"/>
  <c r="B263" i="10"/>
  <c r="B254" i="10"/>
  <c r="B262" i="10"/>
  <c r="B258" i="10"/>
  <c r="B261" i="10"/>
  <c r="B260" i="10"/>
  <c r="B257" i="10"/>
  <c r="B256" i="10"/>
  <c r="B255" i="10"/>
  <c r="B253" i="10"/>
  <c r="B252" i="10"/>
  <c r="B251" i="10"/>
  <c r="B250" i="10"/>
  <c r="B249" i="10"/>
  <c r="B248" i="10"/>
  <c r="B243" i="10"/>
  <c r="B244" i="10"/>
  <c r="B247" i="10"/>
  <c r="B246" i="10"/>
  <c r="B239" i="10"/>
  <c r="B245" i="10"/>
  <c r="B242" i="10"/>
  <c r="B241" i="10"/>
  <c r="B240" i="10"/>
  <c r="B238" i="10"/>
  <c r="B237" i="10"/>
  <c r="B236" i="10"/>
  <c r="B234" i="10"/>
  <c r="B235" i="10"/>
  <c r="B233" i="10"/>
  <c r="B231" i="10"/>
  <c r="B232" i="10"/>
  <c r="B230" i="10"/>
  <c r="B229" i="10"/>
  <c r="B225" i="10"/>
  <c r="B228" i="10"/>
  <c r="B224" i="10"/>
  <c r="B227" i="10"/>
  <c r="B226" i="10"/>
  <c r="B119" i="10"/>
  <c r="B223" i="10"/>
  <c r="B140" i="10"/>
  <c r="B200" i="10"/>
  <c r="B222" i="10"/>
  <c r="B142" i="10"/>
  <c r="B221" i="10"/>
  <c r="B220" i="10"/>
  <c r="B219" i="10"/>
  <c r="B218" i="10"/>
  <c r="B217" i="10"/>
  <c r="B215" i="10"/>
  <c r="B19" i="10"/>
  <c r="B31" i="10"/>
  <c r="B39" i="10"/>
  <c r="B63" i="10"/>
  <c r="B79" i="10"/>
  <c r="B127" i="10"/>
  <c r="B100" i="10"/>
  <c r="B29" i="10"/>
  <c r="B45" i="10"/>
  <c r="B40" i="10"/>
  <c r="B48" i="10"/>
  <c r="B64" i="10"/>
  <c r="B27" i="10"/>
  <c r="B129" i="10"/>
  <c r="B205" i="10"/>
  <c r="B137" i="10"/>
  <c r="B87" i="10"/>
  <c r="B6" i="10"/>
  <c r="B14" i="10"/>
  <c r="B91" i="10"/>
  <c r="B99" i="10"/>
  <c r="B50" i="10"/>
  <c r="B58" i="10"/>
  <c r="B82" i="10"/>
  <c r="B103" i="10"/>
  <c r="B111" i="10"/>
  <c r="B216" i="10"/>
  <c r="B213" i="10"/>
  <c r="B105" i="10"/>
  <c r="B159" i="10"/>
  <c r="B167" i="10"/>
  <c r="B35" i="10"/>
  <c r="B214" i="10"/>
  <c r="B7" i="10"/>
  <c r="B10" i="10"/>
  <c r="B36" i="10"/>
  <c r="B52" i="10"/>
  <c r="B68" i="10"/>
  <c r="B89" i="10"/>
  <c r="B110" i="10"/>
  <c r="B123" i="10"/>
  <c r="B206" i="10"/>
  <c r="B211" i="10"/>
  <c r="B43" i="10"/>
  <c r="B41" i="10"/>
  <c r="B144" i="10"/>
  <c r="B212" i="10"/>
  <c r="B47" i="10"/>
  <c r="B33" i="10"/>
  <c r="B59" i="10"/>
  <c r="B75" i="10"/>
  <c r="B83" i="10"/>
  <c r="B88" i="10"/>
  <c r="B104" i="10"/>
  <c r="B109" i="10"/>
  <c r="B122" i="10"/>
  <c r="B700" i="1"/>
  <c r="B209" i="10"/>
  <c r="B65" i="10"/>
  <c r="B210" i="10"/>
  <c r="B57" i="10"/>
  <c r="B113" i="10"/>
  <c r="B17" i="10"/>
  <c r="B55" i="10"/>
  <c r="B81" i="10"/>
  <c r="B107" i="10"/>
  <c r="B115" i="10"/>
  <c r="B120" i="10"/>
  <c r="B133" i="10"/>
  <c r="B174" i="10"/>
  <c r="B16" i="10"/>
  <c r="B24" i="10"/>
  <c r="B62" i="10"/>
  <c r="B72" i="10"/>
  <c r="B9" i="10"/>
  <c r="B22" i="10"/>
  <c r="B34" i="10"/>
  <c r="B46" i="10"/>
  <c r="B51" i="10"/>
  <c r="B56" i="10"/>
  <c r="B84" i="10"/>
  <c r="B94" i="10"/>
  <c r="B112" i="10"/>
  <c r="B135" i="10"/>
  <c r="B25" i="10"/>
  <c r="B203" i="10"/>
  <c r="B95" i="10"/>
  <c r="B15" i="10"/>
  <c r="B13" i="10"/>
  <c r="B23" i="10"/>
  <c r="B26" i="10"/>
  <c r="B38" i="10"/>
  <c r="B67" i="10"/>
  <c r="B80" i="10"/>
  <c r="B98" i="10"/>
  <c r="B121" i="10"/>
  <c r="B164" i="10"/>
  <c r="B183" i="10"/>
  <c r="B199" i="10"/>
  <c r="B2" i="10"/>
  <c r="B8" i="10"/>
  <c r="B49" i="10"/>
  <c r="B66" i="10"/>
  <c r="B74" i="10"/>
  <c r="B96" i="10"/>
  <c r="B106" i="10"/>
  <c r="B116" i="10"/>
  <c r="B154" i="10"/>
  <c r="B187" i="10"/>
  <c r="B198" i="10"/>
  <c r="B11" i="10"/>
  <c r="B97" i="10"/>
  <c r="B201" i="10"/>
  <c r="B73" i="10"/>
  <c r="B20" i="10"/>
  <c r="B32" i="10"/>
  <c r="B71" i="10"/>
  <c r="B93" i="10"/>
  <c r="B181" i="10"/>
  <c r="B193" i="10"/>
  <c r="B155" i="10"/>
  <c r="B148" i="10"/>
  <c r="B194" i="10"/>
  <c r="B5" i="10"/>
  <c r="B53" i="10"/>
  <c r="B21" i="10"/>
  <c r="B117" i="10"/>
  <c r="B69" i="10"/>
  <c r="B132" i="10"/>
  <c r="B101" i="10"/>
  <c r="B3" i="10"/>
  <c r="B18" i="10"/>
  <c r="B30" i="10"/>
  <c r="B37" i="10"/>
  <c r="B42" i="10"/>
  <c r="B54" i="10"/>
  <c r="B61" i="10"/>
  <c r="B78" i="10"/>
  <c r="B85" i="10"/>
  <c r="B90" i="10"/>
  <c r="B114" i="10"/>
  <c r="B131" i="10"/>
  <c r="B138" i="10"/>
  <c r="B141" i="10"/>
  <c r="B192" i="10"/>
  <c r="B150" i="10"/>
  <c r="B195" i="10"/>
  <c r="B130" i="10"/>
  <c r="B185" i="10"/>
  <c r="B207" i="10"/>
  <c r="B128" i="10"/>
  <c r="B126" i="10"/>
  <c r="B145" i="10"/>
  <c r="B12" i="10"/>
  <c r="B28" i="10"/>
  <c r="B44" i="10"/>
  <c r="B60" i="10"/>
  <c r="B76" i="10"/>
  <c r="B92" i="10"/>
  <c r="B108" i="10"/>
  <c r="B124" i="10"/>
  <c r="B143" i="10"/>
  <c r="B157" i="10"/>
  <c r="B165" i="10"/>
  <c r="B186" i="10"/>
  <c r="B191" i="10"/>
  <c r="B176" i="10"/>
  <c r="B189" i="10"/>
  <c r="B208" i="10"/>
  <c r="B136" i="10"/>
  <c r="B70" i="10"/>
  <c r="B86" i="10"/>
  <c r="B102" i="10"/>
  <c r="B118" i="10"/>
  <c r="B134" i="10"/>
  <c r="B149" i="10"/>
  <c r="B152" i="10"/>
  <c r="B171" i="10"/>
  <c r="B179" i="10"/>
  <c r="B184" i="10"/>
  <c r="B197" i="10"/>
  <c r="B158" i="10"/>
  <c r="B166" i="10"/>
  <c r="B204" i="10"/>
  <c r="B153" i="10"/>
  <c r="B125" i="10"/>
  <c r="B161" i="10"/>
  <c r="B169" i="10"/>
  <c r="B177" i="10"/>
  <c r="B182" i="10"/>
  <c r="B202" i="10"/>
  <c r="B172" i="10"/>
  <c r="B180" i="10"/>
  <c r="B175" i="10"/>
  <c r="B196" i="10"/>
  <c r="B151" i="10"/>
  <c r="B162" i="10"/>
  <c r="B170" i="10"/>
  <c r="B178" i="10"/>
  <c r="B173" i="10"/>
  <c r="B147" i="10"/>
  <c r="B160" i="10"/>
  <c r="B168" i="10"/>
  <c r="B190" i="10"/>
  <c r="B163" i="10"/>
  <c r="B188" i="10"/>
  <c r="B698" i="1"/>
  <c r="B694" i="1"/>
  <c r="B725" i="1"/>
  <c r="B692" i="1"/>
  <c r="B686" i="1"/>
  <c r="B695" i="1"/>
  <c r="B693" i="1"/>
  <c r="B691" i="1"/>
  <c r="B689" i="1"/>
  <c r="B690" i="1"/>
  <c r="B679" i="1"/>
  <c r="B687" i="1"/>
  <c r="B677" i="1"/>
  <c r="B674" i="1"/>
  <c r="C684" i="1"/>
  <c r="D684" i="1"/>
  <c r="E684" i="1"/>
  <c r="B684" i="1" l="1"/>
  <c r="C675" i="1"/>
  <c r="D675" i="1"/>
  <c r="E675" i="1"/>
  <c r="C680" i="1"/>
  <c r="D680" i="1"/>
  <c r="E680" i="1"/>
  <c r="C720" i="1"/>
  <c r="D720" i="1"/>
  <c r="E720" i="1"/>
  <c r="E676" i="1"/>
  <c r="D676" i="1"/>
  <c r="C676" i="1"/>
  <c r="E672" i="1"/>
  <c r="D672" i="1"/>
  <c r="C672" i="1"/>
  <c r="E673" i="1"/>
  <c r="D673" i="1"/>
  <c r="C673" i="1"/>
  <c r="C670" i="1"/>
  <c r="D670" i="1"/>
  <c r="E670" i="1"/>
  <c r="B675" i="1" l="1"/>
  <c r="B673" i="1"/>
  <c r="B680" i="1"/>
  <c r="B676" i="1"/>
  <c r="B672" i="1"/>
  <c r="B670" i="1"/>
  <c r="B720" i="1"/>
  <c r="C668" i="1"/>
  <c r="D668" i="1"/>
  <c r="E668" i="1"/>
  <c r="C655" i="1"/>
  <c r="D655" i="1"/>
  <c r="E655" i="1"/>
  <c r="C664" i="1"/>
  <c r="D664" i="1"/>
  <c r="E664" i="1"/>
  <c r="B668" i="1" l="1"/>
  <c r="B655" i="1"/>
  <c r="B666" i="1"/>
  <c r="B664" i="1"/>
  <c r="C660" i="1"/>
  <c r="D660" i="1"/>
  <c r="E660" i="1"/>
  <c r="E648" i="1"/>
  <c r="D648" i="1"/>
  <c r="C648" i="1"/>
  <c r="C644" i="1"/>
  <c r="D644" i="1"/>
  <c r="E644" i="1"/>
  <c r="C712" i="1"/>
  <c r="D712" i="1"/>
  <c r="E712" i="1"/>
  <c r="B660" i="1" l="1"/>
  <c r="B644" i="1"/>
  <c r="B648" i="1"/>
  <c r="B712" i="1"/>
  <c r="E646" i="1" l="1"/>
  <c r="D646" i="1"/>
  <c r="C646" i="1"/>
  <c r="C639" i="1"/>
  <c r="D639" i="1"/>
  <c r="E639" i="1"/>
  <c r="B646" i="1" l="1"/>
  <c r="B639" i="1"/>
  <c r="C641" i="1"/>
  <c r="D641" i="1"/>
  <c r="E641" i="1"/>
  <c r="E638" i="1"/>
  <c r="D638" i="1"/>
  <c r="C638" i="1"/>
  <c r="B641" i="1" l="1"/>
  <c r="B638" i="1"/>
  <c r="C620" i="1"/>
  <c r="D620" i="1"/>
  <c r="E620" i="1"/>
  <c r="C729" i="1"/>
  <c r="D729" i="1"/>
  <c r="E729" i="1"/>
  <c r="C621" i="1"/>
  <c r="D621" i="1"/>
  <c r="E621" i="1"/>
  <c r="C612" i="1"/>
  <c r="D612" i="1"/>
  <c r="E612" i="1"/>
  <c r="B621" i="1" l="1"/>
  <c r="B620" i="1"/>
  <c r="B729" i="1"/>
  <c r="B612" i="1"/>
  <c r="C551" i="1"/>
  <c r="D551" i="1"/>
  <c r="E551" i="1"/>
  <c r="C727" i="1"/>
  <c r="D727" i="1"/>
  <c r="E727" i="1"/>
  <c r="B727" i="1" l="1"/>
  <c r="B551" i="1"/>
  <c r="C710" i="1"/>
  <c r="D710" i="1"/>
  <c r="E710" i="1"/>
  <c r="C615" i="1"/>
  <c r="D615" i="1"/>
  <c r="E615" i="1"/>
  <c r="C601" i="1"/>
  <c r="D601" i="1"/>
  <c r="E601" i="1"/>
  <c r="C605" i="1"/>
  <c r="D605" i="1"/>
  <c r="E605" i="1"/>
  <c r="C614" i="1"/>
  <c r="D614" i="1"/>
  <c r="E614" i="1"/>
  <c r="C716" i="1"/>
  <c r="D716" i="1"/>
  <c r="E716" i="1"/>
  <c r="C587" i="1"/>
  <c r="D587" i="1"/>
  <c r="E587" i="1"/>
  <c r="C571" i="1"/>
  <c r="D571" i="1"/>
  <c r="E571" i="1"/>
  <c r="C563" i="1"/>
  <c r="D563" i="1"/>
  <c r="E563" i="1"/>
  <c r="B710" i="1" l="1"/>
  <c r="B615" i="1"/>
  <c r="B601" i="1"/>
  <c r="B605" i="1"/>
  <c r="B614" i="1"/>
  <c r="B716" i="1"/>
  <c r="B587" i="1"/>
  <c r="B571" i="1"/>
  <c r="B563" i="1"/>
  <c r="C564" i="1"/>
  <c r="D564" i="1"/>
  <c r="E564" i="1"/>
  <c r="C556" i="1"/>
  <c r="D556" i="1"/>
  <c r="E556" i="1"/>
  <c r="C554" i="1"/>
  <c r="D554" i="1"/>
  <c r="E554" i="1"/>
  <c r="C552" i="1"/>
  <c r="D552" i="1"/>
  <c r="E552" i="1"/>
  <c r="C549" i="1"/>
  <c r="D549" i="1"/>
  <c r="E549" i="1"/>
  <c r="C541" i="1"/>
  <c r="D541" i="1"/>
  <c r="E541" i="1"/>
  <c r="C547" i="1"/>
  <c r="D547" i="1"/>
  <c r="E547" i="1"/>
  <c r="C542" i="1"/>
  <c r="D542" i="1"/>
  <c r="E542" i="1"/>
  <c r="C530" i="1"/>
  <c r="D530" i="1"/>
  <c r="E530" i="1"/>
  <c r="E535" i="1"/>
  <c r="E598" i="1"/>
  <c r="E584" i="1"/>
  <c r="E578" i="1"/>
  <c r="E523" i="1"/>
  <c r="E520" i="1"/>
  <c r="E681" i="1"/>
  <c r="E534" i="1"/>
  <c r="E611" i="1"/>
  <c r="E555" i="1"/>
  <c r="E580" i="1"/>
  <c r="E581" i="1"/>
  <c r="E658" i="1"/>
  <c r="E640" i="1"/>
  <c r="E565" i="1"/>
  <c r="E657" i="1"/>
  <c r="E516" i="1"/>
  <c r="E574" i="1"/>
  <c r="E553" i="1"/>
  <c r="E591" i="1"/>
  <c r="E538" i="1"/>
  <c r="E570" i="1"/>
  <c r="E721" i="1"/>
  <c r="E600" i="1"/>
  <c r="E561" i="1"/>
  <c r="E583" i="1"/>
  <c r="E592" i="1"/>
  <c r="E623" i="1"/>
  <c r="E656" i="1"/>
  <c r="E529" i="1"/>
  <c r="E627" i="1"/>
  <c r="E526" i="1"/>
  <c r="E618" i="1"/>
  <c r="E714" i="1"/>
  <c r="E532" i="1"/>
  <c r="E696" i="1"/>
  <c r="E629" i="1"/>
  <c r="E732" i="1"/>
  <c r="E562" i="1"/>
  <c r="E527" i="1"/>
  <c r="E718" i="1"/>
  <c r="E597" i="1"/>
  <c r="E606" i="1"/>
  <c r="E518" i="1"/>
  <c r="E662" i="1"/>
  <c r="E540" i="1"/>
  <c r="E533" i="1"/>
  <c r="E635" i="1"/>
  <c r="E577" i="1"/>
  <c r="E669" i="1"/>
  <c r="E536" i="1"/>
  <c r="E665" i="1"/>
  <c r="E632" i="1"/>
  <c r="E524" i="1"/>
  <c r="E613" i="1"/>
  <c r="E649" i="1"/>
  <c r="E730" i="1"/>
  <c r="E575" i="1"/>
  <c r="E636" i="1"/>
  <c r="E515" i="1"/>
  <c r="E726" i="1"/>
  <c r="E522" i="1"/>
  <c r="E608" i="1"/>
  <c r="E525" i="1"/>
  <c r="E717" i="1"/>
  <c r="E711" i="1"/>
  <c r="E572" i="1"/>
  <c r="E557" i="1"/>
  <c r="E519" i="1"/>
  <c r="E589" i="1"/>
  <c r="E596" i="1"/>
  <c r="E514" i="1"/>
  <c r="E731" i="1"/>
  <c r="E651" i="1"/>
  <c r="E637" i="1"/>
  <c r="E543" i="1"/>
  <c r="E585" i="1"/>
  <c r="E723" i="1"/>
  <c r="E545" i="1"/>
  <c r="E715" i="1"/>
  <c r="E634" i="1"/>
  <c r="E719" i="1"/>
  <c r="E619" i="1"/>
  <c r="E661" i="1"/>
  <c r="E588" i="1"/>
  <c r="E609" i="1"/>
  <c r="E678" i="1"/>
  <c r="E683" i="1"/>
  <c r="E628" i="1"/>
  <c r="E647" i="1"/>
  <c r="E654" i="1"/>
  <c r="E603" i="1"/>
  <c r="E528" i="1"/>
  <c r="E645" i="1"/>
  <c r="E594" i="1"/>
  <c r="E728" i="1"/>
  <c r="E625" i="1"/>
  <c r="E573" i="1"/>
  <c r="E558" i="1"/>
  <c r="E599" i="1"/>
  <c r="E722" i="1"/>
  <c r="E550" i="1"/>
  <c r="E544" i="1"/>
  <c r="E713" i="1"/>
  <c r="E593" i="1"/>
  <c r="E653" i="1"/>
  <c r="E626" i="1"/>
  <c r="E566" i="1"/>
  <c r="E567" i="1"/>
  <c r="E671" i="1"/>
  <c r="E568" i="1"/>
  <c r="E546" i="1"/>
  <c r="E617" i="1"/>
  <c r="E602" i="1"/>
  <c r="E733" i="1"/>
  <c r="E642" i="1"/>
  <c r="E582" i="1"/>
  <c r="E667" i="1"/>
  <c r="E685" i="1"/>
  <c r="E604" i="1"/>
  <c r="E633" i="1"/>
  <c r="E610" i="1"/>
  <c r="E652" i="1"/>
  <c r="E560" i="1"/>
  <c r="E539" i="1"/>
  <c r="E576" i="1"/>
  <c r="E631" i="1"/>
  <c r="E569" i="1"/>
  <c r="E682" i="1"/>
  <c r="E624" i="1"/>
  <c r="E595" i="1"/>
  <c r="E537" i="1"/>
  <c r="E579" i="1"/>
  <c r="E659" i="1"/>
  <c r="E622" i="1"/>
  <c r="E616" i="1"/>
  <c r="E548" i="1"/>
  <c r="E607" i="1"/>
  <c r="E521" i="1"/>
  <c r="E663" i="1"/>
  <c r="E724" i="1"/>
  <c r="E650" i="1"/>
  <c r="E630" i="1"/>
  <c r="E643" i="1"/>
  <c r="C524" i="1"/>
  <c r="D524" i="1"/>
  <c r="C515" i="1"/>
  <c r="D515" i="1"/>
  <c r="C520" i="1"/>
  <c r="D520" i="1"/>
  <c r="C611" i="1"/>
  <c r="D611" i="1"/>
  <c r="B586" i="1"/>
  <c r="B517" i="1"/>
  <c r="C534" i="1"/>
  <c r="D534" i="1"/>
  <c r="C599" i="1"/>
  <c r="D599" i="1"/>
  <c r="C596" i="1"/>
  <c r="D596" i="1"/>
  <c r="C578" i="1"/>
  <c r="D578" i="1"/>
  <c r="C581" i="1"/>
  <c r="D581" i="1"/>
  <c r="C580" i="1"/>
  <c r="D580" i="1"/>
  <c r="C584" i="1"/>
  <c r="D584" i="1"/>
  <c r="C576" i="1"/>
  <c r="D576" i="1"/>
  <c r="C582" i="1"/>
  <c r="D582" i="1"/>
  <c r="C562" i="1"/>
  <c r="D562" i="1"/>
  <c r="C565" i="1"/>
  <c r="D565" i="1"/>
  <c r="D535" i="1"/>
  <c r="D523" i="1"/>
  <c r="D643" i="1"/>
  <c r="D619" i="1"/>
  <c r="D681" i="1"/>
  <c r="D555" i="1"/>
  <c r="D658" i="1"/>
  <c r="D640" i="1"/>
  <c r="D657" i="1"/>
  <c r="D516" i="1"/>
  <c r="D574" i="1"/>
  <c r="D553" i="1"/>
  <c r="D591" i="1"/>
  <c r="D538" i="1"/>
  <c r="D570" i="1"/>
  <c r="D721" i="1"/>
  <c r="D600" i="1"/>
  <c r="D561" i="1"/>
  <c r="D583" i="1"/>
  <c r="D592" i="1"/>
  <c r="D623" i="1"/>
  <c r="D656" i="1"/>
  <c r="D529" i="1"/>
  <c r="D627" i="1"/>
  <c r="D526" i="1"/>
  <c r="D618" i="1"/>
  <c r="D714" i="1"/>
  <c r="D532" i="1"/>
  <c r="D696" i="1"/>
  <c r="D629" i="1"/>
  <c r="D732" i="1"/>
  <c r="D527" i="1"/>
  <c r="D718" i="1"/>
  <c r="D597" i="1"/>
  <c r="D606" i="1"/>
  <c r="D518" i="1"/>
  <c r="D662" i="1"/>
  <c r="D540" i="1"/>
  <c r="D533" i="1"/>
  <c r="D635" i="1"/>
  <c r="D577" i="1"/>
  <c r="D669" i="1"/>
  <c r="D536" i="1"/>
  <c r="D665" i="1"/>
  <c r="D632" i="1"/>
  <c r="D613" i="1"/>
  <c r="D649" i="1"/>
  <c r="D730" i="1"/>
  <c r="D575" i="1"/>
  <c r="D636" i="1"/>
  <c r="D726" i="1"/>
  <c r="D522" i="1"/>
  <c r="D608" i="1"/>
  <c r="D525" i="1"/>
  <c r="D717" i="1"/>
  <c r="D711" i="1"/>
  <c r="D572" i="1"/>
  <c r="D557" i="1"/>
  <c r="D519" i="1"/>
  <c r="D589" i="1"/>
  <c r="D514" i="1"/>
  <c r="D731" i="1"/>
  <c r="D651" i="1"/>
  <c r="D637" i="1"/>
  <c r="D543" i="1"/>
  <c r="D585" i="1"/>
  <c r="D723" i="1"/>
  <c r="D545" i="1"/>
  <c r="D715" i="1"/>
  <c r="D634" i="1"/>
  <c r="D719" i="1"/>
  <c r="D661" i="1"/>
  <c r="D588" i="1"/>
  <c r="D609" i="1"/>
  <c r="D678" i="1"/>
  <c r="D683" i="1"/>
  <c r="D628" i="1"/>
  <c r="D647" i="1"/>
  <c r="D654" i="1"/>
  <c r="D603" i="1"/>
  <c r="D528" i="1"/>
  <c r="D645" i="1"/>
  <c r="D594" i="1"/>
  <c r="D728" i="1"/>
  <c r="D625" i="1"/>
  <c r="D573" i="1"/>
  <c r="D558" i="1"/>
  <c r="D722" i="1"/>
  <c r="D550" i="1"/>
  <c r="D544" i="1"/>
  <c r="D713" i="1"/>
  <c r="D593" i="1"/>
  <c r="D653" i="1"/>
  <c r="D626" i="1"/>
  <c r="D566" i="1"/>
  <c r="D567" i="1"/>
  <c r="D671" i="1"/>
  <c r="D568" i="1"/>
  <c r="D546" i="1"/>
  <c r="D617" i="1"/>
  <c r="D602" i="1"/>
  <c r="D733" i="1"/>
  <c r="D642" i="1"/>
  <c r="D667" i="1"/>
  <c r="D685" i="1"/>
  <c r="D604" i="1"/>
  <c r="D633" i="1"/>
  <c r="D610" i="1"/>
  <c r="D652" i="1"/>
  <c r="D560" i="1"/>
  <c r="D539" i="1"/>
  <c r="D631" i="1"/>
  <c r="D569" i="1"/>
  <c r="D682" i="1"/>
  <c r="D624" i="1"/>
  <c r="D595" i="1"/>
  <c r="D537" i="1"/>
  <c r="D579" i="1"/>
  <c r="D659" i="1"/>
  <c r="D622" i="1"/>
  <c r="D616" i="1"/>
  <c r="D548" i="1"/>
  <c r="D607" i="1"/>
  <c r="D521" i="1"/>
  <c r="D663" i="1"/>
  <c r="D724" i="1"/>
  <c r="D650" i="1"/>
  <c r="D630" i="1"/>
  <c r="C535" i="1"/>
  <c r="C523" i="1"/>
  <c r="C643" i="1"/>
  <c r="C619" i="1"/>
  <c r="C681" i="1"/>
  <c r="C555" i="1"/>
  <c r="C658" i="1"/>
  <c r="C640" i="1"/>
  <c r="C657" i="1"/>
  <c r="C516" i="1"/>
  <c r="C574" i="1"/>
  <c r="C553" i="1"/>
  <c r="C591" i="1"/>
  <c r="C538" i="1"/>
  <c r="C570" i="1"/>
  <c r="C721" i="1"/>
  <c r="C600" i="1"/>
  <c r="C561" i="1"/>
  <c r="C583" i="1"/>
  <c r="C592" i="1"/>
  <c r="C623" i="1"/>
  <c r="C656" i="1"/>
  <c r="C529" i="1"/>
  <c r="C627" i="1"/>
  <c r="C526" i="1"/>
  <c r="C618" i="1"/>
  <c r="C714" i="1"/>
  <c r="C532" i="1"/>
  <c r="C696" i="1"/>
  <c r="C629" i="1"/>
  <c r="C732" i="1"/>
  <c r="C527" i="1"/>
  <c r="C718" i="1"/>
  <c r="C597" i="1"/>
  <c r="C606" i="1"/>
  <c r="C518" i="1"/>
  <c r="C662" i="1"/>
  <c r="C540" i="1"/>
  <c r="C533" i="1"/>
  <c r="C635" i="1"/>
  <c r="C577" i="1"/>
  <c r="C669" i="1"/>
  <c r="C536" i="1"/>
  <c r="C665" i="1"/>
  <c r="C632" i="1"/>
  <c r="C613" i="1"/>
  <c r="C649" i="1"/>
  <c r="C730" i="1"/>
  <c r="C575" i="1"/>
  <c r="C636" i="1"/>
  <c r="C726" i="1"/>
  <c r="C522" i="1"/>
  <c r="C608" i="1"/>
  <c r="C525" i="1"/>
  <c r="C717" i="1"/>
  <c r="C711" i="1"/>
  <c r="C572" i="1"/>
  <c r="C557" i="1"/>
  <c r="C519" i="1"/>
  <c r="C589" i="1"/>
  <c r="C514" i="1"/>
  <c r="C731" i="1"/>
  <c r="C651" i="1"/>
  <c r="C637" i="1"/>
  <c r="C543" i="1"/>
  <c r="C585" i="1"/>
  <c r="C723" i="1"/>
  <c r="C545" i="1"/>
  <c r="C715" i="1"/>
  <c r="C634" i="1"/>
  <c r="C719" i="1"/>
  <c r="C661" i="1"/>
  <c r="C588" i="1"/>
  <c r="C609" i="1"/>
  <c r="C678" i="1"/>
  <c r="C683" i="1"/>
  <c r="C628" i="1"/>
  <c r="C647" i="1"/>
  <c r="C654" i="1"/>
  <c r="C603" i="1"/>
  <c r="C528" i="1"/>
  <c r="C645" i="1"/>
  <c r="C594" i="1"/>
  <c r="C728" i="1"/>
  <c r="C625" i="1"/>
  <c r="C573" i="1"/>
  <c r="C558" i="1"/>
  <c r="C722" i="1"/>
  <c r="C550" i="1"/>
  <c r="C544" i="1"/>
  <c r="C713" i="1"/>
  <c r="C593" i="1"/>
  <c r="C653" i="1"/>
  <c r="C626" i="1"/>
  <c r="C566" i="1"/>
  <c r="C567" i="1"/>
  <c r="C671" i="1"/>
  <c r="C568" i="1"/>
  <c r="C546" i="1"/>
  <c r="C617" i="1"/>
  <c r="C602" i="1"/>
  <c r="C733" i="1"/>
  <c r="C642" i="1"/>
  <c r="C667" i="1"/>
  <c r="C685" i="1"/>
  <c r="C604" i="1"/>
  <c r="C633" i="1"/>
  <c r="C610" i="1"/>
  <c r="C652" i="1"/>
  <c r="C560" i="1"/>
  <c r="C539" i="1"/>
  <c r="C631" i="1"/>
  <c r="C569" i="1"/>
  <c r="C682" i="1"/>
  <c r="C624" i="1"/>
  <c r="C595" i="1"/>
  <c r="C537" i="1"/>
  <c r="C579" i="1"/>
  <c r="C659" i="1"/>
  <c r="C622" i="1"/>
  <c r="C616" i="1"/>
  <c r="C548" i="1"/>
  <c r="C607" i="1"/>
  <c r="C521" i="1"/>
  <c r="C663" i="1"/>
  <c r="C724" i="1"/>
  <c r="C650" i="1"/>
  <c r="C630" i="1"/>
  <c r="D598" i="1"/>
  <c r="C598" i="1"/>
  <c r="B564" i="1" l="1"/>
  <c r="B556" i="1"/>
  <c r="B554" i="1"/>
  <c r="B552" i="1"/>
  <c r="B549" i="1"/>
  <c r="B541" i="1"/>
  <c r="B547" i="1"/>
  <c r="B542" i="1"/>
  <c r="B530" i="1"/>
  <c r="B561" i="1"/>
  <c r="B524" i="1"/>
  <c r="B527" i="1"/>
  <c r="B526" i="1"/>
  <c r="B529" i="1"/>
  <c r="B553" i="1"/>
  <c r="B555" i="1"/>
  <c r="B515" i="1"/>
  <c r="B520" i="1"/>
  <c r="B592" i="1"/>
  <c r="B661" i="1"/>
  <c r="B651" i="1"/>
  <c r="B608" i="1"/>
  <c r="B540" i="1"/>
  <c r="B730" i="1"/>
  <c r="B518" i="1"/>
  <c r="B611" i="1"/>
  <c r="B590" i="1"/>
  <c r="B681" i="1"/>
  <c r="B570" i="1"/>
  <c r="B606" i="1"/>
  <c r="B569" i="1"/>
  <c r="B619" i="1"/>
  <c r="B652" i="1"/>
  <c r="B718" i="1"/>
  <c r="B629" i="1"/>
  <c r="B618" i="1"/>
  <c r="B721" i="1"/>
  <c r="B591" i="1"/>
  <c r="B640" i="1"/>
  <c r="B523" i="1"/>
  <c r="B544" i="1"/>
  <c r="B539" i="1"/>
  <c r="B678" i="1"/>
  <c r="B589" i="1"/>
  <c r="B711" i="1"/>
  <c r="B717" i="1"/>
  <c r="B636" i="1"/>
  <c r="B649" i="1"/>
  <c r="B731" i="1"/>
  <c r="B600" i="1"/>
  <c r="B657" i="1"/>
  <c r="B696" i="1"/>
  <c r="B627" i="1"/>
  <c r="B538" i="1"/>
  <c r="B643" i="1"/>
  <c r="B665" i="1"/>
  <c r="B635" i="1"/>
  <c r="B597" i="1"/>
  <c r="B656" i="1"/>
  <c r="B623" i="1"/>
  <c r="B682" i="1"/>
  <c r="B633" i="1"/>
  <c r="B602" i="1"/>
  <c r="B558" i="1"/>
  <c r="B545" i="1"/>
  <c r="B568" i="1"/>
  <c r="B577" i="1"/>
  <c r="B548" i="1"/>
  <c r="B634" i="1"/>
  <c r="B585" i="1"/>
  <c r="B522" i="1"/>
  <c r="B663" i="1"/>
  <c r="B607" i="1"/>
  <c r="B659" i="1"/>
  <c r="B595" i="1"/>
  <c r="B604" i="1"/>
  <c r="B685" i="1"/>
  <c r="B617" i="1"/>
  <c r="B713" i="1"/>
  <c r="B573" i="1"/>
  <c r="B683" i="1"/>
  <c r="B543" i="1"/>
  <c r="B572" i="1"/>
  <c r="B726" i="1"/>
  <c r="B732" i="1"/>
  <c r="B658" i="1"/>
  <c r="B535" i="1"/>
  <c r="B583" i="1"/>
  <c r="B574" i="1"/>
  <c r="B724" i="1"/>
  <c r="B622" i="1"/>
  <c r="B631" i="1"/>
  <c r="B560" i="1"/>
  <c r="B667" i="1"/>
  <c r="B733" i="1"/>
  <c r="B671" i="1"/>
  <c r="B567" i="1"/>
  <c r="B593" i="1"/>
  <c r="B647" i="1"/>
  <c r="B715" i="1"/>
  <c r="B723" i="1"/>
  <c r="B557" i="1"/>
  <c r="B521" i="1"/>
  <c r="B624" i="1"/>
  <c r="B642" i="1"/>
  <c r="B546" i="1"/>
  <c r="B653" i="1"/>
  <c r="B603" i="1"/>
  <c r="B609" i="1"/>
  <c r="B519" i="1"/>
  <c r="B559" i="1"/>
  <c r="B650" i="1"/>
  <c r="B610" i="1"/>
  <c r="B566" i="1"/>
  <c r="B626" i="1"/>
  <c r="B550" i="1"/>
  <c r="B625" i="1"/>
  <c r="B645" i="1"/>
  <c r="B654" i="1"/>
  <c r="B588" i="1"/>
  <c r="B637" i="1"/>
  <c r="B525" i="1"/>
  <c r="B575" i="1"/>
  <c r="B632" i="1"/>
  <c r="B669" i="1"/>
  <c r="B532" i="1"/>
  <c r="B714" i="1"/>
  <c r="B516" i="1"/>
  <c r="B616" i="1"/>
  <c r="B579" i="1"/>
  <c r="B537" i="1"/>
  <c r="B722" i="1"/>
  <c r="B594" i="1"/>
  <c r="B528" i="1"/>
  <c r="B628" i="1"/>
  <c r="B719" i="1"/>
  <c r="B514" i="1"/>
  <c r="B662" i="1"/>
  <c r="B534" i="1"/>
  <c r="B531" i="1"/>
  <c r="B533" i="1"/>
  <c r="B599" i="1"/>
  <c r="B596" i="1"/>
  <c r="B536" i="1"/>
  <c r="B581" i="1"/>
  <c r="B728" i="1"/>
  <c r="B578" i="1"/>
  <c r="B584" i="1"/>
  <c r="B580" i="1"/>
  <c r="B613" i="1"/>
  <c r="B576" i="1"/>
  <c r="B582" i="1"/>
  <c r="B562" i="1"/>
  <c r="B630" i="1"/>
  <c r="B565" i="1"/>
  <c r="B598" i="1"/>
</calcChain>
</file>

<file path=xl/sharedStrings.xml><?xml version="1.0" encoding="utf-8"?>
<sst xmlns="http://schemas.openxmlformats.org/spreadsheetml/2006/main" count="7077" uniqueCount="3398">
  <si>
    <t>11236 Baert Freddy</t>
  </si>
  <si>
    <t>12514 De Smet Kenneth</t>
  </si>
  <si>
    <t>12684 Van Den Bossche Martine</t>
  </si>
  <si>
    <t>13398 Kirdas Ramazan</t>
  </si>
  <si>
    <t>15088 Laute Dirk</t>
  </si>
  <si>
    <t>15282 Marinx Kristoff</t>
  </si>
  <si>
    <t>15412 Dhondt Frank</t>
  </si>
  <si>
    <t>16545 Toch Erwin</t>
  </si>
  <si>
    <t>16897 VandenDaele Andy</t>
  </si>
  <si>
    <t>17566 Praet Reginald</t>
  </si>
  <si>
    <t>17951 Lega Claude</t>
  </si>
  <si>
    <t>18987 De Geyter Dolly</t>
  </si>
  <si>
    <t>19249 Odaci Kadir</t>
  </si>
  <si>
    <t>19520 Van Steenbergen Kris</t>
  </si>
  <si>
    <t>19917 Vandevyvere Frank</t>
  </si>
  <si>
    <t>21424 Verstichel Jethro</t>
  </si>
  <si>
    <t>21509 De Craemer Kris</t>
  </si>
  <si>
    <t>21581 Vanderstraeten Franky</t>
  </si>
  <si>
    <t>21582 De Grom Patrick</t>
  </si>
  <si>
    <t>22240 Delahaye Karina</t>
  </si>
  <si>
    <t>23918 D'Haeyere Bernard</t>
  </si>
  <si>
    <t>24155 Luttens Koen</t>
  </si>
  <si>
    <t>25487 Devos Stefaan</t>
  </si>
  <si>
    <t>25679 Vanrenterghem Serge</t>
  </si>
  <si>
    <t>25733 Simsek Abdullah</t>
  </si>
  <si>
    <t>26137 Hublau Roland</t>
  </si>
  <si>
    <t>26199 Wauters Franky</t>
  </si>
  <si>
    <t>26331 Van Semmertier Pascal</t>
  </si>
  <si>
    <t>26847 De Meester David</t>
  </si>
  <si>
    <t>26960 Toubadie Mossa</t>
  </si>
  <si>
    <t>27672 Criel Veronique</t>
  </si>
  <si>
    <t>28737 El-Mohamed Mohamed</t>
  </si>
  <si>
    <t>28910 Gassa Osmane</t>
  </si>
  <si>
    <t>29674 Martens Geoffrey</t>
  </si>
  <si>
    <t>29746 Huyse Annicke</t>
  </si>
  <si>
    <t>30121 Simons Andreas</t>
  </si>
  <si>
    <t>30967 Taser Fatih</t>
  </si>
  <si>
    <t>31118 De Sutter Michiel</t>
  </si>
  <si>
    <t>31165 Govaerts Sandro</t>
  </si>
  <si>
    <t>31231 Colaes Dylan</t>
  </si>
  <si>
    <t>31360 Simsek Fatih</t>
  </si>
  <si>
    <t>31668 Weemhof Maurice</t>
  </si>
  <si>
    <t>32002 Hasni Helmi</t>
  </si>
  <si>
    <t>32091 Köroglu Ercan</t>
  </si>
  <si>
    <t>32245 Verlinden Bianca</t>
  </si>
  <si>
    <t>32387 Meersman Herman</t>
  </si>
  <si>
    <t>32528 Benjilali Abdelhak</t>
  </si>
  <si>
    <t>32611 Özer Özgur</t>
  </si>
  <si>
    <t>32620 Saey Elias</t>
  </si>
  <si>
    <t>32951 De Bruyne Sonia</t>
  </si>
  <si>
    <t>33085 Van Hoe Ivo</t>
  </si>
  <si>
    <t>33640 Verschraegen Patrick</t>
  </si>
  <si>
    <t>33965 Van de Gehuchte Gilles</t>
  </si>
  <si>
    <t>33986 Göktas Muharrem</t>
  </si>
  <si>
    <t>34019 Hoste Tom</t>
  </si>
  <si>
    <t>34325 Eid Mathyn</t>
  </si>
  <si>
    <t>34351 Callant Dieter</t>
  </si>
  <si>
    <t>34445 Wulleput Illya</t>
  </si>
  <si>
    <t>35216 Coban Mehmet</t>
  </si>
  <si>
    <t>35246 De Meyer Karel</t>
  </si>
  <si>
    <t>35379 Engels Sam</t>
  </si>
  <si>
    <t>35395 Limbourg Heidi</t>
  </si>
  <si>
    <t>35397 Minbari Ako</t>
  </si>
  <si>
    <t>35450 Roos Hugo</t>
  </si>
  <si>
    <t>35491 Toubadie Zakaria</t>
  </si>
  <si>
    <t>35619 El Mezroui Zouheir</t>
  </si>
  <si>
    <t>35645 Jalili Yaseeb</t>
  </si>
  <si>
    <t>36154 De Clercq Sven</t>
  </si>
  <si>
    <t>36289 Van Rentergem Steve</t>
  </si>
  <si>
    <t>36358 De Nys Elise</t>
  </si>
  <si>
    <t>36426 Mohamed Yassin Abdulhamid</t>
  </si>
  <si>
    <t>36428 Abdi Shaiye Rashid</t>
  </si>
  <si>
    <t>36438 Agil Birol</t>
  </si>
  <si>
    <t>36512 Van Herreweghe Branco</t>
  </si>
  <si>
    <t>36559 De Staercke Sandra</t>
  </si>
  <si>
    <t>36569 Stroobandt Jonas</t>
  </si>
  <si>
    <t>36624 De Meulenaere Kurt</t>
  </si>
  <si>
    <t>36626 Kartal Kadir</t>
  </si>
  <si>
    <t>36627 Dobbelaere David</t>
  </si>
  <si>
    <t>36635 Fadel Husam</t>
  </si>
  <si>
    <t>36663 Cesmeli Achraf</t>
  </si>
  <si>
    <t>36820 Haché Philip</t>
  </si>
  <si>
    <t>37132 Dacic Esmir</t>
  </si>
  <si>
    <t>37179 Bashir Muhammad Salman</t>
  </si>
  <si>
    <t>37439 Demirkazik Mustafa</t>
  </si>
  <si>
    <t>37496 Oosterlinck Willy</t>
  </si>
  <si>
    <t>37509 Abdulkader Sabah</t>
  </si>
  <si>
    <t>37542 De Tandt Hans</t>
  </si>
  <si>
    <t>37662 Van den Meerssche Steven</t>
  </si>
  <si>
    <t>37744 De Lange Frank</t>
  </si>
  <si>
    <t>37809 Sturtewagen Kenny</t>
  </si>
  <si>
    <t>37908 Vandenberghe Michael</t>
  </si>
  <si>
    <t>37936 Detaeye Alexander</t>
  </si>
  <si>
    <t>37950 De Naegel Bruno</t>
  </si>
  <si>
    <t>38035 Simsek Isa</t>
  </si>
  <si>
    <t>38475 Verschraegen Katleen</t>
  </si>
  <si>
    <t>38481 Sari Devrim</t>
  </si>
  <si>
    <t>38580 Smajla Samet</t>
  </si>
  <si>
    <t>38633 Stomphorst Mattanja</t>
  </si>
  <si>
    <t>38634 Asskale Zouhir</t>
  </si>
  <si>
    <t>38648 Uckuyulu Muhammet Emin</t>
  </si>
  <si>
    <t>38807 Dossche Caroline</t>
  </si>
  <si>
    <t>38808 Wasen Jens</t>
  </si>
  <si>
    <t>38931 Sancak Eyuphan</t>
  </si>
  <si>
    <t>38938 Sedighi Hamid</t>
  </si>
  <si>
    <t>39014 Genbrugge Kyllian</t>
  </si>
  <si>
    <t>39267 Van Holsbeeck Jens</t>
  </si>
  <si>
    <t>39358 Weeks Aracena Jimmy Alexander</t>
  </si>
  <si>
    <t>39532 Sahin Orhan</t>
  </si>
  <si>
    <t>39581 Vandenhaute Linus</t>
  </si>
  <si>
    <t>39651 Kallenbach Sunny</t>
  </si>
  <si>
    <t>39673 Steurbaut Henri</t>
  </si>
  <si>
    <t>39712 Repaj Ramazan</t>
  </si>
  <si>
    <t>39779 Avci Muhammet Abdullah</t>
  </si>
  <si>
    <t>39829 Demirkaya Serkan</t>
  </si>
  <si>
    <t>39856 Curukcu Bayram</t>
  </si>
  <si>
    <t>39927 De Wilde Jordy</t>
  </si>
  <si>
    <t>39929 Staneva Mariyana</t>
  </si>
  <si>
    <t>39972 Repaj Ramazav</t>
  </si>
  <si>
    <t>40005 Bernaerts Philip</t>
  </si>
  <si>
    <t>40036 Karakaya Oguz</t>
  </si>
  <si>
    <t>40055 Afara Ammar</t>
  </si>
  <si>
    <t>40110 Vanlerberghe Sandra</t>
  </si>
  <si>
    <t>40134 Cardon Sharon</t>
  </si>
  <si>
    <t>40138 Moerman Tjimmy</t>
  </si>
  <si>
    <t>40223 Teetaert Billy</t>
  </si>
  <si>
    <t>40266 Taibi Yassine</t>
  </si>
  <si>
    <t>40278 Ates Firat</t>
  </si>
  <si>
    <t>40393 Salimova Eydzhan</t>
  </si>
  <si>
    <t>40443 Fakash Mahmoud</t>
  </si>
  <si>
    <t>40444 Van Damme Glenn</t>
  </si>
  <si>
    <t>40478 Hashimi Ali Mir</t>
  </si>
  <si>
    <t>40591 Hiloui Mahmoud</t>
  </si>
  <si>
    <t>40652 Van Damme Gilyann</t>
  </si>
  <si>
    <t>40744 Gözüküçük Ugur</t>
  </si>
  <si>
    <t>40856 Neissi Sadegh</t>
  </si>
  <si>
    <t>40859 Yagoub Abdelali</t>
  </si>
  <si>
    <t>40939 Cisse Sayon</t>
  </si>
  <si>
    <t>40969 Kerman Melisa</t>
  </si>
  <si>
    <t>41012 Natad Younes</t>
  </si>
  <si>
    <t>41032 Rocabado Hinojosa Lukas</t>
  </si>
  <si>
    <t>41091 Yavas Talha</t>
  </si>
  <si>
    <t>41092 De Keyser Dorien</t>
  </si>
  <si>
    <t>41162 Hoeckman Jeroen</t>
  </si>
  <si>
    <t>41246 Van Holsbeeck Yana</t>
  </si>
  <si>
    <t>41383 De Pauw Tony</t>
  </si>
  <si>
    <t>4419 Maelbrancke Eddy</t>
  </si>
  <si>
    <t>4608 Steenbrugge Johan</t>
  </si>
  <si>
    <t>6229 De Meyer Antoon</t>
  </si>
  <si>
    <t>8394 Smet Antoon</t>
  </si>
  <si>
    <t>9158 De Weirdt Ronny</t>
  </si>
  <si>
    <t>9824 De Meulenaere Eric</t>
  </si>
  <si>
    <t>41064 Ardic Atilla</t>
  </si>
  <si>
    <t>41520 Smets Avery</t>
  </si>
  <si>
    <t>41230 De Witte Bart</t>
  </si>
  <si>
    <t>41588 Naessens Yves</t>
  </si>
  <si>
    <t>38731 Ben Sidhom Samir</t>
  </si>
  <si>
    <t>40938 Hasnaoui Nejmeddine</t>
  </si>
  <si>
    <t>41710 Ghani Fazal</t>
  </si>
  <si>
    <t>41482 Özdemir Osman</t>
  </si>
  <si>
    <t>39660 Lloyd Glenn</t>
  </si>
  <si>
    <t>41671 Hasan Salem</t>
  </si>
  <si>
    <t>31490 De Weirdt Steph</t>
  </si>
  <si>
    <t>41384 Hillaert Thimo</t>
  </si>
  <si>
    <t>41619 Bachiri Ousama</t>
  </si>
  <si>
    <t>Eindtotaal</t>
  </si>
  <si>
    <t>Aantal van Datum</t>
  </si>
  <si>
    <t>Gent</t>
  </si>
  <si>
    <t>Brusselsesteenweg</t>
  </si>
  <si>
    <t>Dampoort</t>
  </si>
  <si>
    <t>Stelplaats E17</t>
  </si>
  <si>
    <t>Tolhuislaan</t>
  </si>
  <si>
    <t>Brugsepoort</t>
  </si>
  <si>
    <t>Rooigemlaan</t>
  </si>
  <si>
    <t>Zwijnaardsesteenweg</t>
  </si>
  <si>
    <t>Nieuwe Wandeling</t>
  </si>
  <si>
    <t>Hovenierstraat</t>
  </si>
  <si>
    <t>Gent Sint Pieters</t>
  </si>
  <si>
    <t>Stelplaats GBR</t>
  </si>
  <si>
    <t>steendam</t>
  </si>
  <si>
    <t>Kortrijksesteenweg</t>
  </si>
  <si>
    <t>Locatie</t>
  </si>
  <si>
    <t>Koning albertlaan</t>
  </si>
  <si>
    <t>Ledebergplein</t>
  </si>
  <si>
    <t>Brugsesteenweg</t>
  </si>
  <si>
    <t>Dominique De Clercq</t>
  </si>
  <si>
    <t>De Pintelaan</t>
  </si>
  <si>
    <t>Bart Van Der Beken</t>
  </si>
  <si>
    <t>Hoogstraat</t>
  </si>
  <si>
    <t>Christoff Rotty</t>
  </si>
  <si>
    <t>Dendermondsesteenweg</t>
  </si>
  <si>
    <t>Els Vanhoe</t>
  </si>
  <si>
    <t>Gentbruggestraat</t>
  </si>
  <si>
    <t>Els Dewulf</t>
  </si>
  <si>
    <t>Deinze</t>
  </si>
  <si>
    <t>Kenneth De Rick</t>
  </si>
  <si>
    <t>Trolleyloods</t>
  </si>
  <si>
    <t>Lucie Vande Velde</t>
  </si>
  <si>
    <t>Oostakker</t>
  </si>
  <si>
    <t>Steven Storm</t>
  </si>
  <si>
    <t>Groeningewijk Gent</t>
  </si>
  <si>
    <t>Hundelgemsesteenweg</t>
  </si>
  <si>
    <t>Morekstraat</t>
  </si>
  <si>
    <t>Kolomlabels</t>
  </si>
  <si>
    <t>Sint Bernadettestraat</t>
  </si>
  <si>
    <t>Waarden</t>
  </si>
  <si>
    <t>Bus</t>
  </si>
  <si>
    <t>Tram</t>
  </si>
  <si>
    <t>Drongen</t>
  </si>
  <si>
    <t>Keizerpoort</t>
  </si>
  <si>
    <t>Voskenslaan</t>
  </si>
  <si>
    <t>Bevrijdingslaan</t>
  </si>
  <si>
    <t>Aantal van April</t>
  </si>
  <si>
    <t>Drongensteenweg</t>
  </si>
  <si>
    <t>Aantal van Mei</t>
  </si>
  <si>
    <t>Wondelgem</t>
  </si>
  <si>
    <t>Aantal van Juni</t>
  </si>
  <si>
    <t>Sint Pietersaalstraat</t>
  </si>
  <si>
    <t>Aantal van Juli</t>
  </si>
  <si>
    <t>Clarissenstraat</t>
  </si>
  <si>
    <t>Aantal van Augustus</t>
  </si>
  <si>
    <t>Muidepoort</t>
  </si>
  <si>
    <t>Aantal van September</t>
  </si>
  <si>
    <t>Martelaarslaan</t>
  </si>
  <si>
    <t>Aantal van Oktober</t>
  </si>
  <si>
    <t>Kolegemstraat</t>
  </si>
  <si>
    <t>Aantal van November</t>
  </si>
  <si>
    <t>Poperingestraat</t>
  </si>
  <si>
    <t>Aantal van December</t>
  </si>
  <si>
    <t>Korenmarkt</t>
  </si>
  <si>
    <t>Meulesteedsesteenweg</t>
  </si>
  <si>
    <t>Wondelgem station</t>
  </si>
  <si>
    <t>Ledebergstraat</t>
  </si>
  <si>
    <t>N60</t>
  </si>
  <si>
    <t>Antwerpsesteenweg</t>
  </si>
  <si>
    <t>Keizer karelstraat</t>
  </si>
  <si>
    <t>Zuidstationstraat</t>
  </si>
  <si>
    <t>Antoon sanderusstraat</t>
  </si>
  <si>
    <t>Muidebrug</t>
  </si>
  <si>
    <t>Snellaertplein</t>
  </si>
  <si>
    <t>Grote steenweg noord (zwijnaarde</t>
  </si>
  <si>
    <t>Verenigde Natielaan</t>
  </si>
  <si>
    <t>Wondelgembrug</t>
  </si>
  <si>
    <t>Pilorijnstraat</t>
  </si>
  <si>
    <t>Kartuizerlaan</t>
  </si>
  <si>
    <t>Dikkelindestraat</t>
  </si>
  <si>
    <t>Coupure</t>
  </si>
  <si>
    <t>Kouter</t>
  </si>
  <si>
    <t>rabot</t>
  </si>
  <si>
    <t>Gent zuid</t>
  </si>
  <si>
    <t>Blaisantvest</t>
  </si>
  <si>
    <t>UZ</t>
  </si>
  <si>
    <t>Neuseplein</t>
  </si>
  <si>
    <t>Flanders Expo</t>
  </si>
  <si>
    <t>Doornzelestraat</t>
  </si>
  <si>
    <t>Technologiepark</t>
  </si>
  <si>
    <t>Jozef Vervaenestraat</t>
  </si>
  <si>
    <t xml:space="preserve">Sint Salvatorstraat </t>
  </si>
  <si>
    <t>Brugesepoort</t>
  </si>
  <si>
    <t>Heuvelpoort</t>
  </si>
  <si>
    <t>Molenstraat</t>
  </si>
  <si>
    <t>Kunstlaan</t>
  </si>
  <si>
    <t>Gebroeders de smetstraat</t>
  </si>
  <si>
    <t>Einde were</t>
  </si>
  <si>
    <t>Land van Rhodelaan</t>
  </si>
  <si>
    <t>Burggravenlaan</t>
  </si>
  <si>
    <t>Lammerstraat</t>
  </si>
  <si>
    <t>Eggermontstraat</t>
  </si>
  <si>
    <t>Charles de Kerkhovelaan</t>
  </si>
  <si>
    <t>Bernaerd Spaelaan</t>
  </si>
  <si>
    <t>Heirweg noord</t>
  </si>
  <si>
    <t>Ter Platen</t>
  </si>
  <si>
    <t>Ledeberg</t>
  </si>
  <si>
    <t>Papegaaistraat</t>
  </si>
  <si>
    <t>Neermeerskaai</t>
  </si>
  <si>
    <t>Tolpoort</t>
  </si>
  <si>
    <t>Zonnestraat</t>
  </si>
  <si>
    <t>Tweebruggenstraat</t>
  </si>
  <si>
    <t>Sint Pietersnieuwstraat</t>
  </si>
  <si>
    <t>Meerhem</t>
  </si>
  <si>
    <t>Melle Leeuw</t>
  </si>
  <si>
    <t>Gentbrugge</t>
  </si>
  <si>
    <t>Sleepstraat</t>
  </si>
  <si>
    <t>Meeuwstraat</t>
  </si>
  <si>
    <t>(leeg)</t>
  </si>
  <si>
    <t>Hagedisstraat</t>
  </si>
  <si>
    <t>Rabotstraat</t>
  </si>
  <si>
    <t>Bernadettestraat</t>
  </si>
  <si>
    <t xml:space="preserve">Stapelplein </t>
  </si>
  <si>
    <t>Opgeeistenlaan</t>
  </si>
  <si>
    <t>Steenakker</t>
  </si>
  <si>
    <t>begijnhoflaan</t>
  </si>
  <si>
    <t>Blandijnberg</t>
  </si>
  <si>
    <t>Kerkstraat</t>
  </si>
  <si>
    <t>Gebroeders Van De Veldestraat</t>
  </si>
  <si>
    <t>Ottogracht</t>
  </si>
  <si>
    <t>Wolfputstraat</t>
  </si>
  <si>
    <t>Maaltebruggestraat</t>
  </si>
  <si>
    <t>Lijnmolenstraat</t>
  </si>
  <si>
    <t>Wittewalle</t>
  </si>
  <si>
    <t>Heiveldstraat</t>
  </si>
  <si>
    <t>Kortrijksepoortstraat</t>
  </si>
  <si>
    <t>Koninging Elisabethlaan</t>
  </si>
  <si>
    <t>Burgstraat</t>
  </si>
  <si>
    <t>Sint pieters nieuwstraat</t>
  </si>
  <si>
    <t>Hagelandkaai</t>
  </si>
  <si>
    <t>Houtdoklaan</t>
  </si>
  <si>
    <t>Ham</t>
  </si>
  <si>
    <t>Sassekaai</t>
  </si>
  <si>
    <t>Zuid</t>
  </si>
  <si>
    <t>Laarne</t>
  </si>
  <si>
    <t>Gentstraat (Oostakker)</t>
  </si>
  <si>
    <t>Doornzelesteenweg</t>
  </si>
  <si>
    <t>Braemstraat</t>
  </si>
  <si>
    <t>Liefkensstraat</t>
  </si>
  <si>
    <t>Frere Orbanlaan</t>
  </si>
  <si>
    <t>Corneel Heymanslaan</t>
  </si>
  <si>
    <t>P+R Gentbrugge</t>
  </si>
  <si>
    <t>Vlaanderenstraat</t>
  </si>
  <si>
    <t>Overzet</t>
  </si>
  <si>
    <t>Brusselsepoort</t>
  </si>
  <si>
    <t>Sint Jacobnieuwstraat</t>
  </si>
  <si>
    <t>De Guchteneerestraat</t>
  </si>
  <si>
    <t>Koning Albertstraat</t>
  </si>
  <si>
    <t>Merelbeke statrion</t>
  </si>
  <si>
    <t>Dahliastraat</t>
  </si>
  <si>
    <t>Berkhoutestraat</t>
  </si>
  <si>
    <t>Gontrodestraat</t>
  </si>
  <si>
    <t>Baarledorp</t>
  </si>
  <si>
    <t>Segersplein</t>
  </si>
  <si>
    <t>Muide</t>
  </si>
  <si>
    <t>Sint Amandsstraat</t>
  </si>
  <si>
    <t>Temse</t>
  </si>
  <si>
    <t>Voormuide</t>
  </si>
  <si>
    <t>Schuurstraat</t>
  </si>
  <si>
    <t>Sint Lievensdoorgang</t>
  </si>
  <si>
    <t>Tentoonstellingslaan</t>
  </si>
  <si>
    <t>Kikvorsstraat</t>
  </si>
  <si>
    <t>Ijzerlaan</t>
  </si>
  <si>
    <t>Kruisem</t>
  </si>
  <si>
    <t>Koopvaardijlaan</t>
  </si>
  <si>
    <t>Berhoutestraat</t>
  </si>
  <si>
    <t>Herman Teirlinckstraat</t>
  </si>
  <si>
    <t>Onbekend</t>
  </si>
  <si>
    <t>Land van Waaslaan</t>
  </si>
  <si>
    <t>Joremaaie</t>
  </si>
  <si>
    <t>Langesteenstraat</t>
  </si>
  <si>
    <t>Widauwkaai</t>
  </si>
  <si>
    <t>Citadellaan</t>
  </si>
  <si>
    <t>Wondegembrug</t>
  </si>
  <si>
    <t>Ottergemsesteenweg</t>
  </si>
  <si>
    <t>P+R Ledeberg</t>
  </si>
  <si>
    <t>Nazareth</t>
  </si>
  <si>
    <t>Collegelaan</t>
  </si>
  <si>
    <t>Parklaan</t>
  </si>
  <si>
    <t>Damvaleistraat</t>
  </si>
  <si>
    <t>Bernard Spaelaan</t>
  </si>
  <si>
    <t>Muinklaan</t>
  </si>
  <si>
    <t>Kasteellaan</t>
  </si>
  <si>
    <t>Poel</t>
  </si>
  <si>
    <t>Sterre</t>
  </si>
  <si>
    <t>Glashowstraat</t>
  </si>
  <si>
    <t>Clementinalaan</t>
  </si>
  <si>
    <t>Gontrode Heirweg</t>
  </si>
  <si>
    <t>duizend vuren</t>
  </si>
  <si>
    <t>Salvatorstraat</t>
  </si>
  <si>
    <t>koophandelsplein</t>
  </si>
  <si>
    <t>Ghuislainbrug</t>
  </si>
  <si>
    <t>Tweekappellestraat</t>
  </si>
  <si>
    <t>Gravensteen</t>
  </si>
  <si>
    <t>Dampoortstraat</t>
  </si>
  <si>
    <t>Griendeplein</t>
  </si>
  <si>
    <t>Noordstraat</t>
  </si>
  <si>
    <t>Galglaan</t>
  </si>
  <si>
    <t>Oude abdijstraat</t>
  </si>
  <si>
    <t>Derbystraat</t>
  </si>
  <si>
    <t>Watersportlaan</t>
  </si>
  <si>
    <t>seghersplein</t>
  </si>
  <si>
    <t>Van Beverenplein</t>
  </si>
  <si>
    <t>Sint Baafsplein</t>
  </si>
  <si>
    <t>Goudvinkstraat</t>
  </si>
  <si>
    <t>Lippensplein</t>
  </si>
  <si>
    <t>afrit E40</t>
  </si>
  <si>
    <t>Pauwstraat</t>
  </si>
  <si>
    <t>Van Goethemstraat</t>
  </si>
  <si>
    <t>Gentsesteenweg Deinze</t>
  </si>
  <si>
    <t>Varendriesstraat</t>
  </si>
  <si>
    <t>Zele</t>
  </si>
  <si>
    <t>Roodborststraat</t>
  </si>
  <si>
    <t>Schouwburgstraat</t>
  </si>
  <si>
    <t>Pijkestraat</t>
  </si>
  <si>
    <t>Botermarkt</t>
  </si>
  <si>
    <t>Fratersplein</t>
  </si>
  <si>
    <t>Heymanslaan</t>
  </si>
  <si>
    <t>Drieselstraat</t>
  </si>
  <si>
    <t>Antoon Catriestraat</t>
  </si>
  <si>
    <t>Edelsteenstraat</t>
  </si>
  <si>
    <t>Nachtploeg</t>
  </si>
  <si>
    <t>totaal</t>
  </si>
  <si>
    <t>personeelsnr</t>
  </si>
  <si>
    <t>volledige naam</t>
  </si>
  <si>
    <t>achternaam</t>
  </si>
  <si>
    <t>voornaam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</si>
  <si>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</si>
  <si>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</si>
  <si>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</si>
  <si>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</si>
  <si>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</si>
  <si>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</si>
  <si>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</si>
  <si>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</si>
  <si>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</si>
  <si>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</si>
  <si>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</si>
  <si>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</si>
  <si>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</si>
  <si>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</si>
  <si>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</si>
  <si>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</si>
  <si>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</si>
  <si>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</si>
  <si>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</si>
  <si>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</si>
  <si>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</si>
  <si>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</si>
  <si>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</si>
  <si>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</si>
  <si>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</si>
  <si>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</si>
  <si>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</si>
  <si>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</si>
  <si>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</si>
  <si>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</si>
  <si>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</si>
  <si>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</si>
  <si>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</si>
  <si>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</si>
  <si>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</si>
  <si>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</si>
  <si>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</si>
  <si>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</si>
  <si>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</si>
  <si>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</si>
  <si>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</si>
  <si>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</si>
  <si>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</si>
  <si>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</si>
  <si>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</si>
  <si>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EAF 5273 Gent 23012024.pdf</t>
  </si>
  <si>
    <t>EAF 5937 Gent 23012024.pdf</t>
  </si>
  <si>
    <t>EAF 5926 Gent Zuid 24012024.pdf</t>
  </si>
  <si>
    <t>EAF 5046 Oostakker 25012024.pdf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</si>
  <si>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</si>
  <si>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</si>
  <si>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</si>
  <si>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</si>
  <si>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</si>
  <si>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</si>
  <si>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</si>
  <si>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</si>
  <si>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</si>
  <si>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</si>
  <si>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</si>
  <si>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</si>
  <si>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</si>
  <si>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</si>
  <si>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EAF 2200 Gent 04022024.pdf</t>
  </si>
  <si>
    <t>EAF 5919 Gent 04022024.pdf</t>
  </si>
  <si>
    <t>EAF 5929 Glasgowstraat Gent 23102024 Vonck Freddy.pdf</t>
  </si>
  <si>
    <t>EAF 6357 Gent 04022024.pdf</t>
  </si>
  <si>
    <t>EAF 5044 Gent 05022024.pdf</t>
  </si>
  <si>
    <t>EAF 06022024 Toby Pelrene.pdf</t>
  </si>
  <si>
    <t>EAF 5237 Begijnhoflaan 07022024.pdf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</si>
  <si>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</si>
  <si>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</si>
  <si>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</si>
  <si>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</si>
  <si>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</si>
  <si>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</si>
  <si>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EAF 5040 Gent 15022024.pdf</t>
  </si>
  <si>
    <t>EAF 5361 Gent 15022024.pdf</t>
  </si>
  <si>
    <t>EAF 5326 Gent 16022024.pdf</t>
  </si>
  <si>
    <t>EAF 5229 Rabot 17022024.pdf</t>
  </si>
  <si>
    <t>EAF 5240 Verenigde Natieslaan 17-02-2024 Van Waeyenbergh Yordi.pdf</t>
  </si>
  <si>
    <t>EAF 5263 Verenigde Natieslaan 17-02-2024 Weeks Aracena Jimmy Alexander.pdf</t>
  </si>
  <si>
    <t>EAF 6326 Sint Pietersaalstraat 19022024.pdf</t>
  </si>
  <si>
    <t>EAF 19022024 6320 Gent Mathyn Eid.pdf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</si>
  <si>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</si>
  <si>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</si>
  <si>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</si>
  <si>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</si>
  <si>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</si>
  <si>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</si>
  <si>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</si>
  <si>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</si>
  <si>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</si>
  <si>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EAF 5230 Gent 28022024.pdf</t>
  </si>
  <si>
    <t>EAF Rooigemlaan - Nieuwe Wandeling Gent AB5229 28.02.2024.pdf</t>
  </si>
  <si>
    <t>EAF 2196 Gent 29022024.pdf</t>
  </si>
  <si>
    <t>EAF 5235 Kouter Gent 29022024.pdf</t>
  </si>
  <si>
    <t>EAF 5273 Drongen 29022024.pdf</t>
  </si>
  <si>
    <t>EAF 6371 Albertlaan 29022024.pdf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</si>
  <si>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</si>
  <si>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</si>
  <si>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</si>
  <si>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</si>
  <si>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</si>
  <si>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</si>
  <si>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</si>
  <si>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</si>
  <si>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</si>
  <si>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</si>
  <si>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</si>
  <si>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</si>
  <si>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</si>
  <si>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</si>
  <si>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</si>
  <si>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</si>
  <si>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EAF 2549 08022024.pdf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</si>
  <si>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</si>
  <si>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</si>
  <si>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</si>
  <si>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</si>
  <si>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</si>
  <si>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EAF 5040 Dampoort 13032024.pdf</t>
  </si>
  <si>
    <t>EAF 5917 Wondelgem 13032024.pdf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</si>
  <si>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</si>
  <si>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</si>
  <si>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</si>
  <si>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</si>
  <si>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</si>
  <si>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</si>
  <si>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</si>
  <si>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</si>
  <si>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</si>
  <si>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</si>
  <si>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EAF 6367 Wondelgem 20032024.pdf</t>
  </si>
  <si>
    <t>EAF 6369 Frereobanlaan 20032024.pdf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</si>
  <si>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</si>
  <si>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</si>
  <si>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</si>
  <si>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</si>
  <si>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</si>
  <si>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</si>
  <si>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</si>
  <si>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</si>
  <si>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</si>
  <si>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</si>
  <si>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</si>
  <si>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</si>
  <si>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</si>
  <si>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</si>
  <si>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</si>
  <si>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</si>
  <si>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</si>
  <si>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</si>
  <si>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</si>
  <si>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</si>
  <si>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</si>
  <si>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</si>
  <si>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EAF 2202 Kleine Schuurstraat 04042024.pdf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</si>
  <si>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</si>
  <si>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</si>
  <si>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</si>
  <si>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</si>
  <si>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</si>
  <si>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</si>
  <si>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</si>
  <si>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</si>
  <si>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</si>
  <si>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</si>
  <si>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</si>
  <si>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</si>
  <si>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</si>
  <si>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</si>
  <si>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EAF 5927 Gent 12042024 Dejonckheere Els.pdf</t>
  </si>
  <si>
    <t>EAF 5928 Gent 13042024.pdf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</si>
  <si>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</si>
  <si>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</si>
  <si>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</si>
  <si>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</si>
  <si>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</si>
  <si>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</si>
  <si>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</si>
  <si>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</si>
  <si>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</si>
  <si>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</si>
  <si>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</si>
  <si>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</si>
  <si>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</si>
  <si>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</si>
  <si>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</si>
  <si>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</si>
  <si>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</si>
  <si>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</si>
  <si>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</si>
  <si>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</si>
  <si>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</si>
  <si>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</si>
  <si>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</si>
  <si>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</si>
  <si>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</si>
  <si>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EAF 222478 Blaisantvest 29-4-24 Ilhan Kurudere.pdf</t>
  </si>
  <si>
    <t>EAF 6359 Gent 30042024.pdf</t>
  </si>
  <si>
    <t>EAF 6372 Gent 30042024.pdf</t>
  </si>
  <si>
    <t>EAF Gent 30042024.pdf</t>
  </si>
  <si>
    <t>EAF 5922 Gent 01052024.pdf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</si>
  <si>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</si>
  <si>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</si>
  <si>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</si>
  <si>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</si>
  <si>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</si>
  <si>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</si>
  <si>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</si>
  <si>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</si>
  <si>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</si>
  <si>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EAF 5920 Damvalleistraat Gent 06052024.pdf</t>
  </si>
  <si>
    <t>EAF 5936 Dendermondsesteenweg 06052024.pdf</t>
  </si>
  <si>
    <t>EAF 5219 Brugsesteenweg 07052024 Christof Byosiere.pdf</t>
  </si>
  <si>
    <t>EAF 5229 Gent Koophandelsplein 07052024 De Taeye kelly.pdf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</si>
  <si>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</si>
  <si>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</si>
  <si>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</si>
  <si>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</si>
  <si>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</si>
  <si>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</si>
  <si>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</si>
  <si>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</si>
  <si>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</si>
  <si>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</si>
  <si>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</si>
  <si>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</si>
  <si>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</si>
  <si>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</si>
  <si>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</si>
  <si>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</si>
  <si>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</si>
  <si>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</si>
  <si>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</si>
  <si>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</si>
  <si>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</si>
  <si>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</si>
  <si>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</si>
  <si>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</si>
  <si>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</si>
  <si>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</si>
  <si>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</si>
  <si>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</si>
  <si>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</si>
  <si>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</si>
  <si>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</si>
  <si>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EAF 6329 Gent Kolegemstraat 04062024 aanrijding met tram 6326 Eid Mathyn.pdf</t>
  </si>
  <si>
    <t>EAF 6365 Gent 04062024.pdf</t>
  </si>
  <si>
    <t>EAF 04062024 6329 Gent met gekwetsten Mathyn Eid.pdf</t>
  </si>
  <si>
    <t>EAf 5041 Gent 05062024.pdf</t>
  </si>
  <si>
    <t>EAF 5327 05062024.pdf</t>
  </si>
  <si>
    <t>EAF 6376 Ledeberg 05062024.pdf</t>
  </si>
  <si>
    <t>EAF 5367 Gent 06062024.pdf</t>
  </si>
  <si>
    <t>EAF 5931 Zwijnaardsesteenweg Gent 06.07.2024.pdf</t>
  </si>
  <si>
    <t>EAF 5327 Gent Fraterplein 07062024.pdf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</si>
  <si>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</si>
  <si>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</si>
  <si>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</si>
  <si>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</si>
  <si>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EAF 112223 Gent 10062024.pdf</t>
  </si>
  <si>
    <t>EAF Tolhuislaan Gent AB 2204 10.06.2024.pdf</t>
  </si>
  <si>
    <t>EAF 5051 Gent 11062024.pdf</t>
  </si>
  <si>
    <t>EAF 8089 Zele 11062024.pdf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</si>
  <si>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</si>
  <si>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</si>
  <si>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</si>
  <si>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</si>
  <si>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</si>
  <si>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</si>
  <si>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</si>
  <si>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</si>
  <si>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</si>
  <si>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</si>
  <si>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</si>
  <si>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</si>
  <si>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</si>
  <si>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</si>
  <si>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</si>
  <si>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</si>
  <si>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</si>
  <si>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</si>
  <si>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</si>
  <si>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</si>
  <si>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</si>
  <si>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</si>
  <si>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</si>
  <si>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</si>
  <si>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EAF 5369 GEnt 29062024.pdf</t>
  </si>
  <si>
    <t>EAF 5273 Wondelgem 01072024.pdf</t>
  </si>
  <si>
    <t>EAF 5764 Octrooiplein Gent 01.07.2024.pdf</t>
  </si>
  <si>
    <t>EAF 5270 Afrit E17 op E40 08072024.pdf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</si>
  <si>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</si>
  <si>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</si>
  <si>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</si>
  <si>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</si>
  <si>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</si>
  <si>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</si>
  <si>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EAF 5909 Gent Land van Rodelaan 06062024 Stroobant Jonas.pdf</t>
  </si>
  <si>
    <t>EAF 50406 Gent 06022024.pdf</t>
  </si>
  <si>
    <t>EAF 5922 Gent 07072024.pdf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</si>
  <si>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</si>
  <si>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</si>
  <si>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</si>
  <si>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</si>
  <si>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</si>
  <si>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</si>
  <si>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</si>
  <si>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</si>
  <si>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</si>
  <si>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</si>
  <si>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</si>
  <si>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EAF 5272 kruispunt Koning Albertlaan - Sportstraat Gent 17.07.2024.pdf</t>
  </si>
  <si>
    <t>EAF 6302 Gent Zuid 18072024.pdf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</si>
  <si>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</si>
  <si>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</si>
  <si>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</si>
  <si>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</si>
  <si>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</si>
  <si>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</si>
  <si>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</si>
  <si>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</si>
  <si>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</si>
  <si>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</si>
  <si>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</si>
  <si>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</si>
  <si>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</si>
  <si>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</si>
  <si>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</si>
  <si>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</si>
  <si>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</si>
  <si>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</si>
  <si>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</si>
  <si>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</si>
  <si>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</si>
  <si>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</si>
  <si>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</si>
  <si>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</si>
  <si>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</si>
  <si>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</si>
  <si>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</si>
  <si>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</si>
  <si>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</si>
  <si>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</si>
  <si>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</si>
  <si>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EAF 2196 Brusselsesteenweg Gentbrugge 19082024.pdf</t>
  </si>
  <si>
    <t>EAF 2208 stelplaats E-17 19.08.2024.pdf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</si>
  <si>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</si>
  <si>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</si>
  <si>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</si>
  <si>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</si>
  <si>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</si>
  <si>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</si>
  <si>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</si>
  <si>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</si>
  <si>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</si>
  <si>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</si>
  <si>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</si>
  <si>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</si>
  <si>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EAF 4666 Ottergemsesteenweg Gent 03092024.pdf</t>
  </si>
  <si>
    <t>EAF 5052 Gent 03092024.pdf</t>
  </si>
  <si>
    <t>EAF 5054 De Sterre Gent 03092024 Mattanja Stomphorst.pdf</t>
  </si>
  <si>
    <t>EAF 5240 Gent 03092024 Atilla Ayidil.pdf</t>
  </si>
  <si>
    <t>EAF 5328 Drieselstraat Gent 03.09.2024.pdf</t>
  </si>
  <si>
    <t>EAF 5766 Lammerstraat 03092024.pdf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</si>
  <si>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</si>
  <si>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</si>
  <si>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</si>
  <si>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</si>
  <si>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</si>
  <si>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</si>
  <si>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</si>
  <si>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</si>
  <si>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</si>
  <si>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</si>
  <si>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</si>
  <si>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</si>
  <si>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</si>
  <si>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</si>
  <si>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</si>
  <si>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</si>
  <si>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</si>
  <si>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</si>
  <si>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</si>
  <si>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</si>
  <si>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</si>
  <si>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</si>
  <si>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</si>
  <si>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</si>
  <si>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</si>
  <si>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</si>
  <si>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</si>
  <si>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</si>
  <si>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</si>
  <si>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</si>
  <si>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</si>
  <si>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</si>
  <si>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</si>
  <si>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</si>
  <si>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</si>
  <si>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</si>
  <si>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</si>
  <si>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</si>
  <si>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</si>
  <si>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</si>
  <si>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</si>
  <si>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</si>
  <si>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EAF 03102024 6313 Gent Mathyn Eid.pdf</t>
  </si>
  <si>
    <t>EAF 04102024 6305 Gent Ghani Mozamil.pdf</t>
  </si>
  <si>
    <t>EAF 05102024 6369 Gent Roland Hublau.pdf</t>
  </si>
  <si>
    <t>EAF 07102024 5041 Gent Charlotte De Boever.pdf</t>
  </si>
  <si>
    <t>EAF 2195 Gent 08102024.pdf</t>
  </si>
  <si>
    <t>EAF 5917 Gent 08102024.pdf</t>
  </si>
  <si>
    <t>EAF 5920 Gent 09102024.pdf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</si>
  <si>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</si>
  <si>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</si>
  <si>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</si>
  <si>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</si>
  <si>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</si>
  <si>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</si>
  <si>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</si>
  <si>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</si>
  <si>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</si>
  <si>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</si>
  <si>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</si>
  <si>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</si>
  <si>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</si>
  <si>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</si>
  <si>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</si>
  <si>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</si>
  <si>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</si>
  <si>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</si>
  <si>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</si>
  <si>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</si>
  <si>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</si>
  <si>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</si>
  <si>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</si>
  <si>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</si>
  <si>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</si>
  <si>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</si>
  <si>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</si>
  <si>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</si>
  <si>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</si>
  <si>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</si>
  <si>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</si>
  <si>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</si>
  <si>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</si>
  <si>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</si>
  <si>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</si>
  <si>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</si>
  <si>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</si>
  <si>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</si>
  <si>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</si>
  <si>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</si>
  <si>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</si>
  <si>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EAF Gent Sint Pieters 06012024.pdf</t>
  </si>
  <si>
    <t>EAF 6333 Gent 07112024.pdf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</si>
  <si>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</si>
  <si>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</si>
  <si>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</si>
  <si>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</si>
  <si>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</si>
  <si>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</si>
  <si>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</si>
  <si>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</si>
  <si>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</si>
  <si>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</si>
  <si>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</si>
  <si>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</si>
  <si>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</si>
  <si>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</si>
  <si>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</si>
  <si>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</si>
  <si>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</si>
  <si>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EAF 6314 Gravensteen 19112024 Tom Vandaele_1.pdf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</si>
  <si>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</si>
  <si>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</si>
  <si>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</si>
  <si>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</si>
  <si>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</si>
  <si>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</si>
  <si>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</si>
  <si>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</si>
  <si>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</si>
  <si>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</si>
  <si>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</si>
  <si>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</si>
  <si>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</si>
  <si>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</si>
  <si>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</si>
  <si>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</si>
  <si>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</si>
  <si>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</si>
  <si>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</si>
  <si>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</si>
  <si>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</si>
  <si>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</si>
  <si>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</si>
  <si>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</si>
  <si>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EAF 6352 Expo Gent 06122024.pdf</t>
  </si>
  <si>
    <t>EAF 06122024 6305 Gent Kazim Demirkaya.pdf</t>
  </si>
  <si>
    <t>EAF 2195 Gent 07122024.pdf</t>
  </si>
  <si>
    <t>EAF 5261 Brugsepoort Gent 09122024.pdf</t>
  </si>
  <si>
    <t>EAF 6320 Griendeplein 9122024 Kenny Vanderstock.pdf</t>
  </si>
  <si>
    <t>EAF 6361 Gent 09122024.pdf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</si>
  <si>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</si>
  <si>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</si>
  <si>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</si>
  <si>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</si>
  <si>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</si>
  <si>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</si>
  <si>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</si>
  <si>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</si>
  <si>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</si>
  <si>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</si>
  <si>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</si>
  <si>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</si>
  <si>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</si>
  <si>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</si>
  <si>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</si>
  <si>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</si>
  <si>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</si>
  <si>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</si>
  <si>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</si>
  <si>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</si>
  <si>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</si>
  <si>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</si>
  <si>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</si>
  <si>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</si>
  <si>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</si>
  <si>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</si>
  <si>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</si>
  <si>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</si>
  <si>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EAF 5048 03012024 Gentsestwg.pdf</t>
  </si>
  <si>
    <t>EAF 5048 Gent Sint-Pieters 03012025.pdf</t>
  </si>
  <si>
    <t>EAF 5229 Gent 03012025.pdf</t>
  </si>
  <si>
    <t>De Weirdt</t>
  </si>
  <si>
    <t>Steph</t>
  </si>
  <si>
    <t>EAF 5934 Gentbrugge 03012025.pdf</t>
  </si>
  <si>
    <t>EAF 6312 Brusselsepoortstraat Gent 03012025.pdf</t>
  </si>
  <si>
    <t>EAF 6311 Gent 03012025.pdf</t>
  </si>
  <si>
    <t>EAF 5051 Gent 04012025.pdf</t>
  </si>
  <si>
    <t>Geen EAF Opgemaakt (via VWF)</t>
  </si>
  <si>
    <t>EAF 5931 Bevrijdingslaan 08012025 Bruno De Naegel.pdf</t>
  </si>
  <si>
    <t>EAF 5767 Dendermondsesteenweg Gent 10012025.pdf</t>
  </si>
  <si>
    <t>EAF 5912 Blandijnberg 10012025 Yassine Taibi.pdf</t>
  </si>
  <si>
    <t>EAF 6366 Gent 10012025.pdf</t>
  </si>
  <si>
    <t>EAF 5267 Gent 12012025.pdf</t>
  </si>
  <si>
    <t>EAF 5328 Gent - E17 12012025 Abdi Shane Rashid.pdf</t>
  </si>
  <si>
    <t>EAF 5260 Gent De Guchteneerestraat 13012025 Van Damme Glenn.pdf</t>
  </si>
  <si>
    <t>EAF 14012025_2 5912 Gent Stefaan Devos.pdf</t>
  </si>
  <si>
    <t>EAF 5927 Nieuwe Wandeling Gent 14012025.pdf</t>
  </si>
  <si>
    <t>EAF 5929 Stelplaats 14012025 Moez El Ouni.pdf</t>
  </si>
  <si>
    <t>EAF 5920 Gent 15012025.pdf</t>
  </si>
  <si>
    <t>EAF 6334 15012025 Neuseplein Fatih Taser.pdf</t>
  </si>
  <si>
    <t>EAF 14012025 5771 Gent melisa kerman.pdf</t>
  </si>
  <si>
    <t>EAF 6357 Brusselsesteenweg Gentbrugge 16012025.pdf</t>
  </si>
  <si>
    <t>EAF 6355 Gent 17012025.pdf</t>
  </si>
  <si>
    <t>EAF 5039 Gent Smet Antoon 8394 20012025.pdf</t>
  </si>
  <si>
    <t>EAF 6327 Gent 20012025.pdf</t>
  </si>
  <si>
    <t>EAF 5040 Gent 20012025.pdf</t>
  </si>
  <si>
    <t>EAF 5922 Sanderuustraat 21012025 Henri Steurbaut.pdf</t>
  </si>
  <si>
    <t>EAF 5264 Morekstraat Wondelgem 22.01.2025.pdf</t>
  </si>
  <si>
    <t>EAF 5929 Gent 22012025 Jeroen Hoeckman 41162.pdf</t>
  </si>
  <si>
    <t>EAF 6324 Poperingestraat Gent 22012025.pdf</t>
  </si>
  <si>
    <t>EAF 6320 Gentbrugge 23012025.pdf</t>
  </si>
  <si>
    <t>EAF 6325 Gent 23012025.pdf</t>
  </si>
  <si>
    <t>EAF 6333 Gent 24012025.pdf</t>
  </si>
  <si>
    <t>EAF 5267 Ledebergplein 27012025 Achraf Cesmeli.pdf</t>
  </si>
  <si>
    <t>EAF 5235 Nieuwe Wandeling Gent 28012025.pdf</t>
  </si>
  <si>
    <t>EAF 5923 Gent Moerman Jimmy 40138 28012025.pdf</t>
  </si>
  <si>
    <t>EAF 29012025 5763 Gent Patrick Verschraegen 33640.pdf</t>
  </si>
  <si>
    <t>EAF 6337 Gent Coupure Rechts 29012025 Odaci Kadir.pdf</t>
  </si>
  <si>
    <t>EAF 6368 Zwijnaarde 21424 Verstichel Jethro 29012025.pdf</t>
  </si>
  <si>
    <t>EAF 2204 Gent 30012025 40652 Van Damme Gilyanne.pdf</t>
  </si>
  <si>
    <t>EAF 5053 E17 31012025 Achraf Cesmeli.pdf</t>
  </si>
  <si>
    <t>EAF 5048 E17 parking 01022025.pdf</t>
  </si>
  <si>
    <t>EAF 6327 Ledeberg Oosterlinck Willy 6327 02022025.pdf</t>
  </si>
  <si>
    <t>EAF 5327 Sint-Pietersstation Gent 03.02.2025.pdf</t>
  </si>
  <si>
    <t>EAF 5911 Gent 21424 Verstichel Jethro 03022025.pdf</t>
  </si>
  <si>
    <t>EAf 5916 Wondelgem 13568 Dirk Reynen 03022025.pdf</t>
  </si>
  <si>
    <t>EAF 6314 Gent 12514 De Smet Kenneth 03022025.pdf</t>
  </si>
  <si>
    <t>EAF 2199 Deinze 40266 Taibi Yassine 05022025.pdf</t>
  </si>
  <si>
    <t>EAF 5325 Wittewalle Oostakker 05022025.pdf</t>
  </si>
  <si>
    <t>EAF 5769 Van Goethemstraat 05022025 Jeroen Hoeckman.pdf</t>
  </si>
  <si>
    <t>EAF 5935 Steenakker 05022025 Dorien De Keyser.pdf</t>
  </si>
  <si>
    <t>EAF 2208 Gent 06022025 40856 Neissi Sadegh.pdf</t>
  </si>
  <si>
    <t>EAF 6317 Gent 06022025 17951 Claude Lega.pdf</t>
  </si>
  <si>
    <t>EAF 2195 Gent 07022025 4419 Maelbrancke Eddy.pdf</t>
  </si>
  <si>
    <t>EAF 5261 Sint-Pietersstation Gent 07022025.pdf</t>
  </si>
  <si>
    <t>EAF 6369 Gent Sint-Baafsplein 10022025 El-Mohamed Mohamed.pdf</t>
  </si>
  <si>
    <t>EAF 4676 Gent 11022025 25679 Van Renterghem Serge.pdf</t>
  </si>
  <si>
    <t>EAF 5052 Antoon Catriestraat 11022025 Eva Teetaert.pdf</t>
  </si>
  <si>
    <t>EAF 6317 Gent 12022025 392967 Van Holsbeeck Jens.pdf</t>
  </si>
  <si>
    <t>EAF 5240 Tweekapellenstraat Gentbrugge 13022025 Antoon De Meyer 6229.pdf</t>
  </si>
  <si>
    <t>EAF 5052 Seghersplein Gent 14022025.pdf</t>
  </si>
  <si>
    <t>EAF 5241 Gentbruggebrug 14.02.2025.pdf</t>
  </si>
  <si>
    <t>EAF 5909 Antoon Sanderuusstraat 14022025 Tony De Pauw.pdf</t>
  </si>
  <si>
    <t>EAF 6322 Sint Salvatorstraat 14022025 Willy Oosterlinck.pdf</t>
  </si>
  <si>
    <t>EAF 5928 Ham 15022025 Yavas Talha 15022025.pdf</t>
  </si>
  <si>
    <t>EAF 6364 Koning Albertlaan 15022025 Franky Wauters.pdf</t>
  </si>
  <si>
    <t>EAF 5923 Steendam Gent 18022025.pdf</t>
  </si>
  <si>
    <t>EAF 5925 Meulesteedsesteenweg Gent 18022025.pdf</t>
  </si>
  <si>
    <t>EAF 5927 Doornzelestraat 18022025 Jeroen Hoeckman.pdf</t>
  </si>
  <si>
    <t>EAF 2195 Gentsesteenweg Deinze 19.02.2025.pdf</t>
  </si>
  <si>
    <t>EAF 5916 Doornzelestraat 20022025 Yana Van Holsbeeck.pdf</t>
  </si>
  <si>
    <t>EAF 6333 Brusselsesteenweg Gentbrugge 20022025.pdf</t>
  </si>
  <si>
    <t>Repaj</t>
  </si>
  <si>
    <t>Ramazav</t>
  </si>
  <si>
    <t>EAF 5229 Rooigemlaan Gent 21022025.pdf</t>
  </si>
  <si>
    <t>EAF 5929 Koer stelplaats Gentbrugge 21.02.2025.pdf</t>
  </si>
  <si>
    <t>EAF 5043 Steendam Gent 22.02.2025 om 17u24.pdf</t>
  </si>
  <si>
    <t>EAF 5929 Keizer Karelstraat Gent 22022025.pdf</t>
  </si>
  <si>
    <t>Keizer Karelstraat</t>
  </si>
  <si>
    <t>EAF 23022025 5771 Gent Herman Meersman 32387.pdf</t>
  </si>
  <si>
    <t>EAF 5049 Rooigemlaan 23022025 Billy Teetaert.pdf</t>
  </si>
  <si>
    <t>EAF 6364 Gent 23022025 De Meulenaere Eric 9824.pdf</t>
  </si>
  <si>
    <t>EAF 2206 Gent 24022025 30121 Simons Andreas.pdf</t>
  </si>
  <si>
    <t>EAF 5914 Gent Stapelplein 25.02.2025 Minbari Ako.pdf</t>
  </si>
  <si>
    <t>EAF 2546 Meeuwstraat Gent 27.02.2025.pdf</t>
  </si>
  <si>
    <t>EAF 5046 Gent Brusselsesteenweg 27022025 Demirkaya Serkan.pdf</t>
  </si>
  <si>
    <t>EAF 5923 Wondelgem 27022025 39779.pdf</t>
  </si>
  <si>
    <t>EAF 2548 Dampoort Gent 28022025.pdf</t>
  </si>
  <si>
    <t>EAF 01032025 5047 Gent 40138 Tjimmy Moerman.pdf</t>
  </si>
  <si>
    <t>EAF 6375 Ferrelaan Gent 03032025 Hublau Roland 26137.pdf</t>
  </si>
  <si>
    <t>EAF 2196 Voskenslaan Gent 04032025.pdf</t>
  </si>
  <si>
    <t>EAF 05032025 5042 Gent 40591 Mahmoud Hiloui.pdf</t>
  </si>
  <si>
    <t>EAF 05032025 5911 Gent Tom Hoste.pdf</t>
  </si>
  <si>
    <t>EAF 06032025 5909 Gent 41092 Dorien De Keyser.pdf</t>
  </si>
  <si>
    <t>EAF 06032025 5916 Gent 26960 Toubadie Mossa.pdf</t>
  </si>
  <si>
    <t>EAF 06032025 6313 Gent 29674 Geoffrey Martens.pdf</t>
  </si>
  <si>
    <t>EAF 06032025 6314 Gent 16897 Andy Vandendaele.pdf</t>
  </si>
  <si>
    <t>EAF 5911 Gent 06032025 32091 Ercan Koroglu.pdf</t>
  </si>
  <si>
    <t>EAF 09032025 5040 Gent 28910 Gassa Osmane.pdf</t>
  </si>
  <si>
    <t>EAF 09032025 5932 Gent 40939 Cisse Sayon.pdf</t>
  </si>
  <si>
    <t>EAF 6303 Gent 09032025 25487stefaan Devos.pdf</t>
  </si>
  <si>
    <t>EAF 10032025 5938 Gent 35845 Yaseeb Jalili.pdf</t>
  </si>
  <si>
    <t>EAF 5325 Gent 11032025 40138 Tjimmy Moerman.pdf</t>
  </si>
  <si>
    <t>EAF 5237 Gent 12032025 39532 Orhan Sahin.pdf</t>
  </si>
  <si>
    <t>EAF 5240 Gent 13032025 35379 Sam Engels.pdf</t>
  </si>
  <si>
    <t>EAF 5915 Overzet Gent 13032025 Steven Van den Meerssche 37662.pdf</t>
  </si>
  <si>
    <t>EAF 6331 Gent 17032025 36635 FAdel Husan.pdf</t>
  </si>
  <si>
    <t>EAF 2549 - gent - 18032025 Ardic Attila.pdf</t>
  </si>
  <si>
    <t>EAF 5045 Rooigemlaan Gent 18032025.pdf</t>
  </si>
  <si>
    <t>EAF 5770 Gent 19032025 410092 Dorien De Keyser.pdf</t>
  </si>
  <si>
    <t>EAF 5922 Kartuizerlaan Gent 18.03.2025 De Meyer Karel 35246.pdf</t>
  </si>
  <si>
    <t>EAF 4665 gent 19032025 35450 Hugo Roos.pdf</t>
  </si>
  <si>
    <t>EAF 5924 gent 19032025 35216 Coban Mehmet.pdf</t>
  </si>
  <si>
    <t>EAF 8138 gent 20032025 41520 Avery smets.pdf</t>
  </si>
  <si>
    <t>EAF 5922 Gent 21032025 32611 Ozer Ozgur.pdf</t>
  </si>
  <si>
    <t>EAF 5235 Gent 24032025 37809 Kenny Sturtewagen.pdf</t>
  </si>
  <si>
    <t>EAF 5043 Rooigemlaan - Drongensesteenweg Gent 26032025.pdf</t>
  </si>
  <si>
    <t>EAF 5266 Wondelgem 26032025 37179.pdf</t>
  </si>
  <si>
    <t>EAF 5922 Gent 21032025 31118 Michiel de sutter.pdf</t>
  </si>
  <si>
    <t>EAF 39581 5261 Gent 28032025 39581 Linus Vandenhoute.pdf</t>
  </si>
  <si>
    <t>EAF 5261 Morekstraat Gent 28032025.pdf</t>
  </si>
  <si>
    <t>EAF 6325 Gent 28032025 36569 Jonas Stroobandt.pdf</t>
  </si>
  <si>
    <t>EAF 6370 Gent 28032025 36358 Elise Denys.pdf</t>
  </si>
  <si>
    <t>EAF 5918 Gent 24032025 30668 Maurice Weemhof.pdf</t>
  </si>
  <si>
    <t>EAF 6324 Zwijnaardsesteenweg Gent 02.04.2025 Reginald Praet 17566.pdf</t>
  </si>
  <si>
    <t>EAF 6329 Botermarkt Ledeberg 02042025.pdf</t>
  </si>
  <si>
    <t>EAF 5046 Gent 03042025 38807 Caroline Dossche.pdf</t>
  </si>
  <si>
    <t>EAF 2198 Deinze 04042025 40939 Cisse Sayon.pdf</t>
  </si>
  <si>
    <t>EAF 2198 Gent 04042025 32951 Sonia De Bruyne.pdf</t>
  </si>
  <si>
    <t>EAF 5766 Hoogstraat Gent 07042025.pdf</t>
  </si>
  <si>
    <t>EAF 08042025 6306 Gent Zouheir El Mezroui 35619.pdf</t>
  </si>
  <si>
    <t>EAF 2197 Gent 09042025 39929 Mariyana Staneva.pdf</t>
  </si>
  <si>
    <t>EAF 5238 Gent 09042025 39358 Jimmy weeks Arcena.pdf</t>
  </si>
  <si>
    <t>EAF 5765 Gent Nieuwe Wandeling 09042025 Isa Simsek 38035.pdf</t>
  </si>
  <si>
    <t>EAF 6308 gent 09042025 25679 Serge Van Rentergem.pdf</t>
  </si>
  <si>
    <t>EAF 10042025 6364 Gent Mathyn Eid 34325.pdf</t>
  </si>
  <si>
    <t>EAF 11042025 5238 Gent Jaseeb Jalili 35645.pdf</t>
  </si>
  <si>
    <t>EAF 6373 Gent - Brusselsesteenweg 11042025 De Weirdt Ronny 9158.pdf</t>
  </si>
  <si>
    <t>EAF 12042025 5229 Gent Philip Haché 36820.pdf</t>
  </si>
  <si>
    <t>EAF 6329 Gent Muidebrug 12-04-2025 Simsek Abdullah 25733.pdf</t>
  </si>
  <si>
    <t>EAF 5767 Noordstraat Gent 15.05.2025 Mahmoud Fakash 40443.pdf</t>
  </si>
  <si>
    <t>EAF 6357 gent Hundelgemsesteenweg 16-04-2025 Wulleput Illya 34445.pdf</t>
  </si>
  <si>
    <t>EAF 5325 Baarle Dorp 18042025.pdf</t>
  </si>
  <si>
    <t>EAF 5910 Gent 18042025 41230 Bart De witte.pdf</t>
  </si>
  <si>
    <t>EAF 6305 GENT 18042025 21582 Patrick De Grom.pdf</t>
  </si>
  <si>
    <t>EAF 6339 Sint Salvatorstraat 18-04-2025 Sedighi Hamid 38938.pdf</t>
  </si>
  <si>
    <t>EAF 2197 Gent 19042025 40110 Sandra Vanlerberghe.pdf</t>
  </si>
  <si>
    <t>EAF 5918 E17 19042025.pdf</t>
  </si>
  <si>
    <t>EAF 5919 Gent 19042025 41520 Avery Smets.pdf</t>
  </si>
  <si>
    <t>EAF 5772 Gent 220425 401478 Hashimi.pdf</t>
  </si>
  <si>
    <t>EAF 7897 GENT 22042025 41588 Naessens Yves.pdf</t>
  </si>
  <si>
    <t>EAF 6320 Gent 23042025 37132 Esmir.pdf</t>
  </si>
  <si>
    <t>EAF 5917 Gent 24042025 33965 Van De Gehuchte Gilles.pdf</t>
  </si>
  <si>
    <t>EAF 5933 Gent Verenigde Natieslaan 24-4-25 Katleen Verschraegen.pdf</t>
  </si>
  <si>
    <t>EAF 8232 Brusselsesteenweg Gentbrugge 24.04.2025 Herkat Mohammed 41605.pdf</t>
  </si>
  <si>
    <t>EAF 2198 26042025 Gent 33085 Ivo Van Hoe.pdf</t>
  </si>
  <si>
    <t>EAF 2208 Gent 28042025 40591 Mahmoud.pdf</t>
  </si>
  <si>
    <t>EAF 5770 Gent 28042025 40134 Sharon Cardon.pdf</t>
  </si>
  <si>
    <t>EAF 5930 Gent 28042025 38475 Kathleen Verschraegen.pdf</t>
  </si>
  <si>
    <t>EAF 6368 Edelsteenstraat 29042025.pdf</t>
  </si>
  <si>
    <t>EAF 5912 Meulesteedsesteenweg 30042025 Dorien De Keyser.pdf</t>
  </si>
  <si>
    <t>EAF5054 Rooigemlaan 30042025 Michael Vandenberghe.pdf</t>
  </si>
  <si>
    <t>EAF Gent 01052025 30967.pdf</t>
  </si>
  <si>
    <t>EAF 2198 Voskenslaan 02052025.pdf</t>
  </si>
  <si>
    <t>EAF 2208 Dampoort eigen bedding 05-05-2025 Steenbrugge Johan 4608.pdf</t>
  </si>
  <si>
    <t>EAF 6325 Gent 04052025 Gent 33965 Gilles van de Gehuchte.pdf</t>
  </si>
  <si>
    <t>EAF 5053 Gent 06052025 38731 Ben Samir Sidhom.pdf</t>
  </si>
  <si>
    <t>EAF Gent 06052025 40938 Nejmeddine Hasnaoui.pdf</t>
  </si>
  <si>
    <t>EAF 2196 Gentsesteenweg Deinze 07052025.pdf</t>
  </si>
  <si>
    <t>EAF 4678 Gent 09052025 38931 Sancak.pdf</t>
  </si>
  <si>
    <t>EAF 5048 Sint-Amandsberg Lijnmolenstraat 10-05-2025 Sandro Govaerts.pdf</t>
  </si>
  <si>
    <t>EAF10052025 6311 Gent Veronique Criel 27672.pdf</t>
  </si>
  <si>
    <t>EAF 5047 Einde Were Gent 11052025.pdf</t>
  </si>
  <si>
    <t>EAF 5265 Gent 13052025.pdf</t>
  </si>
  <si>
    <t>EAF 5231 Parking 2 stelplaats E-17 14.05.2025 Annicke Huyse 29746.pdf</t>
  </si>
  <si>
    <t>EAF 6367 Gent 15052025 36428 Abdi Shaiye.pdf</t>
  </si>
  <si>
    <t>EAF 7897 15052024 Nederzwalmsesteenweg Eydzhan Salimova.pdf</t>
  </si>
  <si>
    <t>EAF 5924 Gent 17052025 41230 Bart De Witte.pdf</t>
  </si>
  <si>
    <t>EAF 2546 Gent 21052025 41710 Ghani Fazal.pdf</t>
  </si>
  <si>
    <t>EAF 6333 Gent 21052025 38648 Emin.pdf</t>
  </si>
  <si>
    <t>EAF 8232 Lembergsesteenweg Merelbeke 22.05.2025 Hasan Salem 41671.pdf</t>
  </si>
  <si>
    <t>EAF 5928 Gent 23052025 41482.pdf</t>
  </si>
  <si>
    <t>EAF bij chauffeur verloren. Via planning west naar schade gestuurd</t>
  </si>
  <si>
    <t>EAF 6314 gent 26052025 36438.pdf</t>
  </si>
  <si>
    <t>EAF 5266 Burggravenlaan Gent 26.05.2025 Frank Dhondt 15412.pdf</t>
  </si>
  <si>
    <t>EAF 5630 Gent 29052025 40856.pdf</t>
  </si>
  <si>
    <t>EAF 5927 Gent 30052025 41619 Ousama.pdf</t>
  </si>
  <si>
    <t>EAF 6355 Gent 31052025 39927 Jordy Dewilde.pdf</t>
  </si>
  <si>
    <t>EAF 5489 Gent 02062025 41384 Thimo Hillaert.pdf</t>
  </si>
  <si>
    <t>EAF 5931 Gent 02062025 40036 Oguz Karakaya.pdf</t>
  </si>
  <si>
    <t>EAF 5236 Gent 02062025 40278 Ates Firat.pdf</t>
  </si>
  <si>
    <t>EAF 6356 Gent 03062025 36154 Sven Declercq.pdf</t>
  </si>
  <si>
    <t>EAF 5931 Gent 03062025 23918 Bernard Dhaeyere.pdf</t>
  </si>
  <si>
    <t>EAF 5920 Gent 03062025 41246 yana van holsbeek.pdf</t>
  </si>
  <si>
    <t>EAF 5237 Dampoort Gent 05062025.pdf</t>
  </si>
  <si>
    <t>EAF 5237 Bevrijdingslaan Gent 05062025.pdf</t>
  </si>
  <si>
    <t>EAF 6369 GEnt 20082024.pdf</t>
  </si>
  <si>
    <t>EAF - 5928 - gent - 16032025 41246 Yana van Holsbeeck.pdf</t>
  </si>
  <si>
    <t>EAF 02032025 5929 Gent 38807 Caroline Dossche.pdf</t>
  </si>
  <si>
    <t>EAF 18022025 5912 Gent Brisco Romeo Nguetto 35490.pdf</t>
  </si>
  <si>
    <t>EAF 2197 Gent 07042025.pdf</t>
  </si>
  <si>
    <t>EAF 2197 Gent 25032025 31600 Tom Mertens.pdf</t>
  </si>
  <si>
    <t>Gent Zuid</t>
  </si>
  <si>
    <t>EAF 2200 Steinstraat Nazareth 18.02.2025.pdf</t>
  </si>
  <si>
    <t>EAF 2208 Gent 15022025 37543 öztürk Bilehan.pdf</t>
  </si>
  <si>
    <t>EAF 4667 Gent Koning Albertlaan 05-05-2025 39633 Duyck Kimberly.pdf</t>
  </si>
  <si>
    <t>EAF 5043 Brugsesteenweg Gent 22.02.2025 om 17u59.pdf</t>
  </si>
  <si>
    <t>EAF 5044 Dampoort 06052025.pdf</t>
  </si>
  <si>
    <t>EAF 5047 Gent 03012025.pdf</t>
  </si>
  <si>
    <t>EAF 5054 Hoveniersstraat Ledeberg Gent 19.03.2025 Avci Muhammet Abdullah 39779.pdf</t>
  </si>
  <si>
    <t>EAF 5235 Arsenaal 16042025 Christof Byosière.pdf</t>
  </si>
  <si>
    <t>EAF 5263 Mariakerke 13012025.pdf</t>
  </si>
  <si>
    <t>EAF 5935 Gent 21052025 26960 Mossa Toubadie.pdf</t>
  </si>
  <si>
    <t>EAF 6303 Ledebergplein 27012025 Kris De Craemer.pdf</t>
  </si>
  <si>
    <t>EAF 6320 Gent Zonnestraat 27022025 El-Mohamed Mohamed.pdf</t>
  </si>
  <si>
    <t>EAF 6322 Gent 30042025 38740 Anthony Meskens.pdf</t>
  </si>
  <si>
    <t>EAF 6322 Wondelgem Liefkensstraat 19032025 De Vrieze Ludo.pdf</t>
  </si>
  <si>
    <t>EAF 6326 gent 15032025 35495 Mahmoud.pdf</t>
  </si>
  <si>
    <t>EAF 6337 Gent 17012025.pdf</t>
  </si>
  <si>
    <t>EAF 6356 Gentbrugge 18012025.pdf</t>
  </si>
  <si>
    <t>EAF 6372 Gent 26042025 32002 Helmi Hasni.pdf</t>
  </si>
  <si>
    <t>EAF 6323 Gent 05062025 30119 Tom Haerens.pdf</t>
  </si>
  <si>
    <t>achterkant.jpg</t>
  </si>
  <si>
    <t>2024</t>
  </si>
  <si>
    <t>chauffeur niet meer in dienst</t>
  </si>
  <si>
    <t>leeg</t>
  </si>
  <si>
    <t>uit dienst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</si>
  <si>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</si>
  <si>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</si>
  <si>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</si>
  <si>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</si>
  <si>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</si>
  <si>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</si>
  <si>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</si>
  <si>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</si>
  <si>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</si>
  <si>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</si>
  <si>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</si>
  <si>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</si>
  <si>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</si>
  <si>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</si>
  <si>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</si>
  <si>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</si>
  <si>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</si>
  <si>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</si>
  <si>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</si>
  <si>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</si>
  <si>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</si>
  <si>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</si>
  <si>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</si>
  <si>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</si>
  <si>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</si>
  <si>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</si>
  <si>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</si>
  <si>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</si>
  <si>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</si>
  <si>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</si>
  <si>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</si>
  <si>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</si>
  <si>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</si>
  <si>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</si>
  <si>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</si>
  <si>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</si>
  <si>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</si>
  <si>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</si>
  <si>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</si>
  <si>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</si>
  <si>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BN24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</si>
  <si>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</si>
  <si>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</si>
  <si>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</si>
  <si>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</si>
  <si>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</si>
  <si>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</si>
  <si>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</si>
  <si>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</si>
  <si>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</si>
  <si>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</si>
  <si>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</si>
  <si>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</si>
  <si>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</si>
  <si>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</si>
  <si>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</si>
  <si>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</si>
  <si>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</si>
  <si>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</si>
  <si>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</si>
  <si>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</si>
  <si>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</si>
  <si>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</si>
  <si>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</si>
  <si>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</si>
  <si>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</si>
  <si>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</si>
  <si>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</si>
  <si>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</si>
  <si>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</si>
  <si>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</si>
  <si>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</si>
  <si>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</si>
  <si>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</si>
  <si>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</si>
  <si>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</si>
  <si>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</si>
  <si>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</si>
  <si>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</si>
  <si>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</si>
  <si>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</si>
  <si>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</si>
  <si>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</si>
  <si>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</si>
  <si>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</si>
  <si>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</si>
  <si>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</si>
  <si>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</si>
  <si>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</si>
  <si>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</si>
  <si>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</si>
  <si>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</si>
  <si>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</si>
  <si>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</si>
  <si>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Loots</t>
  </si>
  <si>
    <t>Wim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</si>
  <si>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</si>
  <si>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</si>
  <si>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</si>
  <si>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</si>
  <si>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</si>
  <si>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</si>
  <si>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</si>
  <si>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</si>
  <si>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</si>
  <si>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</si>
  <si>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</si>
  <si>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</si>
  <si>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</si>
  <si>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Eggermont</t>
  </si>
  <si>
    <t>+32 (497) 509319</t>
  </si>
  <si>
    <t>TL12</t>
  </si>
  <si>
    <t>Wim.Eggermont@delijn.be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</si>
  <si>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</si>
  <si>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</si>
  <si>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</si>
  <si>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</si>
  <si>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</si>
  <si>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</si>
  <si>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</si>
  <si>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</si>
  <si>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</si>
  <si>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</si>
  <si>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</si>
  <si>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</si>
  <si>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</si>
  <si>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</si>
  <si>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</si>
  <si>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</si>
  <si>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</si>
  <si>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</si>
  <si>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</si>
  <si>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</si>
  <si>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</si>
  <si>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</si>
  <si>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</si>
  <si>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</si>
  <si>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</si>
  <si>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</si>
  <si>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</si>
  <si>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</si>
  <si>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</si>
  <si>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</si>
  <si>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</si>
  <si>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</si>
  <si>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</si>
  <si>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</si>
  <si>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</si>
  <si>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</si>
  <si>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</si>
  <si>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</si>
  <si>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</si>
  <si>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</si>
  <si>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</si>
  <si>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</si>
  <si>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</si>
  <si>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</si>
  <si>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</si>
  <si>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</si>
  <si>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</si>
  <si>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</si>
  <si>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</si>
  <si>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</si>
  <si>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</si>
  <si>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</si>
  <si>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</si>
  <si>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</si>
  <si>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</si>
  <si>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</si>
  <si>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</si>
  <si>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</si>
  <si>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</si>
  <si>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</si>
  <si>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</si>
  <si>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</si>
  <si>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De Pauw</t>
  </si>
  <si>
    <t>Tony</t>
  </si>
  <si>
    <t>+32 (474) 552469</t>
  </si>
  <si>
    <t>tony.depauw@delijn.be</t>
  </si>
  <si>
    <t>Maes</t>
  </si>
  <si>
    <t>+32 (485) 074117</t>
  </si>
  <si>
    <t>Tony.Maes@delijn.be</t>
  </si>
  <si>
    <t>Mestdagh</t>
  </si>
  <si>
    <t>MV12</t>
  </si>
  <si>
    <t>Tony.Mestdagh@delijn.be</t>
  </si>
  <si>
    <t>Vandenbogaerde</t>
  </si>
  <si>
    <t>+32 (494) 270497</t>
  </si>
  <si>
    <t>Tony.Vandenbogaerde@delijn.be</t>
  </si>
  <si>
    <t>Vandaele</t>
  </si>
  <si>
    <t>Tom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</si>
  <si>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</si>
  <si>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</si>
  <si>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</si>
  <si>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</si>
  <si>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</si>
  <si>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</si>
  <si>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</si>
  <si>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</si>
  <si>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</si>
  <si>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</si>
  <si>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</si>
  <si>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</si>
  <si>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</si>
  <si>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</si>
  <si>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</si>
  <si>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Van Vliet</t>
  </si>
  <si>
    <t>+32 (478) 768793</t>
  </si>
  <si>
    <t>TD12</t>
  </si>
  <si>
    <t>Tom.VanVliet@delijn.be</t>
  </si>
  <si>
    <t>Er</t>
  </si>
  <si>
    <t>Tolga</t>
  </si>
  <si>
    <t>+32 (486) 533767</t>
  </si>
  <si>
    <t>B24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</si>
  <si>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</si>
  <si>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</si>
  <si>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</si>
  <si>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</si>
  <si>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</si>
  <si>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</si>
  <si>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</si>
  <si>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</si>
  <si>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</si>
  <si>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</si>
  <si>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</si>
  <si>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</si>
  <si>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</si>
  <si>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</si>
  <si>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Thomas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</si>
  <si>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</si>
  <si>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</si>
  <si>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</si>
  <si>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</si>
  <si>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</si>
  <si>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</si>
  <si>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</si>
  <si>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</si>
  <si>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</si>
  <si>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</si>
  <si>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</si>
  <si>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</si>
  <si>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</si>
  <si>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</si>
  <si>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</si>
  <si>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</si>
  <si>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</si>
  <si>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</si>
  <si>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</si>
  <si>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</si>
  <si>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</si>
  <si>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</si>
  <si>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</si>
  <si>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</si>
  <si>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</si>
  <si>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</si>
  <si>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</si>
  <si>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</si>
  <si>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</si>
  <si>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</si>
  <si>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</si>
  <si>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</si>
  <si>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</si>
  <si>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</si>
  <si>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</si>
  <si>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</si>
  <si>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</si>
  <si>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</si>
  <si>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</si>
  <si>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</si>
  <si>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</si>
  <si>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</si>
  <si>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</si>
  <si>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</si>
  <si>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Steven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</si>
  <si>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</si>
  <si>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</si>
  <si>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</si>
  <si>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</si>
  <si>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</si>
  <si>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</si>
  <si>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</si>
  <si>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</si>
  <si>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</si>
  <si>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</si>
  <si>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</si>
  <si>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</si>
  <si>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</si>
  <si>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</si>
  <si>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</si>
  <si>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</si>
  <si>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</si>
  <si>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</si>
  <si>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</si>
  <si>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</si>
  <si>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</si>
  <si>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</si>
  <si>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</si>
  <si>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</si>
  <si>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</si>
  <si>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</si>
  <si>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</si>
  <si>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</si>
  <si>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</si>
  <si>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</si>
  <si>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</si>
  <si>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</si>
  <si>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</si>
  <si>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</si>
  <si>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</si>
  <si>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</si>
  <si>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</si>
  <si>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</si>
  <si>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</si>
  <si>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</si>
  <si>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</si>
  <si>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</si>
  <si>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</si>
  <si>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</si>
  <si>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</si>
  <si>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</si>
  <si>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</si>
  <si>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</si>
  <si>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</si>
  <si>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</si>
  <si>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</si>
  <si>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Cardon</t>
  </si>
  <si>
    <t>Sharon</t>
  </si>
  <si>
    <t>+32 (492) 841105</t>
  </si>
  <si>
    <t>sharon.cardon@delijn.be</t>
  </si>
  <si>
    <t>Van Iterson</t>
  </si>
  <si>
    <t>+32 (479) 103766</t>
  </si>
  <si>
    <t>sharon.vaniterson@delijn.be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</si>
  <si>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</si>
  <si>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</si>
  <si>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</si>
  <si>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</si>
  <si>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</si>
  <si>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</si>
  <si>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</si>
  <si>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</si>
  <si>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</si>
  <si>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</si>
  <si>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</si>
  <si>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</si>
  <si>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</si>
  <si>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</si>
  <si>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</si>
  <si>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</si>
  <si>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</si>
  <si>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</si>
  <si>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</si>
  <si>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</si>
  <si>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</si>
  <si>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</si>
  <si>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</si>
  <si>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</si>
  <si>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</si>
  <si>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</si>
  <si>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</si>
  <si>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</si>
  <si>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</si>
  <si>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</si>
  <si>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</si>
  <si>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</si>
  <si>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</si>
  <si>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</si>
  <si>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</si>
  <si>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</si>
  <si>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</si>
  <si>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</si>
  <si>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</si>
  <si>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</si>
  <si>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</si>
  <si>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</si>
  <si>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</si>
  <si>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</si>
  <si>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</si>
  <si>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</si>
  <si>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</si>
  <si>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</si>
  <si>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</si>
  <si>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</si>
  <si>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</si>
  <si>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</si>
  <si>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</si>
  <si>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</si>
  <si>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</si>
  <si>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</si>
  <si>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</si>
  <si>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</si>
  <si>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</si>
  <si>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</si>
  <si>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</si>
  <si>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</si>
  <si>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</si>
  <si>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</si>
  <si>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</si>
  <si>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</si>
  <si>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</si>
  <si>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</si>
  <si>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</si>
  <si>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</si>
  <si>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</si>
  <si>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</si>
  <si>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</si>
  <si>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</si>
  <si>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</si>
  <si>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</si>
  <si>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</si>
  <si>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</si>
  <si>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</si>
  <si>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</si>
  <si>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</si>
  <si>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</si>
  <si>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</si>
  <si>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</si>
  <si>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</si>
  <si>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</si>
  <si>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</si>
  <si>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</si>
  <si>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</si>
  <si>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</si>
  <si>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</si>
  <si>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</si>
  <si>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</si>
  <si>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</si>
  <si>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</si>
  <si>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</si>
  <si>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</si>
  <si>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</si>
  <si>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</si>
  <si>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</si>
  <si>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</si>
  <si>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</si>
  <si>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</si>
  <si>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</si>
  <si>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</si>
  <si>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</si>
  <si>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</si>
  <si>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</si>
  <si>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</si>
  <si>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</si>
  <si>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</si>
  <si>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</si>
  <si>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</si>
  <si>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</si>
  <si>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</si>
  <si>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</si>
  <si>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</si>
  <si>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</si>
  <si>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</si>
  <si>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</si>
  <si>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</si>
  <si>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</si>
  <si>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</si>
  <si>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</si>
  <si>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</si>
  <si>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</si>
  <si>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</si>
  <si>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</si>
  <si>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</si>
  <si>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</si>
  <si>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</si>
  <si>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</si>
  <si>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</si>
  <si>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</si>
  <si>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</si>
  <si>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</si>
  <si>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</si>
  <si>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</si>
  <si>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</si>
  <si>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</si>
  <si>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</si>
  <si>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</si>
  <si>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</si>
  <si>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</si>
  <si>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</si>
  <si>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</si>
  <si>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</si>
  <si>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</si>
  <si>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</si>
  <si>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</si>
  <si>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</si>
  <si>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</si>
  <si>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</si>
  <si>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</si>
  <si>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</si>
  <si>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</si>
  <si>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</si>
  <si>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</si>
  <si>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</si>
  <si>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</si>
  <si>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</si>
  <si>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</si>
  <si>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</si>
  <si>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</si>
  <si>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</si>
  <si>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</si>
  <si>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</si>
  <si>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</si>
  <si>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</si>
  <si>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</si>
  <si>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</si>
  <si>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</si>
  <si>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</si>
  <si>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</si>
  <si>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</si>
  <si>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</si>
  <si>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</si>
  <si>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(477) 163809</t>
  </si>
  <si>
    <t>Rayan.Coulon@delijn.be</t>
  </si>
  <si>
    <t>Sogut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</si>
  <si>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</si>
  <si>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</si>
  <si>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</si>
  <si>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</si>
  <si>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</si>
  <si>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</si>
  <si>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</si>
  <si>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</si>
  <si>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Ramazan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</si>
  <si>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</si>
  <si>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</si>
  <si>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</si>
  <si>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</si>
  <si>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</si>
  <si>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</si>
  <si>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</si>
  <si>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</si>
  <si>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</si>
  <si>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</si>
  <si>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</si>
  <si>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</si>
  <si>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</si>
  <si>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</si>
  <si>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</si>
  <si>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</si>
  <si>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</si>
  <si>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</si>
  <si>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</si>
  <si>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</si>
  <si>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</si>
  <si>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</si>
  <si>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</si>
  <si>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</si>
  <si>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</si>
  <si>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</si>
  <si>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</si>
  <si>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</si>
  <si>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</si>
  <si>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</si>
  <si>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</si>
  <si>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</si>
  <si>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</si>
  <si>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</si>
  <si>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</si>
  <si>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</si>
  <si>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</si>
  <si>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</si>
  <si>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</si>
  <si>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</si>
  <si>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</si>
  <si>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</si>
  <si>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</si>
  <si>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</si>
  <si>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</si>
  <si>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</si>
  <si>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</si>
  <si>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</si>
  <si>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</si>
  <si>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</si>
  <si>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</si>
  <si>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</si>
  <si>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</si>
  <si>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</si>
  <si>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</si>
  <si>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</si>
  <si>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</si>
  <si>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</si>
  <si>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</si>
  <si>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</si>
  <si>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</si>
  <si>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</si>
  <si>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</si>
  <si>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</si>
  <si>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</si>
  <si>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</si>
  <si>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</si>
  <si>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</si>
  <si>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</si>
  <si>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</si>
  <si>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</si>
  <si>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</si>
  <si>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</si>
  <si>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</si>
  <si>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</si>
  <si>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</si>
  <si>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</si>
  <si>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</si>
  <si>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</si>
  <si>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</si>
  <si>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</si>
  <si>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</si>
  <si>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</si>
  <si>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</si>
  <si>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</si>
  <si>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</si>
  <si>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</si>
  <si>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</si>
  <si>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</si>
  <si>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</si>
  <si>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</si>
  <si>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</si>
  <si>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</si>
  <si>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</si>
  <si>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</si>
  <si>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</si>
  <si>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</si>
  <si>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</si>
  <si>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</si>
  <si>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</si>
  <si>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</si>
  <si>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</si>
  <si>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</si>
  <si>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</si>
  <si>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</si>
  <si>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Boone</t>
  </si>
  <si>
    <t>Pascal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</si>
  <si>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</si>
  <si>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</si>
  <si>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</si>
  <si>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</si>
  <si>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</si>
  <si>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</si>
  <si>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</si>
  <si>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</si>
  <si>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</si>
  <si>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</si>
  <si>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</si>
  <si>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Bolle</t>
  </si>
  <si>
    <t>+32 (486) 129056</t>
  </si>
  <si>
    <t>Pascal.Bolle@delijn.be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</si>
  <si>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</si>
  <si>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</si>
  <si>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</si>
  <si>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</si>
  <si>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</si>
  <si>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</si>
  <si>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</si>
  <si>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</si>
  <si>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</si>
  <si>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</si>
  <si>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</si>
  <si>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</si>
  <si>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</si>
  <si>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</si>
  <si>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</si>
  <si>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</si>
  <si>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</si>
  <si>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</si>
  <si>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</si>
  <si>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</si>
  <si>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</si>
  <si>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</si>
  <si>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</si>
  <si>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</si>
  <si>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</si>
  <si>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</si>
  <si>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</si>
  <si>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Bohez</t>
  </si>
  <si>
    <t>Olivier</t>
  </si>
  <si>
    <t>+32 (478) 236712</t>
  </si>
  <si>
    <t>Olivier.Bohez@delijn.be</t>
  </si>
  <si>
    <t>Lefebvre</t>
  </si>
  <si>
    <t>+32 (477) 575187</t>
  </si>
  <si>
    <t>Olivier.Lefebvre@delijn.be</t>
  </si>
  <si>
    <t>Isiklar</t>
  </si>
  <si>
    <t>Okan</t>
  </si>
  <si>
    <t>+32 (485) 884932</t>
  </si>
  <si>
    <t>Okan.Isiklar@delijn.be</t>
  </si>
  <si>
    <t>Karakaya</t>
  </si>
  <si>
    <t>Oguz</t>
  </si>
  <si>
    <t>+32 (470) 978826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</si>
  <si>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</si>
  <si>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</si>
  <si>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</si>
  <si>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</si>
  <si>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</si>
  <si>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</si>
  <si>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</si>
  <si>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</si>
  <si>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</si>
  <si>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</si>
  <si>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</si>
  <si>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</si>
  <si>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</si>
  <si>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Smesman</t>
  </si>
  <si>
    <t>Nico</t>
  </si>
  <si>
    <t>+32 (469) 244123</t>
  </si>
  <si>
    <t>nico.smesman@delijn.be</t>
  </si>
  <si>
    <t>Vandekerckhove</t>
  </si>
  <si>
    <t>+32 (495) 939744</t>
  </si>
  <si>
    <t>Nico.Vandekerckhove@delijn.be</t>
  </si>
  <si>
    <t>Beeckman</t>
  </si>
  <si>
    <t>+32 (486) 242526</t>
  </si>
  <si>
    <t>Nico.Beeckman@delijn.be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</si>
  <si>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</si>
  <si>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</si>
  <si>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</si>
  <si>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</si>
  <si>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</si>
  <si>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</si>
  <si>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</si>
  <si>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</si>
  <si>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</si>
  <si>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</si>
  <si>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</si>
  <si>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</si>
  <si>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</si>
  <si>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</si>
  <si>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</si>
  <si>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</si>
  <si>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</si>
  <si>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</si>
  <si>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</si>
  <si>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</si>
  <si>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</si>
  <si>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</si>
  <si>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</si>
  <si>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</si>
  <si>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</si>
  <si>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</si>
  <si>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</si>
  <si>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</si>
  <si>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</si>
  <si>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</si>
  <si>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</si>
  <si>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</si>
  <si>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</si>
  <si>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</si>
  <si>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</si>
  <si>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</si>
  <si>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</si>
  <si>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</si>
  <si>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</si>
  <si>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</si>
  <si>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</si>
  <si>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</si>
  <si>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</si>
  <si>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</si>
  <si>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</si>
  <si>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</si>
  <si>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</si>
  <si>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</si>
  <si>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</si>
  <si>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</si>
  <si>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</si>
  <si>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</si>
  <si>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</si>
  <si>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</si>
  <si>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</si>
  <si>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</si>
  <si>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</si>
  <si>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</si>
  <si>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</si>
  <si>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</si>
  <si>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</si>
  <si>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</si>
  <si>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</si>
  <si>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</si>
  <si>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</si>
  <si>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</si>
  <si>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</si>
  <si>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</si>
  <si>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</si>
  <si>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</si>
  <si>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</si>
  <si>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</si>
  <si>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</si>
  <si>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</si>
  <si>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</si>
  <si>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</si>
  <si>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</si>
  <si>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</si>
  <si>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</si>
  <si>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</si>
  <si>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</si>
  <si>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</si>
  <si>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</si>
  <si>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</si>
  <si>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</si>
  <si>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</si>
  <si>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</si>
  <si>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</si>
  <si>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</si>
  <si>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</si>
  <si>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</si>
  <si>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</si>
  <si>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</si>
  <si>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</si>
  <si>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</si>
  <si>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</si>
  <si>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</si>
  <si>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</si>
  <si>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</si>
  <si>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</si>
  <si>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Laforce</t>
  </si>
  <si>
    <t>Mike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</si>
  <si>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</si>
  <si>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</si>
  <si>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</si>
  <si>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</si>
  <si>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</si>
  <si>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</si>
  <si>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</si>
  <si>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</si>
  <si>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</si>
  <si>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</si>
  <si>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</si>
  <si>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Michiel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</si>
  <si>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</si>
  <si>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</si>
  <si>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</si>
  <si>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</si>
  <si>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</si>
  <si>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</si>
  <si>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</si>
  <si>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</si>
  <si>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</si>
  <si>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</si>
  <si>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</si>
  <si>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</si>
  <si>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</si>
  <si>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</si>
  <si>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</si>
  <si>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</si>
  <si>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</si>
  <si>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</si>
  <si>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</si>
  <si>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</si>
  <si>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</si>
  <si>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</si>
  <si>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</si>
  <si>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</si>
  <si>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</si>
  <si>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</si>
  <si>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</si>
  <si>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</si>
  <si>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</si>
  <si>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</si>
  <si>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</si>
  <si>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</si>
  <si>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</si>
  <si>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</si>
  <si>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</si>
  <si>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</si>
  <si>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</si>
  <si>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</si>
  <si>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</si>
  <si>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</si>
  <si>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</si>
  <si>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</si>
  <si>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</si>
  <si>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</si>
  <si>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</si>
  <si>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</si>
  <si>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</si>
  <si>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</si>
  <si>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</si>
  <si>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</si>
  <si>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</si>
  <si>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</si>
  <si>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</si>
  <si>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</si>
  <si>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</si>
  <si>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</si>
  <si>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</si>
  <si>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</si>
  <si>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</si>
  <si>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</si>
  <si>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</si>
  <si>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</si>
  <si>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</si>
  <si>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</si>
  <si>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</si>
  <si>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</si>
  <si>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</si>
  <si>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</si>
  <si>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</si>
  <si>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</si>
  <si>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</si>
  <si>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</si>
  <si>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</si>
  <si>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</si>
  <si>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</si>
  <si>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</si>
  <si>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</si>
  <si>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</si>
  <si>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</si>
  <si>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</si>
  <si>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</si>
  <si>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</si>
  <si>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</si>
  <si>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</si>
  <si>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</si>
  <si>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</si>
  <si>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</si>
  <si>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</si>
  <si>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</si>
  <si>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</si>
  <si>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</si>
  <si>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</si>
  <si>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</si>
  <si>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</si>
  <si>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Niemegeers</t>
  </si>
  <si>
    <t>Marino</t>
  </si>
  <si>
    <t>+32 (477) 513518</t>
  </si>
  <si>
    <t>Marino.Niemegeers@delijn.be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</si>
  <si>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</si>
  <si>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</si>
  <si>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</si>
  <si>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</si>
  <si>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</si>
  <si>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</si>
  <si>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</si>
  <si>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</si>
  <si>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</si>
  <si>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</si>
  <si>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</si>
  <si>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</si>
  <si>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Lenssens</t>
  </si>
  <si>
    <t>Marcel</t>
  </si>
  <si>
    <t>+32 (487) 106643</t>
  </si>
  <si>
    <t>marcel.lenssens@delijn.be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</si>
  <si>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</si>
  <si>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</si>
  <si>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</si>
  <si>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</si>
  <si>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</si>
  <si>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</si>
  <si>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</si>
  <si>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</si>
  <si>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</si>
  <si>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</si>
  <si>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</si>
  <si>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</si>
  <si>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</si>
  <si>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</si>
  <si>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</si>
  <si>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</si>
  <si>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</si>
  <si>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</si>
  <si>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</si>
  <si>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</si>
  <si>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</si>
  <si>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</si>
  <si>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</si>
  <si>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</si>
  <si>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</si>
  <si>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</si>
  <si>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(465) 539888</t>
  </si>
  <si>
    <t>Mahmoud.Razzaz@delijn.be</t>
  </si>
  <si>
    <t>Rummens</t>
  </si>
  <si>
    <t>Maarten</t>
  </si>
  <si>
    <t>+32 (484) 650373</t>
  </si>
  <si>
    <t>Maarten.Rummens@delijn.be</t>
  </si>
  <si>
    <t>De Boever</t>
  </si>
  <si>
    <t>O479391613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</si>
  <si>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</si>
  <si>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</si>
  <si>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</si>
  <si>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</si>
  <si>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</si>
  <si>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</si>
  <si>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</si>
  <si>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</si>
  <si>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</si>
  <si>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</si>
  <si>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</si>
  <si>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</si>
  <si>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</si>
  <si>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</si>
  <si>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</si>
  <si>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</si>
  <si>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</si>
  <si>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</si>
  <si>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</si>
  <si>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</si>
  <si>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</si>
  <si>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</si>
  <si>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</si>
  <si>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</si>
  <si>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</si>
  <si>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</si>
  <si>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</si>
  <si>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</si>
  <si>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</si>
  <si>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</si>
  <si>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</si>
  <si>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</si>
  <si>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</si>
  <si>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</si>
  <si>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</si>
  <si>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</si>
  <si>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</si>
  <si>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</si>
  <si>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</si>
  <si>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</si>
  <si>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</si>
  <si>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</si>
  <si>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</si>
  <si>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</si>
  <si>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</si>
  <si>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</si>
  <si>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</si>
  <si>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</si>
  <si>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</si>
  <si>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</si>
  <si>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</si>
  <si>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</si>
  <si>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</si>
  <si>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</si>
  <si>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</si>
  <si>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</si>
  <si>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</si>
  <si>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</si>
  <si>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</si>
  <si>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</si>
  <si>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</si>
  <si>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</si>
  <si>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</si>
  <si>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</si>
  <si>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</si>
  <si>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Meulenaere</t>
  </si>
  <si>
    <t>Kurt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</si>
  <si>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</si>
  <si>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</si>
  <si>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</si>
  <si>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</si>
  <si>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</si>
  <si>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</si>
  <si>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</si>
  <si>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</si>
  <si>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</si>
  <si>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</si>
  <si>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De Cooman</t>
  </si>
  <si>
    <t>+32 (485) 599504</t>
  </si>
  <si>
    <t>Kurt.DeCooman@delijn.be</t>
  </si>
  <si>
    <t>Marinx</t>
  </si>
  <si>
    <t>Kristoff</t>
  </si>
  <si>
    <t>+32 (498) 080956</t>
  </si>
  <si>
    <t>Kristoff.Marinx@delijn.be</t>
  </si>
  <si>
    <t>Sonck</t>
  </si>
  <si>
    <t>Kristof</t>
  </si>
  <si>
    <t>+32 (477) 594505</t>
  </si>
  <si>
    <t>Kristof.Sonck@delijn.be</t>
  </si>
  <si>
    <t>Van De Velde</t>
  </si>
  <si>
    <t>+32 (499) 111641</t>
  </si>
  <si>
    <t>Kristof.VanDeVelde@delijn.be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</si>
  <si>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</si>
  <si>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</si>
  <si>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</si>
  <si>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</si>
  <si>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</si>
  <si>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</si>
  <si>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</si>
  <si>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</si>
  <si>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</si>
  <si>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</si>
  <si>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</si>
  <si>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</si>
  <si>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</si>
  <si>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</si>
  <si>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</si>
  <si>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</si>
  <si>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</si>
  <si>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</si>
  <si>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</si>
  <si>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</si>
  <si>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</si>
  <si>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</si>
  <si>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</si>
  <si>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</si>
  <si>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</si>
  <si>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</si>
  <si>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</si>
  <si>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</si>
  <si>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</si>
  <si>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</si>
  <si>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</si>
  <si>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</si>
  <si>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</si>
  <si>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</si>
  <si>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</si>
  <si>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</si>
  <si>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</si>
  <si>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Wieme</t>
  </si>
  <si>
    <t>Kevin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</si>
  <si>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</si>
  <si>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</si>
  <si>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</si>
  <si>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</si>
  <si>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</si>
  <si>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</si>
  <si>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</si>
  <si>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</si>
  <si>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</si>
  <si>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</si>
  <si>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</si>
  <si>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</si>
  <si>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</si>
  <si>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</si>
  <si>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</si>
  <si>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</si>
  <si>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Kenneth</t>
  </si>
  <si>
    <t>+32 (472) 742284</t>
  </si>
  <si>
    <t>Kenneth.Grypdonck@delijn.be</t>
  </si>
  <si>
    <t>+32 (478) 262216</t>
  </si>
  <si>
    <t>Kenneth.Vranken@delijn.be</t>
  </si>
  <si>
    <t>Allan</t>
  </si>
  <si>
    <t>+32 (479) 298204</t>
  </si>
  <si>
    <t>Kenneth.Allan@delijn.be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</si>
  <si>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</si>
  <si>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</si>
  <si>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</si>
  <si>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</si>
  <si>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</si>
  <si>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</si>
  <si>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</si>
  <si>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</si>
  <si>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</si>
  <si>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</si>
  <si>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</si>
  <si>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</si>
  <si>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</si>
  <si>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</si>
  <si>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</si>
  <si>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</si>
  <si>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</si>
  <si>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</si>
  <si>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</si>
  <si>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</si>
  <si>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</si>
  <si>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</si>
  <si>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</si>
  <si>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</si>
  <si>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</si>
  <si>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</si>
  <si>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</si>
  <si>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</si>
  <si>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</si>
  <si>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</si>
  <si>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</si>
  <si>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</si>
  <si>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De Meyer</t>
  </si>
  <si>
    <t>Karel</t>
  </si>
  <si>
    <t>+32 (456) 106670</t>
  </si>
  <si>
    <t>Karel.DeMeyer@delijn.be</t>
  </si>
  <si>
    <t>Kartal</t>
  </si>
  <si>
    <t>Kadir</t>
  </si>
  <si>
    <t>+32 (492) 825121</t>
  </si>
  <si>
    <t>Kadir.Kartal@delijn.be</t>
  </si>
  <si>
    <t>chauffeur</t>
  </si>
  <si>
    <t>uit</t>
  </si>
  <si>
    <t>dienst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</si>
  <si>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</si>
  <si>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</si>
  <si>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</si>
  <si>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</si>
  <si>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</si>
  <si>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</si>
  <si>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</si>
  <si>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</si>
  <si>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</si>
  <si>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</si>
  <si>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</si>
  <si>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</si>
  <si>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</si>
  <si>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</si>
  <si>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</si>
  <si>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</si>
  <si>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</si>
  <si>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</si>
  <si>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</si>
  <si>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</si>
  <si>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</si>
  <si>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</si>
  <si>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</si>
  <si>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</si>
  <si>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</si>
  <si>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</si>
  <si>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</si>
  <si>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</si>
  <si>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</si>
  <si>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</si>
  <si>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</si>
  <si>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</si>
  <si>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</si>
  <si>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</si>
  <si>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</si>
  <si>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</si>
  <si>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</si>
  <si>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</si>
  <si>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</si>
  <si>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</si>
  <si>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</si>
  <si>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</si>
  <si>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</si>
  <si>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</si>
  <si>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</si>
  <si>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</si>
  <si>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</si>
  <si>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</si>
  <si>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</si>
  <si>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</si>
  <si>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</si>
  <si>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</si>
  <si>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</si>
  <si>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</si>
  <si>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</si>
  <si>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</si>
  <si>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</si>
  <si>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</si>
  <si>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</si>
  <si>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</si>
  <si>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</si>
  <si>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</si>
  <si>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</si>
  <si>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</si>
  <si>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</si>
  <si>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</si>
  <si>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</si>
  <si>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</si>
  <si>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</si>
  <si>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</si>
  <si>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</si>
  <si>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</si>
  <si>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</si>
  <si>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</si>
  <si>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</si>
  <si>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</si>
  <si>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</si>
  <si>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</si>
  <si>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</si>
  <si>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</si>
  <si>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</si>
  <si>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</si>
  <si>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</si>
  <si>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</si>
  <si>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</si>
  <si>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</si>
  <si>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</si>
  <si>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</si>
  <si>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</si>
  <si>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</si>
  <si>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</si>
  <si>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</si>
  <si>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</si>
  <si>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</si>
  <si>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</si>
  <si>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</si>
  <si>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</si>
  <si>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</si>
  <si>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</si>
  <si>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</si>
  <si>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</si>
  <si>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</si>
  <si>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</si>
  <si>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</si>
  <si>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</si>
  <si>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</si>
  <si>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</si>
  <si>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</si>
  <si>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</si>
  <si>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</si>
  <si>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</si>
  <si>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</si>
  <si>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</si>
  <si>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</si>
  <si>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</si>
  <si>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</si>
  <si>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</si>
  <si>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</si>
  <si>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</si>
  <si>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</si>
  <si>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</si>
  <si>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</si>
  <si>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</si>
  <si>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</si>
  <si>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</si>
  <si>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</si>
  <si>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</si>
  <si>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</si>
  <si>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</si>
  <si>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</si>
  <si>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</si>
  <si>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</si>
  <si>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</si>
  <si>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</si>
  <si>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</si>
  <si>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</si>
  <si>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</si>
  <si>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</si>
  <si>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</si>
  <si>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</si>
  <si>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</si>
  <si>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</si>
  <si>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</si>
  <si>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</si>
  <si>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</si>
  <si>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</si>
  <si>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</si>
  <si>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</si>
  <si>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</si>
  <si>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</si>
  <si>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</si>
  <si>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</si>
  <si>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</si>
  <si>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</si>
  <si>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</si>
  <si>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</si>
  <si>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</si>
  <si>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</si>
  <si>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</si>
  <si>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</si>
  <si>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</si>
  <si>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</si>
  <si>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</si>
  <si>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</si>
  <si>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</si>
  <si>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</si>
  <si>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</si>
  <si>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</si>
  <si>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</si>
  <si>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</si>
  <si>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</si>
  <si>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</si>
  <si>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</si>
  <si>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</si>
  <si>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</si>
  <si>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</si>
  <si>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</si>
  <si>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</si>
  <si>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</si>
  <si>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</si>
  <si>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</si>
  <si>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</si>
  <si>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</si>
  <si>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</si>
  <si>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</si>
  <si>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</si>
  <si>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</si>
  <si>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</si>
  <si>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</si>
  <si>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</si>
  <si>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</si>
  <si>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</si>
  <si>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</si>
  <si>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</si>
  <si>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</si>
  <si>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</si>
  <si>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</si>
  <si>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</si>
  <si>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</si>
  <si>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</si>
  <si>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</si>
  <si>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</si>
  <si>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</si>
  <si>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</si>
  <si>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</si>
  <si>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</si>
  <si>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</si>
  <si>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</si>
  <si>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</si>
  <si>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</si>
  <si>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</si>
  <si>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</si>
  <si>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</si>
  <si>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</si>
  <si>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</si>
  <si>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</si>
  <si>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</si>
  <si>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</si>
  <si>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</si>
  <si>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</si>
  <si>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</si>
  <si>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</si>
  <si>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</si>
  <si>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</si>
  <si>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</si>
  <si>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</si>
  <si>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</si>
  <si>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</si>
  <si>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</si>
  <si>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</si>
  <si>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</si>
  <si>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</si>
  <si>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</si>
  <si>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</si>
  <si>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</si>
  <si>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</si>
  <si>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</si>
  <si>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</si>
  <si>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</si>
  <si>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</si>
  <si>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</si>
  <si>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</si>
  <si>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</si>
  <si>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</si>
  <si>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</si>
  <si>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</si>
  <si>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</si>
  <si>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</si>
  <si>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</si>
  <si>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</si>
  <si>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</si>
  <si>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</si>
  <si>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</si>
  <si>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</si>
  <si>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</si>
  <si>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</si>
  <si>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</si>
  <si>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</si>
  <si>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</si>
  <si>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</si>
  <si>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</si>
  <si>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</si>
  <si>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</si>
  <si>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</si>
  <si>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</si>
  <si>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</si>
  <si>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</si>
  <si>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</si>
  <si>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</si>
  <si>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</si>
  <si>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</si>
  <si>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</si>
  <si>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</si>
  <si>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</si>
  <si>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</si>
  <si>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</si>
  <si>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</si>
  <si>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</si>
  <si>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</si>
  <si>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</si>
  <si>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</si>
  <si>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</si>
  <si>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</si>
  <si>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</si>
  <si>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</si>
  <si>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</si>
  <si>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</si>
  <si>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</si>
  <si>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</si>
  <si>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</si>
  <si>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</si>
  <si>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</si>
  <si>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</si>
  <si>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</si>
  <si>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</si>
  <si>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</si>
  <si>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</si>
  <si>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</si>
  <si>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</si>
  <si>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</si>
  <si>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</si>
  <si>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</si>
  <si>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</si>
  <si>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</si>
  <si>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</si>
  <si>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</si>
  <si>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</si>
  <si>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</si>
  <si>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</si>
  <si>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</si>
  <si>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</si>
  <si>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</si>
  <si>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</si>
  <si>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</si>
  <si>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</si>
  <si>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</si>
  <si>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</si>
  <si>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</si>
  <si>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</si>
  <si>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</si>
  <si>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</si>
  <si>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</si>
  <si>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</si>
  <si>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</si>
  <si>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</si>
  <si>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</si>
  <si>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</si>
  <si>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</si>
  <si>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</si>
  <si>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Freddy.Vonck@delijn.be</t>
  </si>
  <si>
    <t>Van Lauwe</t>
  </si>
  <si>
    <t>Freddy.VanLauwe@delijn.be</t>
  </si>
  <si>
    <t>+32 (477) 890415</t>
  </si>
  <si>
    <t>Freddy.Baert@delijn.be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</si>
  <si>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</si>
  <si>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</si>
  <si>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</si>
  <si>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</si>
  <si>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</si>
  <si>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</si>
  <si>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</si>
  <si>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</si>
  <si>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</si>
  <si>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</si>
  <si>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</si>
  <si>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</si>
  <si>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</si>
  <si>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</si>
  <si>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</si>
  <si>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</si>
  <si>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</si>
  <si>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</si>
  <si>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</si>
  <si>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</si>
  <si>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</si>
  <si>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</si>
  <si>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</si>
  <si>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</si>
  <si>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</si>
  <si>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</si>
  <si>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</si>
  <si>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</si>
  <si>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</si>
  <si>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</si>
  <si>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</si>
  <si>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</si>
  <si>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</si>
  <si>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</si>
  <si>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</si>
  <si>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</si>
  <si>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</si>
  <si>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</si>
  <si>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</si>
  <si>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</si>
  <si>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</si>
  <si>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</si>
  <si>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</si>
  <si>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</si>
  <si>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</si>
  <si>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</si>
  <si>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</si>
  <si>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</si>
  <si>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</si>
  <si>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</si>
  <si>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</si>
  <si>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</si>
  <si>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</si>
  <si>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</si>
  <si>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</si>
  <si>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</si>
  <si>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</si>
  <si>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</si>
  <si>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</si>
  <si>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</si>
  <si>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</si>
  <si>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</si>
  <si>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</si>
  <si>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</si>
  <si>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</si>
  <si>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</si>
  <si>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</si>
  <si>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</si>
  <si>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</si>
  <si>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</si>
  <si>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</si>
  <si>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</si>
  <si>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</si>
  <si>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</si>
  <si>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</si>
  <si>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</si>
  <si>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</si>
  <si>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</si>
  <si>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</si>
  <si>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</si>
  <si>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</si>
  <si>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</si>
  <si>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</si>
  <si>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</si>
  <si>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</si>
  <si>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</si>
  <si>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</si>
  <si>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</si>
  <si>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</si>
  <si>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</si>
  <si>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</si>
  <si>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Roels</t>
  </si>
  <si>
    <t>Els</t>
  </si>
  <si>
    <t>+32 (479) 490875</t>
  </si>
  <si>
    <t>Els.Roels@delijn.be</t>
  </si>
  <si>
    <t>+32 (479) 436762</t>
  </si>
  <si>
    <t>Els.Dejonckheere@delijn.be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</si>
  <si>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</si>
  <si>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</si>
  <si>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</si>
  <si>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</si>
  <si>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</si>
  <si>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</si>
  <si>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</si>
  <si>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</si>
  <si>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</si>
  <si>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</si>
  <si>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</si>
  <si>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</si>
  <si>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</si>
  <si>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</si>
  <si>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</si>
  <si>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</si>
  <si>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</si>
  <si>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</si>
  <si>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</si>
  <si>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Groote</t>
  </si>
  <si>
    <t>Dylan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</si>
  <si>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</si>
  <si>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</si>
  <si>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</si>
  <si>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</si>
  <si>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</si>
  <si>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</si>
  <si>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</si>
  <si>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</si>
  <si>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</si>
  <si>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</si>
  <si>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</si>
  <si>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</si>
  <si>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</si>
  <si>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</si>
  <si>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Dominique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</si>
  <si>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</si>
  <si>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</si>
  <si>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</si>
  <si>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</si>
  <si>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</si>
  <si>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</si>
  <si>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</si>
  <si>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</si>
  <si>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</si>
  <si>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</si>
  <si>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</si>
  <si>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</si>
  <si>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</si>
  <si>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</si>
  <si>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</si>
  <si>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</si>
  <si>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</si>
  <si>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</si>
  <si>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</si>
  <si>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</si>
  <si>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</si>
  <si>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</si>
  <si>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</si>
  <si>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</si>
  <si>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</si>
  <si>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</si>
  <si>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</si>
  <si>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</si>
  <si>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</si>
  <si>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</si>
  <si>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</si>
  <si>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</si>
  <si>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</si>
  <si>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</si>
  <si>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</si>
  <si>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</si>
  <si>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</si>
  <si>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</si>
  <si>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</si>
  <si>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</si>
  <si>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</si>
  <si>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</si>
  <si>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</si>
  <si>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</si>
  <si>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</si>
  <si>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</si>
  <si>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</si>
  <si>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</si>
  <si>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</si>
  <si>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</si>
  <si>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</si>
  <si>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</si>
  <si>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</si>
  <si>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</si>
  <si>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</si>
  <si>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</si>
  <si>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</si>
  <si>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</si>
  <si>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</si>
  <si>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</si>
  <si>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Desnerck</t>
  </si>
  <si>
    <t>Dennis</t>
  </si>
  <si>
    <t>+32 (498) 748185</t>
  </si>
  <si>
    <t>Dennis.Desnerck@delijn.be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</si>
  <si>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</si>
  <si>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</si>
  <si>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</si>
  <si>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</si>
  <si>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</si>
  <si>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</si>
  <si>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</si>
  <si>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</si>
  <si>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</si>
  <si>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</si>
  <si>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</si>
  <si>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</si>
  <si>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</si>
  <si>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</si>
  <si>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</si>
  <si>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</si>
  <si>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</si>
  <si>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</si>
  <si>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</si>
  <si>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</si>
  <si>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</si>
  <si>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</si>
  <si>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</si>
  <si>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</si>
  <si>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</si>
  <si>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</si>
  <si>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</si>
  <si>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</si>
  <si>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</si>
  <si>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</si>
  <si>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</si>
  <si>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De Feyter</t>
  </si>
  <si>
    <t>+32 (472) 513440</t>
  </si>
  <si>
    <t>David.DeFeyter@delijn.be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</si>
  <si>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</si>
  <si>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</si>
  <si>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</si>
  <si>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</si>
  <si>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</si>
  <si>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</si>
  <si>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</si>
  <si>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</si>
  <si>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</si>
  <si>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</si>
  <si>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</si>
  <si>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</si>
  <si>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</si>
  <si>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</si>
  <si>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</si>
  <si>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</si>
  <si>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</si>
  <si>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</si>
  <si>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</si>
  <si>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</si>
  <si>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</si>
  <si>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</si>
  <si>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</si>
  <si>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</si>
  <si>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</si>
  <si>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</si>
  <si>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</si>
  <si>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</si>
  <si>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</si>
  <si>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</si>
  <si>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</si>
  <si>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</si>
  <si>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</si>
  <si>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</si>
  <si>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</si>
  <si>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</si>
  <si>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</si>
  <si>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</si>
  <si>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</si>
  <si>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</si>
  <si>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</si>
  <si>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</si>
  <si>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</si>
  <si>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</si>
  <si>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</si>
  <si>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</si>
  <si>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</si>
  <si>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</si>
  <si>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</si>
  <si>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</si>
  <si>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</si>
  <si>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</si>
  <si>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</si>
  <si>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</si>
  <si>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</si>
  <si>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</si>
  <si>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</si>
  <si>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</si>
  <si>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</si>
  <si>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</si>
  <si>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</si>
  <si>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</si>
  <si>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</si>
  <si>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</si>
  <si>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</si>
  <si>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</si>
  <si>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Visterin</t>
  </si>
  <si>
    <t>Christel</t>
  </si>
  <si>
    <t>+32 (486) 024016</t>
  </si>
  <si>
    <t>christel.visterin@delijn.be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</si>
  <si>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</si>
  <si>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</si>
  <si>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</si>
  <si>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</si>
  <si>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</si>
  <si>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</si>
  <si>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</si>
  <si>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</si>
  <si>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</si>
  <si>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</si>
  <si>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</si>
  <si>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</si>
  <si>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</si>
  <si>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</si>
  <si>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</si>
  <si>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</si>
  <si>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</si>
  <si>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</si>
  <si>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</si>
  <si>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</si>
  <si>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</si>
  <si>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</si>
  <si>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</si>
  <si>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</si>
  <si>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</si>
  <si>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</si>
  <si>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</si>
  <si>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</si>
  <si>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</si>
  <si>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</si>
  <si>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De Naegel</t>
  </si>
  <si>
    <t>Bruno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</si>
  <si>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</si>
  <si>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</si>
  <si>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</si>
  <si>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</si>
  <si>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</si>
  <si>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</si>
  <si>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</si>
  <si>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</si>
  <si>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</si>
  <si>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</si>
  <si>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</si>
  <si>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</si>
  <si>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</si>
  <si>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</si>
  <si>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</si>
  <si>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</si>
  <si>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</si>
  <si>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</si>
  <si>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</si>
  <si>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</si>
  <si>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</si>
  <si>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Timmerman</t>
  </si>
  <si>
    <t>Bjorn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</si>
  <si>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</si>
  <si>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</si>
  <si>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</si>
  <si>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</si>
  <si>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</si>
  <si>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</si>
  <si>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</si>
  <si>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</si>
  <si>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</si>
  <si>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</si>
  <si>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</si>
  <si>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</si>
  <si>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</si>
  <si>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</si>
  <si>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</si>
  <si>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</si>
  <si>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</si>
  <si>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</si>
  <si>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</si>
  <si>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</si>
  <si>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</si>
  <si>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</si>
  <si>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</si>
  <si>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</si>
  <si>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</si>
  <si>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</si>
  <si>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</si>
  <si>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</si>
  <si>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</si>
  <si>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</si>
  <si>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</si>
  <si>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</si>
  <si>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</si>
  <si>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</si>
  <si>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</si>
  <si>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</si>
  <si>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</si>
  <si>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</si>
  <si>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</si>
  <si>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</si>
  <si>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</si>
  <si>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</si>
  <si>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</si>
  <si>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</si>
  <si>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</si>
  <si>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</si>
  <si>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</si>
  <si>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</si>
  <si>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Ben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</si>
  <si>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</si>
  <si>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</si>
  <si>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</si>
  <si>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</si>
  <si>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</si>
  <si>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</si>
  <si>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</si>
  <si>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</si>
  <si>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</si>
  <si>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</si>
  <si>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</si>
  <si>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</si>
  <si>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</si>
  <si>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</si>
  <si>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</si>
  <si>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Bart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</si>
  <si>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</si>
  <si>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</si>
  <si>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</si>
  <si>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</si>
  <si>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</si>
  <si>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</si>
  <si>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</si>
  <si>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</si>
  <si>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</si>
  <si>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</si>
  <si>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</si>
  <si>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</si>
  <si>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</si>
  <si>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</si>
  <si>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</si>
  <si>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</si>
  <si>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</si>
  <si>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</si>
  <si>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</si>
  <si>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</si>
  <si>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</si>
  <si>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</si>
  <si>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</si>
  <si>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</si>
  <si>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</si>
  <si>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</si>
  <si>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</si>
  <si>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</si>
  <si>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</si>
  <si>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</si>
  <si>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</si>
  <si>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</si>
  <si>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</si>
  <si>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</si>
  <si>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</si>
  <si>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</si>
  <si>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</si>
  <si>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</si>
  <si>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</si>
  <si>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</si>
  <si>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</si>
  <si>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</si>
  <si>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</si>
  <si>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</si>
  <si>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</si>
  <si>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</si>
  <si>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</si>
  <si>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</si>
  <si>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</si>
  <si>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</si>
  <si>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</si>
  <si>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</si>
  <si>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</si>
  <si>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</si>
  <si>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</si>
  <si>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</si>
  <si>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</si>
  <si>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</si>
  <si>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</si>
  <si>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</si>
  <si>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</si>
  <si>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</si>
  <si>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</si>
  <si>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</si>
  <si>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</si>
  <si>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</si>
  <si>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</si>
  <si>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</si>
  <si>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</si>
  <si>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</si>
  <si>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</si>
  <si>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</si>
  <si>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</si>
  <si>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</si>
  <si>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</si>
  <si>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</si>
  <si>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</si>
  <si>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</si>
  <si>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</si>
  <si>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</si>
  <si>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</si>
  <si>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</si>
  <si>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</si>
  <si>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</si>
  <si>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</si>
  <si>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</si>
  <si>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</si>
  <si>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</si>
  <si>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</si>
  <si>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</si>
  <si>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</si>
  <si>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</si>
  <si>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</si>
  <si>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</si>
  <si>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</si>
  <si>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</si>
  <si>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</si>
  <si>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</si>
  <si>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</si>
  <si>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</si>
  <si>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</si>
  <si>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</si>
  <si>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Detaeye</t>
  </si>
  <si>
    <t>Alexander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</si>
  <si>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</si>
  <si>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</si>
  <si>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</si>
  <si>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</si>
  <si>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</si>
  <si>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</si>
  <si>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</si>
  <si>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</si>
  <si>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</si>
  <si>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</si>
  <si>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</si>
  <si>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</si>
  <si>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</si>
  <si>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</si>
  <si>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</si>
  <si>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</si>
  <si>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</si>
  <si>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</si>
  <si>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</si>
  <si>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</si>
  <si>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</si>
  <si>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</si>
  <si>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</si>
  <si>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</si>
  <si>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</si>
  <si>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</si>
  <si>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</si>
  <si>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</si>
  <si>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</si>
  <si>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</si>
  <si>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</si>
  <si>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</si>
  <si>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</si>
  <si>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</si>
  <si>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</si>
  <si>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</si>
  <si>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</si>
  <si>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</si>
  <si>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</si>
  <si>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</si>
  <si>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</si>
  <si>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Ahmad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</si>
  <si>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</si>
  <si>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</si>
  <si>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</si>
  <si>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</si>
  <si>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</si>
  <si>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</si>
  <si>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</si>
  <si>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</si>
  <si>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</si>
  <si>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</si>
  <si>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</si>
  <si>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</si>
  <si>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</si>
  <si>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</si>
  <si>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</si>
  <si>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</si>
  <si>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</si>
  <si>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</si>
  <si>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</si>
  <si>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</si>
  <si>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</si>
  <si>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</si>
  <si>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</si>
  <si>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</si>
  <si>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</si>
  <si>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</si>
  <si>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</si>
  <si>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</si>
  <si>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</si>
  <si>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</si>
  <si>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</si>
  <si>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</si>
  <si>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</si>
  <si>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</si>
  <si>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</si>
  <si>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</si>
  <si>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</si>
  <si>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</si>
  <si>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</si>
  <si>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</si>
  <si>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</si>
  <si>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</si>
  <si>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</si>
  <si>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</si>
  <si>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>EAF 6329 Gent 07062025 37208 Catar Gohhan.pdf</t>
  </si>
  <si>
    <t>EAF 5909 Gent 10062025 40645 Jason Bytebier.pdf</t>
  </si>
  <si>
    <t>EAF 5048 Gent 03062025 41064 Ardic Attila.pdf</t>
  </si>
  <si>
    <t>37208 Catar Gökhan</t>
  </si>
  <si>
    <t>40645 Bytebier Jason</t>
  </si>
  <si>
    <t>EAF 26052025.pdf</t>
  </si>
  <si>
    <t>EAF 5488 Gent 12062025 7746 Didier Aelterman.pdf</t>
  </si>
  <si>
    <t>Melle</t>
  </si>
  <si>
    <t>7746 Aelterman Didier</t>
  </si>
  <si>
    <t>EAF 5039 12062025 31150 Ouslati Mohamed.pdf</t>
  </si>
  <si>
    <t>31150 Oueslati Mohamed Ali</t>
  </si>
  <si>
    <t>EAF 39651 23052025 39651.pdf</t>
  </si>
  <si>
    <t>EAF Gent 13062025 26695 Miquel Lippens.pdf</t>
  </si>
  <si>
    <t>26695 Lippens Miguel</t>
  </si>
  <si>
    <t>EAF 11062025 5934 Gent Branco Van Herreweghe 36512.pdf</t>
  </si>
  <si>
    <t>EAF 23042025 6313 Gent Branco Van Herreweghe 36512.pdf</t>
  </si>
  <si>
    <t>EAF Gent 04062025 38481 Sari Devrim.pdf</t>
  </si>
  <si>
    <t>Nazarethsesteenweg</t>
  </si>
  <si>
    <t>EAF 6368 Hoveniersstraat Ledeberg 20.06.2025 Annicke Huyse 29746.pdf</t>
  </si>
  <si>
    <t>EAF 5926 Gent 22062025 38808 Jens Wasen.pdf</t>
  </si>
  <si>
    <t>EAF 5938 Gent 20062025 Nolf Phillipe 41721.pdf</t>
  </si>
  <si>
    <t>41721 Nolf Philippe</t>
  </si>
  <si>
    <t>EAF 6364 halte Bernard Spaelaan Gent 20.06.2025 Abdulhamid Mohamed Yassin 36426.pdf</t>
  </si>
  <si>
    <t>EAF 5771 21062025 Gent 41690 Kelly Van De Winckel.pdf</t>
  </si>
  <si>
    <t>41690 Van de Winckel Kelly</t>
  </si>
  <si>
    <t>EAF 5911 Gent23062025 40478 Ali Mir Hashimi.pdf</t>
  </si>
  <si>
    <t>EAF6341 20062025 Gent 26847 DAvid De Meester.pdf</t>
  </si>
  <si>
    <t>EAF 5235 Gent 25062025 40362 Cetin Keru.pdf</t>
  </si>
  <si>
    <t>EAF 5910 Gent 21062025 36624 Kurt De Meulenaere.pdf</t>
  </si>
  <si>
    <t>EAF 6374 gent 06062025 36627 david dobbelaere.pdf</t>
  </si>
  <si>
    <t>40362 Kuru Cetin</t>
  </si>
  <si>
    <t>EAF 6339 Gent 24062025 38634.pdf</t>
  </si>
  <si>
    <t>EAF 28062025 Ozer Mesut.pdf</t>
  </si>
  <si>
    <t>Nieuwe vaart</t>
  </si>
  <si>
    <t>EAF 5261 Gent 25062025 15412 Frank Dhond.pdf</t>
  </si>
  <si>
    <t>Belfortstraat</t>
  </si>
  <si>
    <t>EAF 6368 Gent 02072025 38648 Emin Uckuyulu.pdf</t>
  </si>
  <si>
    <t>EAF 6319 01072025 Gent 21509 Kris De Craemer.pdf</t>
  </si>
  <si>
    <t>EAF 2195 Gent 01072025 4419 Eddy Maelbraecke.pdf</t>
  </si>
  <si>
    <t>Astene</t>
  </si>
  <si>
    <t>EAF 6362 Hundelgemsesteenweg-Bisschopstraat Ledeberg 02.07.2025 Hans De Tandt 37542.pdf</t>
  </si>
  <si>
    <t>EAF 2193 EKE 03072025.pdf</t>
  </si>
  <si>
    <t>Eke</t>
  </si>
  <si>
    <t>EAF 6355 Gent 05072025 22416 Abdul Kadir Bicici.pdf</t>
  </si>
  <si>
    <t>Moscou</t>
  </si>
  <si>
    <t>22416 Bicici Abdul Kadir</t>
  </si>
  <si>
    <t>EAF 2190 04072025 Gent 39660 Glenn Loyd.pdf</t>
  </si>
  <si>
    <t>EAF 5046 04072025 Gent 28737 Mohamed El Mohamed.pdf</t>
  </si>
  <si>
    <t>EAF 6321 Zwijnaardsesteenweg Gent 20062025.pdf</t>
  </si>
  <si>
    <t>EAF 5046 Morekstraat Wondelgem 29062025.pdf</t>
  </si>
  <si>
    <t>EAF 5259 03072025 GENT 40745 Ivan Ivanov.pdf</t>
  </si>
  <si>
    <t>EAF 5260 23062025 Gent 19917 Frank Vandevyvere.pdf</t>
  </si>
  <si>
    <t>40745 Ivanov Ivan</t>
  </si>
  <si>
    <t>EAF 5042 29062025 Gent 39850 William Helleput.pdf</t>
  </si>
  <si>
    <t>EAF 5046 05072025 Gent 40939 Cisse Sayon.pdf</t>
  </si>
  <si>
    <t>39850 Helleputte William</t>
  </si>
  <si>
    <t>EAF 01072025 5264 Gent 32528 Abdelhak Benjalili.pdf</t>
  </si>
  <si>
    <t>EAF 6313 08072025 Gent 18987 De Geyter Dolly.pdf</t>
  </si>
  <si>
    <t>EAF 2198 Gent 07062025 31776 Steve Famelaer.pdf</t>
  </si>
  <si>
    <t>31776 Famelaer Steve</t>
  </si>
  <si>
    <t>Palit</t>
  </si>
  <si>
    <t>Bjorn Samyn</t>
  </si>
  <si>
    <t>EAF 5921 07072025 Gent 41859 Palit Ramazan.pdf</t>
  </si>
  <si>
    <t>EAF 5486 09072025 Gent 37439 Mustafa Demirkazik.pdf</t>
  </si>
  <si>
    <t>41859 Palit Ramazan</t>
  </si>
  <si>
    <t>EAF 2196 10072025 Gent.pdf</t>
  </si>
  <si>
    <t>brabantdam</t>
  </si>
  <si>
    <t>EAF 6355 10072025 Gent 32002 Helmi Hasni.pdf</t>
  </si>
  <si>
    <t>EAF 23062025 2269 Gent 38633.pptx</t>
  </si>
  <si>
    <t>EAF 5046 10072025 Gent 12684 Martine Vandenbossche.pdf</t>
  </si>
  <si>
    <t>EAF 2189 09072025 Gent 22877Gunther Goossens.pdf</t>
  </si>
  <si>
    <t>EAF 5772 09072025 Gent 4720 De Roo Jo.pdf</t>
  </si>
  <si>
    <t>Leo Tertzwiellaan</t>
  </si>
  <si>
    <t>22877 Goossens Gunther</t>
  </si>
  <si>
    <t>4720 De Roo Jo</t>
  </si>
  <si>
    <t>EAF 5915 10072025 Gent 40362 Kuru Centin.pdf</t>
  </si>
  <si>
    <t>EAF 5763 13072025 Gent 36428 Rashid Abdi Shaiye.pdf</t>
  </si>
  <si>
    <t>Wittebroodhof</t>
  </si>
  <si>
    <t>EAF 5043 12072025 Gent 40856 Neissi Sadegh.pdf</t>
  </si>
  <si>
    <t>EAF 6353 14072025 Gent 36577 Martine Desmet.pdf</t>
  </si>
  <si>
    <t>36577 De Smet Martine</t>
  </si>
  <si>
    <t>EAF 5044 Hagelandkaai Gent 15072025.pdf</t>
  </si>
  <si>
    <t>EAF 6375 Vlaanderenstraat Gent 15.07.2025 Patricia Desmet 39529.pdf</t>
  </si>
  <si>
    <t>EAF 5231 Dampoort Dendermondsesteenweg Gent 15-07-2025 Frank Vandevyvere 19917.pdf</t>
  </si>
  <si>
    <t>EAF 5047 Gent 29062025 40223 Teetaert Billy.pdf</t>
  </si>
  <si>
    <t>Beelbroekstraat</t>
  </si>
  <si>
    <t>EAF 2807 16072025 Gent 30271 Jeroen Bracke.pdf</t>
  </si>
  <si>
    <t>EAF 6331 Gent 24072025 11213 De Plus Gunther.pdf</t>
  </si>
  <si>
    <t>Groentenmarkt</t>
  </si>
  <si>
    <t>11213 De Plus Gunter</t>
  </si>
  <si>
    <t>30271 Bracke Jeroen</t>
  </si>
  <si>
    <t>EAF 5260 23072025 39581 Linus Vandenhoutte.pdf</t>
  </si>
  <si>
    <t>EAF 5041 Gent 25072025 12819 David Van Eename.pdf</t>
  </si>
  <si>
    <t>EAF 5911 Gent 13072025 37936 Detaeye Alexander.pdf</t>
  </si>
  <si>
    <t>Gravenbolwerkstraat</t>
  </si>
  <si>
    <t>12819 Van Eenaeme David</t>
  </si>
  <si>
    <t>EAF 5767 GEnt 26072025 41384 Thimo Hillaert.pdf</t>
  </si>
  <si>
    <t>EAF 5933 Gent 24072025 23918 Bernard Dhaeyere.pdf</t>
  </si>
  <si>
    <t>Bogaert</t>
  </si>
  <si>
    <t>EAF 5924 Gent 24072025 42007 Kevin bogaert.pdf</t>
  </si>
  <si>
    <t>EAF 5266 Brugsepoort Gent 19072025.pdf</t>
  </si>
  <si>
    <t>contributiestraat</t>
  </si>
  <si>
    <t>EAF 2269 Dendermondsesteenweg Destelbergen 23062025.pdf</t>
  </si>
  <si>
    <t>EAF 2192 28072025 Gent.pdf</t>
  </si>
  <si>
    <t>volvo cars</t>
  </si>
  <si>
    <t>EAF 6325 Gent 29072025 20653 Mestdag.pdf</t>
  </si>
  <si>
    <t>EAF 6337 Gent 30072025 10782 Ina De Kee.pdf</t>
  </si>
  <si>
    <t>Evergem</t>
  </si>
  <si>
    <t>Aantal van Januari</t>
  </si>
  <si>
    <t>Aantal van Februari</t>
  </si>
  <si>
    <t>Aantal van Maart</t>
  </si>
  <si>
    <t>voltooide coachings</t>
  </si>
  <si>
    <t>Ingeplande coachings</t>
  </si>
  <si>
    <t>-</t>
  </si>
  <si>
    <t>EAF 6359 Gent 25072025 18051 Filip Van wittenberge.pdf</t>
  </si>
  <si>
    <t>EAF 5046 23072025 Gent 41162 Jeroen Hoeckman.pdf</t>
  </si>
  <si>
    <t>poel</t>
  </si>
  <si>
    <t>Locaties</t>
  </si>
  <si>
    <t>Topchrashers</t>
  </si>
  <si>
    <t>Per  Teamcoach</t>
  </si>
  <si>
    <t>eksaarderijweg</t>
  </si>
  <si>
    <t>EAF 5915 Rooigemlaan Gent 02082025 40138 Tjimmy Moerman.pdf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</si>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</sst>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rgb="FF000000"/>
      <name val="Aptos Narrow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8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9" fillId="9" borderId="0" xfId="0" applyFont="1" applyFill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14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externalLink" Target="externalLinks/externalLink1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29</c:v>
                </c:pt>
                <c:pt idx="1">
                  <c:v>37</c:v>
                </c:pt>
                <c:pt idx="2">
                  <c:v>32</c:v>
                </c:pt>
                <c:pt idx="3">
                  <c:v>27</c:v>
                </c:pt>
                <c:pt idx="4">
                  <c:v>19</c:v>
                </c:pt>
                <c:pt idx="5">
                  <c:v>26</c:v>
                </c:pt>
                <c:pt idx="6">
                  <c:v>27</c:v>
                </c:pt>
                <c:pt idx="7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12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Dashboard'!$I$28:$I$39</c:f>
              <c:strCache>
                <c:ptCount val="11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Steven Storm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Nachtploeg</c:v>
                </c:pt>
                <c:pt idx="10">
                  <c:v>Bjorn Samyn</c:v>
                </c:pt>
              </c:strCache>
            </c:strRef>
          </c:cat>
          <c:val>
            <c:numRef>
              <c:f>'Nieuw Dashboard'!$J$28:$J$39</c:f>
              <c:numCache>
                <c:formatCode>General</c:formatCode>
                <c:ptCount val="11"/>
                <c:pt idx="0">
                  <c:v>46</c:v>
                </c:pt>
                <c:pt idx="1">
                  <c:v>41</c:v>
                </c:pt>
                <c:pt idx="2">
                  <c:v>38</c:v>
                </c:pt>
                <c:pt idx="3">
                  <c:v>31</c:v>
                </c:pt>
                <c:pt idx="4">
                  <c:v>26</c:v>
                </c:pt>
                <c:pt idx="5">
                  <c:v>25</c:v>
                </c:pt>
                <c:pt idx="6">
                  <c:v>25</c:v>
                </c:pt>
                <c:pt idx="7">
                  <c:v>21</c:v>
                </c:pt>
                <c:pt idx="8">
                  <c:v>4</c:v>
                </c:pt>
                <c:pt idx="9">
                  <c:v>1</c:v>
                </c:pt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4</xdr:col>
      <xdr:colOff>157691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869950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678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23</v>
          </cell>
        </row>
        <row r="3">
          <cell r="A3">
            <v>9</v>
          </cell>
          <cell r="B3" t="str">
            <v>Bart Van der Beken</v>
          </cell>
          <cell r="D3">
            <v>17</v>
          </cell>
        </row>
        <row r="4">
          <cell r="A4">
            <v>3</v>
          </cell>
          <cell r="B4" t="str">
            <v>Els Dewulf</v>
          </cell>
          <cell r="D4">
            <v>16</v>
          </cell>
        </row>
        <row r="5">
          <cell r="A5">
            <v>8</v>
          </cell>
          <cell r="B5" t="str">
            <v>Els Vanhoe</v>
          </cell>
          <cell r="D5">
            <v>15</v>
          </cell>
        </row>
        <row r="6">
          <cell r="A6">
            <v>8</v>
          </cell>
          <cell r="B6" t="str">
            <v>Dominique De Clercq</v>
          </cell>
          <cell r="D6">
            <v>22</v>
          </cell>
        </row>
        <row r="7">
          <cell r="A7">
            <v>7</v>
          </cell>
          <cell r="B7" t="str">
            <v>Steven Storm</v>
          </cell>
          <cell r="D7">
            <v>8</v>
          </cell>
        </row>
        <row r="8">
          <cell r="A8">
            <v>8</v>
          </cell>
          <cell r="B8" t="str">
            <v>Lucie Vande Velde</v>
          </cell>
          <cell r="D8">
            <v>15</v>
          </cell>
        </row>
        <row r="9">
          <cell r="A9">
            <v>11</v>
          </cell>
          <cell r="B9" t="str">
            <v>Kenneth De Rick</v>
          </cell>
          <cell r="D9">
            <v>12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873.726574652777" createdVersion="8" refreshedVersion="8" minRefreshableVersion="3" recordCount="807" xr:uid="{A79F02F4-7057-403C-BA1E-F048587AF0EA}">
  <cacheSource type="worksheet">
    <worksheetSource name="Tabel1"/>
  </cacheSource>
  <cacheFields count="28">
    <cacheField name="personeelsnr" numFmtId="0">
      <sharedItems containsSemiMixedTypes="0" containsString="0" containsNumber="1" containsInteger="1" minValue="4419" maxValue="42002"/>
    </cacheField>
    <cacheField name="volledige naam" numFmtId="0">
      <sharedItems count="57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0444 Van Damme Glenn"/>
        <s v="40969 Kerman Melisa"/>
        <s v="41162 Hoeckman Jeroen"/>
        <s v="13398 Kirdas Ramazan"/>
        <s v="35491 Toubadie Zakaria"/>
        <s v="33640 Verschraegen Patrick"/>
        <s v="21424 Verstichel Jethro"/>
        <s v="12514 De Smet Kenneth"/>
        <s v="40856 Neissi Sadegh"/>
        <s v="17951 Lega Claude"/>
        <s v="40055 Afara Ammar"/>
        <s v="28737 El-Mohamed Mohamed"/>
        <s v="25679 Vanrenterghem Serge"/>
        <s v="39267 Van Holsbeeck Jens"/>
        <s v="6229 De Meyer Antoon"/>
        <s v="41383 De Pauw Tony"/>
        <s v="41091 Yavas Talha"/>
        <s v="26199 Wauters Franky"/>
        <s v="41012 Natad Younes"/>
        <s v="41032 Rocabado Hinojosa Lukas"/>
        <s v="41246 Van Holsbeeck Yana"/>
        <s v="39972 Repaj Ramazav"/>
        <s v="9824 De Meulenaere Eric"/>
        <s v="35397 Minbari Ako"/>
        <s v="19520 Van Steenbergen Kris"/>
        <s v="40591 Hiloui Mahmoud"/>
        <s v="34019 Hoste Tom"/>
        <s v="29674 Martens Geoffrey"/>
        <s v="32091 Köroglu Ercan"/>
        <s v="28910 Gassa Osmane"/>
        <s v="40939 Cisse Sayon"/>
        <s v="41064 Ardic Atilla"/>
        <s v="35216 Coban Mehmet"/>
        <s v="41520 Smets Avery"/>
        <s v="32611 Özer Özgur"/>
        <s v="38580 Smajla Samet"/>
        <s v="31118 De Sutter Michiel"/>
        <s v="35619 El Mezroui Zouheir"/>
        <s v="38035 Simsek Isa"/>
        <s v="9158 De Weirdt Ronny"/>
        <s v="36820 Haché Philip"/>
        <s v="25733 Simsek Abdullah"/>
        <s v="40443 Fakash Mahmoud"/>
        <s v="37744 De Lange Frank"/>
        <s v="41230 De Witte Bart"/>
        <s v="32245 Verlinden Bianca"/>
        <s v="41588 Naessens Yves"/>
        <s v="37132 Dacic Esmir"/>
        <s v="33085 Van Hoe Ivo"/>
        <s v="24155 Luttens Koen"/>
        <s v="37908 Vandenberghe Michael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5490 Nguetto Brisco Romeo"/>
        <s v="39677 Tacq Joey"/>
        <s v="39831 Dolgiev Mukhamed"/>
        <s v="22052 Meyvaert Peter"/>
        <s v="38740 Meskens Anthony"/>
        <s v="11120 De Vrieze Ludo"/>
        <s v="35495 Razzaz Mahmoud"/>
        <s v="32002 Hasni Helmi"/>
        <s v="37208 Catar Gökhan"/>
        <s v="40645 Bytebier Jason"/>
        <s v="7746 Aelterman Didier"/>
        <s v="31150 Oueslati Mohamed Ali"/>
        <s v="26695 Lippens Miguel"/>
        <s v="41721 Nolf Philippe"/>
        <s v="41690 Van de Winckel Kelly"/>
        <s v="40362 Kuru Cetin"/>
        <s v="29646 Özer Mesut"/>
        <s v="22416 Bicici Abdul Kadir"/>
        <s v="40745 Ivanov Ivan"/>
        <s v="39850 Helleputte William"/>
        <s v="31776 Famelaer Steve"/>
        <s v="41859 Palit Ramazan"/>
        <s v="22877 Goossens Gunther"/>
        <s v="4720 De Roo Jo"/>
        <s v="36577 De Smet Martine"/>
        <s v="30271 Bracke Jeroen"/>
        <s v="11213 De Plus Gunter"/>
        <s v="12819 Van Eenaeme David"/>
        <s v="42002 Bogaert Kevin"/>
        <s v="10782 De Kee Ina"/>
        <s v="18051 Van Wittenberge Filip"/>
        <s v="9999 chauffeur uit" u="1"/>
        <s v="36358 36958 Elise" u="1"/>
        <e v="#N/A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22202 Pluym Pascal" u="1"/>
        <s v="25829 Kayim Akin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4625 Rodrigue Vincent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021 Boelaert Frederik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6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Nachtploeg"/>
        <s v="Bjorn Samyn"/>
        <s v="dienst" u="1"/>
        <e v="#N/A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7-31T00:00:00" count="36">
        <m/>
        <d v="2025-03-16T00:00:00"/>
        <d v="2025-03-02T00:00:00"/>
        <d v="2024-12-04T00:00:00"/>
        <d v="2025-02-18T00:00:00"/>
        <d v="2025-04-07T00:00:00"/>
        <d v="2025-03-21T00:00:00"/>
        <d v="2025-02-15T00:00:00"/>
        <d v="2025-05-05T00:00:00"/>
        <d v="2025-02-22T00:00:00"/>
        <d v="2025-05-06T00:00:00"/>
        <d v="2025-01-03T00:00:00"/>
        <d v="2025-03-19T00:00:00"/>
        <d v="2025-04-16T00:00:00"/>
        <d v="2025-01-13T00:00:00"/>
        <d v="2025-05-21T00:00:00"/>
        <d v="2025-01-27T00:00:00"/>
        <d v="2025-02-27T00:00:00"/>
        <d v="2025-04-30T00:00:00"/>
        <d v="2025-03-15T00:00:00"/>
        <d v="2025-01-17T00:00:00"/>
        <d v="2025-01-18T00:00:00"/>
        <d v="2025-04-26T00:00:00"/>
        <d v="2025-06-05T00:00:00"/>
        <d v="2025-05-23T00:00:00"/>
        <d v="2025-06-13T00:00:00"/>
        <d v="2025-06-23T00:00:00"/>
        <d v="2025-06-28T00:00:00"/>
        <d v="2025-07-03T00:00:00"/>
        <d v="2025-07-04T00:00:00"/>
        <d v="2025-07-15T00:00:00"/>
        <d v="2025-07-26T00:00:00"/>
        <d v="2025-07-24T00:00:00"/>
        <d v="2025-07-29T00:00:00"/>
        <d v="2025-07-30T00:00:00"/>
        <d v="2025-07-25T00:00:00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04T00:00:00" count="410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5T00:00:00"/>
        <d v="2024-08-20T00:00:00"/>
        <m/>
        <d v="2025-01-09T00:00:00"/>
        <d v="2025-06-07T00:00:00"/>
        <d v="2025-06-10T00:00:00"/>
        <d v="2025-06-12T00:00:00"/>
        <d v="2025-06-13T00:00:00"/>
        <d v="2025-06-11T00:00:00"/>
        <d v="2025-06-04T00:00:00"/>
        <d v="2025-06-22T00:00:00"/>
        <d v="2025-06-20T00:00:00"/>
        <d v="2025-06-21T00:00:00"/>
        <d v="2025-06-23T00:00:00"/>
        <d v="2025-06-25T00:00:00"/>
        <d v="2025-06-06T00:00:00"/>
        <d v="2025-06-24T00:00:00"/>
        <d v="2025-07-02T00:00:00"/>
        <d v="2025-07-01T00:00:00"/>
        <d v="2025-07-05T00:00:00"/>
        <d v="2025-07-04T00:00:00"/>
        <d v="2025-06-29T00:00:00"/>
        <d v="2025-07-03T00:00:00"/>
        <d v="2025-07-08T00:00:00"/>
        <d v="2025-07-07T00:00:00"/>
        <d v="2025-07-10T00:00:00"/>
        <d v="2025-07-09T00:00:00"/>
        <d v="2025-07-13T00:00:00"/>
        <d v="2025-07-12T00:00:00"/>
        <d v="2025-07-14T00:00:00"/>
        <d v="2025-07-15T00:00:00"/>
        <d v="2025-07-16T00:00:00"/>
        <d v="2025-07-24T00:00:00"/>
        <d v="2025-07-23T00:00:00"/>
        <d v="2025-07-25T00:00:00"/>
        <d v="2025-07-19T00:00:00"/>
        <d v="2025-07-28T00:00:00"/>
        <d v="2025-08-03T00:00:00"/>
        <d v="2025-08-02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 u="1"/>
      </sharedItems>
    </cacheField>
    <cacheField name="Locatie" numFmtId="0">
      <sharedItems containsBlank="1" count="22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Brusselsepoort"/>
        <s v="Muide"/>
        <m/>
        <s v="Blandijnberg"/>
        <s v="Salvatorstraat"/>
        <s v="Heiveldstraat"/>
        <s v="Meerhem"/>
        <s v="Neuseplein"/>
        <s v="Bernard Spaelaan"/>
        <s v="Clementinalaan"/>
        <s v="Coupure"/>
        <s v="Merelbeke statrion"/>
        <s v="Kartuizerlaan"/>
        <s v="Wondegembrug"/>
        <s v="Wittewalle"/>
        <s v="Van Goethemstraat"/>
        <s v="Steenakker"/>
        <s v="Citadellaan"/>
        <s v="Sint Baafsplein"/>
        <s v="Antoon Catriestraat"/>
        <s v="Tweekappellestraat"/>
        <s v="Segersplein"/>
        <s v="Antoon sanderusstraat"/>
        <s v="Sint Salvatorstraat "/>
        <s v="Ham"/>
        <s v="Koning Albertstraat"/>
        <s v="Doornzelesteenweg"/>
        <s v="Doornzelestraat"/>
        <s v="Stapelplein "/>
        <s v="Sint pieters nieuwstraat"/>
        <s v="Van Beverenplein"/>
        <s v="Burggravenlaan"/>
        <s v="Overzet"/>
        <s v="Corneel Heymanslaan"/>
        <s v="Sint Amandsstraat"/>
        <s v="Temse"/>
        <s v="Kortrijksepoortstraat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Berkhoutestraat"/>
        <s v="Koninging Elisabethlaan"/>
        <s v="Nazareth"/>
        <s v="Liefkensstraat"/>
        <s v="Melle"/>
        <s v="Nazarethsesteenweg"/>
        <s v="Nieuwe vaart"/>
        <s v="Belfortstraat"/>
        <s v="Astene"/>
        <s v="Eke"/>
        <s v="Moscou"/>
        <s v="brabantdam"/>
        <s v="Leo Tertzwiellaan"/>
        <s v="Wittebroodhof"/>
        <s v="Beelbroekstraat"/>
        <s v="Groentenmarkt"/>
        <s v="Gravenbolwerkstraat"/>
        <s v="contributiestraat"/>
        <s v="volvo cars"/>
        <s v="Evergem"/>
        <s v="eksaarderijwe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7-31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31/07/2025"/>
        </groupItems>
      </fieldGroup>
    </cacheField>
    <cacheField name="Kwartalen (Nt Meetelend 2025)" numFmtId="0" databaseField="0">
      <fieldGroup base="5">
        <rangePr groupBy="quarters" startDate="2024-12-04T00:00:00" endDate="2025-07-31T00:00:00"/>
        <groupItems count="6">
          <s v="&lt;4/12/2024"/>
          <s v="Kwrt1"/>
          <s v="Kwrt2"/>
          <s v="Kwrt3"/>
          <s v="Kwrt4"/>
          <s v="&gt;31/07/2025"/>
        </groupItems>
      </fieldGroup>
    </cacheField>
    <cacheField name="Jaren (Nt Meetelend 2025)" numFmtId="0" databaseField="0">
      <fieldGroup base="5">
        <rangePr groupBy="years" startDate="2024-12-04T00:00:00" endDate="2025-07-31T00:00:00"/>
        <groupItems count="4">
          <s v="&lt;4/12/2024"/>
          <s v="2024"/>
          <s v="2025"/>
          <s v="&gt;31/07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07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1231"/>
    <x v="89"/>
    <s v="Colaes"/>
    <s v="Dylan"/>
    <x v="3"/>
    <x v="0"/>
    <m/>
    <m/>
    <m/>
    <m/>
    <m/>
    <m/>
    <m/>
    <n v="1"/>
    <m/>
    <m/>
    <m/>
    <m/>
    <n v="1"/>
    <x v="165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6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7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7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8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8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69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0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1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1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2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2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3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3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3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3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3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3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3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4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5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5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5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6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6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6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6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7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8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8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79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0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0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0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1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2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3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3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3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4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5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5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5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5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6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7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8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89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0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0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1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1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2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2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3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4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4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5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5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6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7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8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199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0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1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1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2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2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2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3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4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5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6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7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7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7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7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7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8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09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0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1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1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2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2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3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3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4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4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5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5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5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5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6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7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7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8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8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19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19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0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0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1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1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1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2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3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3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4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4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5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5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6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6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7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8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8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29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29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0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0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0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1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2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3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4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4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4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4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5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6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7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8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8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39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0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0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1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1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2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2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2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2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3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4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4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5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5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6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6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7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7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8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49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49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49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0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1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1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1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1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2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3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4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4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5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6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6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7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8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8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8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59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59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0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1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1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2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3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3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4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5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6"/>
    <s v="EAF 5048 03012024 Gentsestwg.pdf"/>
    <n v="1"/>
    <m/>
    <x v="0"/>
    <x v="150"/>
  </r>
  <r>
    <n v="36289"/>
    <x v="46"/>
    <s v="Van Rentergem"/>
    <s v="Steve"/>
    <x v="3"/>
    <x v="0"/>
    <n v="1"/>
    <m/>
    <m/>
    <m/>
    <m/>
    <m/>
    <m/>
    <m/>
    <m/>
    <m/>
    <m/>
    <m/>
    <n v="1"/>
    <x v="266"/>
    <s v="EAF 5048 Gent Sint-Pieters 03012025.pdf"/>
    <n v="1"/>
    <m/>
    <x v="0"/>
    <x v="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6"/>
    <s v="EAF 5229 Gent 03012025.pdf"/>
    <n v="1"/>
    <m/>
    <x v="0"/>
    <x v="0"/>
  </r>
  <r>
    <n v="31490"/>
    <x v="262"/>
    <s v="De Weirdt"/>
    <s v="Steph"/>
    <x v="9"/>
    <x v="0"/>
    <n v="1"/>
    <m/>
    <m/>
    <m/>
    <m/>
    <m/>
    <m/>
    <m/>
    <m/>
    <m/>
    <m/>
    <m/>
    <n v="1"/>
    <x v="266"/>
    <s v="EAF 5934 Gentbrugge 03012025.pdf"/>
    <n v="1"/>
    <m/>
    <x v="0"/>
    <x v="32"/>
  </r>
  <r>
    <n v="31231"/>
    <x v="89"/>
    <s v="Colaes"/>
    <s v="Dylan"/>
    <x v="3"/>
    <x v="0"/>
    <n v="1"/>
    <m/>
    <m/>
    <m/>
    <m/>
    <m/>
    <m/>
    <m/>
    <m/>
    <m/>
    <m/>
    <m/>
    <n v="1"/>
    <x v="266"/>
    <s v="EAF 6312 Brusselsepoortstraat Gent 03012025.pdf"/>
    <n v="1"/>
    <m/>
    <x v="0"/>
    <x v="151"/>
  </r>
  <r>
    <n v="36426"/>
    <x v="263"/>
    <s v="Mohamed Yassin"/>
    <s v="Abdulhamid"/>
    <x v="4"/>
    <x v="0"/>
    <n v="1"/>
    <m/>
    <m/>
    <m/>
    <m/>
    <m/>
    <m/>
    <m/>
    <m/>
    <m/>
    <m/>
    <m/>
    <n v="1"/>
    <x v="266"/>
    <s v="EAF 6311 Gent 03012025.pdf"/>
    <m/>
    <n v="1"/>
    <x v="1"/>
    <x v="152"/>
  </r>
  <r>
    <n v="40138"/>
    <x v="239"/>
    <s v="Moerman"/>
    <s v="Tjimmy"/>
    <x v="5"/>
    <x v="0"/>
    <n v="1"/>
    <m/>
    <m/>
    <m/>
    <m/>
    <m/>
    <m/>
    <m/>
    <m/>
    <m/>
    <m/>
    <m/>
    <n v="1"/>
    <x v="267"/>
    <s v="EAF 5051 Gent 04012025.pdf"/>
    <n v="1"/>
    <m/>
    <x v="0"/>
    <x v="72"/>
  </r>
  <r>
    <n v="36663"/>
    <x v="264"/>
    <s v="Cesmeli"/>
    <s v="Achraf"/>
    <x v="7"/>
    <x v="0"/>
    <n v="1"/>
    <m/>
    <m/>
    <m/>
    <m/>
    <m/>
    <m/>
    <m/>
    <m/>
    <m/>
    <m/>
    <m/>
    <n v="1"/>
    <x v="267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268"/>
    <s v="EAF 5931 Bevrijdingslaan 08012025 Bruno De Naegel.pdf"/>
    <n v="1"/>
    <m/>
    <x v="0"/>
    <x v="114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EAF 5767 Dendermondsesteenweg Gent 10012025.pdf"/>
    <n v="1"/>
    <m/>
    <x v="0"/>
    <x v="9"/>
  </r>
  <r>
    <n v="40266"/>
    <x v="197"/>
    <s v="Taibi"/>
    <s v="Yassine"/>
    <x v="5"/>
    <x v="0"/>
    <n v="1"/>
    <m/>
    <m/>
    <m/>
    <m/>
    <m/>
    <m/>
    <m/>
    <m/>
    <m/>
    <m/>
    <m/>
    <n v="1"/>
    <x v="269"/>
    <s v="EAF 5912 Blandijnberg 10012025 Yassine Taibi.pdf"/>
    <n v="1"/>
    <m/>
    <x v="0"/>
    <x v="154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EAF 6366 Gent 10012025.pdf"/>
    <m/>
    <n v="1"/>
    <x v="1"/>
    <x v="155"/>
  </r>
  <r>
    <n v="33986"/>
    <x v="160"/>
    <s v="Göktas"/>
    <s v="Muharrem"/>
    <x v="1"/>
    <x v="0"/>
    <m/>
    <m/>
    <m/>
    <m/>
    <m/>
    <m/>
    <m/>
    <m/>
    <m/>
    <m/>
    <m/>
    <m/>
    <n v="0"/>
    <x v="270"/>
    <s v="EAF 5267 Gent 12012025.pdf"/>
    <n v="1"/>
    <m/>
    <x v="0"/>
    <x v="156"/>
  </r>
  <r>
    <n v="36428"/>
    <x v="184"/>
    <s v="Abdi Shaiye"/>
    <s v="Rashid"/>
    <x v="6"/>
    <x v="0"/>
    <n v="1"/>
    <m/>
    <m/>
    <m/>
    <m/>
    <m/>
    <m/>
    <m/>
    <m/>
    <m/>
    <m/>
    <m/>
    <n v="1"/>
    <x v="270"/>
    <s v="EAF 5328 Gent - E17 12012025 Abdi Shane Rashid.pdf"/>
    <n v="1"/>
    <m/>
    <x v="0"/>
    <x v="0"/>
  </r>
  <r>
    <n v="40444"/>
    <x v="265"/>
    <s v="Van Damme"/>
    <s v="Glenn"/>
    <x v="2"/>
    <x v="0"/>
    <n v="1"/>
    <m/>
    <m/>
    <m/>
    <m/>
    <m/>
    <m/>
    <m/>
    <m/>
    <m/>
    <m/>
    <m/>
    <n v="1"/>
    <x v="271"/>
    <s v="EAF 5260 Gent De Guchteneerestraat 13012025 Van Damme Glenn.pdf"/>
    <n v="1"/>
    <m/>
    <x v="0"/>
    <x v="109"/>
  </r>
  <r>
    <n v="25487"/>
    <x v="137"/>
    <s v="Devos"/>
    <s v="Stefaan"/>
    <x v="8"/>
    <x v="0"/>
    <n v="1"/>
    <m/>
    <m/>
    <m/>
    <m/>
    <m/>
    <m/>
    <m/>
    <m/>
    <m/>
    <m/>
    <m/>
    <n v="1"/>
    <x v="272"/>
    <s v="EAF 14012025_2 5912 Gent Stefaan Devos.pdf"/>
    <n v="1"/>
    <m/>
    <x v="0"/>
    <x v="157"/>
  </r>
  <r>
    <n v="36626"/>
    <x v="13"/>
    <s v="Kartal"/>
    <s v="Kadir"/>
    <x v="2"/>
    <x v="0"/>
    <n v="1"/>
    <m/>
    <m/>
    <m/>
    <m/>
    <m/>
    <m/>
    <m/>
    <m/>
    <m/>
    <m/>
    <m/>
    <n v="1"/>
    <x v="272"/>
    <s v="EAF 5927 Nieuwe Wandeling Gent 14012025.pdf"/>
    <n v="1"/>
    <m/>
    <x v="0"/>
    <x v="59"/>
  </r>
  <r>
    <n v="9999"/>
    <x v="0"/>
    <s v="-"/>
    <s v="-"/>
    <x v="0"/>
    <x v="0"/>
    <n v="1"/>
    <m/>
    <m/>
    <m/>
    <m/>
    <m/>
    <m/>
    <m/>
    <m/>
    <m/>
    <m/>
    <m/>
    <n v="1"/>
    <x v="272"/>
    <s v="EAF 5929 Stelplaats 14012025 Moez El Ouni.pdf"/>
    <n v="1"/>
    <m/>
    <x v="0"/>
    <x v="32"/>
  </r>
  <r>
    <n v="40005"/>
    <x v="255"/>
    <s v="Bernaerts"/>
    <s v="Philip"/>
    <x v="5"/>
    <x v="0"/>
    <n v="1"/>
    <m/>
    <m/>
    <m/>
    <m/>
    <m/>
    <m/>
    <m/>
    <m/>
    <m/>
    <m/>
    <m/>
    <n v="1"/>
    <x v="273"/>
    <s v="EAF 5920 Gent 15012025.pdf"/>
    <n v="1"/>
    <m/>
    <x v="0"/>
    <x v="7"/>
  </r>
  <r>
    <n v="30967"/>
    <x v="238"/>
    <s v="Taser"/>
    <s v="Fatih"/>
    <x v="7"/>
    <x v="0"/>
    <n v="1"/>
    <m/>
    <m/>
    <m/>
    <m/>
    <m/>
    <m/>
    <m/>
    <m/>
    <m/>
    <m/>
    <m/>
    <n v="1"/>
    <x v="273"/>
    <s v="EAF 6334 15012025 Neuseplein Fatih Taser.pdf"/>
    <m/>
    <n v="1"/>
    <x v="1"/>
    <x v="158"/>
  </r>
  <r>
    <n v="40969"/>
    <x v="266"/>
    <s v="Kerman"/>
    <s v="Melisa"/>
    <x v="8"/>
    <x v="0"/>
    <n v="1"/>
    <m/>
    <m/>
    <m/>
    <m/>
    <m/>
    <m/>
    <m/>
    <m/>
    <m/>
    <m/>
    <m/>
    <n v="1"/>
    <x v="274"/>
    <s v="EAF 14012025 5771 Gent melisa kerman.pdf"/>
    <n v="1"/>
    <m/>
    <x v="0"/>
    <x v="9"/>
  </r>
  <r>
    <n v="36626"/>
    <x v="13"/>
    <s v="Kartal"/>
    <s v="Kadir"/>
    <x v="2"/>
    <x v="0"/>
    <n v="1"/>
    <m/>
    <m/>
    <m/>
    <m/>
    <m/>
    <m/>
    <m/>
    <m/>
    <m/>
    <m/>
    <m/>
    <n v="1"/>
    <x v="274"/>
    <s v="EAF 6357 Brusselsesteenweg Gentbrugge 16012025.pd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275"/>
    <s v="EAF 6355 Gent 17012025.pdf"/>
    <m/>
    <n v="1"/>
    <x v="1"/>
    <x v="159"/>
  </r>
  <r>
    <n v="8394"/>
    <x v="76"/>
    <s v="Smet"/>
    <s v="Antoon"/>
    <x v="6"/>
    <x v="0"/>
    <n v="1"/>
    <m/>
    <m/>
    <m/>
    <m/>
    <m/>
    <m/>
    <m/>
    <m/>
    <m/>
    <m/>
    <m/>
    <n v="1"/>
    <x v="276"/>
    <s v="EAF 5039 Gent Smet Antoon 8394 20012025.pdf"/>
    <n v="1"/>
    <m/>
    <x v="0"/>
    <x v="57"/>
  </r>
  <r>
    <n v="33965"/>
    <x v="73"/>
    <s v="Van de Gehuchte"/>
    <s v="Gilles"/>
    <x v="1"/>
    <x v="0"/>
    <n v="1"/>
    <m/>
    <m/>
    <m/>
    <m/>
    <m/>
    <m/>
    <m/>
    <m/>
    <m/>
    <m/>
    <m/>
    <n v="1"/>
    <x v="276"/>
    <s v="EAF 6327 Gent 20012025.pdf"/>
    <m/>
    <n v="1"/>
    <x v="1"/>
    <x v="12"/>
  </r>
  <r>
    <n v="21581"/>
    <x v="171"/>
    <s v="Vanderstraeten"/>
    <s v="Franky"/>
    <x v="6"/>
    <x v="0"/>
    <n v="1"/>
    <m/>
    <m/>
    <m/>
    <m/>
    <m/>
    <m/>
    <m/>
    <m/>
    <m/>
    <m/>
    <m/>
    <n v="1"/>
    <x v="277"/>
    <s v="EAF 5040 Gent 20012025.pdf"/>
    <n v="1"/>
    <m/>
    <x v="0"/>
    <x v="160"/>
  </r>
  <r>
    <n v="39673"/>
    <x v="18"/>
    <s v="Steurbaut"/>
    <s v="Henri"/>
    <x v="3"/>
    <x v="0"/>
    <n v="1"/>
    <m/>
    <m/>
    <m/>
    <m/>
    <m/>
    <m/>
    <m/>
    <m/>
    <m/>
    <m/>
    <m/>
    <n v="1"/>
    <x v="277"/>
    <s v="EAF 5922 Sanderuustraat 21012025 Henri Steurbaut.pdf"/>
    <n v="1"/>
    <m/>
    <x v="0"/>
    <x v="157"/>
  </r>
  <r>
    <n v="39660"/>
    <x v="78"/>
    <s v="Lloyd"/>
    <s v="Glenn"/>
    <x v="4"/>
    <x v="0"/>
    <n v="1"/>
    <m/>
    <m/>
    <m/>
    <m/>
    <m/>
    <m/>
    <m/>
    <m/>
    <m/>
    <m/>
    <m/>
    <n v="1"/>
    <x v="278"/>
    <s v="EAF 5264 Morekstraat Wondelgem 22.01.2025.pdf"/>
    <n v="1"/>
    <m/>
    <x v="0"/>
    <x v="24"/>
  </r>
  <r>
    <n v="41162"/>
    <x v="267"/>
    <s v="Hoeckman"/>
    <s v="Jeroen"/>
    <x v="7"/>
    <x v="0"/>
    <n v="1"/>
    <m/>
    <m/>
    <m/>
    <m/>
    <m/>
    <m/>
    <m/>
    <m/>
    <m/>
    <m/>
    <m/>
    <n v="1"/>
    <x v="278"/>
    <s v="EAF 5929 Gent 22012025 Jeroen Hoeckman 41162.pdf"/>
    <n v="1"/>
    <m/>
    <x v="0"/>
    <x v="125"/>
  </r>
  <r>
    <n v="34351"/>
    <x v="117"/>
    <s v="Callant"/>
    <s v="Dieter"/>
    <x v="3"/>
    <x v="0"/>
    <n v="1"/>
    <m/>
    <m/>
    <m/>
    <m/>
    <m/>
    <m/>
    <m/>
    <m/>
    <m/>
    <m/>
    <m/>
    <n v="1"/>
    <x v="278"/>
    <s v="EAF 6324 Poperingestraat Gent 22012025.pdf"/>
    <m/>
    <n v="1"/>
    <x v="1"/>
    <x v="31"/>
  </r>
  <r>
    <n v="35395"/>
    <x v="164"/>
    <s v="Limbourg"/>
    <s v="Heidi"/>
    <x v="8"/>
    <x v="0"/>
    <n v="1"/>
    <m/>
    <m/>
    <m/>
    <m/>
    <m/>
    <m/>
    <m/>
    <m/>
    <m/>
    <m/>
    <m/>
    <n v="1"/>
    <x v="279"/>
    <s v="EAF 6320 Gentbrugge 23012025.pdf"/>
    <m/>
    <n v="1"/>
    <x v="1"/>
    <x v="5"/>
  </r>
  <r>
    <n v="31360"/>
    <x v="193"/>
    <s v="Simsek"/>
    <s v="Fatih"/>
    <x v="7"/>
    <x v="0"/>
    <n v="1"/>
    <m/>
    <m/>
    <m/>
    <m/>
    <m/>
    <m/>
    <m/>
    <m/>
    <m/>
    <m/>
    <m/>
    <n v="1"/>
    <x v="279"/>
    <s v="EAF 6325 Gent 23012025.pdf"/>
    <m/>
    <n v="1"/>
    <x v="1"/>
    <x v="161"/>
  </r>
  <r>
    <n v="13398"/>
    <x v="268"/>
    <s v="Kirdas"/>
    <s v="Ramazan"/>
    <x v="7"/>
    <x v="0"/>
    <n v="1"/>
    <m/>
    <m/>
    <m/>
    <m/>
    <m/>
    <m/>
    <m/>
    <m/>
    <m/>
    <m/>
    <m/>
    <n v="1"/>
    <x v="280"/>
    <s v="EAF 6333 Gent 24012025.pdf"/>
    <m/>
    <n v="1"/>
    <x v="1"/>
    <x v="143"/>
  </r>
  <r>
    <n v="36663"/>
    <x v="264"/>
    <s v="Cesmeli"/>
    <s v="Achraf"/>
    <x v="7"/>
    <x v="0"/>
    <n v="1"/>
    <m/>
    <m/>
    <m/>
    <m/>
    <m/>
    <m/>
    <m/>
    <m/>
    <m/>
    <m/>
    <m/>
    <n v="1"/>
    <x v="281"/>
    <s v="EAF 5267 Ledebergplein 27012025 Achraf Cesmeli.pdf"/>
    <n v="1"/>
    <m/>
    <x v="0"/>
    <x v="49"/>
  </r>
  <r>
    <n v="35491"/>
    <x v="269"/>
    <s v="Toubadie"/>
    <s v="Zakaria"/>
    <x v="3"/>
    <x v="0"/>
    <n v="1"/>
    <m/>
    <m/>
    <m/>
    <m/>
    <m/>
    <m/>
    <m/>
    <m/>
    <m/>
    <m/>
    <m/>
    <n v="1"/>
    <x v="282"/>
    <s v="EAF 5235 Nieuwe Wandeling Gent 28012025.pdf"/>
    <n v="1"/>
    <m/>
    <x v="0"/>
    <x v="59"/>
  </r>
  <r>
    <n v="40138"/>
    <x v="239"/>
    <s v="Moerman"/>
    <s v="Tjimmy"/>
    <x v="5"/>
    <x v="0"/>
    <n v="1"/>
    <m/>
    <m/>
    <m/>
    <m/>
    <m/>
    <m/>
    <m/>
    <m/>
    <m/>
    <m/>
    <m/>
    <n v="1"/>
    <x v="282"/>
    <s v="EAF 5923 Gent Moerman Jimmy 40138 28012025.pdf"/>
    <n v="1"/>
    <m/>
    <x v="0"/>
    <x v="14"/>
  </r>
  <r>
    <n v="33640"/>
    <x v="270"/>
    <s v="Verschraegen"/>
    <s v="Patrick"/>
    <x v="8"/>
    <x v="0"/>
    <n v="1"/>
    <m/>
    <m/>
    <m/>
    <m/>
    <m/>
    <m/>
    <m/>
    <m/>
    <m/>
    <m/>
    <m/>
    <n v="1"/>
    <x v="283"/>
    <s v="EAF 29012025 5763 Gent Patrick Verschraegen 33640.pdf"/>
    <n v="1"/>
    <m/>
    <x v="0"/>
    <x v="162"/>
  </r>
  <r>
    <n v="19249"/>
    <x v="152"/>
    <s v="Odaci"/>
    <s v="Kadir"/>
    <x v="6"/>
    <x v="0"/>
    <n v="1"/>
    <m/>
    <m/>
    <m/>
    <m/>
    <m/>
    <m/>
    <m/>
    <m/>
    <m/>
    <m/>
    <m/>
    <n v="1"/>
    <x v="283"/>
    <s v="EAF 6337 Gent Coupure Rechts 29012025 Odaci Kadir.pdf"/>
    <m/>
    <n v="1"/>
    <x v="1"/>
    <x v="161"/>
  </r>
  <r>
    <n v="21424"/>
    <x v="271"/>
    <s v="Verstichel"/>
    <s v="Jethro"/>
    <x v="2"/>
    <x v="0"/>
    <n v="1"/>
    <m/>
    <m/>
    <m/>
    <m/>
    <m/>
    <m/>
    <m/>
    <m/>
    <m/>
    <m/>
    <m/>
    <n v="1"/>
    <x v="283"/>
    <s v="EAF 6368 Zwijnaarde 21424 Verstichel Jethro 29012025.pdf"/>
    <m/>
    <n v="1"/>
    <x v="1"/>
    <x v="12"/>
  </r>
  <r>
    <n v="40652"/>
    <x v="219"/>
    <s v="Van Damme"/>
    <s v="Gilyann"/>
    <x v="3"/>
    <x v="0"/>
    <n v="1"/>
    <m/>
    <m/>
    <m/>
    <m/>
    <m/>
    <m/>
    <m/>
    <m/>
    <m/>
    <m/>
    <m/>
    <n v="1"/>
    <x v="284"/>
    <s v="EAF 2204 Gent 30012025 40652 Van Damme Gilyanne.pdf"/>
    <n v="1"/>
    <m/>
    <x v="0"/>
    <x v="22"/>
  </r>
  <r>
    <n v="36663"/>
    <x v="264"/>
    <s v="Cesmeli"/>
    <s v="Achraf"/>
    <x v="7"/>
    <x v="0"/>
    <n v="1"/>
    <m/>
    <m/>
    <m/>
    <m/>
    <m/>
    <m/>
    <m/>
    <m/>
    <m/>
    <m/>
    <m/>
    <n v="1"/>
    <x v="285"/>
    <s v="EAF 5053 E17 31012025 Achraf Cesmeli.pdf"/>
    <n v="1"/>
    <m/>
    <x v="0"/>
    <x v="0"/>
  </r>
  <r>
    <n v="39532"/>
    <x v="168"/>
    <s v="Sahin"/>
    <s v="Orhan"/>
    <x v="5"/>
    <x v="0"/>
    <m/>
    <n v="1"/>
    <m/>
    <m/>
    <m/>
    <m/>
    <m/>
    <m/>
    <m/>
    <m/>
    <m/>
    <m/>
    <n v="1"/>
    <x v="286"/>
    <s v="EAF 5048 E17 parking 01022025.pdf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287"/>
    <s v="EAF 6327 Ledeberg Oosterlinck Willy 6327 02022025.pdf"/>
    <m/>
    <n v="1"/>
    <x v="1"/>
    <x v="56"/>
  </r>
  <r>
    <n v="16545"/>
    <x v="230"/>
    <s v="Toch"/>
    <s v="Erwin"/>
    <x v="4"/>
    <x v="0"/>
    <m/>
    <n v="1"/>
    <m/>
    <m/>
    <m/>
    <m/>
    <m/>
    <m/>
    <m/>
    <m/>
    <m/>
    <m/>
    <n v="1"/>
    <x v="288"/>
    <s v="EAF 5327 Sint-Pietersstation Gent 03.02.2025.pdf"/>
    <n v="1"/>
    <m/>
    <x v="0"/>
    <x v="8"/>
  </r>
  <r>
    <n v="21424"/>
    <x v="271"/>
    <s v="Verstichel"/>
    <s v="Jethro"/>
    <x v="2"/>
    <x v="0"/>
    <m/>
    <n v="1"/>
    <m/>
    <m/>
    <m/>
    <m/>
    <m/>
    <m/>
    <m/>
    <m/>
    <m/>
    <m/>
    <n v="1"/>
    <x v="288"/>
    <s v="EAF 5911 Gent 21424 Verstichel Jethro 03022025.pdf"/>
    <n v="1"/>
    <m/>
    <x v="0"/>
    <x v="163"/>
  </r>
  <r>
    <n v="9999"/>
    <x v="0"/>
    <s v="-"/>
    <s v="-"/>
    <x v="0"/>
    <x v="0"/>
    <m/>
    <n v="1"/>
    <m/>
    <m/>
    <m/>
    <m/>
    <m/>
    <m/>
    <m/>
    <m/>
    <m/>
    <m/>
    <n v="1"/>
    <x v="288"/>
    <s v="EAf 5916 Wondelgem 13568 Dirk Reynen 03022025.pdf"/>
    <n v="1"/>
    <m/>
    <x v="0"/>
    <x v="164"/>
  </r>
  <r>
    <n v="12514"/>
    <x v="272"/>
    <s v="De Smet"/>
    <s v="Kenneth"/>
    <x v="6"/>
    <x v="0"/>
    <m/>
    <n v="1"/>
    <m/>
    <m/>
    <m/>
    <m/>
    <m/>
    <m/>
    <m/>
    <m/>
    <m/>
    <m/>
    <n v="1"/>
    <x v="288"/>
    <s v="EAF 6314 Gent 12514 De Smet Kenneth 03022025.pdf"/>
    <m/>
    <n v="1"/>
    <x v="1"/>
    <x v="66"/>
  </r>
  <r>
    <n v="40266"/>
    <x v="197"/>
    <s v="Taibi"/>
    <s v="Yassine"/>
    <x v="5"/>
    <x v="0"/>
    <m/>
    <n v="1"/>
    <m/>
    <m/>
    <m/>
    <m/>
    <m/>
    <m/>
    <m/>
    <m/>
    <m/>
    <m/>
    <n v="1"/>
    <x v="289"/>
    <s v="EAF 2199 Deinze 40266 Taibi Yassine 05022025.pdf"/>
    <n v="1"/>
    <m/>
    <x v="0"/>
    <x v="10"/>
  </r>
  <r>
    <n v="40859"/>
    <x v="222"/>
    <s v="Yagoub"/>
    <s v="Abdelali"/>
    <x v="3"/>
    <x v="0"/>
    <m/>
    <n v="1"/>
    <m/>
    <m/>
    <m/>
    <m/>
    <m/>
    <m/>
    <m/>
    <m/>
    <m/>
    <m/>
    <n v="1"/>
    <x v="289"/>
    <s v="EAF 5325 Wittewalle Oostakker 05022025.pdf"/>
    <n v="1"/>
    <m/>
    <x v="0"/>
    <x v="165"/>
  </r>
  <r>
    <n v="41162"/>
    <x v="267"/>
    <s v="Hoeckman"/>
    <s v="Jeroen"/>
    <x v="7"/>
    <x v="0"/>
    <m/>
    <n v="1"/>
    <m/>
    <m/>
    <m/>
    <m/>
    <m/>
    <m/>
    <m/>
    <m/>
    <m/>
    <m/>
    <n v="1"/>
    <x v="289"/>
    <s v="EAF 5769 Van Goethemstraat 05022025 Jeroen Hoeckman.pdf"/>
    <n v="1"/>
    <m/>
    <x v="0"/>
    <x v="166"/>
  </r>
  <r>
    <n v="41092"/>
    <x v="241"/>
    <s v="De Keyser"/>
    <s v="Dorien"/>
    <x v="7"/>
    <x v="0"/>
    <m/>
    <n v="1"/>
    <m/>
    <m/>
    <m/>
    <m/>
    <m/>
    <m/>
    <m/>
    <m/>
    <m/>
    <m/>
    <n v="1"/>
    <x v="289"/>
    <s v="EAF 5935 Steenakker 05022025 Dorien De Keyser.pdf"/>
    <n v="1"/>
    <m/>
    <x v="0"/>
    <x v="167"/>
  </r>
  <r>
    <n v="40856"/>
    <x v="273"/>
    <s v="Neissi"/>
    <s v="Sadegh"/>
    <x v="1"/>
    <x v="0"/>
    <m/>
    <n v="1"/>
    <m/>
    <m/>
    <m/>
    <m/>
    <m/>
    <m/>
    <m/>
    <m/>
    <m/>
    <m/>
    <n v="1"/>
    <x v="290"/>
    <s v="EAF 2208 Gent 06022025 40856 Neissi Sadegh.pdf"/>
    <n v="1"/>
    <m/>
    <x v="0"/>
    <x v="168"/>
  </r>
  <r>
    <n v="17951"/>
    <x v="274"/>
    <s v="Lega"/>
    <s v="Claude"/>
    <x v="4"/>
    <x v="0"/>
    <m/>
    <n v="1"/>
    <m/>
    <m/>
    <m/>
    <m/>
    <m/>
    <m/>
    <m/>
    <m/>
    <m/>
    <m/>
    <n v="1"/>
    <x v="290"/>
    <s v="EAF 6317 Gent 06022025 17951 Claude Lega.pdf"/>
    <m/>
    <n v="1"/>
    <x v="1"/>
    <x v="111"/>
  </r>
  <r>
    <n v="4419"/>
    <x v="260"/>
    <s v="Maelbrancke"/>
    <s v="Eddy"/>
    <x v="6"/>
    <x v="0"/>
    <m/>
    <n v="1"/>
    <m/>
    <m/>
    <m/>
    <m/>
    <m/>
    <m/>
    <m/>
    <m/>
    <m/>
    <m/>
    <n v="1"/>
    <x v="291"/>
    <s v="EAF 2195 Gent 07022025 4419 Maelbrancke Eddy.pdf"/>
    <n v="1"/>
    <m/>
    <x v="0"/>
    <x v="2"/>
  </r>
  <r>
    <n v="40055"/>
    <x v="275"/>
    <s v="Afara"/>
    <s v="Ammar"/>
    <x v="3"/>
    <x v="0"/>
    <m/>
    <n v="1"/>
    <m/>
    <m/>
    <m/>
    <m/>
    <m/>
    <m/>
    <m/>
    <m/>
    <m/>
    <m/>
    <n v="1"/>
    <x v="291"/>
    <s v="EAF 5261 Sint-Pietersstation Gent 07022025.pdf"/>
    <n v="1"/>
    <m/>
    <x v="0"/>
    <x v="8"/>
  </r>
  <r>
    <n v="28737"/>
    <x v="276"/>
    <s v="El-Mohamed"/>
    <s v="Mohamed"/>
    <x v="6"/>
    <x v="0"/>
    <m/>
    <n v="1"/>
    <m/>
    <m/>
    <m/>
    <m/>
    <m/>
    <m/>
    <m/>
    <m/>
    <m/>
    <m/>
    <n v="1"/>
    <x v="292"/>
    <s v="EAF 6369 Gent Sint-Baafsplein 10022025 El-Mohamed Mohamed.pdf"/>
    <m/>
    <n v="1"/>
    <x v="1"/>
    <x v="169"/>
  </r>
  <r>
    <n v="25679"/>
    <x v="277"/>
    <s v="Vanrenterghem"/>
    <s v="Serge"/>
    <x v="5"/>
    <x v="0"/>
    <m/>
    <n v="1"/>
    <m/>
    <m/>
    <m/>
    <m/>
    <m/>
    <m/>
    <m/>
    <m/>
    <m/>
    <m/>
    <n v="1"/>
    <x v="293"/>
    <s v="EAF 4676 Gent 11022025 25679 Van Renterghem Serge.pdf"/>
    <n v="1"/>
    <m/>
    <x v="0"/>
    <x v="2"/>
  </r>
  <r>
    <n v="40223"/>
    <x v="90"/>
    <s v="Teetaert"/>
    <s v="Billy"/>
    <x v="7"/>
    <x v="0"/>
    <m/>
    <n v="1"/>
    <m/>
    <m/>
    <m/>
    <m/>
    <m/>
    <m/>
    <m/>
    <m/>
    <m/>
    <m/>
    <n v="1"/>
    <x v="293"/>
    <s v="EAF 5052 Antoon Catriestraat 11022025 Eva Teetaert.pdf"/>
    <n v="1"/>
    <m/>
    <x v="0"/>
    <x v="170"/>
  </r>
  <r>
    <n v="39267"/>
    <x v="278"/>
    <s v="Van Holsbeeck"/>
    <s v="Jens"/>
    <x v="5"/>
    <x v="0"/>
    <m/>
    <n v="1"/>
    <m/>
    <m/>
    <m/>
    <m/>
    <m/>
    <m/>
    <m/>
    <m/>
    <m/>
    <m/>
    <n v="1"/>
    <x v="294"/>
    <s v="EAF 6317 Gent 12022025 392967 Van Holsbeeck Jens.pdf"/>
    <m/>
    <n v="1"/>
    <x v="1"/>
    <x v="49"/>
  </r>
  <r>
    <n v="6229"/>
    <x v="279"/>
    <s v="De Meyer"/>
    <s v="Antoon"/>
    <x v="3"/>
    <x v="0"/>
    <m/>
    <n v="1"/>
    <m/>
    <m/>
    <m/>
    <m/>
    <m/>
    <m/>
    <m/>
    <m/>
    <m/>
    <m/>
    <n v="1"/>
    <x v="295"/>
    <s v="EAF 5240 Tweekapellenstraat Gentbrugge 13022025 Antoon De Meyer 6229.pdf"/>
    <n v="1"/>
    <m/>
    <x v="0"/>
    <x v="171"/>
  </r>
  <r>
    <n v="37662"/>
    <x v="186"/>
    <s v="Van den Meerssche"/>
    <s v="Steven"/>
    <x v="4"/>
    <x v="0"/>
    <m/>
    <n v="1"/>
    <m/>
    <m/>
    <m/>
    <m/>
    <m/>
    <m/>
    <m/>
    <m/>
    <m/>
    <m/>
    <n v="1"/>
    <x v="296"/>
    <s v="EAF 5052 Seghersplein Gent 14022025.pdf"/>
    <n v="1"/>
    <m/>
    <x v="0"/>
    <x v="172"/>
  </r>
  <r>
    <n v="11236"/>
    <x v="63"/>
    <s v="Baert"/>
    <s v="Freddy"/>
    <x v="4"/>
    <x v="0"/>
    <m/>
    <n v="1"/>
    <m/>
    <m/>
    <m/>
    <m/>
    <m/>
    <m/>
    <m/>
    <m/>
    <m/>
    <m/>
    <n v="1"/>
    <x v="296"/>
    <s v="EAF 5241 Gentbruggebrug 14.02.2025.pdf"/>
    <n v="1"/>
    <m/>
    <x v="0"/>
    <x v="6"/>
  </r>
  <r>
    <n v="41383"/>
    <x v="280"/>
    <s v="De Pauw"/>
    <s v="Tony"/>
    <x v="3"/>
    <x v="0"/>
    <m/>
    <n v="1"/>
    <m/>
    <m/>
    <m/>
    <m/>
    <m/>
    <m/>
    <m/>
    <m/>
    <m/>
    <m/>
    <n v="1"/>
    <x v="296"/>
    <s v="EAF 5909 Antoon Sanderuusstraat 14022025 Tony De Pauw.pdf"/>
    <n v="1"/>
    <m/>
    <x v="0"/>
    <x v="173"/>
  </r>
  <r>
    <n v="37496"/>
    <x v="198"/>
    <s v="Oosterlinck"/>
    <s v="Willy"/>
    <x v="7"/>
    <x v="0"/>
    <m/>
    <n v="1"/>
    <m/>
    <m/>
    <m/>
    <m/>
    <m/>
    <m/>
    <m/>
    <m/>
    <m/>
    <m/>
    <n v="1"/>
    <x v="296"/>
    <s v="EAF 6322 Sint Salvatorstraat 14022025 Willy Oosterlinck.pdf"/>
    <m/>
    <n v="1"/>
    <x v="1"/>
    <x v="174"/>
  </r>
  <r>
    <n v="41091"/>
    <x v="281"/>
    <s v="Yavas"/>
    <s v="Talha"/>
    <x v="7"/>
    <x v="0"/>
    <m/>
    <n v="1"/>
    <m/>
    <m/>
    <m/>
    <m/>
    <m/>
    <m/>
    <m/>
    <m/>
    <m/>
    <m/>
    <n v="1"/>
    <x v="297"/>
    <s v="EAF 5928 Ham 15022025 Yavas Talha 15022025.pdf"/>
    <n v="1"/>
    <m/>
    <x v="0"/>
    <x v="175"/>
  </r>
  <r>
    <n v="26199"/>
    <x v="282"/>
    <s v="Wauters"/>
    <s v="Franky"/>
    <x v="3"/>
    <x v="0"/>
    <m/>
    <n v="1"/>
    <m/>
    <m/>
    <m/>
    <m/>
    <m/>
    <m/>
    <m/>
    <m/>
    <m/>
    <m/>
    <n v="1"/>
    <x v="297"/>
    <s v="EAF 6364 Koning Albertlaan 15022025 Franky Wauters.pdf"/>
    <m/>
    <n v="1"/>
    <x v="1"/>
    <x v="176"/>
  </r>
  <r>
    <n v="41012"/>
    <x v="283"/>
    <s v="Natad"/>
    <s v="Younes"/>
    <x v="3"/>
    <x v="0"/>
    <m/>
    <n v="1"/>
    <m/>
    <m/>
    <m/>
    <m/>
    <m/>
    <m/>
    <m/>
    <m/>
    <m/>
    <m/>
    <n v="1"/>
    <x v="298"/>
    <s v="EAF 5923 Steendam Gent 18022025.pdf"/>
    <n v="1"/>
    <m/>
    <x v="0"/>
    <x v="23"/>
  </r>
  <r>
    <n v="41032"/>
    <x v="284"/>
    <s v="Rocabado Hinojosa"/>
    <s v="Lukas"/>
    <x v="3"/>
    <x v="0"/>
    <m/>
    <n v="1"/>
    <m/>
    <m/>
    <m/>
    <m/>
    <m/>
    <m/>
    <m/>
    <m/>
    <m/>
    <m/>
    <n v="1"/>
    <x v="298"/>
    <s v="EAF 5925 Meulesteedsesteenweg Gent 18022025.pdf"/>
    <n v="1"/>
    <m/>
    <x v="0"/>
    <x v="67"/>
  </r>
  <r>
    <n v="41162"/>
    <x v="267"/>
    <s v="Hoeckman"/>
    <s v="Jeroen"/>
    <x v="7"/>
    <x v="0"/>
    <m/>
    <n v="1"/>
    <m/>
    <m/>
    <m/>
    <m/>
    <m/>
    <m/>
    <m/>
    <m/>
    <m/>
    <m/>
    <n v="1"/>
    <x v="298"/>
    <s v="EAF 5927 Doornzelestraat 18022025 Jeroen Hoeckman.pdf"/>
    <n v="1"/>
    <m/>
    <x v="0"/>
    <x v="177"/>
  </r>
  <r>
    <n v="39660"/>
    <x v="78"/>
    <s v="Lloyd"/>
    <s v="Glenn"/>
    <x v="4"/>
    <x v="0"/>
    <m/>
    <n v="1"/>
    <m/>
    <m/>
    <m/>
    <m/>
    <m/>
    <m/>
    <m/>
    <m/>
    <m/>
    <m/>
    <n v="1"/>
    <x v="299"/>
    <s v="EAF 2195 Gentsesteenweg Deinze 19.02.2025.pdf"/>
    <n v="1"/>
    <m/>
    <x v="0"/>
    <x v="10"/>
  </r>
  <r>
    <n v="41246"/>
    <x v="285"/>
    <s v="Van Holsbeeck"/>
    <s v="Yana"/>
    <x v="7"/>
    <x v="0"/>
    <m/>
    <n v="1"/>
    <m/>
    <m/>
    <m/>
    <m/>
    <m/>
    <m/>
    <m/>
    <m/>
    <m/>
    <m/>
    <n v="1"/>
    <x v="300"/>
    <s v="EAF 5916 Doornzelestraat 20022025 Yana Van Holsbeeck.pdf"/>
    <n v="1"/>
    <m/>
    <x v="0"/>
    <x v="178"/>
  </r>
  <r>
    <n v="36569"/>
    <x v="56"/>
    <s v="Stroobandt"/>
    <s v="Jonas"/>
    <x v="3"/>
    <x v="0"/>
    <m/>
    <n v="1"/>
    <m/>
    <m/>
    <m/>
    <m/>
    <m/>
    <m/>
    <m/>
    <m/>
    <m/>
    <m/>
    <n v="1"/>
    <x v="300"/>
    <s v="EAF 6333 Brusselsesteenweg Gentbrugge 20022025.pdf"/>
    <n v="1"/>
    <m/>
    <x v="0"/>
    <x v="56"/>
  </r>
  <r>
    <n v="39972"/>
    <x v="286"/>
    <s v="Repaj"/>
    <s v="Ramazav"/>
    <x v="4"/>
    <x v="0"/>
    <m/>
    <n v="1"/>
    <m/>
    <m/>
    <m/>
    <m/>
    <m/>
    <m/>
    <m/>
    <m/>
    <m/>
    <m/>
    <n v="1"/>
    <x v="301"/>
    <s v="EAF 5229 Rooigemlaan Gent 21022025.pdf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301"/>
    <s v="EAF 5929 Koer stelplaats Gentbrugge 21.02.2025.pdf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301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302"/>
    <s v="EAF 5043 Steendam Gent 22.02.2025 om 17u24.pdf"/>
    <n v="1"/>
    <m/>
    <x v="0"/>
    <x v="23"/>
  </r>
  <r>
    <n v="9999"/>
    <x v="0"/>
    <s v="-"/>
    <s v="-"/>
    <x v="0"/>
    <x v="0"/>
    <m/>
    <n v="1"/>
    <m/>
    <m/>
    <m/>
    <m/>
    <m/>
    <m/>
    <m/>
    <m/>
    <m/>
    <m/>
    <n v="1"/>
    <x v="302"/>
    <s v="EAF 5929 Keizer Karelstraat Gent 22022025.pdf"/>
    <n v="1"/>
    <m/>
    <x v="0"/>
    <x v="88"/>
  </r>
  <r>
    <n v="32387"/>
    <x v="178"/>
    <s v="Meersman"/>
    <s v="Herman"/>
    <x v="8"/>
    <x v="0"/>
    <m/>
    <n v="1"/>
    <m/>
    <m/>
    <m/>
    <m/>
    <m/>
    <m/>
    <m/>
    <m/>
    <m/>
    <m/>
    <n v="1"/>
    <x v="303"/>
    <s v="EAF 23022025 5771 Gent Herman Meersman 32387.pdf"/>
    <n v="1"/>
    <m/>
    <x v="0"/>
    <x v="9"/>
  </r>
  <r>
    <n v="40223"/>
    <x v="90"/>
    <s v="Teetaert"/>
    <s v="Billy"/>
    <x v="7"/>
    <x v="0"/>
    <m/>
    <n v="1"/>
    <m/>
    <m/>
    <m/>
    <m/>
    <m/>
    <m/>
    <m/>
    <m/>
    <m/>
    <m/>
    <n v="1"/>
    <x v="303"/>
    <s v="EAF 5049 Rooigemlaan 23022025 Billy Teetaert.pdf"/>
    <n v="1"/>
    <m/>
    <x v="0"/>
    <x v="42"/>
  </r>
  <r>
    <n v="9824"/>
    <x v="287"/>
    <s v="De Meulenaere"/>
    <s v="Eric"/>
    <x v="8"/>
    <x v="0"/>
    <m/>
    <n v="1"/>
    <m/>
    <m/>
    <m/>
    <m/>
    <m/>
    <m/>
    <m/>
    <m/>
    <m/>
    <m/>
    <n v="1"/>
    <x v="303"/>
    <s v="EAF 6364 Gent 23022025 De Meulenaere Eric 9824.pdf"/>
    <m/>
    <n v="1"/>
    <x v="1"/>
    <x v="56"/>
  </r>
  <r>
    <n v="30121"/>
    <x v="28"/>
    <s v="Simons"/>
    <s v="Andreas"/>
    <x v="5"/>
    <x v="0"/>
    <m/>
    <n v="1"/>
    <m/>
    <m/>
    <m/>
    <m/>
    <m/>
    <m/>
    <m/>
    <m/>
    <m/>
    <m/>
    <n v="1"/>
    <x v="304"/>
    <s v="EAF 2206 Gent 24022025 30121 Simons Andreas.pdf"/>
    <n v="1"/>
    <m/>
    <x v="0"/>
    <x v="25"/>
  </r>
  <r>
    <n v="35397"/>
    <x v="288"/>
    <s v="Minbari"/>
    <s v="Ako"/>
    <x v="6"/>
    <x v="0"/>
    <m/>
    <n v="1"/>
    <m/>
    <m/>
    <m/>
    <m/>
    <m/>
    <m/>
    <m/>
    <m/>
    <m/>
    <m/>
    <n v="1"/>
    <x v="305"/>
    <s v="EAF 5914 Gent Stapelplein 25.02.2025 Minbari Ako.pdf"/>
    <n v="1"/>
    <m/>
    <x v="0"/>
    <x v="179"/>
  </r>
  <r>
    <n v="40744"/>
    <x v="191"/>
    <s v="Gözüküçük"/>
    <s v="Ugur"/>
    <x v="4"/>
    <x v="0"/>
    <m/>
    <n v="1"/>
    <m/>
    <m/>
    <m/>
    <m/>
    <m/>
    <m/>
    <m/>
    <m/>
    <m/>
    <m/>
    <n v="1"/>
    <x v="306"/>
    <s v="EAF 2546 Meeuwstraat Gent 27.02.2025.pdf"/>
    <n v="1"/>
    <m/>
    <x v="0"/>
    <x v="101"/>
  </r>
  <r>
    <n v="39829"/>
    <x v="114"/>
    <s v="Demirkaya"/>
    <s v="Serkan"/>
    <x v="6"/>
    <x v="0"/>
    <m/>
    <n v="1"/>
    <m/>
    <m/>
    <m/>
    <m/>
    <m/>
    <m/>
    <m/>
    <m/>
    <m/>
    <m/>
    <n v="1"/>
    <x v="306"/>
    <s v="EAF 5046 Gent Brusselsesteenweg 27022025 Demirkaya Serkan.pdf"/>
    <n v="1"/>
    <m/>
    <x v="0"/>
    <x v="56"/>
  </r>
  <r>
    <n v="39779"/>
    <x v="47"/>
    <s v="Avci"/>
    <s v="Muhammet Abdullah"/>
    <x v="4"/>
    <x v="0"/>
    <m/>
    <n v="1"/>
    <m/>
    <m/>
    <m/>
    <m/>
    <m/>
    <m/>
    <m/>
    <m/>
    <m/>
    <m/>
    <n v="1"/>
    <x v="306"/>
    <s v="EAF 5923 Wondelgem 27022025 39779.pdf"/>
    <n v="1"/>
    <m/>
    <x v="0"/>
    <x v="16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EAF 2548 Dampoort Gent 28022025.pdf"/>
    <n v="1"/>
    <m/>
    <x v="0"/>
    <x v="26"/>
  </r>
  <r>
    <n v="40138"/>
    <x v="239"/>
    <s v="Moerman"/>
    <s v="Tjimmy"/>
    <x v="5"/>
    <x v="0"/>
    <m/>
    <m/>
    <n v="1"/>
    <m/>
    <m/>
    <m/>
    <m/>
    <m/>
    <m/>
    <m/>
    <m/>
    <m/>
    <n v="1"/>
    <x v="308"/>
    <s v="EAF 01032025 5047 Gent 40138 Tjimmy Moerman.pdf"/>
    <n v="1"/>
    <m/>
    <x v="0"/>
    <x v="53"/>
  </r>
  <r>
    <n v="26137"/>
    <x v="183"/>
    <s v="Hublau"/>
    <s v="Roland"/>
    <x v="8"/>
    <x v="0"/>
    <m/>
    <m/>
    <n v="1"/>
    <m/>
    <m/>
    <m/>
    <m/>
    <m/>
    <m/>
    <m/>
    <m/>
    <m/>
    <n v="1"/>
    <x v="309"/>
    <s v="EAF 6375 Ferrelaan Gent 03032025 Hublau Roland 26137.pdf"/>
    <n v="1"/>
    <m/>
    <x v="0"/>
    <x v="2"/>
  </r>
  <r>
    <n v="19520"/>
    <x v="289"/>
    <s v="Van Steenbergen"/>
    <s v="Kris"/>
    <x v="2"/>
    <x v="0"/>
    <m/>
    <m/>
    <n v="1"/>
    <m/>
    <m/>
    <m/>
    <m/>
    <m/>
    <m/>
    <m/>
    <m/>
    <m/>
    <n v="1"/>
    <x v="310"/>
    <s v="EAF 2196 Voskenslaan Gent 04032025.pdf"/>
    <n v="1"/>
    <m/>
    <x v="0"/>
    <x v="29"/>
  </r>
  <r>
    <n v="40591"/>
    <x v="290"/>
    <s v="Hiloui"/>
    <s v="Mahmoud"/>
    <x v="7"/>
    <x v="0"/>
    <m/>
    <m/>
    <n v="1"/>
    <m/>
    <m/>
    <m/>
    <m/>
    <m/>
    <m/>
    <m/>
    <m/>
    <m/>
    <n v="1"/>
    <x v="311"/>
    <s v="EAF 05032025 5042 Gent 40591 Mahmoud Hiloui.pdf"/>
    <n v="1"/>
    <m/>
    <x v="0"/>
    <x v="59"/>
  </r>
  <r>
    <n v="34019"/>
    <x v="291"/>
    <s v="Hoste"/>
    <s v="Tom"/>
    <x v="5"/>
    <x v="0"/>
    <m/>
    <m/>
    <n v="1"/>
    <m/>
    <m/>
    <m/>
    <m/>
    <m/>
    <m/>
    <m/>
    <m/>
    <m/>
    <n v="1"/>
    <x v="311"/>
    <s v="EAF 05032025 5911 Gent Tom Hoste.pdf"/>
    <n v="1"/>
    <m/>
    <x v="0"/>
    <x v="125"/>
  </r>
  <r>
    <n v="41092"/>
    <x v="241"/>
    <s v="De Keyser"/>
    <s v="Dorien"/>
    <x v="7"/>
    <x v="0"/>
    <m/>
    <m/>
    <n v="1"/>
    <m/>
    <m/>
    <m/>
    <m/>
    <m/>
    <m/>
    <m/>
    <m/>
    <m/>
    <n v="1"/>
    <x v="312"/>
    <s v="EAF 06032025 5909 Gent 41092 Dorien De Keyser.pdf"/>
    <n v="1"/>
    <m/>
    <x v="0"/>
    <x v="180"/>
  </r>
  <r>
    <n v="26960"/>
    <x v="93"/>
    <s v="Toubadie"/>
    <s v="Mossa"/>
    <x v="3"/>
    <x v="0"/>
    <m/>
    <m/>
    <n v="1"/>
    <m/>
    <m/>
    <m/>
    <m/>
    <m/>
    <m/>
    <m/>
    <m/>
    <m/>
    <n v="1"/>
    <x v="312"/>
    <s v="EAF 06032025 5916 Gent 26960 Toubadie Mossa.pdf"/>
    <n v="1"/>
    <m/>
    <x v="0"/>
    <x v="158"/>
  </r>
  <r>
    <n v="29674"/>
    <x v="292"/>
    <s v="Martens"/>
    <s v="Geoffrey"/>
    <x v="7"/>
    <x v="0"/>
    <m/>
    <m/>
    <n v="1"/>
    <m/>
    <m/>
    <m/>
    <m/>
    <m/>
    <m/>
    <m/>
    <m/>
    <m/>
    <n v="1"/>
    <x v="312"/>
    <s v="EAF 06032025 6313 Gent 29674 Geoffrey Martens.pdf"/>
    <m/>
    <n v="1"/>
    <x v="1"/>
    <x v="56"/>
  </r>
  <r>
    <n v="16897"/>
    <x v="251"/>
    <s v="VandenDaele"/>
    <s v="Andy"/>
    <x v="8"/>
    <x v="0"/>
    <m/>
    <m/>
    <n v="1"/>
    <m/>
    <m/>
    <m/>
    <m/>
    <m/>
    <m/>
    <m/>
    <m/>
    <m/>
    <n v="1"/>
    <x v="312"/>
    <s v="EAF 06032025 6314 Gent 16897 Andy Vandendaele.pdf"/>
    <n v="1"/>
    <m/>
    <x v="0"/>
    <x v="1"/>
  </r>
  <r>
    <n v="32091"/>
    <x v="293"/>
    <s v="Köroglu"/>
    <s v="Ercan"/>
    <x v="1"/>
    <x v="0"/>
    <m/>
    <m/>
    <n v="1"/>
    <m/>
    <m/>
    <m/>
    <m/>
    <m/>
    <m/>
    <m/>
    <m/>
    <m/>
    <n v="1"/>
    <x v="312"/>
    <s v="EAF 5911 Gent 06032025 32091 Ercan Koroglu.pdf"/>
    <n v="1"/>
    <m/>
    <x v="0"/>
    <x v="2"/>
  </r>
  <r>
    <n v="28910"/>
    <x v="294"/>
    <s v="Gassa"/>
    <s v="Osmane"/>
    <x v="4"/>
    <x v="0"/>
    <m/>
    <m/>
    <n v="1"/>
    <m/>
    <m/>
    <m/>
    <m/>
    <m/>
    <m/>
    <m/>
    <m/>
    <m/>
    <n v="1"/>
    <x v="313"/>
    <s v="EAF 09032025 5040 Gent 28910 Gassa Osmane.pdf"/>
    <n v="1"/>
    <m/>
    <x v="0"/>
    <x v="118"/>
  </r>
  <r>
    <n v="40939"/>
    <x v="295"/>
    <s v="Cisse"/>
    <s v="Sayon"/>
    <x v="1"/>
    <x v="0"/>
    <m/>
    <m/>
    <n v="1"/>
    <m/>
    <m/>
    <m/>
    <m/>
    <m/>
    <m/>
    <m/>
    <m/>
    <m/>
    <n v="1"/>
    <x v="313"/>
    <s v="EAF 09032025 5932 Gent 40939 Cisse Sayon.pdf"/>
    <n v="1"/>
    <m/>
    <x v="0"/>
    <x v="0"/>
  </r>
  <r>
    <n v="25487"/>
    <x v="137"/>
    <s v="Devos"/>
    <s v="Stefaan"/>
    <x v="8"/>
    <x v="0"/>
    <m/>
    <m/>
    <n v="1"/>
    <m/>
    <m/>
    <m/>
    <m/>
    <m/>
    <m/>
    <m/>
    <m/>
    <m/>
    <n v="1"/>
    <x v="313"/>
    <s v="EAF 6303 Gent 09032025 25487stefaan Devos.pdf"/>
    <m/>
    <n v="1"/>
    <x v="1"/>
    <x v="181"/>
  </r>
  <r>
    <n v="35645"/>
    <x v="232"/>
    <s v="Jalili"/>
    <s v="Yaseeb"/>
    <x v="8"/>
    <x v="0"/>
    <m/>
    <m/>
    <n v="1"/>
    <m/>
    <m/>
    <m/>
    <m/>
    <m/>
    <m/>
    <m/>
    <m/>
    <m/>
    <n v="1"/>
    <x v="314"/>
    <s v="EAF 10032025 5938 Gent 35845 Yaseeb Jalili.pdf"/>
    <n v="1"/>
    <m/>
    <x v="0"/>
    <x v="82"/>
  </r>
  <r>
    <n v="40138"/>
    <x v="239"/>
    <s v="Moerman"/>
    <s v="Tjimmy"/>
    <x v="5"/>
    <x v="0"/>
    <m/>
    <m/>
    <n v="1"/>
    <m/>
    <m/>
    <m/>
    <m/>
    <m/>
    <m/>
    <m/>
    <m/>
    <m/>
    <n v="1"/>
    <x v="315"/>
    <s v="EAF 5325 Gent 11032025 40138 Tjimmy Moerman.pdf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6"/>
    <s v="EAF 5237 Gent 12032025 39532 Orhan Sahin.pdf"/>
    <n v="1"/>
    <m/>
    <x v="0"/>
    <x v="109"/>
  </r>
  <r>
    <n v="35379"/>
    <x v="245"/>
    <s v="Engels"/>
    <s v="Sam"/>
    <x v="3"/>
    <x v="0"/>
    <m/>
    <m/>
    <n v="1"/>
    <m/>
    <m/>
    <m/>
    <m/>
    <m/>
    <m/>
    <m/>
    <m/>
    <m/>
    <n v="1"/>
    <x v="317"/>
    <s v="EAF 5240 Gent 13032025 35379 Sam Engels.pdf"/>
    <n v="1"/>
    <m/>
    <x v="0"/>
    <x v="182"/>
  </r>
  <r>
    <n v="37662"/>
    <x v="186"/>
    <s v="Van den Meerssche"/>
    <s v="Steven"/>
    <x v="4"/>
    <x v="0"/>
    <m/>
    <m/>
    <n v="1"/>
    <m/>
    <m/>
    <m/>
    <m/>
    <m/>
    <m/>
    <m/>
    <m/>
    <m/>
    <n v="1"/>
    <x v="317"/>
    <s v="EAF 5915 Overzet Gent 13032025 Steven Van den Meerssche 37662.pdf"/>
    <n v="1"/>
    <m/>
    <x v="0"/>
    <x v="183"/>
  </r>
  <r>
    <n v="36635"/>
    <x v="48"/>
    <s v="Fadel"/>
    <s v="Husam"/>
    <x v="1"/>
    <x v="0"/>
    <m/>
    <m/>
    <n v="1"/>
    <m/>
    <m/>
    <m/>
    <m/>
    <m/>
    <m/>
    <m/>
    <m/>
    <m/>
    <n v="1"/>
    <x v="318"/>
    <s v="EAF 6331 Gent 17032025 36635 FAdel Husan.pdf"/>
    <m/>
    <n v="1"/>
    <x v="1"/>
    <x v="39"/>
  </r>
  <r>
    <n v="41064"/>
    <x v="296"/>
    <s v="Ardic"/>
    <s v="Atilla"/>
    <x v="7"/>
    <x v="0"/>
    <m/>
    <m/>
    <n v="1"/>
    <m/>
    <m/>
    <m/>
    <m/>
    <m/>
    <m/>
    <m/>
    <m/>
    <m/>
    <n v="1"/>
    <x v="319"/>
    <s v="EAF 2549 - gent - 18032025 Ardic Attila.pdf"/>
    <n v="1"/>
    <m/>
    <x v="0"/>
    <x v="2"/>
  </r>
  <r>
    <n v="41012"/>
    <x v="283"/>
    <s v="Natad"/>
    <s v="Younes"/>
    <x v="3"/>
    <x v="0"/>
    <m/>
    <m/>
    <n v="1"/>
    <m/>
    <m/>
    <m/>
    <m/>
    <m/>
    <m/>
    <m/>
    <m/>
    <m/>
    <n v="1"/>
    <x v="319"/>
    <s v="EAF 5045 Rooigemlaan Gent 18032025.pdf"/>
    <n v="1"/>
    <m/>
    <x v="0"/>
    <x v="42"/>
  </r>
  <r>
    <n v="41092"/>
    <x v="241"/>
    <s v="De Keyser"/>
    <s v="Dorien"/>
    <x v="7"/>
    <x v="0"/>
    <m/>
    <m/>
    <n v="1"/>
    <m/>
    <m/>
    <m/>
    <m/>
    <m/>
    <m/>
    <m/>
    <m/>
    <m/>
    <n v="1"/>
    <x v="319"/>
    <s v="EAF 5770 Gent 19032025 410092 Dorien De Keyser.pdf"/>
    <n v="1"/>
    <m/>
    <x v="0"/>
    <x v="154"/>
  </r>
  <r>
    <n v="35246"/>
    <x v="139"/>
    <s v="De Meyer"/>
    <s v="Karel"/>
    <x v="3"/>
    <x v="0"/>
    <m/>
    <m/>
    <n v="1"/>
    <m/>
    <m/>
    <m/>
    <m/>
    <m/>
    <m/>
    <m/>
    <m/>
    <m/>
    <n v="1"/>
    <x v="319"/>
    <s v="EAF 5922 Kartuizerlaan Gent 18.03.2025 De Meyer Karel 35246.pdf"/>
    <n v="1"/>
    <m/>
    <x v="0"/>
    <x v="163"/>
  </r>
  <r>
    <n v="35450"/>
    <x v="116"/>
    <s v="Roos"/>
    <s v="Hugo"/>
    <x v="2"/>
    <x v="0"/>
    <m/>
    <m/>
    <n v="1"/>
    <m/>
    <m/>
    <m/>
    <m/>
    <m/>
    <m/>
    <m/>
    <m/>
    <m/>
    <n v="1"/>
    <x v="320"/>
    <s v="EAF 4665 gent 19032025 35450 Hugo Roos.pdf"/>
    <n v="1"/>
    <m/>
    <x v="0"/>
    <x v="184"/>
  </r>
  <r>
    <n v="35216"/>
    <x v="297"/>
    <s v="Coban"/>
    <s v="Mehmet"/>
    <x v="6"/>
    <x v="0"/>
    <m/>
    <m/>
    <n v="1"/>
    <m/>
    <m/>
    <m/>
    <m/>
    <m/>
    <m/>
    <m/>
    <m/>
    <m/>
    <n v="1"/>
    <x v="320"/>
    <s v="EAF 5924 gent 19032025 35216 Coban Mehmet.pdf"/>
    <n v="1"/>
    <m/>
    <x v="0"/>
    <x v="185"/>
  </r>
  <r>
    <n v="41520"/>
    <x v="298"/>
    <s v="Smets"/>
    <s v="Avery"/>
    <x v="5"/>
    <x v="0"/>
    <m/>
    <m/>
    <n v="1"/>
    <m/>
    <m/>
    <m/>
    <m/>
    <m/>
    <m/>
    <m/>
    <m/>
    <m/>
    <n v="1"/>
    <x v="321"/>
    <s v="EAF 8138 gent 20032025 41520 Avery smets.pdf"/>
    <n v="1"/>
    <m/>
    <x v="0"/>
    <x v="186"/>
  </r>
  <r>
    <n v="32611"/>
    <x v="299"/>
    <s v="Özer"/>
    <s v="Özgur"/>
    <x v="1"/>
    <x v="0"/>
    <m/>
    <m/>
    <n v="1"/>
    <m/>
    <m/>
    <m/>
    <m/>
    <m/>
    <m/>
    <m/>
    <m/>
    <m/>
    <n v="1"/>
    <x v="322"/>
    <s v="EAF 5922 Gent 21032025 32611 Ozer Ozgur.pdf"/>
    <n v="1"/>
    <m/>
    <x v="0"/>
    <x v="173"/>
  </r>
  <r>
    <n v="37809"/>
    <x v="220"/>
    <s v="Sturtewagen"/>
    <s v="Kenny"/>
    <x v="8"/>
    <x v="0"/>
    <m/>
    <m/>
    <n v="1"/>
    <m/>
    <m/>
    <m/>
    <m/>
    <m/>
    <m/>
    <m/>
    <m/>
    <m/>
    <n v="1"/>
    <x v="323"/>
    <s v="EAF 5235 Gent 24032025 37809 Kenny Sturtewagen.pdf"/>
    <n v="1"/>
    <m/>
    <x v="0"/>
    <x v="59"/>
  </r>
  <r>
    <n v="38580"/>
    <x v="300"/>
    <s v="Smajla"/>
    <s v="Samet"/>
    <x v="2"/>
    <x v="0"/>
    <m/>
    <m/>
    <n v="1"/>
    <m/>
    <m/>
    <m/>
    <m/>
    <m/>
    <m/>
    <m/>
    <m/>
    <m/>
    <n v="1"/>
    <x v="324"/>
    <s v="EAF 5043 Rooigemlaan - Drongensesteenweg Gent 26032025.pdf"/>
    <n v="1"/>
    <m/>
    <x v="0"/>
    <x v="47"/>
  </r>
  <r>
    <n v="37179"/>
    <x v="172"/>
    <s v="Bashir"/>
    <s v="Muhammad Salman"/>
    <x v="4"/>
    <x v="0"/>
    <m/>
    <m/>
    <n v="1"/>
    <m/>
    <m/>
    <m/>
    <m/>
    <m/>
    <m/>
    <m/>
    <m/>
    <m/>
    <n v="1"/>
    <x v="324"/>
    <s v="EAF 5266 Wondelgem 26032025 37179.pdf"/>
    <n v="1"/>
    <m/>
    <x v="0"/>
    <x v="24"/>
  </r>
  <r>
    <n v="31118"/>
    <x v="301"/>
    <s v="De Sutter"/>
    <s v="Michiel"/>
    <x v="2"/>
    <x v="0"/>
    <m/>
    <m/>
    <n v="1"/>
    <m/>
    <m/>
    <m/>
    <m/>
    <m/>
    <m/>
    <m/>
    <m/>
    <m/>
    <n v="1"/>
    <x v="325"/>
    <s v="EAF 5922 Gent 21032025 31118 Michiel de sutter.pdf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26"/>
    <s v="EAF 39581 5261 Gent 28032025 39581 Linus Vandenhoute.pdf"/>
    <n v="1"/>
    <m/>
    <x v="0"/>
    <x v="24"/>
  </r>
  <r>
    <n v="39581"/>
    <x v="2"/>
    <s v="Vandenhaute"/>
    <s v="Linus"/>
    <x v="2"/>
    <x v="0"/>
    <m/>
    <m/>
    <n v="1"/>
    <m/>
    <m/>
    <m/>
    <m/>
    <m/>
    <m/>
    <m/>
    <m/>
    <m/>
    <n v="1"/>
    <x v="326"/>
    <s v="EAF 5261 Morekstraat Gent 28032025.pdf"/>
    <n v="1"/>
    <m/>
    <x v="0"/>
    <x v="24"/>
  </r>
  <r>
    <n v="36569"/>
    <x v="56"/>
    <s v="Stroobandt"/>
    <s v="Jonas"/>
    <x v="3"/>
    <x v="0"/>
    <m/>
    <m/>
    <n v="1"/>
    <m/>
    <m/>
    <m/>
    <m/>
    <m/>
    <m/>
    <m/>
    <m/>
    <m/>
    <n v="1"/>
    <x v="326"/>
    <s v="EAF 6325 Gent 28032025 36569 Jonas Stroobandt.pdf"/>
    <n v="1"/>
    <m/>
    <x v="0"/>
    <x v="187"/>
  </r>
  <r>
    <n v="36358"/>
    <x v="259"/>
    <s v="De Nys"/>
    <s v="Elise"/>
    <x v="2"/>
    <x v="0"/>
    <m/>
    <m/>
    <n v="1"/>
    <m/>
    <m/>
    <m/>
    <m/>
    <m/>
    <m/>
    <m/>
    <m/>
    <m/>
    <n v="1"/>
    <x v="326"/>
    <s v="EAF 6370 Gent 28032025 36358 Elise Denys.pdf"/>
    <m/>
    <n v="1"/>
    <x v="1"/>
    <x v="158"/>
  </r>
  <r>
    <n v="31668"/>
    <x v="20"/>
    <s v="Weemhof"/>
    <s v="Maurice"/>
    <x v="7"/>
    <x v="0"/>
    <m/>
    <m/>
    <n v="1"/>
    <m/>
    <m/>
    <m/>
    <m/>
    <m/>
    <m/>
    <m/>
    <m/>
    <m/>
    <n v="1"/>
    <x v="327"/>
    <s v="EAF 5918 Gent 24032025 30668 Maurice Weemhof.pdf"/>
    <n v="1"/>
    <m/>
    <x v="0"/>
    <x v="2"/>
  </r>
  <r>
    <n v="17566"/>
    <x v="9"/>
    <s v="Praet"/>
    <s v="Reginald"/>
    <x v="4"/>
    <x v="0"/>
    <m/>
    <m/>
    <m/>
    <n v="1"/>
    <m/>
    <m/>
    <m/>
    <m/>
    <m/>
    <m/>
    <m/>
    <m/>
    <n v="1"/>
    <x v="328"/>
    <s v="EAF 6324 Zwijnaardsesteenweg Gent 02.04.2025 Reginald Praet 17566.pdf"/>
    <m/>
    <n v="1"/>
    <x v="1"/>
    <x v="12"/>
  </r>
  <r>
    <n v="32620"/>
    <x v="108"/>
    <s v="Saey"/>
    <s v="Elias"/>
    <x v="3"/>
    <x v="0"/>
    <m/>
    <m/>
    <m/>
    <n v="1"/>
    <m/>
    <m/>
    <m/>
    <m/>
    <m/>
    <m/>
    <m/>
    <m/>
    <n v="1"/>
    <x v="328"/>
    <s v="EAF 6329 Botermarkt Ledeberg 02042025.pdf"/>
    <m/>
    <n v="1"/>
    <x v="1"/>
    <x v="82"/>
  </r>
  <r>
    <n v="38807"/>
    <x v="110"/>
    <s v="Dossche"/>
    <s v="Caroline"/>
    <x v="5"/>
    <x v="0"/>
    <m/>
    <m/>
    <m/>
    <n v="1"/>
    <m/>
    <m/>
    <m/>
    <m/>
    <m/>
    <m/>
    <m/>
    <m/>
    <n v="1"/>
    <x v="329"/>
    <s v="EAF 5046 Gent 03042025 38807 Caroline Dossche.pdf"/>
    <n v="1"/>
    <m/>
    <x v="0"/>
    <x v="29"/>
  </r>
  <r>
    <n v="40939"/>
    <x v="295"/>
    <s v="Cisse"/>
    <s v="Sayon"/>
    <x v="1"/>
    <x v="0"/>
    <m/>
    <m/>
    <m/>
    <n v="1"/>
    <m/>
    <m/>
    <m/>
    <m/>
    <m/>
    <m/>
    <m/>
    <m/>
    <n v="1"/>
    <x v="330"/>
    <s v="EAF 2198 Deinze 04042025 40939 Cisse Sayon.pdf"/>
    <n v="1"/>
    <m/>
    <x v="0"/>
    <x v="10"/>
  </r>
  <r>
    <n v="32951"/>
    <x v="75"/>
    <s v="De Bruyne"/>
    <s v="Sonia"/>
    <x v="6"/>
    <x v="0"/>
    <m/>
    <m/>
    <m/>
    <n v="1"/>
    <m/>
    <m/>
    <m/>
    <m/>
    <m/>
    <m/>
    <m/>
    <m/>
    <n v="1"/>
    <x v="330"/>
    <s v="EAF 2198 Gent 04042025 32951 Sonia De Bruyne.pdf"/>
    <n v="1"/>
    <m/>
    <x v="0"/>
    <x v="10"/>
  </r>
  <r>
    <n v="41092"/>
    <x v="241"/>
    <s v="De Keyser"/>
    <s v="Dorien"/>
    <x v="7"/>
    <x v="0"/>
    <m/>
    <m/>
    <m/>
    <n v="1"/>
    <m/>
    <m/>
    <m/>
    <m/>
    <m/>
    <m/>
    <m/>
    <m/>
    <n v="1"/>
    <x v="331"/>
    <s v="EAF 5766 Hoogstraat Gent 07042025.pdf"/>
    <n v="1"/>
    <m/>
    <x v="0"/>
    <x v="11"/>
  </r>
  <r>
    <n v="35619"/>
    <x v="302"/>
    <s v="El Mezroui"/>
    <s v="Zouheir"/>
    <x v="8"/>
    <x v="0"/>
    <m/>
    <m/>
    <m/>
    <n v="1"/>
    <m/>
    <m/>
    <m/>
    <m/>
    <m/>
    <m/>
    <m/>
    <m/>
    <n v="1"/>
    <x v="332"/>
    <s v="EAF 08042025 6306 Gent Zouheir El Mezroui 35619.pdf"/>
    <m/>
    <n v="1"/>
    <x v="1"/>
    <x v="71"/>
  </r>
  <r>
    <n v="39929"/>
    <x v="69"/>
    <s v="Staneva"/>
    <s v="Mariyana"/>
    <x v="5"/>
    <x v="0"/>
    <m/>
    <m/>
    <m/>
    <n v="1"/>
    <m/>
    <m/>
    <m/>
    <m/>
    <m/>
    <m/>
    <m/>
    <m/>
    <n v="1"/>
    <x v="333"/>
    <s v="EAF 2197 Gent 09042025 39929 Mariyana Staneva.pdf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333"/>
    <s v="EAF 5238 Gent 09042025 39358 Jimmy weeks Arcena.pdf"/>
    <n v="1"/>
    <m/>
    <x v="0"/>
    <x v="42"/>
  </r>
  <r>
    <n v="38035"/>
    <x v="303"/>
    <s v="Simsek"/>
    <s v="Isa"/>
    <x v="4"/>
    <x v="0"/>
    <m/>
    <m/>
    <m/>
    <n v="1"/>
    <m/>
    <m/>
    <m/>
    <m/>
    <m/>
    <m/>
    <m/>
    <m/>
    <n v="1"/>
    <x v="333"/>
    <s v="EAF 5765 Gent Nieuwe Wandeling 09042025 Isa Simsek 38035.pdf"/>
    <n v="1"/>
    <m/>
    <x v="0"/>
    <x v="59"/>
  </r>
  <r>
    <n v="25679"/>
    <x v="277"/>
    <s v="Vanrenterghem"/>
    <s v="Serge"/>
    <x v="5"/>
    <x v="0"/>
    <m/>
    <m/>
    <m/>
    <n v="1"/>
    <m/>
    <m/>
    <m/>
    <m/>
    <m/>
    <m/>
    <m/>
    <m/>
    <n v="1"/>
    <x v="333"/>
    <s v="EAF 6308 gent 09042025 25679 Serge Van Rentergem.pdf"/>
    <m/>
    <n v="1"/>
    <x v="1"/>
    <x v="56"/>
  </r>
  <r>
    <n v="34325"/>
    <x v="53"/>
    <s v="Eid"/>
    <s v="Mathyn"/>
    <x v="8"/>
    <x v="0"/>
    <m/>
    <m/>
    <m/>
    <n v="1"/>
    <m/>
    <m/>
    <m/>
    <m/>
    <m/>
    <m/>
    <m/>
    <m/>
    <n v="1"/>
    <x v="334"/>
    <s v="EAF 10042025 6364 Gent Mathyn Eid 34325.pdf"/>
    <m/>
    <n v="1"/>
    <x v="1"/>
    <x v="188"/>
  </r>
  <r>
    <n v="35645"/>
    <x v="232"/>
    <s v="Jalili"/>
    <s v="Yaseeb"/>
    <x v="8"/>
    <x v="0"/>
    <m/>
    <m/>
    <m/>
    <n v="1"/>
    <m/>
    <m/>
    <m/>
    <m/>
    <m/>
    <m/>
    <m/>
    <m/>
    <n v="1"/>
    <x v="335"/>
    <s v="EAF 11042025 5238 Gent Jaseeb Jalili 35645.pdf"/>
    <n v="1"/>
    <m/>
    <x v="0"/>
    <x v="0"/>
  </r>
  <r>
    <n v="9158"/>
    <x v="304"/>
    <s v="De Weirdt"/>
    <s v="Ronny"/>
    <x v="8"/>
    <x v="0"/>
    <m/>
    <m/>
    <m/>
    <n v="1"/>
    <m/>
    <m/>
    <m/>
    <m/>
    <m/>
    <m/>
    <m/>
    <m/>
    <n v="1"/>
    <x v="335"/>
    <s v="EAF 6373 Gent - Brusselsesteenweg 11042025 De Weirdt Ronny 9158.pdf"/>
    <m/>
    <n v="1"/>
    <x v="1"/>
    <x v="56"/>
  </r>
  <r>
    <n v="36820"/>
    <x v="305"/>
    <s v="Haché"/>
    <s v="Philip"/>
    <x v="8"/>
    <x v="0"/>
    <m/>
    <m/>
    <m/>
    <n v="1"/>
    <m/>
    <m/>
    <m/>
    <m/>
    <m/>
    <m/>
    <m/>
    <m/>
    <n v="1"/>
    <x v="336"/>
    <s v="EAF 12042025 5229 Gent Philip Haché 36820.pdf"/>
    <n v="1"/>
    <m/>
    <x v="0"/>
    <x v="23"/>
  </r>
  <r>
    <n v="25733"/>
    <x v="306"/>
    <s v="Simsek"/>
    <s v="Abdullah"/>
    <x v="3"/>
    <x v="0"/>
    <m/>
    <m/>
    <m/>
    <n v="1"/>
    <m/>
    <m/>
    <m/>
    <m/>
    <m/>
    <m/>
    <m/>
    <m/>
    <n v="1"/>
    <x v="336"/>
    <s v="EAF 6329 Gent Muidebrug 12-04-2025 Simsek Abdullah 25733.pdf"/>
    <m/>
    <n v="1"/>
    <x v="1"/>
    <x v="116"/>
  </r>
  <r>
    <n v="40443"/>
    <x v="307"/>
    <s v="Fakash"/>
    <s v="Mahmoud"/>
    <x v="4"/>
    <x v="0"/>
    <m/>
    <m/>
    <m/>
    <n v="1"/>
    <m/>
    <m/>
    <m/>
    <m/>
    <m/>
    <m/>
    <m/>
    <m/>
    <n v="1"/>
    <x v="337"/>
    <s v="EAF 5767 Noordstraat Gent 15.05.2025 Mahmoud Fakash 40443.pdf"/>
    <n v="1"/>
    <m/>
    <x v="0"/>
    <x v="189"/>
  </r>
  <r>
    <n v="34445"/>
    <x v="22"/>
    <s v="Wulleput"/>
    <s v="Illya"/>
    <x v="7"/>
    <x v="0"/>
    <m/>
    <m/>
    <m/>
    <n v="1"/>
    <m/>
    <m/>
    <m/>
    <m/>
    <m/>
    <m/>
    <m/>
    <m/>
    <n v="1"/>
    <x v="338"/>
    <s v="EAF 6357 gent Hundelgemsesteenweg 16-04-2025 Wulleput Illya 34445.pdf"/>
    <m/>
    <n v="1"/>
    <x v="1"/>
    <x v="82"/>
  </r>
  <r>
    <n v="37744"/>
    <x v="308"/>
    <s v="De Lange"/>
    <s v="Frank"/>
    <x v="7"/>
    <x v="0"/>
    <m/>
    <m/>
    <m/>
    <n v="1"/>
    <m/>
    <m/>
    <m/>
    <m/>
    <m/>
    <m/>
    <m/>
    <m/>
    <n v="1"/>
    <x v="339"/>
    <s v="EAF 5325 Baarle Dorp 18042025.pdf"/>
    <n v="1"/>
    <m/>
    <x v="0"/>
    <x v="190"/>
  </r>
  <r>
    <n v="41230"/>
    <x v="309"/>
    <s v="De Witte"/>
    <s v="Bart"/>
    <x v="7"/>
    <x v="0"/>
    <m/>
    <m/>
    <m/>
    <n v="1"/>
    <m/>
    <m/>
    <m/>
    <m/>
    <m/>
    <m/>
    <m/>
    <m/>
    <n v="1"/>
    <x v="339"/>
    <s v="EAF 5910 Gent 18042025 41230 Bart De witte.pdf"/>
    <n v="1"/>
    <m/>
    <x v="0"/>
    <x v="178"/>
  </r>
  <r>
    <n v="21582"/>
    <x v="52"/>
    <s v="De Grom"/>
    <s v="Patrick"/>
    <x v="8"/>
    <x v="0"/>
    <m/>
    <m/>
    <m/>
    <n v="1"/>
    <m/>
    <m/>
    <m/>
    <m/>
    <m/>
    <m/>
    <m/>
    <m/>
    <n v="1"/>
    <x v="339"/>
    <s v="EAF 6305 GENT 18042025 21582 Patrick De Grom.pdf"/>
    <m/>
    <n v="1"/>
    <x v="1"/>
    <x v="2"/>
  </r>
  <r>
    <n v="38938"/>
    <x v="29"/>
    <s v="Sedighi"/>
    <s v="Hamid"/>
    <x v="6"/>
    <x v="0"/>
    <m/>
    <m/>
    <m/>
    <n v="1"/>
    <m/>
    <m/>
    <m/>
    <m/>
    <m/>
    <m/>
    <m/>
    <m/>
    <n v="1"/>
    <x v="339"/>
    <s v="EAF 6339 Sint Salvatorstraat 18-04-2025 Sedighi Hamid 38938.pdf"/>
    <m/>
    <n v="1"/>
    <x v="1"/>
    <x v="174"/>
  </r>
  <r>
    <n v="40110"/>
    <x v="130"/>
    <s v="Vanlerberghe"/>
    <s v="Sandra"/>
    <x v="5"/>
    <x v="0"/>
    <m/>
    <m/>
    <m/>
    <n v="1"/>
    <m/>
    <m/>
    <m/>
    <m/>
    <m/>
    <m/>
    <m/>
    <m/>
    <n v="1"/>
    <x v="340"/>
    <s v="EAF 2197 Gent 19042025 40110 Sandra Vanlerberghe.pdf"/>
    <n v="1"/>
    <m/>
    <x v="0"/>
    <x v="34"/>
  </r>
  <r>
    <n v="32245"/>
    <x v="310"/>
    <s v="Verlinden"/>
    <s v="Bianca"/>
    <x v="3"/>
    <x v="0"/>
    <m/>
    <m/>
    <m/>
    <n v="1"/>
    <m/>
    <m/>
    <m/>
    <m/>
    <m/>
    <m/>
    <m/>
    <m/>
    <n v="1"/>
    <x v="340"/>
    <s v="EAF 5918 E17 19042025.pdf"/>
    <n v="1"/>
    <m/>
    <x v="0"/>
    <x v="0"/>
  </r>
  <r>
    <n v="41520"/>
    <x v="298"/>
    <s v="Smets"/>
    <s v="Avery"/>
    <x v="5"/>
    <x v="0"/>
    <m/>
    <m/>
    <m/>
    <n v="1"/>
    <m/>
    <m/>
    <m/>
    <m/>
    <m/>
    <m/>
    <m/>
    <m/>
    <n v="1"/>
    <x v="340"/>
    <s v="EAF 5919 Gent 19042025 41520 Avery Smets.pdf"/>
    <n v="1"/>
    <m/>
    <x v="0"/>
    <x v="191"/>
  </r>
  <r>
    <n v="40478"/>
    <x v="177"/>
    <s v="Hashimi"/>
    <s v="Ali Mir"/>
    <x v="4"/>
    <x v="0"/>
    <m/>
    <m/>
    <m/>
    <n v="1"/>
    <m/>
    <m/>
    <m/>
    <m/>
    <m/>
    <m/>
    <m/>
    <m/>
    <n v="1"/>
    <x v="341"/>
    <s v="EAF 5772 Gent 220425 401478 Hashimi.pdf"/>
    <n v="1"/>
    <m/>
    <x v="0"/>
    <x v="192"/>
  </r>
  <r>
    <n v="41588"/>
    <x v="311"/>
    <s v="Naessens"/>
    <s v="Yves"/>
    <x v="1"/>
    <x v="0"/>
    <m/>
    <m/>
    <m/>
    <n v="1"/>
    <m/>
    <m/>
    <m/>
    <m/>
    <m/>
    <m/>
    <m/>
    <m/>
    <n v="1"/>
    <x v="341"/>
    <s v="EAF 7897 GENT 22042025 41588 Naessens Yves.pdf"/>
    <n v="1"/>
    <m/>
    <x v="0"/>
    <x v="193"/>
  </r>
  <r>
    <n v="37132"/>
    <x v="312"/>
    <s v="Dacic"/>
    <s v="Esmir"/>
    <x v="7"/>
    <x v="0"/>
    <m/>
    <m/>
    <m/>
    <n v="1"/>
    <m/>
    <m/>
    <m/>
    <m/>
    <m/>
    <m/>
    <m/>
    <m/>
    <n v="1"/>
    <x v="342"/>
    <s v="EAF 6320 Gent 23042025 37132 Esmir.pdf"/>
    <m/>
    <n v="1"/>
    <x v="1"/>
    <x v="138"/>
  </r>
  <r>
    <n v="33965"/>
    <x v="73"/>
    <s v="Van de Gehuchte"/>
    <s v="Gilles"/>
    <x v="1"/>
    <x v="0"/>
    <m/>
    <m/>
    <m/>
    <n v="1"/>
    <m/>
    <m/>
    <m/>
    <m/>
    <m/>
    <m/>
    <m/>
    <m/>
    <n v="1"/>
    <x v="343"/>
    <s v="EAF 5917 Gent 24042025 33965 Van De Gehuchte Gilles.pdf"/>
    <n v="1"/>
    <m/>
    <x v="0"/>
    <x v="6"/>
  </r>
  <r>
    <n v="38475"/>
    <x v="59"/>
    <s v="Verschraegen"/>
    <s v="Katleen"/>
    <x v="2"/>
    <x v="0"/>
    <m/>
    <m/>
    <m/>
    <n v="1"/>
    <m/>
    <m/>
    <m/>
    <m/>
    <m/>
    <m/>
    <m/>
    <m/>
    <n v="1"/>
    <x v="343"/>
    <s v="EAF 5933 Gent Verenigde Natieslaan 24-4-25 Katleen Verschraegen.pdf"/>
    <n v="1"/>
    <m/>
    <x v="0"/>
    <x v="38"/>
  </r>
  <r>
    <n v="9999"/>
    <x v="0"/>
    <s v="-"/>
    <s v="-"/>
    <x v="0"/>
    <x v="0"/>
    <m/>
    <m/>
    <m/>
    <n v="1"/>
    <m/>
    <m/>
    <m/>
    <m/>
    <m/>
    <m/>
    <m/>
    <m/>
    <n v="1"/>
    <x v="343"/>
    <s v="EAF 8232 Brusselsesteenweg Gentbrugge 24.04.2025 Herkat Mohammed 41605.pdf"/>
    <n v="1"/>
    <m/>
    <x v="0"/>
    <x v="56"/>
  </r>
  <r>
    <n v="33085"/>
    <x v="313"/>
    <s v="Van Hoe"/>
    <s v="Ivo"/>
    <x v="1"/>
    <x v="0"/>
    <m/>
    <m/>
    <m/>
    <n v="1"/>
    <m/>
    <m/>
    <m/>
    <m/>
    <m/>
    <m/>
    <m/>
    <m/>
    <n v="1"/>
    <x v="344"/>
    <s v="EAF 2198 26042025 Gent 33085 Ivo Van Hoe.pdf"/>
    <n v="1"/>
    <m/>
    <x v="0"/>
    <x v="194"/>
  </r>
  <r>
    <n v="40591"/>
    <x v="290"/>
    <s v="Hiloui"/>
    <s v="Mahmoud"/>
    <x v="7"/>
    <x v="0"/>
    <m/>
    <m/>
    <m/>
    <n v="1"/>
    <m/>
    <m/>
    <m/>
    <m/>
    <m/>
    <m/>
    <m/>
    <m/>
    <n v="1"/>
    <x v="345"/>
    <s v="EAF 2208 Gent 28042025 40591 Mahmoud.pdf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5"/>
    <s v="EAF 5770 Gent 28042025 40134 Sharon Cardon.pdf"/>
    <n v="1"/>
    <m/>
    <x v="0"/>
    <x v="135"/>
  </r>
  <r>
    <n v="38475"/>
    <x v="59"/>
    <s v="Verschraegen"/>
    <s v="Katleen"/>
    <x v="2"/>
    <x v="0"/>
    <m/>
    <m/>
    <m/>
    <n v="1"/>
    <m/>
    <m/>
    <m/>
    <m/>
    <m/>
    <m/>
    <m/>
    <m/>
    <n v="1"/>
    <x v="345"/>
    <s v="EAF 5930 Gent 28042025 38475 Kathleen Verschraegen.pdf"/>
    <n v="1"/>
    <m/>
    <x v="0"/>
    <x v="75"/>
  </r>
  <r>
    <n v="24155"/>
    <x v="314"/>
    <s v="Luttens"/>
    <s v="Koen"/>
    <x v="3"/>
    <x v="0"/>
    <m/>
    <m/>
    <m/>
    <n v="1"/>
    <m/>
    <m/>
    <m/>
    <m/>
    <m/>
    <m/>
    <m/>
    <m/>
    <n v="1"/>
    <x v="346"/>
    <s v="EAF 6368 Edelsteenstraat 29042025.pdf"/>
    <n v="1"/>
    <m/>
    <x v="0"/>
    <x v="195"/>
  </r>
  <r>
    <n v="41092"/>
    <x v="241"/>
    <s v="De Keyser"/>
    <s v="Dorien"/>
    <x v="7"/>
    <x v="0"/>
    <m/>
    <m/>
    <m/>
    <n v="1"/>
    <m/>
    <m/>
    <m/>
    <m/>
    <m/>
    <m/>
    <m/>
    <m/>
    <n v="1"/>
    <x v="347"/>
    <s v="EAF 5912 Meulesteedsesteenweg 30042025 Dorien De Keyser.pdf"/>
    <n v="1"/>
    <m/>
    <x v="0"/>
    <x v="116"/>
  </r>
  <r>
    <n v="37908"/>
    <x v="315"/>
    <s v="Vandenberghe"/>
    <s v="Michael"/>
    <x v="8"/>
    <x v="0"/>
    <m/>
    <m/>
    <m/>
    <d v="1899-12-31T00:00:00"/>
    <m/>
    <m/>
    <m/>
    <m/>
    <m/>
    <m/>
    <m/>
    <m/>
    <n v="1"/>
    <x v="347"/>
    <s v="EAF5054 Rooigemlaan 30042025 Michael Vandenberghe.pdf"/>
    <n v="1"/>
    <m/>
    <x v="0"/>
    <x v="42"/>
  </r>
  <r>
    <n v="30967"/>
    <x v="238"/>
    <s v="Taser"/>
    <s v="Fatih"/>
    <x v="7"/>
    <x v="0"/>
    <m/>
    <m/>
    <m/>
    <m/>
    <d v="1899-12-31T00:00:00"/>
    <m/>
    <m/>
    <m/>
    <m/>
    <m/>
    <m/>
    <m/>
    <n v="1"/>
    <x v="348"/>
    <s v="EAF Gent 01052025 30967.pdf"/>
    <n v="1"/>
    <m/>
    <x v="0"/>
    <x v="8"/>
  </r>
  <r>
    <n v="40652"/>
    <x v="219"/>
    <s v="Van Damme"/>
    <s v="Gilyann"/>
    <x v="3"/>
    <x v="0"/>
    <m/>
    <m/>
    <m/>
    <m/>
    <n v="1"/>
    <m/>
    <m/>
    <m/>
    <m/>
    <m/>
    <m/>
    <m/>
    <n v="1"/>
    <x v="349"/>
    <s v="EAF 2198 Voskenslaan 02052025.pdf"/>
    <n v="1"/>
    <m/>
    <x v="0"/>
    <x v="29"/>
  </r>
  <r>
    <n v="4608"/>
    <x v="316"/>
    <s v="Steenbrugge"/>
    <s v="Johan"/>
    <x v="6"/>
    <x v="0"/>
    <m/>
    <m/>
    <m/>
    <m/>
    <n v="1"/>
    <m/>
    <m/>
    <m/>
    <m/>
    <m/>
    <m/>
    <m/>
    <n v="1"/>
    <x v="350"/>
    <s v="EAF 2208 Dampoort eigen bedding 05-05-2025 Steenbrugge Johan 4608.pdf"/>
    <n v="1"/>
    <m/>
    <x v="0"/>
    <x v="26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351"/>
    <s v="EAF 6325 Gent 04052025 Gent 33965 Gilles van de Gehuchte.pdf"/>
    <m/>
    <n v="1"/>
    <x v="1"/>
    <x v="56"/>
  </r>
  <r>
    <n v="38731"/>
    <x v="317"/>
    <s v="Ben Sidhom"/>
    <s v="Samir"/>
    <x v="5"/>
    <x v="0"/>
    <m/>
    <m/>
    <m/>
    <m/>
    <n v="1"/>
    <m/>
    <m/>
    <m/>
    <m/>
    <m/>
    <m/>
    <m/>
    <n v="1"/>
    <x v="352"/>
    <s v="EAF 5053 Gent 06052025 38731 Ben Samir Sidhom.pdf"/>
    <n v="1"/>
    <m/>
    <x v="0"/>
    <x v="0"/>
  </r>
  <r>
    <n v="40938"/>
    <x v="318"/>
    <s v="Hasnaoui"/>
    <s v="Nejmeddine"/>
    <x v="7"/>
    <x v="0"/>
    <m/>
    <m/>
    <m/>
    <m/>
    <n v="1"/>
    <m/>
    <m/>
    <m/>
    <m/>
    <m/>
    <m/>
    <m/>
    <n v="1"/>
    <x v="353"/>
    <s v="EAF Gent 06052025 40938 Nejmeddine Hasnaoui.pdf"/>
    <n v="1"/>
    <m/>
    <x v="0"/>
    <x v="10"/>
  </r>
  <r>
    <n v="40652"/>
    <x v="219"/>
    <s v="Van Damme"/>
    <s v="Gilyann"/>
    <x v="3"/>
    <x v="0"/>
    <m/>
    <m/>
    <m/>
    <m/>
    <n v="1"/>
    <m/>
    <m/>
    <m/>
    <m/>
    <m/>
    <m/>
    <m/>
    <n v="1"/>
    <x v="354"/>
    <s v="EAF 2196 Gentsesteenweg Deinze 07052025.pdf"/>
    <n v="1"/>
    <m/>
    <x v="0"/>
    <x v="196"/>
  </r>
  <r>
    <n v="38931"/>
    <x v="15"/>
    <s v="Sancak"/>
    <s v="Eyuphan"/>
    <x v="4"/>
    <x v="0"/>
    <m/>
    <m/>
    <m/>
    <m/>
    <n v="1"/>
    <m/>
    <m/>
    <m/>
    <m/>
    <m/>
    <m/>
    <m/>
    <n v="1"/>
    <x v="355"/>
    <s v="EAF 4678 Gent 09052025 38931 Sancak.pdf"/>
    <n v="1"/>
    <m/>
    <x v="0"/>
    <x v="197"/>
  </r>
  <r>
    <n v="31165"/>
    <x v="189"/>
    <s v="Govaerts"/>
    <s v="Sandro"/>
    <x v="6"/>
    <x v="0"/>
    <m/>
    <m/>
    <m/>
    <m/>
    <n v="1"/>
    <m/>
    <m/>
    <m/>
    <m/>
    <m/>
    <m/>
    <m/>
    <n v="1"/>
    <x v="356"/>
    <s v="EAF 5048 Sint-Amandsberg Lijnmolenstraat 10-05-2025 Sandro Govaerts.pdf"/>
    <n v="1"/>
    <m/>
    <x v="0"/>
    <x v="198"/>
  </r>
  <r>
    <n v="27672"/>
    <x v="319"/>
    <s v="Criel"/>
    <s v="Veronique"/>
    <x v="8"/>
    <x v="0"/>
    <m/>
    <m/>
    <m/>
    <m/>
    <n v="1"/>
    <m/>
    <m/>
    <m/>
    <m/>
    <m/>
    <m/>
    <m/>
    <n v="1"/>
    <x v="356"/>
    <s v="EAF10052025 6311 Gent Veronique Criel 27672.pdf"/>
    <m/>
    <n v="1"/>
    <x v="1"/>
    <x v="1"/>
  </r>
  <r>
    <n v="40138"/>
    <x v="239"/>
    <s v="Moerman"/>
    <s v="Tjimmy"/>
    <x v="5"/>
    <x v="0"/>
    <m/>
    <m/>
    <m/>
    <m/>
    <n v="1"/>
    <m/>
    <m/>
    <m/>
    <m/>
    <m/>
    <m/>
    <m/>
    <n v="1"/>
    <x v="357"/>
    <s v="EAF 5047 Einde Were Gent 11052025.pdf"/>
    <n v="1"/>
    <m/>
    <x v="0"/>
    <x v="42"/>
  </r>
  <r>
    <n v="39856"/>
    <x v="320"/>
    <s v="Curukcu"/>
    <s v="Bayram"/>
    <x v="1"/>
    <x v="0"/>
    <m/>
    <m/>
    <m/>
    <m/>
    <n v="1"/>
    <m/>
    <m/>
    <m/>
    <m/>
    <m/>
    <m/>
    <m/>
    <n v="1"/>
    <x v="358"/>
    <s v="EAF 5265 Gent 13052025.pdf"/>
    <n v="1"/>
    <m/>
    <x v="0"/>
    <x v="70"/>
  </r>
  <r>
    <n v="29746"/>
    <x v="321"/>
    <s v="Huyse"/>
    <s v="Annicke"/>
    <x v="4"/>
    <x v="0"/>
    <m/>
    <m/>
    <m/>
    <m/>
    <n v="1"/>
    <m/>
    <m/>
    <m/>
    <m/>
    <m/>
    <m/>
    <m/>
    <n v="1"/>
    <x v="359"/>
    <s v="EAF 5231 Parking 2 stelplaats E-17 14.05.2025 Annicke Huyse 29746.pdf"/>
    <n v="1"/>
    <m/>
    <x v="0"/>
    <x v="0"/>
  </r>
  <r>
    <n v="36428"/>
    <x v="184"/>
    <s v="Abdi Shaiye"/>
    <s v="Rashid"/>
    <x v="6"/>
    <x v="0"/>
    <m/>
    <m/>
    <m/>
    <m/>
    <n v="1"/>
    <m/>
    <m/>
    <m/>
    <m/>
    <m/>
    <m/>
    <m/>
    <n v="1"/>
    <x v="360"/>
    <s v="EAF 6367 Gent 15052025 36428 Abdi Shaiye.pdf"/>
    <m/>
    <n v="1"/>
    <x v="1"/>
    <x v="2"/>
  </r>
  <r>
    <n v="40393"/>
    <x v="322"/>
    <s v="Salimova"/>
    <s v="Eydzhan"/>
    <x v="7"/>
    <x v="0"/>
    <m/>
    <m/>
    <m/>
    <m/>
    <m/>
    <m/>
    <m/>
    <m/>
    <m/>
    <m/>
    <m/>
    <m/>
    <n v="0"/>
    <x v="360"/>
    <s v="EAF 7897 15052024 Nederzwalmsesteenweg Eydzhan Salimova.pdf"/>
    <n v="1"/>
    <m/>
    <x v="0"/>
    <x v="199"/>
  </r>
  <r>
    <n v="41230"/>
    <x v="309"/>
    <s v="De Witte"/>
    <s v="Bart"/>
    <x v="7"/>
    <x v="0"/>
    <m/>
    <m/>
    <m/>
    <m/>
    <n v="1"/>
    <m/>
    <m/>
    <m/>
    <m/>
    <m/>
    <m/>
    <m/>
    <n v="1"/>
    <x v="361"/>
    <s v="EAF 5924 Gent 17052025 41230 Bart De Witte.pdf"/>
    <n v="1"/>
    <m/>
    <x v="0"/>
    <x v="200"/>
  </r>
  <r>
    <n v="41710"/>
    <x v="323"/>
    <s v="Ghani"/>
    <s v="Fazal"/>
    <x v="3"/>
    <x v="0"/>
    <m/>
    <m/>
    <m/>
    <m/>
    <n v="1"/>
    <m/>
    <m/>
    <m/>
    <m/>
    <m/>
    <m/>
    <m/>
    <n v="1"/>
    <x v="362"/>
    <s v="EAF 2546 Gent 21052025 41710 Ghani Fazal.pdf"/>
    <n v="1"/>
    <m/>
    <x v="0"/>
    <x v="179"/>
  </r>
  <r>
    <n v="38648"/>
    <x v="72"/>
    <s v="Uckuyulu"/>
    <s v="Muhammet Emin"/>
    <x v="6"/>
    <x v="0"/>
    <m/>
    <m/>
    <m/>
    <m/>
    <n v="1"/>
    <m/>
    <m/>
    <m/>
    <m/>
    <m/>
    <m/>
    <m/>
    <n v="1"/>
    <x v="362"/>
    <s v="EAF 6333 Gent 21052025 38648 Emin.pdf"/>
    <m/>
    <n v="1"/>
    <x v="1"/>
    <x v="201"/>
  </r>
  <r>
    <n v="41671"/>
    <x v="324"/>
    <s v="Hasan"/>
    <s v="Salem"/>
    <x v="4"/>
    <x v="0"/>
    <m/>
    <m/>
    <m/>
    <m/>
    <n v="1"/>
    <m/>
    <m/>
    <m/>
    <m/>
    <m/>
    <m/>
    <m/>
    <n v="1"/>
    <x v="363"/>
    <s v="EAF 8232 Lembergsesteenweg Merelbeke 22.05.2025 Hasan Salem 41671.pdf"/>
    <n v="1"/>
    <m/>
    <x v="0"/>
    <x v="82"/>
  </r>
  <r>
    <n v="41482"/>
    <x v="325"/>
    <s v="Özdemir"/>
    <s v="Osman"/>
    <x v="4"/>
    <x v="0"/>
    <m/>
    <m/>
    <m/>
    <m/>
    <n v="1"/>
    <m/>
    <m/>
    <m/>
    <m/>
    <m/>
    <m/>
    <m/>
    <n v="1"/>
    <x v="364"/>
    <s v="EAF 5928 Gent 23052025 41482.pdf"/>
    <n v="1"/>
    <m/>
    <x v="0"/>
    <x v="26"/>
  </r>
  <r>
    <n v="40278"/>
    <x v="225"/>
    <s v="Ates"/>
    <s v="Firat"/>
    <x v="5"/>
    <x v="0"/>
    <m/>
    <m/>
    <m/>
    <m/>
    <n v="1"/>
    <m/>
    <m/>
    <m/>
    <m/>
    <m/>
    <m/>
    <m/>
    <n v="1"/>
    <x v="364"/>
    <s v="EAF bij chauffeur verloren. Via planning west naar schade gestuurd"/>
    <n v="1"/>
    <m/>
    <x v="0"/>
    <x v="23"/>
  </r>
  <r>
    <n v="15282"/>
    <x v="11"/>
    <s v="Marinx"/>
    <s v="Kristoff"/>
    <x v="1"/>
    <x v="0"/>
    <m/>
    <m/>
    <m/>
    <m/>
    <n v="1"/>
    <m/>
    <m/>
    <m/>
    <m/>
    <m/>
    <m/>
    <m/>
    <n v="1"/>
    <x v="365"/>
    <s v="EAF 26052025.pdf"/>
    <m/>
    <n v="1"/>
    <x v="1"/>
    <x v="143"/>
  </r>
  <r>
    <n v="36438"/>
    <x v="243"/>
    <s v="Agil"/>
    <s v="Birol"/>
    <x v="4"/>
    <x v="0"/>
    <m/>
    <m/>
    <m/>
    <m/>
    <n v="1"/>
    <m/>
    <m/>
    <m/>
    <m/>
    <m/>
    <m/>
    <m/>
    <n v="1"/>
    <x v="365"/>
    <s v="EAF 6314 gent 26052025 36438.pdf"/>
    <m/>
    <n v="1"/>
    <x v="1"/>
    <x v="161"/>
  </r>
  <r>
    <n v="15412"/>
    <x v="326"/>
    <s v="Dhondt"/>
    <s v="Frank"/>
    <x v="4"/>
    <x v="0"/>
    <m/>
    <m/>
    <m/>
    <m/>
    <m/>
    <n v="1"/>
    <m/>
    <m/>
    <m/>
    <m/>
    <m/>
    <m/>
    <n v="1"/>
    <x v="365"/>
    <s v="EAF 5266 Burggravenlaan Gent 26.05.2025 Frank Dhondt 15412.pdf"/>
    <n v="1"/>
    <m/>
    <x v="0"/>
    <x v="182"/>
  </r>
  <r>
    <n v="40856"/>
    <x v="273"/>
    <s v="Neissi"/>
    <s v="Sadegh"/>
    <x v="1"/>
    <x v="0"/>
    <m/>
    <m/>
    <m/>
    <m/>
    <n v="1"/>
    <m/>
    <m/>
    <m/>
    <m/>
    <m/>
    <m/>
    <m/>
    <n v="1"/>
    <x v="366"/>
    <s v="EAF 5630 Gent 29052025 40856.pdf"/>
    <n v="1"/>
    <m/>
    <x v="0"/>
    <x v="19"/>
  </r>
  <r>
    <n v="41619"/>
    <x v="327"/>
    <s v="Bachiri"/>
    <s v="Ousama"/>
    <x v="4"/>
    <x v="0"/>
    <m/>
    <m/>
    <m/>
    <m/>
    <n v="1"/>
    <m/>
    <m/>
    <m/>
    <m/>
    <m/>
    <m/>
    <m/>
    <n v="1"/>
    <x v="367"/>
    <s v="EAF 5927 Gent 30052025 41619 Ousama.pdf"/>
    <n v="1"/>
    <m/>
    <x v="0"/>
    <x v="167"/>
  </r>
  <r>
    <n v="39927"/>
    <x v="122"/>
    <s v="De Wilde"/>
    <s v="Jordy"/>
    <x v="5"/>
    <x v="0"/>
    <m/>
    <m/>
    <m/>
    <m/>
    <n v="1"/>
    <m/>
    <m/>
    <m/>
    <m/>
    <m/>
    <m/>
    <m/>
    <n v="1"/>
    <x v="368"/>
    <s v="EAF 6355 Gent 31052025 39927 Jordy Dewilde.pdf"/>
    <m/>
    <n v="1"/>
    <x v="1"/>
    <x v="56"/>
  </r>
  <r>
    <n v="41384"/>
    <x v="328"/>
    <s v="Hillaert"/>
    <s v="Thimo"/>
    <x v="5"/>
    <x v="0"/>
    <m/>
    <m/>
    <m/>
    <m/>
    <m/>
    <n v="1"/>
    <m/>
    <m/>
    <m/>
    <m/>
    <m/>
    <m/>
    <n v="1"/>
    <x v="369"/>
    <s v="EAF 5489 Gent 02062025 41384 Thimo Hillaert.pdf"/>
    <n v="1"/>
    <m/>
    <x v="0"/>
    <x v="9"/>
  </r>
  <r>
    <n v="40036"/>
    <x v="159"/>
    <s v="Karakaya"/>
    <s v="Oguz"/>
    <x v="7"/>
    <x v="0"/>
    <m/>
    <m/>
    <m/>
    <m/>
    <m/>
    <n v="1"/>
    <m/>
    <m/>
    <m/>
    <m/>
    <m/>
    <m/>
    <n v="1"/>
    <x v="369"/>
    <s v="EAF 5931 Gent 02062025 40036 Oguz Karakaya.pdf"/>
    <n v="1"/>
    <m/>
    <x v="0"/>
    <x v="173"/>
  </r>
  <r>
    <n v="40278"/>
    <x v="225"/>
    <s v="Ates"/>
    <s v="Firat"/>
    <x v="5"/>
    <x v="0"/>
    <m/>
    <m/>
    <m/>
    <m/>
    <m/>
    <n v="1"/>
    <m/>
    <m/>
    <m/>
    <m/>
    <m/>
    <m/>
    <n v="1"/>
    <x v="369"/>
    <s v="EAF 5236 Gent 02062025 40278 Ates Firat.pdf"/>
    <n v="1"/>
    <m/>
    <x v="0"/>
    <x v="119"/>
  </r>
  <r>
    <n v="36154"/>
    <x v="329"/>
    <s v="De Clercq"/>
    <s v="Sven"/>
    <x v="6"/>
    <x v="0"/>
    <m/>
    <m/>
    <m/>
    <m/>
    <m/>
    <n v="1"/>
    <m/>
    <m/>
    <m/>
    <m/>
    <m/>
    <m/>
    <n v="1"/>
    <x v="370"/>
    <s v="EAF 6356 Gent 03062025 36154 Sven Declercq.pdf"/>
    <m/>
    <n v="1"/>
    <x v="1"/>
    <x v="49"/>
  </r>
  <r>
    <n v="23918"/>
    <x v="217"/>
    <s v="D'Haeyere"/>
    <s v="Bernard"/>
    <x v="3"/>
    <x v="0"/>
    <m/>
    <m/>
    <m/>
    <m/>
    <m/>
    <n v="1"/>
    <m/>
    <m/>
    <m/>
    <m/>
    <m/>
    <m/>
    <n v="1"/>
    <x v="370"/>
    <s v="EAF 5931 Gent 03062025 23918 Bernard Dhaeyere.pdf"/>
    <n v="1"/>
    <m/>
    <x v="0"/>
    <x v="202"/>
  </r>
  <r>
    <n v="41246"/>
    <x v="285"/>
    <s v="Van Holsbeeck"/>
    <s v="Yana"/>
    <x v="7"/>
    <x v="0"/>
    <m/>
    <m/>
    <m/>
    <m/>
    <m/>
    <n v="1"/>
    <m/>
    <m/>
    <m/>
    <m/>
    <m/>
    <m/>
    <n v="1"/>
    <x v="370"/>
    <s v="EAF 5920 Gent 03062025 41246 yana van holsbeek.pdf"/>
    <n v="1"/>
    <m/>
    <x v="0"/>
    <x v="203"/>
  </r>
  <r>
    <n v="41032"/>
    <x v="284"/>
    <s v="Rocabado Hinojosa"/>
    <s v="Lukas"/>
    <x v="3"/>
    <x v="0"/>
    <m/>
    <m/>
    <m/>
    <m/>
    <m/>
    <n v="1"/>
    <m/>
    <m/>
    <m/>
    <m/>
    <m/>
    <m/>
    <n v="1"/>
    <x v="371"/>
    <s v="EAF 5237 Dampoort Gent 05062025.pdf"/>
    <n v="1"/>
    <m/>
    <x v="0"/>
    <x v="26"/>
  </r>
  <r>
    <n v="41032"/>
    <x v="284"/>
    <s v="Rocabado Hinojosa"/>
    <s v="Lukas"/>
    <x v="3"/>
    <x v="0"/>
    <m/>
    <m/>
    <m/>
    <m/>
    <m/>
    <n v="1"/>
    <m/>
    <m/>
    <m/>
    <m/>
    <m/>
    <m/>
    <n v="1"/>
    <x v="371"/>
    <s v="EAF 5237 Bevrijdingslaan Gent 05062025.pdf"/>
    <n v="1"/>
    <m/>
    <x v="0"/>
    <x v="114"/>
  </r>
  <r>
    <n v="33965"/>
    <x v="73"/>
    <s v="Van de Gehuchte"/>
    <s v="Gilles"/>
    <x v="1"/>
    <x v="0"/>
    <m/>
    <m/>
    <m/>
    <m/>
    <m/>
    <m/>
    <m/>
    <n v="1"/>
    <m/>
    <m/>
    <m/>
    <m/>
    <n v="1"/>
    <x v="372"/>
    <s v="EAF 6369 GEnt 20082024.pdf"/>
    <m/>
    <n v="1"/>
    <x v="1"/>
    <x v="17"/>
  </r>
  <r>
    <n v="41246"/>
    <x v="285"/>
    <s v="Van Holsbeeck"/>
    <s v="Yana"/>
    <x v="7"/>
    <x v="1"/>
    <m/>
    <m/>
    <m/>
    <m/>
    <m/>
    <m/>
    <m/>
    <m/>
    <m/>
    <m/>
    <m/>
    <m/>
    <n v="0"/>
    <x v="373"/>
    <s v="EAF - 5928 - gent - 16032025 41246 Yana van Holsbeeck.pdf"/>
    <n v="1"/>
    <m/>
    <x v="0"/>
    <x v="111"/>
  </r>
  <r>
    <n v="38807"/>
    <x v="110"/>
    <s v="Dossche"/>
    <s v="Caroline"/>
    <x v="5"/>
    <x v="2"/>
    <m/>
    <m/>
    <n v="1"/>
    <m/>
    <m/>
    <m/>
    <m/>
    <m/>
    <m/>
    <m/>
    <m/>
    <m/>
    <n v="1"/>
    <x v="373"/>
    <s v="EAF 02032025 5929 Gent 38807 Caroline Dossche.pdf"/>
    <n v="1"/>
    <m/>
    <x v="0"/>
    <x v="163"/>
  </r>
  <r>
    <n v="40744"/>
    <x v="191"/>
    <s v="Gözüküçük"/>
    <s v="Ugur"/>
    <x v="4"/>
    <x v="3"/>
    <m/>
    <m/>
    <m/>
    <m/>
    <m/>
    <m/>
    <m/>
    <m/>
    <m/>
    <m/>
    <m/>
    <m/>
    <n v="0"/>
    <x v="373"/>
    <s v="EAF 04122024 Ugur.pdf"/>
    <n v="1"/>
    <m/>
    <x v="0"/>
    <x v="204"/>
  </r>
  <r>
    <n v="35490"/>
    <x v="330"/>
    <s v="Nguetto"/>
    <s v="Brisco Romeo"/>
    <x v="8"/>
    <x v="4"/>
    <m/>
    <n v="1"/>
    <m/>
    <m/>
    <m/>
    <m/>
    <m/>
    <m/>
    <m/>
    <m/>
    <m/>
    <m/>
    <n v="1"/>
    <x v="373"/>
    <s v="EAF 18022025 5912 Gent Brisco Romeo Nguetto 35490.pdf"/>
    <n v="1"/>
    <m/>
    <x v="0"/>
    <x v="67"/>
  </r>
  <r>
    <n v="39677"/>
    <x v="331"/>
    <s v="Tacq"/>
    <s v="Joey"/>
    <x v="1"/>
    <x v="5"/>
    <m/>
    <m/>
    <m/>
    <n v="1"/>
    <m/>
    <m/>
    <m/>
    <m/>
    <m/>
    <m/>
    <m/>
    <m/>
    <n v="1"/>
    <x v="373"/>
    <s v="EAF 2197 Gent 07042025.pdf"/>
    <n v="1"/>
    <m/>
    <x v="0"/>
    <x v="205"/>
  </r>
  <r>
    <n v="31600"/>
    <x v="102"/>
    <s v="Mertens"/>
    <s v="Tom"/>
    <x v="2"/>
    <x v="6"/>
    <m/>
    <m/>
    <n v="1"/>
    <m/>
    <m/>
    <m/>
    <m/>
    <m/>
    <m/>
    <m/>
    <m/>
    <m/>
    <n v="1"/>
    <x v="373"/>
    <s v="EAF 2197 Gent 25032025 31600 Tom Mertens.pdf"/>
    <n v="1"/>
    <m/>
    <x v="0"/>
    <x v="113"/>
  </r>
  <r>
    <n v="37509"/>
    <x v="203"/>
    <s v="Abdulkader"/>
    <s v="Sabah"/>
    <x v="4"/>
    <x v="4"/>
    <m/>
    <n v="1"/>
    <m/>
    <m/>
    <m/>
    <m/>
    <m/>
    <m/>
    <m/>
    <m/>
    <m/>
    <m/>
    <n v="1"/>
    <x v="373"/>
    <s v="EAF 2200 Steinstraat Nazareth 18.02.2025.pdf"/>
    <n v="1"/>
    <m/>
    <x v="0"/>
    <x v="206"/>
  </r>
  <r>
    <n v="37543"/>
    <x v="25"/>
    <s v="Öztürk"/>
    <s v="Bilgehan"/>
    <x v="1"/>
    <x v="7"/>
    <m/>
    <n v="1"/>
    <m/>
    <m/>
    <m/>
    <m/>
    <m/>
    <m/>
    <m/>
    <m/>
    <m/>
    <m/>
    <n v="1"/>
    <x v="373"/>
    <s v="EAF 2208 Gent 15022025 37543 öztürk Bilehan.pdf"/>
    <n v="1"/>
    <m/>
    <x v="0"/>
    <x v="47"/>
  </r>
  <r>
    <n v="39633"/>
    <x v="71"/>
    <s v="Duyck"/>
    <s v="Kimberly"/>
    <x v="6"/>
    <x v="8"/>
    <m/>
    <m/>
    <m/>
    <m/>
    <n v="1"/>
    <m/>
    <m/>
    <m/>
    <m/>
    <m/>
    <m/>
    <m/>
    <n v="1"/>
    <x v="373"/>
    <s v="EAF 4667 Gent Koning Albertlaan 05-05-2025 39633 Duyck Kimberly.pdf"/>
    <n v="1"/>
    <m/>
    <x v="0"/>
    <x v="46"/>
  </r>
  <r>
    <n v="39831"/>
    <x v="332"/>
    <s v="Dolgiev"/>
    <s v="Mukhamed"/>
    <x v="2"/>
    <x v="9"/>
    <m/>
    <n v="1"/>
    <m/>
    <m/>
    <m/>
    <m/>
    <m/>
    <m/>
    <m/>
    <m/>
    <m/>
    <m/>
    <n v="1"/>
    <x v="373"/>
    <s v="EAF 5043 Brugsesteenweg Gent 22.02.2025 om 17u59.pdf"/>
    <n v="1"/>
    <m/>
    <x v="0"/>
    <x v="35"/>
  </r>
  <r>
    <n v="37662"/>
    <x v="186"/>
    <s v="Van den Meerssche"/>
    <s v="Steven"/>
    <x v="4"/>
    <x v="10"/>
    <m/>
    <m/>
    <m/>
    <m/>
    <n v="1"/>
    <m/>
    <m/>
    <m/>
    <m/>
    <m/>
    <m/>
    <m/>
    <n v="1"/>
    <x v="373"/>
    <s v="EAF 5044 Dampoort 06052025.pdf"/>
    <n v="1"/>
    <m/>
    <x v="0"/>
    <x v="26"/>
  </r>
  <r>
    <n v="40058"/>
    <x v="134"/>
    <s v="Sögüt"/>
    <s v="Can"/>
    <x v="5"/>
    <x v="11"/>
    <m/>
    <m/>
    <m/>
    <m/>
    <m/>
    <m/>
    <m/>
    <m/>
    <m/>
    <m/>
    <m/>
    <m/>
    <n v="0"/>
    <x v="373"/>
    <s v="EAF 5047 Gent 03012025.pdf"/>
    <n v="1"/>
    <m/>
    <x v="0"/>
    <x v="11"/>
  </r>
  <r>
    <n v="39779"/>
    <x v="47"/>
    <s v="Avci"/>
    <s v="Muhammet Abdullah"/>
    <x v="4"/>
    <x v="12"/>
    <m/>
    <m/>
    <n v="1"/>
    <m/>
    <m/>
    <m/>
    <m/>
    <m/>
    <m/>
    <m/>
    <m/>
    <m/>
    <n v="1"/>
    <x v="373"/>
    <s v="EAF 5054 Hoveniersstraat Ledeberg Gent 19.03.2025 Avci Muhammet Abdullah 39779.pdf"/>
    <n v="1"/>
    <m/>
    <x v="0"/>
    <x v="1"/>
  </r>
  <r>
    <n v="23700"/>
    <x v="149"/>
    <s v="Byosière"/>
    <s v="Christof"/>
    <x v="7"/>
    <x v="13"/>
    <m/>
    <m/>
    <m/>
    <n v="1"/>
    <m/>
    <m/>
    <m/>
    <m/>
    <m/>
    <m/>
    <m/>
    <m/>
    <n v="1"/>
    <x v="373"/>
    <s v="EAF 5235 Arsenaal 16042025 Christof Byosière.pdf"/>
    <n v="1"/>
    <m/>
    <x v="0"/>
    <x v="56"/>
  </r>
  <r>
    <n v="22052"/>
    <x v="333"/>
    <s v="Meyvaert"/>
    <s v="Peter"/>
    <x v="2"/>
    <x v="14"/>
    <n v="1"/>
    <m/>
    <m/>
    <m/>
    <m/>
    <m/>
    <m/>
    <m/>
    <m/>
    <m/>
    <m/>
    <m/>
    <n v="1"/>
    <x v="373"/>
    <s v="EAF 5263 Mariakerke 13012025.pdf"/>
    <n v="1"/>
    <m/>
    <x v="0"/>
    <x v="35"/>
  </r>
  <r>
    <n v="26960"/>
    <x v="93"/>
    <s v="Toubadie"/>
    <s v="Mossa"/>
    <x v="3"/>
    <x v="15"/>
    <m/>
    <m/>
    <m/>
    <m/>
    <n v="1"/>
    <m/>
    <m/>
    <m/>
    <m/>
    <m/>
    <m/>
    <m/>
    <n v="1"/>
    <x v="373"/>
    <s v="EAF 5935 Gent 21052025 26960 Mossa Toubadie.pdf"/>
    <n v="1"/>
    <m/>
    <x v="0"/>
    <x v="178"/>
  </r>
  <r>
    <n v="21509"/>
    <x v="65"/>
    <s v="De Craemer"/>
    <s v="Kris"/>
    <x v="7"/>
    <x v="16"/>
    <m/>
    <m/>
    <m/>
    <m/>
    <m/>
    <m/>
    <m/>
    <m/>
    <m/>
    <m/>
    <m/>
    <m/>
    <n v="0"/>
    <x v="373"/>
    <s v="EAF 6303 Ledebergplein 27012025 Kris De Craemer.pdf"/>
    <m/>
    <n v="1"/>
    <x v="1"/>
    <x v="49"/>
  </r>
  <r>
    <n v="28737"/>
    <x v="276"/>
    <s v="El-Mohamed"/>
    <s v="Mohamed"/>
    <x v="6"/>
    <x v="17"/>
    <m/>
    <n v="1"/>
    <m/>
    <m/>
    <m/>
    <m/>
    <m/>
    <m/>
    <m/>
    <m/>
    <m/>
    <m/>
    <n v="1"/>
    <x v="373"/>
    <s v="EAF 6320 Gent Zonnestraat 27022025 El-Mohamed Mohamed.pdf"/>
    <m/>
    <n v="1"/>
    <x v="1"/>
    <x v="93"/>
  </r>
  <r>
    <n v="38740"/>
    <x v="334"/>
    <s v="Meskens"/>
    <s v="Anthony"/>
    <x v="5"/>
    <x v="18"/>
    <m/>
    <m/>
    <m/>
    <n v="1"/>
    <m/>
    <m/>
    <m/>
    <m/>
    <m/>
    <m/>
    <m/>
    <m/>
    <n v="1"/>
    <x v="373"/>
    <s v="EAF 6322 Gent 30042025 38740 Anthony Meskens.pdf"/>
    <m/>
    <n v="1"/>
    <x v="1"/>
    <x v="131"/>
  </r>
  <r>
    <n v="11120"/>
    <x v="335"/>
    <s v="De Vrieze"/>
    <s v="Ludo"/>
    <x v="6"/>
    <x v="12"/>
    <m/>
    <m/>
    <m/>
    <m/>
    <m/>
    <m/>
    <m/>
    <m/>
    <m/>
    <m/>
    <m/>
    <m/>
    <n v="0"/>
    <x v="373"/>
    <s v="EAF 6322 Wondelgem Liefkensstraat 19032025 De Vrieze Ludo.pdf"/>
    <m/>
    <n v="1"/>
    <x v="1"/>
    <x v="207"/>
  </r>
  <r>
    <n v="35495"/>
    <x v="336"/>
    <s v="Razzaz"/>
    <s v="Mahmoud"/>
    <x v="1"/>
    <x v="19"/>
    <m/>
    <m/>
    <n v="1"/>
    <m/>
    <m/>
    <m/>
    <m/>
    <m/>
    <m/>
    <m/>
    <m/>
    <m/>
    <n v="1"/>
    <x v="373"/>
    <s v="EAF 6326 gent 15032025 35495 Mahmoud.pdf"/>
    <m/>
    <n v="1"/>
    <x v="1"/>
    <x v="149"/>
  </r>
  <r>
    <n v="19249"/>
    <x v="152"/>
    <s v="Odaci"/>
    <s v="Kadir"/>
    <x v="6"/>
    <x v="20"/>
    <n v="1"/>
    <m/>
    <m/>
    <m/>
    <m/>
    <m/>
    <m/>
    <m/>
    <m/>
    <m/>
    <m/>
    <m/>
    <n v="1"/>
    <x v="373"/>
    <s v="EAF 6337 Gent 17012025.pdf"/>
    <m/>
    <n v="1"/>
    <x v="1"/>
    <x v="74"/>
  </r>
  <r>
    <n v="35588"/>
    <x v="201"/>
    <s v="Smesman"/>
    <s v="Glenn"/>
    <x v="6"/>
    <x v="21"/>
    <n v="1"/>
    <m/>
    <m/>
    <m/>
    <m/>
    <m/>
    <m/>
    <m/>
    <m/>
    <m/>
    <m/>
    <m/>
    <n v="1"/>
    <x v="373"/>
    <s v="EAF 6356 Gentbrugge 18012025.pdf"/>
    <m/>
    <n v="1"/>
    <x v="1"/>
    <x v="1"/>
  </r>
  <r>
    <n v="32002"/>
    <x v="337"/>
    <s v="Hasni"/>
    <s v="Helmi"/>
    <x v="8"/>
    <x v="22"/>
    <m/>
    <m/>
    <m/>
    <n v="1"/>
    <m/>
    <m/>
    <m/>
    <m/>
    <m/>
    <m/>
    <m/>
    <m/>
    <n v="1"/>
    <x v="373"/>
    <s v="EAF 6372 Gent 26042025 32002 Helmi Hasni.pdf"/>
    <m/>
    <n v="1"/>
    <x v="1"/>
    <x v="56"/>
  </r>
  <r>
    <n v="30119"/>
    <x v="231"/>
    <s v="Haerens"/>
    <s v="Tom"/>
    <x v="7"/>
    <x v="23"/>
    <m/>
    <m/>
    <m/>
    <m/>
    <m/>
    <n v="1"/>
    <m/>
    <m/>
    <m/>
    <m/>
    <m/>
    <m/>
    <n v="1"/>
    <x v="373"/>
    <s v="EAF 6323 Gent 05062025 30119 Tom Haerens.pdf"/>
    <m/>
    <n v="1"/>
    <x v="1"/>
    <x v="12"/>
  </r>
  <r>
    <n v="41032"/>
    <x v="284"/>
    <s v="Rocabado Hinojosa"/>
    <s v="Lukas"/>
    <x v="3"/>
    <x v="0"/>
    <n v="1"/>
    <m/>
    <m/>
    <m/>
    <m/>
    <m/>
    <m/>
    <m/>
    <m/>
    <m/>
    <m/>
    <m/>
    <n v="1"/>
    <x v="374"/>
    <s v="achterkant.jpg"/>
    <n v="1"/>
    <m/>
    <x v="0"/>
    <x v="12"/>
  </r>
  <r>
    <n v="37208"/>
    <x v="338"/>
    <s v="Catar"/>
    <s v="Gökhan"/>
    <x v="1"/>
    <x v="0"/>
    <m/>
    <m/>
    <m/>
    <m/>
    <m/>
    <n v="1"/>
    <m/>
    <m/>
    <m/>
    <m/>
    <m/>
    <m/>
    <n v="1"/>
    <x v="375"/>
    <s v="EAF 6329 Gent 07062025 37208 Catar Gohhan.pdf"/>
    <m/>
    <n v="1"/>
    <x v="1"/>
    <x v="2"/>
  </r>
  <r>
    <n v="40645"/>
    <x v="339"/>
    <s v="Bytebier"/>
    <s v="Jason"/>
    <x v="2"/>
    <x v="0"/>
    <m/>
    <m/>
    <m/>
    <m/>
    <m/>
    <n v="1"/>
    <m/>
    <m/>
    <m/>
    <m/>
    <m/>
    <m/>
    <n v="1"/>
    <x v="376"/>
    <s v="EAF 5909 Gent 10062025 40645 Jason Bytebier.pdf"/>
    <n v="1"/>
    <m/>
    <x v="0"/>
    <x v="32"/>
  </r>
  <r>
    <n v="41064"/>
    <x v="296"/>
    <s v="Ardic"/>
    <s v="Atilla"/>
    <x v="7"/>
    <x v="0"/>
    <m/>
    <m/>
    <m/>
    <m/>
    <m/>
    <n v="1"/>
    <m/>
    <m/>
    <m/>
    <m/>
    <m/>
    <m/>
    <n v="1"/>
    <x v="370"/>
    <s v="EAF 5048 Gent 03062025 41064 Ardic Attila.pdf"/>
    <n v="1"/>
    <m/>
    <x v="0"/>
    <x v="56"/>
  </r>
  <r>
    <n v="7746"/>
    <x v="340"/>
    <s v="Aelterman"/>
    <s v="Didier"/>
    <x v="5"/>
    <x v="0"/>
    <m/>
    <m/>
    <m/>
    <m/>
    <m/>
    <n v="1"/>
    <m/>
    <m/>
    <m/>
    <m/>
    <m/>
    <m/>
    <n v="1"/>
    <x v="377"/>
    <s v="EAF 5488 Gent 12062025 7746 Didier Aelterman.pdf"/>
    <n v="1"/>
    <m/>
    <x v="0"/>
    <x v="208"/>
  </r>
  <r>
    <n v="31150"/>
    <x v="341"/>
    <s v="Oueslati"/>
    <s v="Mohamed Ali"/>
    <x v="1"/>
    <x v="0"/>
    <m/>
    <m/>
    <m/>
    <m/>
    <m/>
    <n v="1"/>
    <m/>
    <m/>
    <m/>
    <m/>
    <m/>
    <m/>
    <n v="1"/>
    <x v="377"/>
    <s v="EAF 5039 12062025 31150 Ouslati Mohamed.pdf"/>
    <n v="1"/>
    <m/>
    <x v="0"/>
    <x v="8"/>
  </r>
  <r>
    <n v="39651"/>
    <x v="200"/>
    <s v="Kallenbach"/>
    <s v="Sunny"/>
    <x v="1"/>
    <x v="24"/>
    <m/>
    <m/>
    <m/>
    <m/>
    <n v="1"/>
    <m/>
    <m/>
    <m/>
    <m/>
    <m/>
    <m/>
    <m/>
    <n v="1"/>
    <x v="364"/>
    <s v="EAF 39651 23052025 39651.pdf"/>
    <n v="1"/>
    <m/>
    <x v="0"/>
    <x v="2"/>
  </r>
  <r>
    <n v="26695"/>
    <x v="342"/>
    <s v="Lippens"/>
    <s v="Miguel"/>
    <x v="5"/>
    <x v="25"/>
    <m/>
    <m/>
    <m/>
    <m/>
    <m/>
    <n v="1"/>
    <m/>
    <m/>
    <m/>
    <m/>
    <m/>
    <m/>
    <n v="1"/>
    <x v="378"/>
    <s v="EAF Gent 13062025 26695 Miquel Lippens.pdf"/>
    <n v="1"/>
    <m/>
    <x v="0"/>
    <x v="208"/>
  </r>
  <r>
    <n v="36512"/>
    <x v="185"/>
    <s v="Van Herreweghe"/>
    <s v="Branco"/>
    <x v="8"/>
    <x v="0"/>
    <m/>
    <m/>
    <m/>
    <m/>
    <m/>
    <n v="1"/>
    <m/>
    <m/>
    <m/>
    <m/>
    <m/>
    <m/>
    <n v="1"/>
    <x v="379"/>
    <s v="EAF 11062025 5934 Gent Branco Van Herreweghe 36512.pdf"/>
    <n v="1"/>
    <m/>
    <x v="0"/>
    <x v="190"/>
  </r>
  <r>
    <n v="36512"/>
    <x v="185"/>
    <s v="Van Herreweghe"/>
    <s v="Branco"/>
    <x v="8"/>
    <x v="0"/>
    <m/>
    <m/>
    <m/>
    <n v="1"/>
    <m/>
    <m/>
    <m/>
    <m/>
    <m/>
    <m/>
    <m/>
    <m/>
    <n v="1"/>
    <x v="342"/>
    <s v="EAF 23042025 6313 Gent Branco Van Herreweghe 36512.pdf"/>
    <m/>
    <n v="1"/>
    <x v="1"/>
    <x v="12"/>
  </r>
  <r>
    <n v="38481"/>
    <x v="104"/>
    <s v="Sari"/>
    <s v="Devrim"/>
    <x v="1"/>
    <x v="0"/>
    <m/>
    <m/>
    <m/>
    <m/>
    <m/>
    <n v="1"/>
    <m/>
    <m/>
    <m/>
    <m/>
    <m/>
    <m/>
    <n v="1"/>
    <x v="380"/>
    <s v="EAF Gent 04062025 38481 Sari Devrim.pdf"/>
    <n v="1"/>
    <m/>
    <x v="0"/>
    <x v="209"/>
  </r>
  <r>
    <n v="29746"/>
    <x v="321"/>
    <s v="Huyse"/>
    <s v="Annicke"/>
    <x v="4"/>
    <x v="26"/>
    <m/>
    <m/>
    <m/>
    <m/>
    <m/>
    <n v="1"/>
    <m/>
    <m/>
    <m/>
    <m/>
    <m/>
    <m/>
    <n v="1"/>
    <x v="373"/>
    <s v="EAF 6368 Hoveniersstraat Ledeberg 20.06.2025 Annicke Huyse 29746.pdf"/>
    <m/>
    <n v="1"/>
    <x v="1"/>
    <x v="110"/>
  </r>
  <r>
    <n v="38808"/>
    <x v="37"/>
    <s v="Wasen"/>
    <s v="Jens"/>
    <x v="2"/>
    <x v="0"/>
    <m/>
    <m/>
    <m/>
    <m/>
    <m/>
    <n v="1"/>
    <m/>
    <m/>
    <m/>
    <m/>
    <m/>
    <m/>
    <n v="1"/>
    <x v="381"/>
    <s v="EAF 5926 Gent 22062025 38808 Jens Wasen.pdf"/>
    <n v="1"/>
    <m/>
    <x v="0"/>
    <x v="32"/>
  </r>
  <r>
    <n v="41721"/>
    <x v="343"/>
    <s v="Nolf"/>
    <s v="Philippe"/>
    <x v="1"/>
    <x v="0"/>
    <m/>
    <m/>
    <m/>
    <m/>
    <m/>
    <n v="1"/>
    <m/>
    <m/>
    <m/>
    <m/>
    <m/>
    <m/>
    <n v="1"/>
    <x v="382"/>
    <s v="EAF 5938 Gent 20062025 Nolf Phillipe 41721.pdf"/>
    <n v="1"/>
    <m/>
    <x v="0"/>
    <x v="167"/>
  </r>
  <r>
    <n v="36426"/>
    <x v="263"/>
    <s v="Mohamed Yassin"/>
    <s v="Abdulhamid"/>
    <x v="4"/>
    <x v="0"/>
    <m/>
    <m/>
    <m/>
    <m/>
    <m/>
    <n v="1"/>
    <m/>
    <m/>
    <m/>
    <m/>
    <m/>
    <m/>
    <n v="1"/>
    <x v="382"/>
    <s v="EAF 6364 halte Bernard Spaelaan Gent 20.06.2025 Abdulhamid Mohamed Yassin 36426.pdf"/>
    <m/>
    <n v="1"/>
    <x v="1"/>
    <x v="65"/>
  </r>
  <r>
    <n v="41690"/>
    <x v="344"/>
    <s v="Van de Winckel"/>
    <s v="Kelly"/>
    <x v="2"/>
    <x v="0"/>
    <m/>
    <m/>
    <m/>
    <m/>
    <m/>
    <n v="1"/>
    <m/>
    <m/>
    <m/>
    <m/>
    <m/>
    <m/>
    <n v="1"/>
    <x v="383"/>
    <s v="EAF 5771 21062025 Gent 41690 Kelly Van De Winckel.pdf"/>
    <n v="1"/>
    <m/>
    <x v="0"/>
    <x v="14"/>
  </r>
  <r>
    <n v="40478"/>
    <x v="177"/>
    <s v="Hashimi"/>
    <s v="Ali Mir"/>
    <x v="4"/>
    <x v="0"/>
    <m/>
    <m/>
    <m/>
    <m/>
    <m/>
    <n v="1"/>
    <m/>
    <m/>
    <m/>
    <m/>
    <m/>
    <m/>
    <n v="1"/>
    <x v="384"/>
    <s v="EAF 5911 Gent23062025 40478 Ali Mir Hashimi.pdf"/>
    <n v="1"/>
    <m/>
    <x v="0"/>
    <x v="75"/>
  </r>
  <r>
    <n v="26847"/>
    <x v="256"/>
    <s v="De Meester"/>
    <s v="David"/>
    <x v="4"/>
    <x v="0"/>
    <m/>
    <m/>
    <m/>
    <m/>
    <m/>
    <n v="1"/>
    <m/>
    <m/>
    <m/>
    <m/>
    <m/>
    <m/>
    <n v="1"/>
    <x v="382"/>
    <s v="EAF6341 20062025 Gent 26847 DAvid De Meester.pdf"/>
    <m/>
    <n v="1"/>
    <x v="1"/>
    <x v="2"/>
  </r>
  <r>
    <n v="40362"/>
    <x v="345"/>
    <s v="Kuru"/>
    <s v="Cetin"/>
    <x v="1"/>
    <x v="0"/>
    <m/>
    <m/>
    <m/>
    <m/>
    <m/>
    <n v="1"/>
    <m/>
    <m/>
    <m/>
    <m/>
    <m/>
    <m/>
    <n v="1"/>
    <x v="385"/>
    <s v="EAF 5235 Gent 25062025 40362 Cetin Keru.pdf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83"/>
    <s v="EAF 5910 Gent 21062025 36624 Kurt De Meulenaere.pdf"/>
    <n v="1"/>
    <m/>
    <x v="0"/>
    <x v="91"/>
  </r>
  <r>
    <n v="36627"/>
    <x v="19"/>
    <s v="Dobbelaere"/>
    <s v="David"/>
    <x v="2"/>
    <x v="0"/>
    <m/>
    <m/>
    <m/>
    <m/>
    <m/>
    <n v="1"/>
    <m/>
    <m/>
    <m/>
    <m/>
    <m/>
    <m/>
    <n v="1"/>
    <x v="386"/>
    <s v="EAF 6374 gent 06062025 36627 david dobbelaere.pdf"/>
    <m/>
    <n v="1"/>
    <x v="1"/>
    <x v="1"/>
  </r>
  <r>
    <n v="38634"/>
    <x v="10"/>
    <s v="Asskale"/>
    <s v="Zouhir"/>
    <x v="4"/>
    <x v="0"/>
    <m/>
    <m/>
    <m/>
    <m/>
    <m/>
    <n v="1"/>
    <m/>
    <m/>
    <m/>
    <m/>
    <m/>
    <m/>
    <n v="1"/>
    <x v="387"/>
    <s v="EAF 6339 Gent 24062025 38634.pdf"/>
    <m/>
    <n v="1"/>
    <x v="1"/>
    <x v="17"/>
  </r>
  <r>
    <n v="29646"/>
    <x v="346"/>
    <s v="Özer"/>
    <s v="Mesut"/>
    <x v="7"/>
    <x v="27"/>
    <m/>
    <m/>
    <m/>
    <m/>
    <m/>
    <n v="1"/>
    <m/>
    <m/>
    <m/>
    <m/>
    <m/>
    <m/>
    <n v="1"/>
    <x v="373"/>
    <s v="EAF 28062025 Ozer Mesut.pdf"/>
    <n v="1"/>
    <m/>
    <x v="0"/>
    <x v="210"/>
  </r>
  <r>
    <n v="15412"/>
    <x v="326"/>
    <s v="Dhondt"/>
    <s v="Frank"/>
    <x v="4"/>
    <x v="0"/>
    <m/>
    <m/>
    <m/>
    <m/>
    <m/>
    <m/>
    <m/>
    <m/>
    <m/>
    <m/>
    <m/>
    <m/>
    <n v="0"/>
    <x v="385"/>
    <s v="EAF 5261 Gent 25062025 15412 Frank Dhond.pdf"/>
    <n v="1"/>
    <m/>
    <x v="0"/>
    <x v="211"/>
  </r>
  <r>
    <n v="38648"/>
    <x v="72"/>
    <s v="Uckuyulu"/>
    <s v="Muhammet Emin"/>
    <x v="6"/>
    <x v="0"/>
    <m/>
    <m/>
    <m/>
    <m/>
    <m/>
    <m/>
    <n v="1"/>
    <m/>
    <m/>
    <m/>
    <m/>
    <m/>
    <n v="1"/>
    <x v="388"/>
    <s v="EAF 6368 Gent 02072025 38648 Emin Uckuyulu.pdf"/>
    <m/>
    <n v="1"/>
    <x v="1"/>
    <x v="56"/>
  </r>
  <r>
    <n v="21509"/>
    <x v="65"/>
    <s v="De Craemer"/>
    <s v="Kris"/>
    <x v="7"/>
    <x v="0"/>
    <m/>
    <m/>
    <m/>
    <m/>
    <m/>
    <m/>
    <n v="1"/>
    <m/>
    <m/>
    <m/>
    <m/>
    <m/>
    <n v="1"/>
    <x v="389"/>
    <s v="EAF 6319 01072025 Gent 21509 Kris De Craemer.pdf"/>
    <m/>
    <n v="1"/>
    <x v="1"/>
    <x v="71"/>
  </r>
  <r>
    <n v="4419"/>
    <x v="260"/>
    <s v="Maelbrancke"/>
    <s v="Eddy"/>
    <x v="6"/>
    <x v="0"/>
    <m/>
    <m/>
    <m/>
    <m/>
    <m/>
    <m/>
    <n v="1"/>
    <m/>
    <m/>
    <m/>
    <m/>
    <m/>
    <n v="1"/>
    <x v="389"/>
    <s v="EAF 2195 Gent 01072025 4419 Eddy Maelbraecke.pdf"/>
    <n v="1"/>
    <m/>
    <x v="0"/>
    <x v="212"/>
  </r>
  <r>
    <n v="37542"/>
    <x v="158"/>
    <s v="De Tandt"/>
    <s v="Hans"/>
    <x v="4"/>
    <x v="0"/>
    <m/>
    <m/>
    <m/>
    <m/>
    <m/>
    <m/>
    <n v="1"/>
    <m/>
    <m/>
    <m/>
    <m/>
    <m/>
    <n v="1"/>
    <x v="388"/>
    <s v="EAF 6362 Hundelgemsesteenweg-Bisschopstraat Ledeberg 02.07.2025 Hans De Tandt 37542.pdf"/>
    <m/>
    <n v="1"/>
    <x v="1"/>
    <x v="82"/>
  </r>
  <r>
    <n v="4419"/>
    <x v="260"/>
    <s v="Maelbrancke"/>
    <s v="Eddy"/>
    <x v="6"/>
    <x v="28"/>
    <m/>
    <m/>
    <m/>
    <m/>
    <m/>
    <m/>
    <n v="1"/>
    <m/>
    <m/>
    <m/>
    <m/>
    <m/>
    <n v="1"/>
    <x v="373"/>
    <s v="EAF 2193 EKE 03072025.pdf"/>
    <n v="1"/>
    <m/>
    <x v="0"/>
    <x v="213"/>
  </r>
  <r>
    <n v="22416"/>
    <x v="347"/>
    <s v="Bicici"/>
    <s v="Abdul Kadir"/>
    <x v="5"/>
    <x v="0"/>
    <m/>
    <m/>
    <m/>
    <m/>
    <m/>
    <m/>
    <n v="1"/>
    <m/>
    <m/>
    <m/>
    <m/>
    <m/>
    <n v="1"/>
    <x v="390"/>
    <s v="EAF 6355 Gent 05072025 22416 Abdul Kadir Bicici.pdf"/>
    <m/>
    <n v="1"/>
    <x v="1"/>
    <x v="214"/>
  </r>
  <r>
    <n v="39660"/>
    <x v="78"/>
    <s v="Lloyd"/>
    <s v="Glenn"/>
    <x v="4"/>
    <x v="29"/>
    <m/>
    <m/>
    <m/>
    <m/>
    <m/>
    <m/>
    <n v="1"/>
    <m/>
    <m/>
    <m/>
    <m/>
    <m/>
    <n v="1"/>
    <x v="373"/>
    <s v="EAF 2190 04072025 Gent 39660 Glenn Loyd.pdf"/>
    <n v="1"/>
    <m/>
    <x v="0"/>
    <x v="212"/>
  </r>
  <r>
    <n v="28737"/>
    <x v="276"/>
    <s v="El-Mohamed"/>
    <s v="Mohamed"/>
    <x v="6"/>
    <x v="0"/>
    <m/>
    <m/>
    <m/>
    <m/>
    <m/>
    <m/>
    <n v="1"/>
    <m/>
    <m/>
    <m/>
    <m/>
    <m/>
    <n v="1"/>
    <x v="391"/>
    <s v="EAF 5046 04072025 Gent 28737 Mohamed El Mohamed.pdf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382"/>
    <s v="EAF 6321 Zwijnaardsesteenweg Gent 20062025.pdf"/>
    <m/>
    <n v="1"/>
    <x v="1"/>
    <x v="12"/>
  </r>
  <r>
    <n v="15088"/>
    <x v="132"/>
    <s v="Laute"/>
    <s v="Dirk"/>
    <x v="3"/>
    <x v="0"/>
    <m/>
    <m/>
    <m/>
    <m/>
    <m/>
    <n v="1"/>
    <m/>
    <m/>
    <m/>
    <m/>
    <m/>
    <m/>
    <n v="1"/>
    <x v="392"/>
    <s v="EAF 5046 Morekstraat Wondelgem 29062025.pdf"/>
    <n v="1"/>
    <m/>
    <x v="0"/>
    <x v="24"/>
  </r>
  <r>
    <n v="40745"/>
    <x v="348"/>
    <s v="Ivanov"/>
    <s v="Ivan"/>
    <x v="4"/>
    <x v="0"/>
    <m/>
    <m/>
    <m/>
    <m/>
    <m/>
    <m/>
    <n v="1"/>
    <m/>
    <m/>
    <m/>
    <m/>
    <m/>
    <n v="1"/>
    <x v="393"/>
    <s v="EAF 5259 03072025 GENT 40745 Ivan Ivanov.pdf"/>
    <n v="1"/>
    <m/>
    <x v="0"/>
    <x v="119"/>
  </r>
  <r>
    <n v="19917"/>
    <x v="12"/>
    <s v="Vandevyvere"/>
    <s v="Frank"/>
    <x v="4"/>
    <x v="0"/>
    <m/>
    <m/>
    <m/>
    <m/>
    <m/>
    <n v="1"/>
    <m/>
    <m/>
    <m/>
    <m/>
    <m/>
    <m/>
    <n v="1"/>
    <x v="384"/>
    <s v="EAF 5260 23062025 Gent 19917 Frank Vandevyvere.pdf"/>
    <n v="1"/>
    <m/>
    <x v="0"/>
    <x v="24"/>
  </r>
  <r>
    <n v="40939"/>
    <x v="295"/>
    <s v="Cisse"/>
    <s v="Sayon"/>
    <x v="1"/>
    <x v="0"/>
    <m/>
    <m/>
    <m/>
    <m/>
    <m/>
    <m/>
    <n v="1"/>
    <m/>
    <m/>
    <m/>
    <m/>
    <m/>
    <n v="1"/>
    <x v="390"/>
    <s v="EAF 5046 05072025 Gent 40939 Cisse Sayon.pdf"/>
    <n v="1"/>
    <m/>
    <x v="0"/>
    <x v="59"/>
  </r>
  <r>
    <n v="39850"/>
    <x v="349"/>
    <s v="Helleputte"/>
    <s v="William"/>
    <x v="7"/>
    <x v="0"/>
    <m/>
    <m/>
    <m/>
    <m/>
    <m/>
    <n v="1"/>
    <m/>
    <m/>
    <m/>
    <m/>
    <m/>
    <m/>
    <n v="1"/>
    <x v="392"/>
    <s v="EAF 5042 29062025 Gent 39850 William Helleput.pdf"/>
    <n v="1"/>
    <m/>
    <x v="0"/>
    <x v="11"/>
  </r>
  <r>
    <n v="32528"/>
    <x v="83"/>
    <s v="Benjilali"/>
    <s v="Abdelhak"/>
    <x v="8"/>
    <x v="0"/>
    <m/>
    <m/>
    <m/>
    <m/>
    <m/>
    <m/>
    <n v="1"/>
    <m/>
    <m/>
    <m/>
    <m/>
    <m/>
    <n v="1"/>
    <x v="389"/>
    <s v="EAF 01072025 5264 Gent 32528 Abdelhak Benjalili.pdf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394"/>
    <s v="EAF 6313 08072025 Gent 18987 De Geyter Dolly.pdf"/>
    <m/>
    <n v="1"/>
    <x v="1"/>
    <x v="39"/>
  </r>
  <r>
    <n v="31776"/>
    <x v="350"/>
    <s v="Famelaer"/>
    <s v="Steve"/>
    <x v="7"/>
    <x v="0"/>
    <m/>
    <m/>
    <m/>
    <m/>
    <m/>
    <m/>
    <n v="1"/>
    <m/>
    <m/>
    <m/>
    <m/>
    <m/>
    <n v="1"/>
    <x v="395"/>
    <s v="EAF 2198 Gent 07062025 31776 Steve Famelaer.pdf"/>
    <n v="1"/>
    <m/>
    <x v="0"/>
    <x v="8"/>
  </r>
  <r>
    <n v="41859"/>
    <x v="351"/>
    <s v="Palit"/>
    <s v="Ramazan"/>
    <x v="10"/>
    <x v="0"/>
    <m/>
    <m/>
    <m/>
    <m/>
    <m/>
    <m/>
    <n v="1"/>
    <m/>
    <m/>
    <m/>
    <m/>
    <m/>
    <n v="1"/>
    <x v="395"/>
    <s v="EAF 5921 07072025 Gent 41859 Palit Ramazan.pdf"/>
    <n v="1"/>
    <m/>
    <x v="0"/>
    <x v="32"/>
  </r>
  <r>
    <n v="37439"/>
    <x v="101"/>
    <s v="Demirkazik"/>
    <s v="Mustafa"/>
    <x v="1"/>
    <x v="0"/>
    <m/>
    <m/>
    <m/>
    <m/>
    <m/>
    <m/>
    <n v="1"/>
    <m/>
    <m/>
    <m/>
    <m/>
    <m/>
    <n v="1"/>
    <x v="395"/>
    <s v="EAF 5486 09072025 Gent 37439 Mustafa Demirkazik.pdf"/>
    <n v="1"/>
    <m/>
    <x v="0"/>
    <x v="47"/>
  </r>
  <r>
    <n v="31668"/>
    <x v="20"/>
    <s v="Weemhof"/>
    <s v="Maurice"/>
    <x v="7"/>
    <x v="0"/>
    <m/>
    <m/>
    <m/>
    <m/>
    <m/>
    <m/>
    <n v="1"/>
    <m/>
    <m/>
    <m/>
    <m/>
    <m/>
    <n v="1"/>
    <x v="396"/>
    <s v="EAF 2196 10072025 Gent.pdf"/>
    <n v="1"/>
    <m/>
    <x v="0"/>
    <x v="32"/>
  </r>
  <r>
    <n v="32002"/>
    <x v="337"/>
    <s v="Hasni"/>
    <s v="Helmi"/>
    <x v="8"/>
    <x v="0"/>
    <m/>
    <m/>
    <m/>
    <m/>
    <m/>
    <m/>
    <n v="1"/>
    <m/>
    <m/>
    <m/>
    <m/>
    <m/>
    <n v="1"/>
    <x v="396"/>
    <s v="EAF 6355 10072025 Gent 32002 Helmi Hasni.pdf"/>
    <m/>
    <n v="1"/>
    <x v="1"/>
    <x v="215"/>
  </r>
  <r>
    <n v="38633"/>
    <x v="194"/>
    <s v="Stomphorst"/>
    <s v="Mattanja"/>
    <x v="2"/>
    <x v="0"/>
    <m/>
    <m/>
    <m/>
    <m/>
    <m/>
    <n v="1"/>
    <m/>
    <m/>
    <m/>
    <m/>
    <m/>
    <m/>
    <n v="1"/>
    <x v="384"/>
    <s v="EAF 23062025 2269 Gent 38633.pptx"/>
    <n v="1"/>
    <m/>
    <x v="0"/>
    <x v="9"/>
  </r>
  <r>
    <n v="12684"/>
    <x v="242"/>
    <s v="Van Den Bossche"/>
    <s v="Martine"/>
    <x v="3"/>
    <x v="0"/>
    <m/>
    <m/>
    <m/>
    <m/>
    <m/>
    <m/>
    <n v="1"/>
    <m/>
    <m/>
    <m/>
    <m/>
    <m/>
    <n v="1"/>
    <x v="396"/>
    <s v="EAF 5046 10072025 Gent 12684 Martine Vandenbossche.pdf"/>
    <n v="1"/>
    <m/>
    <x v="0"/>
    <x v="23"/>
  </r>
  <r>
    <n v="22877"/>
    <x v="352"/>
    <s v="Goossens"/>
    <s v="Gunther"/>
    <x v="2"/>
    <x v="0"/>
    <m/>
    <m/>
    <m/>
    <m/>
    <m/>
    <m/>
    <n v="1"/>
    <m/>
    <m/>
    <m/>
    <m/>
    <m/>
    <n v="1"/>
    <x v="397"/>
    <s v="EAF 2189 09072025 Gent 22877Gunther Goossens.pdf"/>
    <n v="1"/>
    <m/>
    <x v="0"/>
    <x v="19"/>
  </r>
  <r>
    <n v="4720"/>
    <x v="353"/>
    <s v="De Roo"/>
    <s v="Jo"/>
    <x v="3"/>
    <x v="0"/>
    <m/>
    <m/>
    <m/>
    <m/>
    <m/>
    <m/>
    <n v="1"/>
    <m/>
    <m/>
    <m/>
    <m/>
    <m/>
    <n v="1"/>
    <x v="397"/>
    <s v="EAF 5772 09072025 Gent 4720 De Roo Jo.pdf"/>
    <n v="1"/>
    <m/>
    <x v="0"/>
    <x v="216"/>
  </r>
  <r>
    <n v="40362"/>
    <x v="345"/>
    <s v="Kuru"/>
    <s v="Cetin"/>
    <x v="1"/>
    <x v="0"/>
    <m/>
    <m/>
    <m/>
    <m/>
    <m/>
    <m/>
    <n v="1"/>
    <m/>
    <m/>
    <m/>
    <m/>
    <m/>
    <n v="1"/>
    <x v="396"/>
    <s v="EAF 5915 10072025 Gent 40362 Kuru Centin.pdf"/>
    <n v="1"/>
    <m/>
    <x v="0"/>
    <x v="75"/>
  </r>
  <r>
    <n v="36428"/>
    <x v="184"/>
    <s v="Abdi Shaiye"/>
    <s v="Rashid"/>
    <x v="6"/>
    <x v="0"/>
    <m/>
    <m/>
    <m/>
    <m/>
    <m/>
    <m/>
    <n v="1"/>
    <m/>
    <m/>
    <m/>
    <m/>
    <m/>
    <n v="1"/>
    <x v="398"/>
    <s v="EAF 5763 13072025 Gent 36428 Rashid Abdi Shaiye.pdf"/>
    <n v="1"/>
    <m/>
    <x v="0"/>
    <x v="217"/>
  </r>
  <r>
    <n v="40856"/>
    <x v="273"/>
    <s v="Neissi"/>
    <s v="Sadegh"/>
    <x v="1"/>
    <x v="0"/>
    <m/>
    <m/>
    <m/>
    <m/>
    <m/>
    <m/>
    <n v="1"/>
    <m/>
    <m/>
    <m/>
    <m/>
    <m/>
    <n v="1"/>
    <x v="399"/>
    <s v="EAF 5043 12072025 Gent 40856 Neissi Sadegh.pdf"/>
    <n v="1"/>
    <m/>
    <x v="0"/>
    <x v="8"/>
  </r>
  <r>
    <n v="36577"/>
    <x v="354"/>
    <s v="De Smet"/>
    <s v="Martine"/>
    <x v="2"/>
    <x v="0"/>
    <m/>
    <m/>
    <m/>
    <m/>
    <m/>
    <m/>
    <n v="1"/>
    <m/>
    <m/>
    <m/>
    <m/>
    <m/>
    <n v="1"/>
    <x v="400"/>
    <s v="EAF 6353 14072025 Gent 36577 Martine Desmet.pdf"/>
    <n v="1"/>
    <m/>
    <x v="0"/>
    <x v="71"/>
  </r>
  <r>
    <n v="12684"/>
    <x v="242"/>
    <s v="Van Den Bossche"/>
    <s v="Martine"/>
    <x v="3"/>
    <x v="0"/>
    <m/>
    <m/>
    <m/>
    <m/>
    <m/>
    <m/>
    <n v="1"/>
    <m/>
    <m/>
    <m/>
    <m/>
    <m/>
    <n v="1"/>
    <x v="401"/>
    <s v="EAF 5044 Hagelandkaai Gent 15072025.pdf"/>
    <n v="1"/>
    <m/>
    <x v="0"/>
    <x v="89"/>
  </r>
  <r>
    <n v="39529"/>
    <x v="169"/>
    <s v="Desmet"/>
    <s v="Patricia"/>
    <x v="5"/>
    <x v="30"/>
    <m/>
    <m/>
    <m/>
    <m/>
    <m/>
    <m/>
    <n v="1"/>
    <m/>
    <m/>
    <m/>
    <m/>
    <m/>
    <n v="1"/>
    <x v="373"/>
    <s v="EAF 6375 Vlaanderenstraat Gent 15.07.2025 Patricia Desmet 39529.pdf"/>
    <m/>
    <n v="1"/>
    <x v="1"/>
    <x v="147"/>
  </r>
  <r>
    <n v="19917"/>
    <x v="12"/>
    <s v="Vandevyvere"/>
    <s v="Frank"/>
    <x v="4"/>
    <x v="0"/>
    <m/>
    <m/>
    <m/>
    <m/>
    <m/>
    <m/>
    <n v="1"/>
    <m/>
    <m/>
    <m/>
    <m/>
    <m/>
    <n v="1"/>
    <x v="401"/>
    <s v="EAF 5231 Dampoort Dendermondsesteenweg Gent 15-07-2025 Frank Vandevyvere 19917.pdf"/>
    <n v="1"/>
    <m/>
    <x v="0"/>
    <x v="9"/>
  </r>
  <r>
    <n v="40223"/>
    <x v="90"/>
    <s v="Teetaert"/>
    <s v="Billy"/>
    <x v="7"/>
    <x v="0"/>
    <m/>
    <m/>
    <m/>
    <m/>
    <m/>
    <n v="1"/>
    <m/>
    <m/>
    <m/>
    <m/>
    <m/>
    <m/>
    <n v="1"/>
    <x v="392"/>
    <s v="EAF 5047 Gent 29062025 40223 Teetaert Billy.pdf"/>
    <n v="1"/>
    <m/>
    <x v="0"/>
    <x v="218"/>
  </r>
  <r>
    <n v="30271"/>
    <x v="355"/>
    <s v="Bracke"/>
    <s v="Jeroen"/>
    <x v="2"/>
    <x v="0"/>
    <m/>
    <m/>
    <m/>
    <m/>
    <m/>
    <m/>
    <n v="1"/>
    <m/>
    <m/>
    <m/>
    <m/>
    <m/>
    <n v="1"/>
    <x v="402"/>
    <s v="EAF 2807 16072025 Gent 30271 Jeroen Bracke.pdf"/>
    <n v="1"/>
    <m/>
    <x v="0"/>
    <x v="2"/>
  </r>
  <r>
    <n v="11213"/>
    <x v="356"/>
    <s v="De Plus"/>
    <s v="Gunter"/>
    <x v="4"/>
    <x v="0"/>
    <m/>
    <m/>
    <m/>
    <m/>
    <m/>
    <m/>
    <n v="1"/>
    <m/>
    <m/>
    <m/>
    <m/>
    <m/>
    <n v="1"/>
    <x v="403"/>
    <s v="EAF 6331 Gent 24072025 11213 De Plus Gunther.pdf"/>
    <m/>
    <n v="1"/>
    <x v="1"/>
    <x v="219"/>
  </r>
  <r>
    <n v="39581"/>
    <x v="2"/>
    <s v="Vandenhaute"/>
    <s v="Linus"/>
    <x v="2"/>
    <x v="0"/>
    <m/>
    <m/>
    <m/>
    <m/>
    <m/>
    <m/>
    <n v="1"/>
    <m/>
    <m/>
    <m/>
    <m/>
    <m/>
    <n v="1"/>
    <x v="404"/>
    <s v="EAF 5260 23072025 39581 Linus Vandenhoutte.pdf"/>
    <n v="1"/>
    <m/>
    <x v="0"/>
    <x v="35"/>
  </r>
  <r>
    <n v="12819"/>
    <x v="357"/>
    <s v="Van Eenaeme"/>
    <s v="David"/>
    <x v="4"/>
    <x v="0"/>
    <m/>
    <m/>
    <m/>
    <m/>
    <m/>
    <m/>
    <n v="1"/>
    <m/>
    <m/>
    <m/>
    <m/>
    <m/>
    <n v="1"/>
    <x v="405"/>
    <s v="EAF 5041 Gent 25072025 12819 David Van Eename.pdf"/>
    <n v="1"/>
    <m/>
    <x v="0"/>
    <x v="15"/>
  </r>
  <r>
    <n v="37936"/>
    <x v="153"/>
    <s v="Detaeye"/>
    <s v="Alexander"/>
    <x v="8"/>
    <x v="0"/>
    <m/>
    <m/>
    <m/>
    <m/>
    <m/>
    <m/>
    <n v="1"/>
    <m/>
    <m/>
    <m/>
    <m/>
    <m/>
    <n v="1"/>
    <x v="398"/>
    <s v="EAF 5911 Gent 13072025 37936 Detaeye Alexander.pdf"/>
    <n v="1"/>
    <m/>
    <x v="0"/>
    <x v="220"/>
  </r>
  <r>
    <n v="41384"/>
    <x v="328"/>
    <s v="Hillaert"/>
    <s v="Thimo"/>
    <x v="5"/>
    <x v="31"/>
    <m/>
    <m/>
    <m/>
    <m/>
    <m/>
    <m/>
    <n v="1"/>
    <m/>
    <m/>
    <m/>
    <m/>
    <m/>
    <n v="1"/>
    <x v="373"/>
    <s v="EAF 5767 GEnt 26072025 41384 Thimo Hillaert.pdf"/>
    <n v="1"/>
    <m/>
    <x v="0"/>
    <x v="179"/>
  </r>
  <r>
    <n v="23918"/>
    <x v="217"/>
    <s v="D'Haeyere"/>
    <s v="Bernard"/>
    <x v="3"/>
    <x v="0"/>
    <m/>
    <m/>
    <m/>
    <m/>
    <m/>
    <m/>
    <n v="1"/>
    <m/>
    <m/>
    <m/>
    <m/>
    <m/>
    <n v="1"/>
    <x v="403"/>
    <s v="EAF 5933 Gent 24072025 23918 Bernard Dhaeyere.pdf"/>
    <n v="1"/>
    <m/>
    <x v="0"/>
    <x v="32"/>
  </r>
  <r>
    <n v="42002"/>
    <x v="358"/>
    <s v="Bogaert"/>
    <s v="Kevin"/>
    <x v="3"/>
    <x v="32"/>
    <m/>
    <m/>
    <m/>
    <m/>
    <m/>
    <m/>
    <n v="1"/>
    <m/>
    <m/>
    <m/>
    <m/>
    <m/>
    <n v="1"/>
    <x v="373"/>
    <s v="EAF 5924 Gent 24072025 42007 Kevin bogaert.pdf"/>
    <n v="1"/>
    <m/>
    <x v="0"/>
    <x v="32"/>
  </r>
  <r>
    <n v="26331"/>
    <x v="87"/>
    <s v="Van Semmertier"/>
    <s v="Pascal"/>
    <x v="4"/>
    <x v="0"/>
    <m/>
    <m/>
    <m/>
    <m/>
    <m/>
    <m/>
    <n v="1"/>
    <m/>
    <m/>
    <m/>
    <m/>
    <m/>
    <n v="1"/>
    <x v="406"/>
    <s v="EAF 5266 Brugsepoort Gent 19072025.pdf"/>
    <n v="1"/>
    <m/>
    <x v="0"/>
    <x v="221"/>
  </r>
  <r>
    <n v="38633"/>
    <x v="194"/>
    <s v="Stomphorst"/>
    <s v="Mattanja"/>
    <x v="2"/>
    <x v="0"/>
    <m/>
    <m/>
    <m/>
    <m/>
    <m/>
    <m/>
    <n v="1"/>
    <m/>
    <m/>
    <m/>
    <m/>
    <m/>
    <n v="1"/>
    <x v="384"/>
    <s v="EAF 2269 Dendermondsesteenweg Destelbergen 23062025.pdf"/>
    <n v="1"/>
    <m/>
    <x v="0"/>
    <x v="9"/>
  </r>
  <r>
    <n v="39673"/>
    <x v="18"/>
    <s v="Steurbaut"/>
    <s v="Henri"/>
    <x v="3"/>
    <x v="0"/>
    <m/>
    <m/>
    <m/>
    <m/>
    <m/>
    <m/>
    <n v="1"/>
    <m/>
    <m/>
    <m/>
    <m/>
    <m/>
    <n v="1"/>
    <x v="407"/>
    <s v="EAF 2192 28072025 Gent.pdf"/>
    <n v="1"/>
    <m/>
    <x v="0"/>
    <x v="222"/>
  </r>
  <r>
    <n v="20653"/>
    <x v="67"/>
    <s v="Mestdag"/>
    <s v="Marius"/>
    <x v="4"/>
    <x v="33"/>
    <m/>
    <m/>
    <m/>
    <m/>
    <m/>
    <m/>
    <n v="1"/>
    <m/>
    <m/>
    <m/>
    <m/>
    <m/>
    <n v="1"/>
    <x v="373"/>
    <s v="EAF 6325 Gent 29072025 20653 Mestdag.pdf"/>
    <m/>
    <n v="1"/>
    <x v="1"/>
    <x v="116"/>
  </r>
  <r>
    <n v="10782"/>
    <x v="359"/>
    <s v="De Kee"/>
    <s v="Ina"/>
    <x v="1"/>
    <x v="34"/>
    <m/>
    <m/>
    <m/>
    <m/>
    <m/>
    <m/>
    <m/>
    <m/>
    <m/>
    <m/>
    <m/>
    <m/>
    <n v="1"/>
    <x v="373"/>
    <s v="EAF 6337 Gent 30072025 10782 Ina De Kee.pdf"/>
    <m/>
    <n v="1"/>
    <x v="1"/>
    <x v="223"/>
  </r>
  <r>
    <n v="18051"/>
    <x v="360"/>
    <s v="Van Wittenberge"/>
    <s v="Filip"/>
    <x v="5"/>
    <x v="35"/>
    <m/>
    <m/>
    <m/>
    <m/>
    <m/>
    <m/>
    <n v="1"/>
    <m/>
    <m/>
    <m/>
    <m/>
    <m/>
    <n v="1"/>
    <x v="373"/>
    <s v="EAF 6359 Gent 25072025 18051 Filip Van wittenberge.pdf"/>
    <m/>
    <n v="1"/>
    <x v="1"/>
    <x v="93"/>
  </r>
  <r>
    <n v="41162"/>
    <x v="267"/>
    <s v="Hoeckman"/>
    <s v="Jeroen"/>
    <x v="7"/>
    <x v="0"/>
    <m/>
    <m/>
    <m/>
    <m/>
    <m/>
    <m/>
    <n v="1"/>
    <m/>
    <m/>
    <m/>
    <m/>
    <m/>
    <n v="1"/>
    <x v="404"/>
    <s v="EAF 5046 23072025 Gent 41162 Jeroen Hoeckman.pdf"/>
    <n v="1"/>
    <m/>
    <x v="0"/>
    <x v="141"/>
  </r>
  <r>
    <n v="40859"/>
    <x v="222"/>
    <s v="Yagoub"/>
    <s v="Abdelali"/>
    <x v="3"/>
    <x v="0"/>
    <m/>
    <m/>
    <m/>
    <m/>
    <m/>
    <m/>
    <m/>
    <n v="1"/>
    <m/>
    <m/>
    <m/>
    <m/>
    <n v="1"/>
    <x v="408"/>
    <s v="EAF 2190 Eksaarderijweg Oostakker 03082025 40859 Abdelali Yagoub.pdf"/>
    <n v="1"/>
    <m/>
    <x v="0"/>
    <x v="224"/>
  </r>
  <r>
    <n v="40138"/>
    <x v="239"/>
    <s v="Moerman"/>
    <s v="Tjimmy"/>
    <x v="5"/>
    <x v="0"/>
    <m/>
    <m/>
    <m/>
    <m/>
    <m/>
    <m/>
    <m/>
    <n v="1"/>
    <m/>
    <m/>
    <m/>
    <m/>
    <n v="1"/>
    <x v="409"/>
    <s v="EAF 5915 Rooigemlaan Gent 02082025 40138 Tjimmy Moerman.pdf"/>
    <n v="1"/>
    <m/>
    <x v="0"/>
    <x v="4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9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7">
        <item m="1" x="15"/>
        <item x="4"/>
        <item x="10"/>
        <item x="5"/>
        <item m="1" x="11"/>
        <item x="7"/>
        <item x="2"/>
        <item x="3"/>
        <item x="1"/>
        <item m="1" x="14"/>
        <item m="1" x="13"/>
        <item x="6"/>
        <item x="9"/>
        <item x="8"/>
        <item x="0"/>
        <item m="1" x="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37">
        <item x="3"/>
        <item x="11"/>
        <item x="14"/>
        <item x="20"/>
        <item x="21"/>
        <item x="16"/>
        <item x="7"/>
        <item x="4"/>
        <item x="9"/>
        <item x="17"/>
        <item x="2"/>
        <item x="19"/>
        <item x="1"/>
        <item x="12"/>
        <item x="6"/>
        <item x="5"/>
        <item x="13"/>
        <item x="22"/>
        <item x="18"/>
        <item x="8"/>
        <item x="10"/>
        <item x="15"/>
        <item x="24"/>
        <item x="23"/>
        <item x="25"/>
        <item x="26"/>
        <item x="27"/>
        <item x="28"/>
        <item x="29"/>
        <item x="30"/>
        <item x="32"/>
        <item x="31"/>
        <item x="0"/>
        <item x="33"/>
        <item x="34"/>
        <item x="3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1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372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374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80"/>
        <item x="371"/>
        <item x="386"/>
        <item x="375"/>
        <item x="376"/>
        <item x="379"/>
        <item x="377"/>
        <item x="378"/>
        <item x="382"/>
        <item x="383"/>
        <item x="381"/>
        <item x="384"/>
        <item x="387"/>
        <item x="385"/>
        <item x="392"/>
        <item x="389"/>
        <item x="388"/>
        <item x="393"/>
        <item x="391"/>
        <item x="390"/>
        <item x="395"/>
        <item x="394"/>
        <item x="397"/>
        <item x="396"/>
        <item x="399"/>
        <item x="398"/>
        <item x="400"/>
        <item x="401"/>
        <item x="402"/>
        <item x="406"/>
        <item x="404"/>
        <item x="403"/>
        <item x="405"/>
        <item x="407"/>
        <item x="409"/>
        <item x="408"/>
        <item x="373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2">
    <i>
      <x v="5"/>
    </i>
    <i>
      <x v="1"/>
    </i>
    <i>
      <x v="7"/>
    </i>
    <i>
      <x v="3"/>
    </i>
    <i>
      <x v="8"/>
    </i>
    <i>
      <x v="6"/>
    </i>
    <i>
      <x v="13"/>
    </i>
    <i>
      <x v="11"/>
    </i>
    <i>
      <x v="14"/>
    </i>
    <i>
      <x v="12"/>
    </i>
    <i>
      <x v="2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8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0" firstHeaderRow="1" firstDataRow="1" firstDataCol="1"/>
  <pivotFields count="28">
    <pivotField showAll="0"/>
    <pivotField showAll="0"/>
    <pivotField showAll="0"/>
    <pivotField showAll="0"/>
    <pivotField showAll="0">
      <items count="17">
        <item m="1" x="15"/>
        <item x="4"/>
        <item x="10"/>
        <item x="5"/>
        <item m="1" x="11"/>
        <item x="7"/>
        <item x="2"/>
        <item x="3"/>
        <item x="1"/>
        <item m="1" x="14"/>
        <item m="1" x="13"/>
        <item x="6"/>
        <item x="9"/>
        <item x="8"/>
        <item x="0"/>
        <item m="1" x="12"/>
        <item t="default"/>
      </items>
    </pivotField>
    <pivotField showAll="0">
      <items count="37">
        <item x="3"/>
        <item x="11"/>
        <item x="14"/>
        <item x="20"/>
        <item x="21"/>
        <item x="16"/>
        <item x="7"/>
        <item x="4"/>
        <item x="9"/>
        <item x="17"/>
        <item x="2"/>
        <item x="19"/>
        <item x="1"/>
        <item x="12"/>
        <item x="6"/>
        <item x="5"/>
        <item x="13"/>
        <item x="22"/>
        <item x="18"/>
        <item x="8"/>
        <item x="10"/>
        <item x="15"/>
        <item x="24"/>
        <item x="23"/>
        <item x="25"/>
        <item x="26"/>
        <item x="27"/>
        <item x="28"/>
        <item x="29"/>
        <item x="30"/>
        <item x="32"/>
        <item x="31"/>
        <item x="0"/>
        <item x="33"/>
        <item x="34"/>
        <item x="3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1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372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374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80"/>
        <item x="371"/>
        <item x="386"/>
        <item x="375"/>
        <item x="376"/>
        <item x="379"/>
        <item x="377"/>
        <item x="378"/>
        <item x="382"/>
        <item x="383"/>
        <item x="381"/>
        <item x="384"/>
        <item x="387"/>
        <item x="385"/>
        <item x="392"/>
        <item x="389"/>
        <item x="388"/>
        <item x="393"/>
        <item x="391"/>
        <item x="390"/>
        <item x="395"/>
        <item x="394"/>
        <item x="397"/>
        <item x="396"/>
        <item x="399"/>
        <item x="398"/>
        <item x="400"/>
        <item x="401"/>
        <item x="402"/>
        <item x="406"/>
        <item x="404"/>
        <item x="403"/>
        <item x="405"/>
        <item x="407"/>
        <item x="409"/>
        <item x="408"/>
        <item x="373"/>
        <item t="default"/>
      </items>
    </pivotField>
    <pivotField showAll="0"/>
    <pivotField showAll="0"/>
    <pivotField showAll="0"/>
    <pivotField showAll="0"/>
    <pivotField axis="axisRow" showAll="0" sortType="descending">
      <items count="228">
        <item m="1" x="226"/>
        <item x="104"/>
        <item x="170"/>
        <item x="173"/>
        <item x="43"/>
        <item x="212"/>
        <item x="190"/>
        <item x="218"/>
        <item x="30"/>
        <item x="211"/>
        <item x="145"/>
        <item x="204"/>
        <item x="57"/>
        <item x="80"/>
        <item x="159"/>
        <item x="114"/>
        <item x="79"/>
        <item x="154"/>
        <item x="146"/>
        <item x="215"/>
        <item x="50"/>
        <item x="73"/>
        <item x="3"/>
        <item x="35"/>
        <item x="151"/>
        <item x="56"/>
        <item x="182"/>
        <item x="120"/>
        <item x="33"/>
        <item x="168"/>
        <item x="71"/>
        <item x="160"/>
        <item x="18"/>
        <item x="221"/>
        <item x="184"/>
        <item x="161"/>
        <item x="108"/>
        <item x="26"/>
        <item x="92"/>
        <item x="84"/>
        <item x="144"/>
        <item x="7"/>
        <item x="10"/>
        <item x="9"/>
        <item x="78"/>
        <item x="143"/>
        <item x="177"/>
        <item x="178"/>
        <item x="123"/>
        <item x="15"/>
        <item x="47"/>
        <item x="76"/>
        <item x="195"/>
        <item x="95"/>
        <item x="19"/>
        <item x="213"/>
        <item x="100"/>
        <item x="96"/>
        <item x="62"/>
        <item x="137"/>
        <item x="17"/>
        <item x="131"/>
        <item x="2"/>
        <item x="8"/>
        <item x="113"/>
        <item x="91"/>
        <item x="6"/>
        <item x="196"/>
        <item x="194"/>
        <item x="103"/>
        <item x="28"/>
        <item x="129"/>
        <item x="127"/>
        <item x="112"/>
        <item x="220"/>
        <item x="140"/>
        <item x="148"/>
        <item x="109"/>
        <item x="219"/>
        <item x="134"/>
        <item x="52"/>
        <item x="89"/>
        <item x="175"/>
        <item x="48"/>
        <item x="156"/>
        <item x="102"/>
        <item x="72"/>
        <item x="197"/>
        <item x="11"/>
        <item x="200"/>
        <item x="1"/>
        <item x="82"/>
        <item x="60"/>
        <item x="58"/>
        <item x="64"/>
        <item x="163"/>
        <item x="98"/>
        <item x="88"/>
        <item x="66"/>
        <item x="118"/>
        <item x="202"/>
        <item x="31"/>
        <item x="46"/>
        <item x="176"/>
        <item x="205"/>
        <item x="85"/>
        <item x="51"/>
        <item x="27"/>
        <item x="187"/>
        <item x="5"/>
        <item x="44"/>
        <item x="199"/>
        <item x="135"/>
        <item x="193"/>
        <item x="124"/>
        <item x="106"/>
        <item x="90"/>
        <item x="136"/>
        <item x="110"/>
        <item x="49"/>
        <item x="63"/>
        <item x="216"/>
        <item x="207"/>
        <item x="198"/>
        <item x="133"/>
        <item x="126"/>
        <item x="65"/>
        <item x="157"/>
        <item x="101"/>
        <item x="208"/>
        <item x="130"/>
        <item x="162"/>
        <item x="67"/>
        <item x="119"/>
        <item x="24"/>
        <item x="214"/>
        <item x="152"/>
        <item x="116"/>
        <item x="86"/>
        <item x="81"/>
        <item x="94"/>
        <item x="206"/>
        <item x="209"/>
        <item x="77"/>
        <item x="158"/>
        <item x="210"/>
        <item x="59"/>
        <item x="189"/>
        <item x="150"/>
        <item x="21"/>
        <item m="1" x="225"/>
        <item x="4"/>
        <item x="121"/>
        <item x="132"/>
        <item x="142"/>
        <item x="183"/>
        <item x="40"/>
        <item x="188"/>
        <item x="138"/>
        <item x="41"/>
        <item x="203"/>
        <item x="54"/>
        <item x="53"/>
        <item x="141"/>
        <item x="61"/>
        <item x="36"/>
        <item x="83"/>
        <item x="97"/>
        <item x="42"/>
        <item x="155"/>
        <item x="201"/>
        <item x="13"/>
        <item x="69"/>
        <item x="172"/>
        <item x="87"/>
        <item x="185"/>
        <item x="169"/>
        <item x="34"/>
        <item x="139"/>
        <item x="105"/>
        <item x="180"/>
        <item x="39"/>
        <item x="128"/>
        <item x="174"/>
        <item x="149"/>
        <item x="68"/>
        <item x="179"/>
        <item x="167"/>
        <item x="23"/>
        <item x="0"/>
        <item x="32"/>
        <item x="122"/>
        <item x="22"/>
        <item x="186"/>
        <item x="192"/>
        <item x="25"/>
        <item x="14"/>
        <item x="74"/>
        <item x="70"/>
        <item x="115"/>
        <item x="171"/>
        <item x="111"/>
        <item x="181"/>
        <item x="166"/>
        <item x="45"/>
        <item x="38"/>
        <item x="147"/>
        <item x="222"/>
        <item x="117"/>
        <item x="29"/>
        <item x="37"/>
        <item x="191"/>
        <item x="217"/>
        <item x="165"/>
        <item x="107"/>
        <item x="164"/>
        <item x="16"/>
        <item x="55"/>
        <item x="75"/>
        <item x="99"/>
        <item x="93"/>
        <item x="20"/>
        <item x="125"/>
        <item x="12"/>
        <item x="153"/>
        <item x="223"/>
        <item x="22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28">
    <i>
      <x v="25"/>
    </i>
    <i>
      <x v="62"/>
    </i>
    <i>
      <x v="189"/>
    </i>
    <i>
      <x v="190"/>
    </i>
    <i>
      <x v="168"/>
    </i>
    <i>
      <x v="43"/>
    </i>
    <i>
      <x v="63"/>
    </i>
    <i>
      <x v="188"/>
    </i>
    <i>
      <x v="223"/>
    </i>
    <i>
      <x v="134"/>
    </i>
    <i>
      <x v="146"/>
    </i>
    <i>
      <x v="37"/>
    </i>
    <i>
      <x v="42"/>
    </i>
    <i>
      <x v="91"/>
    </i>
    <i>
      <x v="209"/>
    </i>
    <i>
      <x v="218"/>
    </i>
    <i>
      <x v="144"/>
    </i>
    <i>
      <x v="119"/>
    </i>
    <i>
      <x v="66"/>
    </i>
    <i>
      <x v="3"/>
    </i>
    <i>
      <x v="187"/>
    </i>
    <i>
      <x v="90"/>
    </i>
    <i>
      <x v="30"/>
    </i>
    <i>
      <x v="35"/>
    </i>
    <i>
      <x v="17"/>
    </i>
    <i>
      <x v="181"/>
    </i>
    <i>
      <x v="222"/>
    </i>
    <i>
      <x v="77"/>
    </i>
    <i>
      <x v="186"/>
    </i>
    <i>
      <x v="127"/>
    </i>
    <i>
      <x v="47"/>
    </i>
    <i>
      <x v="129"/>
    </i>
    <i>
      <x v="54"/>
    </i>
    <i>
      <x v="133"/>
    </i>
    <i>
      <x v="183"/>
    </i>
    <i>
      <x v="50"/>
    </i>
    <i>
      <x v="26"/>
    </i>
    <i>
      <x v="137"/>
    </i>
    <i>
      <x v="45"/>
    </i>
    <i>
      <x v="88"/>
    </i>
    <i>
      <x v="196"/>
    </i>
    <i>
      <x v="6"/>
    </i>
    <i>
      <x v="95"/>
    </i>
    <i>
      <x v="147"/>
    </i>
    <i>
      <x v="15"/>
    </i>
    <i>
      <x v="224"/>
    </i>
    <i>
      <x v="198"/>
    </i>
    <i>
      <x v="175"/>
    </i>
    <i>
      <x v="86"/>
    </i>
    <i>
      <x v="87"/>
    </i>
    <i>
      <x v="74"/>
    </i>
    <i>
      <x v="5"/>
    </i>
    <i>
      <x v="81"/>
    </i>
    <i>
      <x v="89"/>
    </i>
    <i>
      <x v="31"/>
    </i>
    <i>
      <x v="7"/>
    </i>
    <i>
      <x v="65"/>
    </i>
    <i>
      <x v="41"/>
    </i>
    <i>
      <x v="193"/>
    </i>
    <i>
      <x v="19"/>
    </i>
    <i>
      <x v="202"/>
    </i>
    <i>
      <x v="97"/>
    </i>
    <i>
      <x v="215"/>
    </i>
    <i>
      <x v="98"/>
    </i>
    <i>
      <x v="162"/>
    </i>
    <i>
      <x v="99"/>
    </i>
    <i>
      <x v="170"/>
    </i>
    <i>
      <x v="100"/>
    </i>
    <i>
      <x v="177"/>
    </i>
    <i>
      <x v="101"/>
    </i>
    <i>
      <x v="67"/>
    </i>
    <i>
      <x v="103"/>
    </i>
    <i>
      <x v="78"/>
    </i>
    <i>
      <x v="108"/>
    </i>
    <i>
      <x v="195"/>
    </i>
    <i>
      <x v="109"/>
    </i>
    <i>
      <x v="200"/>
    </i>
    <i>
      <x v="111"/>
    </i>
    <i>
      <x v="205"/>
    </i>
    <i>
      <x v="23"/>
    </i>
    <i>
      <x v="212"/>
    </i>
    <i>
      <x v="226"/>
    </i>
    <i>
      <x v="82"/>
    </i>
    <i>
      <x v="24"/>
    </i>
    <i>
      <x v="160"/>
    </i>
    <i>
      <x v="121"/>
    </i>
    <i>
      <x v="163"/>
    </i>
    <i>
      <x v="123"/>
    </i>
    <i>
      <x v="169"/>
    </i>
    <i>
      <x v="126"/>
    </i>
    <i>
      <x v="173"/>
    </i>
    <i>
      <x v="46"/>
    </i>
    <i>
      <x v="176"/>
    </i>
    <i>
      <x v="128"/>
    </i>
    <i>
      <x v="180"/>
    </i>
    <i>
      <x v="9"/>
    </i>
    <i>
      <x v="33"/>
    </i>
    <i>
      <x v="131"/>
    </i>
    <i>
      <x v="68"/>
    </i>
    <i>
      <x v="132"/>
    </i>
    <i>
      <x v="34"/>
    </i>
    <i>
      <x v="49"/>
    </i>
    <i>
      <x v="192"/>
    </i>
    <i>
      <x v="12"/>
    </i>
    <i>
      <x v="194"/>
    </i>
    <i>
      <x v="135"/>
    </i>
    <i>
      <x v="79"/>
    </i>
    <i>
      <x v="136"/>
    </i>
    <i>
      <x v="199"/>
    </i>
    <i>
      <x v="52"/>
    </i>
    <i>
      <x v="201"/>
    </i>
    <i>
      <x v="142"/>
    </i>
    <i>
      <x v="203"/>
    </i>
    <i>
      <x v="29"/>
    </i>
    <i>
      <x v="207"/>
    </i>
    <i>
      <x v="60"/>
    </i>
    <i>
      <x v="211"/>
    </i>
    <i>
      <x v="14"/>
    </i>
    <i>
      <x v="213"/>
    </i>
    <i>
      <x v="148"/>
    </i>
    <i>
      <x v="216"/>
    </i>
    <i>
      <x v="155"/>
    </i>
    <i>
      <x v="84"/>
    </i>
    <i>
      <x v="157"/>
    </i>
    <i>
      <x v="158"/>
    </i>
    <i>
      <x v="112"/>
    </i>
    <i>
      <x v="2"/>
    </i>
    <i>
      <x v="113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8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197" firstHeaderRow="1" firstDataRow="1" firstDataCol="1"/>
  <pivotFields count="28">
    <pivotField showAll="0"/>
    <pivotField axis="axisRow" showAll="0" sortType="descending">
      <items count="579">
        <item m="1" x="562"/>
        <item m="1" x="577"/>
        <item m="1" x="408"/>
        <item x="140"/>
        <item x="45"/>
        <item m="1" x="494"/>
        <item x="359"/>
        <item m="1" x="426"/>
        <item m="1" x="451"/>
        <item x="335"/>
        <item x="356"/>
        <item x="63"/>
        <item x="143"/>
        <item x="119"/>
        <item m="1" x="447"/>
        <item x="100"/>
        <item x="224"/>
        <item x="272"/>
        <item x="242"/>
        <item x="357"/>
        <item m="1" x="415"/>
        <item x="181"/>
        <item x="135"/>
        <item m="1" x="478"/>
        <item m="1" x="434"/>
        <item x="54"/>
        <item x="268"/>
        <item m="1" x="410"/>
        <item m="1" x="416"/>
        <item m="1" x="427"/>
        <item m="1" x="545"/>
        <item m="1" x="511"/>
        <item x="161"/>
        <item m="1" x="495"/>
        <item m="1" x="512"/>
        <item x="163"/>
        <item m="1" x="546"/>
        <item x="132"/>
        <item m="1" x="452"/>
        <item m="1" x="389"/>
        <item m="1" x="556"/>
        <item x="11"/>
        <item x="88"/>
        <item x="326"/>
        <item m="1" x="420"/>
        <item x="26"/>
        <item x="233"/>
        <item m="1" x="496"/>
        <item x="131"/>
        <item m="1" x="384"/>
        <item m="1" x="471"/>
        <item m="1" x="453"/>
        <item m="1" x="557"/>
        <item m="1" x="513"/>
        <item x="97"/>
        <item x="230"/>
        <item x="261"/>
        <item m="1" x="525"/>
        <item x="234"/>
        <item x="251"/>
        <item m="1" x="457"/>
        <item m="1" x="497"/>
        <item m="1" x="498"/>
        <item m="1" x="499"/>
        <item x="248"/>
        <item x="9"/>
        <item x="148"/>
        <item x="274"/>
        <item m="1" x="448"/>
        <item x="360"/>
        <item m="1" x="500"/>
        <item m="1" x="443"/>
        <item x="252"/>
        <item m="1" x="390"/>
        <item x="43"/>
        <item m="1" x="526"/>
        <item m="1" x="428"/>
        <item x="147"/>
        <item x="82"/>
        <item m="1" x="479"/>
        <item x="34"/>
        <item x="152"/>
        <item m="1" x="458"/>
        <item x="289"/>
        <item m="1" x="436"/>
        <item m="1" x="459"/>
        <item m="1" x="398"/>
        <item m="1" x="391"/>
        <item m="1" x="402"/>
        <item x="103"/>
        <item x="12"/>
        <item x="180"/>
        <item m="1" x="429"/>
        <item x="229"/>
        <item m="1" x="547"/>
        <item x="23"/>
        <item m="1" x="435"/>
        <item m="1" x="548"/>
        <item m="1" x="437"/>
        <item m="1" x="379"/>
        <item m="1" x="573"/>
        <item x="67"/>
        <item m="1" x="454"/>
        <item m="1" x="527"/>
        <item m="1" x="528"/>
        <item m="1" x="549"/>
        <item x="173"/>
        <item x="120"/>
        <item m="1" x="460"/>
        <item m="1" x="480"/>
        <item x="95"/>
        <item m="1" x="567"/>
        <item x="271"/>
        <item m="1" x="529"/>
        <item m="1" x="461"/>
        <item m="1" x="514"/>
        <item m="1" x="462"/>
        <item m="1" x="438"/>
        <item x="65"/>
        <item x="171"/>
        <item x="52"/>
        <item m="1" x="550"/>
        <item m="1" x="414"/>
        <item x="85"/>
        <item x="258"/>
        <item m="1" x="463"/>
        <item x="223"/>
        <item m="1" x="464"/>
        <item x="333"/>
        <item m="1" x="571"/>
        <item m="1" x="380"/>
        <item x="79"/>
        <item x="165"/>
        <item m="1" x="370"/>
        <item x="347"/>
        <item x="121"/>
        <item x="249"/>
        <item m="1" x="430"/>
        <item x="352"/>
        <item m="1" x="413"/>
        <item m="1" x="501"/>
        <item m="1" x="481"/>
        <item m="1" x="515"/>
        <item x="149"/>
        <item x="195"/>
        <item m="1" x="558"/>
        <item m="1" x="423"/>
        <item x="86"/>
        <item x="217"/>
        <item m="1" x="482"/>
        <item x="314"/>
        <item m="1" x="418"/>
        <item x="62"/>
        <item x="196"/>
        <item m="1" x="439"/>
        <item m="1" x="483"/>
        <item x="137"/>
        <item x="277"/>
        <item m="1" x="440"/>
        <item x="306"/>
        <item m="1" x="381"/>
        <item m="1" x="385"/>
        <item m="1" x="530"/>
        <item x="84"/>
        <item x="55"/>
        <item x="228"/>
        <item m="1" x="431"/>
        <item x="183"/>
        <item m="1" x="444"/>
        <item x="81"/>
        <item x="282"/>
        <item m="1" x="419"/>
        <item x="213"/>
        <item x="87"/>
        <item m="1" x="531"/>
        <item x="33"/>
        <item m="1" x="532"/>
        <item m="1" x="422"/>
        <item m="1" x="424"/>
        <item m="1" x="441"/>
        <item x="342"/>
        <item m="1" x="516"/>
        <item x="256"/>
        <item m="1" x="559"/>
        <item x="93"/>
        <item x="32"/>
        <item x="70"/>
        <item m="1" x="502"/>
        <item x="40"/>
        <item m="1" x="484"/>
        <item m="1" x="472"/>
        <item x="206"/>
        <item x="319"/>
        <item m="1" x="377"/>
        <item m="1" x="485"/>
        <item x="58"/>
        <item m="1" x="568"/>
        <item m="1" x="541"/>
        <item m="1" x="542"/>
        <item m="1" x="403"/>
        <item m="1" x="533"/>
        <item x="111"/>
        <item x="276"/>
        <item x="176"/>
        <item m="1" x="392"/>
        <item x="174"/>
        <item m="1" x="486"/>
        <item x="294"/>
        <item x="106"/>
        <item m="1" x="393"/>
        <item m="1" x="404"/>
        <item m="1" x="503"/>
        <item x="250"/>
        <item x="155"/>
        <item m="1" x="575"/>
        <item x="226"/>
        <item m="1" x="445"/>
        <item x="346"/>
        <item x="292"/>
        <item x="321"/>
        <item m="1" x="473"/>
        <item m="1" x="536"/>
        <item x="237"/>
        <item x="231"/>
        <item x="28"/>
        <item x="355"/>
        <item m="1" x="537"/>
        <item x="126"/>
        <item m="1" x="560"/>
        <item x="190"/>
        <item x="221"/>
        <item x="125"/>
        <item x="238"/>
        <item m="1" x="378"/>
        <item x="30"/>
        <item x="4"/>
        <item x="301"/>
        <item x="341"/>
        <item x="189"/>
        <item x="89"/>
        <item x="193"/>
        <item m="1" x="534"/>
        <item m="1" x="538"/>
        <item x="262"/>
        <item m="1" x="539"/>
        <item x="102"/>
        <item m="1" x="540"/>
        <item m="1" x="535"/>
        <item x="204"/>
        <item m="1" x="504"/>
        <item x="20"/>
        <item x="156"/>
        <item x="24"/>
        <item x="27"/>
        <item x="350"/>
        <item x="337"/>
        <item x="293"/>
        <item m="1" x="505"/>
        <item x="199"/>
        <item m="1" x="465"/>
        <item x="310"/>
        <item x="57"/>
        <item x="178"/>
        <item m="1" x="551"/>
        <item x="83"/>
        <item x="166"/>
        <item x="299"/>
        <item x="108"/>
        <item x="75"/>
        <item m="1" x="572"/>
        <item x="313"/>
        <item x="99"/>
        <item x="94"/>
        <item x="227"/>
        <item x="127"/>
        <item m="1" x="474"/>
        <item m="1" x="397"/>
        <item x="270"/>
        <item m="1" x="466"/>
        <item m="1" x="382"/>
        <item x="73"/>
        <item m="1" x="405"/>
        <item x="160"/>
        <item x="291"/>
        <item x="118"/>
        <item x="42"/>
        <item x="96"/>
        <item m="1" x="576"/>
        <item x="53"/>
        <item x="1"/>
        <item x="117"/>
        <item x="107"/>
        <item x="22"/>
        <item m="1" x="432"/>
        <item m="1" x="394"/>
        <item m="1" x="395"/>
        <item x="167"/>
        <item m="1" x="383"/>
        <item m="1" x="517"/>
        <item x="49"/>
        <item x="91"/>
        <item x="60"/>
        <item x="145"/>
        <item x="297"/>
        <item m="1" x="518"/>
        <item x="139"/>
        <item m="1" x="569"/>
        <item x="245"/>
        <item x="164"/>
        <item x="288"/>
        <item m="1" x="467"/>
        <item m="1" x="519"/>
        <item x="235"/>
        <item x="202"/>
        <item x="116"/>
        <item x="36"/>
        <item x="330"/>
        <item x="269"/>
        <item x="162"/>
        <item m="1" x="399"/>
        <item x="336"/>
        <item x="201"/>
        <item x="218"/>
        <item x="302"/>
        <item m="1" x="506"/>
        <item x="232"/>
        <item x="64"/>
        <item m="1" x="552"/>
        <item m="1" x="455"/>
        <item m="1" x="520"/>
        <item x="329"/>
        <item x="236"/>
        <item x="50"/>
        <item x="46"/>
        <item m="1" x="521"/>
        <item x="179"/>
        <item m="1" x="400"/>
        <item m="1" x="362"/>
        <item x="259"/>
        <item m="1" x="449"/>
        <item m="1" x="373"/>
        <item x="263"/>
        <item x="184"/>
        <item x="113"/>
        <item x="243"/>
        <item x="144"/>
        <item m="1" x="417"/>
        <item m="1" x="433"/>
        <item x="185"/>
        <item x="254"/>
        <item x="207"/>
        <item x="56"/>
        <item x="354"/>
        <item x="151"/>
        <item m="1" x="386"/>
        <item x="13"/>
        <item x="19"/>
        <item x="48"/>
        <item x="264"/>
        <item x="305"/>
        <item m="1" x="412"/>
        <item x="154"/>
        <item x="312"/>
        <item x="172"/>
        <item x="338"/>
        <item x="105"/>
        <item m="1" x="522"/>
        <item m="1" x="406"/>
        <item x="244"/>
        <item m="1" x="401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308"/>
        <item x="246"/>
        <item x="6"/>
        <item x="220"/>
        <item m="1" x="543"/>
        <item x="315"/>
        <item x="153"/>
        <item x="133"/>
        <item x="124"/>
        <item x="31"/>
        <item x="303"/>
        <item m="1" x="487"/>
        <item m="1" x="371"/>
        <item m="1" x="468"/>
        <item x="3"/>
        <item x="59"/>
        <item x="104"/>
        <item x="38"/>
        <item m="1" x="488"/>
        <item x="214"/>
        <item m="1" x="554"/>
        <item x="16"/>
        <item x="300"/>
        <item x="194"/>
        <item x="10"/>
        <item x="72"/>
        <item x="138"/>
        <item m="1" x="553"/>
        <item x="317"/>
        <item x="334"/>
        <item x="110"/>
        <item x="37"/>
        <item x="15"/>
        <item x="29"/>
        <item x="66"/>
        <item x="68"/>
        <item x="17"/>
        <item m="1" x="489"/>
        <item m="1" x="372"/>
        <item x="8"/>
        <item x="35"/>
        <item x="7"/>
        <item x="61"/>
        <item m="1" x="407"/>
        <item m="1" x="421"/>
        <item x="278"/>
        <item x="41"/>
        <item x="170"/>
        <item x="146"/>
        <item x="169"/>
        <item x="168"/>
        <item x="77"/>
        <item m="1" x="374"/>
        <item x="2"/>
        <item x="175"/>
        <item x="71"/>
        <item x="200"/>
        <item x="98"/>
        <item x="78"/>
        <item m="1" x="409"/>
        <item x="18"/>
        <item x="331"/>
        <item x="74"/>
        <item m="1" x="561"/>
        <item x="205"/>
        <item x="47"/>
        <item m="1" x="565"/>
        <item x="114"/>
        <item x="332"/>
        <item x="349"/>
        <item x="320"/>
        <item x="192"/>
        <item x="14"/>
        <item x="187"/>
        <item x="123"/>
        <item m="1" x="387"/>
        <item x="150"/>
        <item x="122"/>
        <item x="69"/>
        <item x="112"/>
        <item x="286"/>
        <item m="1" x="388"/>
        <item m="1" x="570"/>
        <item x="255"/>
        <item x="209"/>
        <item x="159"/>
        <item m="1" x="564"/>
        <item x="275"/>
        <item x="134"/>
        <item x="130"/>
        <item x="240"/>
        <item x="239"/>
        <item m="1" x="490"/>
        <item x="80"/>
        <item m="1" x="544"/>
        <item x="136"/>
        <item x="90"/>
        <item m="1" x="491"/>
        <item x="197"/>
        <item x="225"/>
        <item x="247"/>
        <item x="345"/>
        <item x="322"/>
        <item m="1" x="425"/>
        <item x="182"/>
        <item x="257"/>
        <item x="307"/>
        <item x="265"/>
        <item x="177"/>
        <item x="208"/>
        <item x="157"/>
        <item m="1" x="507"/>
        <item x="290"/>
        <item x="216"/>
        <item x="339"/>
        <item x="219"/>
        <item x="191"/>
        <item x="348"/>
        <item x="211"/>
        <item x="273"/>
        <item x="222"/>
        <item x="318"/>
        <item x="295"/>
        <item x="266"/>
        <item x="283"/>
        <item x="284"/>
        <item x="296"/>
        <item m="1" x="563"/>
        <item x="281"/>
        <item x="241"/>
        <item x="267"/>
        <item x="309"/>
        <item x="285"/>
        <item x="253"/>
        <item x="280"/>
        <item x="328"/>
        <item x="325"/>
        <item m="1" x="566"/>
        <item x="298"/>
        <item x="311"/>
        <item m="1" x="411"/>
        <item x="327"/>
        <item x="324"/>
        <item x="344"/>
        <item x="323"/>
        <item x="343"/>
        <item x="351"/>
        <item x="358"/>
        <item m="1" x="492"/>
        <item x="260"/>
        <item m="1" x="442"/>
        <item x="316"/>
        <item x="353"/>
        <item m="1" x="396"/>
        <item m="1" x="574"/>
        <item m="1" x="456"/>
        <item m="1" x="475"/>
        <item x="21"/>
        <item m="1" x="508"/>
        <item m="1" x="555"/>
        <item x="92"/>
        <item x="115"/>
        <item x="215"/>
        <item x="44"/>
        <item m="1" x="450"/>
        <item m="1" x="523"/>
        <item m="1" x="469"/>
        <item x="279"/>
        <item m="1" x="375"/>
        <item x="141"/>
        <item m="1" x="509"/>
        <item x="340"/>
        <item m="1" x="524"/>
        <item x="188"/>
        <item m="1" x="493"/>
        <item x="210"/>
        <item m="1" x="470"/>
        <item x="76"/>
        <item x="109"/>
        <item m="1" x="510"/>
        <item m="1" x="376"/>
        <item m="1" x="476"/>
        <item x="128"/>
        <item x="304"/>
        <item m="1" x="477"/>
        <item x="287"/>
        <item m="1" x="446"/>
        <item h="1" m="1" x="361"/>
        <item h="1" m="1" x="365"/>
        <item h="1" m="1" x="364"/>
        <item h="1" m="1" x="368"/>
        <item h="1" m="1" x="367"/>
        <item h="1" m="1" x="366"/>
        <item h="1" m="1" x="369"/>
        <item h="1" m="1" x="363"/>
        <item h="1"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7">
        <item m="1" x="15"/>
        <item x="4"/>
        <item x="10"/>
        <item x="5"/>
        <item m="1" x="11"/>
        <item x="7"/>
        <item x="2"/>
        <item x="3"/>
        <item x="1"/>
        <item m="1" x="14"/>
        <item m="1" x="13"/>
        <item x="6"/>
        <item x="9"/>
        <item x="8"/>
        <item x="0"/>
        <item m="1" x="12"/>
        <item t="default"/>
      </items>
    </pivotField>
    <pivotField showAll="0">
      <items count="37">
        <item x="3"/>
        <item x="11"/>
        <item x="14"/>
        <item x="20"/>
        <item x="21"/>
        <item x="16"/>
        <item x="7"/>
        <item x="4"/>
        <item x="9"/>
        <item x="17"/>
        <item x="2"/>
        <item x="19"/>
        <item x="1"/>
        <item x="12"/>
        <item x="6"/>
        <item x="5"/>
        <item x="13"/>
        <item x="22"/>
        <item x="18"/>
        <item x="8"/>
        <item x="10"/>
        <item x="15"/>
        <item x="24"/>
        <item x="23"/>
        <item x="25"/>
        <item x="26"/>
        <item x="27"/>
        <item x="28"/>
        <item x="29"/>
        <item x="30"/>
        <item x="32"/>
        <item x="31"/>
        <item x="33"/>
        <item x="34"/>
        <item x="0"/>
        <item x="3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1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372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374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80"/>
        <item x="371"/>
        <item x="386"/>
        <item x="375"/>
        <item x="376"/>
        <item x="379"/>
        <item x="377"/>
        <item x="378"/>
        <item x="382"/>
        <item x="383"/>
        <item x="381"/>
        <item x="384"/>
        <item x="387"/>
        <item x="385"/>
        <item x="392"/>
        <item x="389"/>
        <item x="388"/>
        <item x="393"/>
        <item x="391"/>
        <item x="390"/>
        <item x="395"/>
        <item x="394"/>
        <item x="397"/>
        <item x="396"/>
        <item x="399"/>
        <item x="398"/>
        <item x="400"/>
        <item x="401"/>
        <item x="402"/>
        <item x="406"/>
        <item x="404"/>
        <item x="403"/>
        <item x="405"/>
        <item x="407"/>
        <item x="409"/>
        <item x="408"/>
        <item x="373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85">
    <i>
      <x v="511"/>
    </i>
    <i>
      <x v="473"/>
    </i>
    <i>
      <x v="507"/>
    </i>
    <i>
      <x v="512"/>
    </i>
    <i>
      <x v="342"/>
    </i>
    <i>
      <x v="501"/>
    </i>
    <i>
      <x v="497"/>
    </i>
    <i>
      <x v="435"/>
    </i>
    <i>
      <x v="504"/>
    </i>
    <i>
      <x v="90"/>
    </i>
    <i>
      <x v="351"/>
    </i>
    <i>
      <x v="280"/>
    </i>
    <i>
      <x v="478"/>
    </i>
    <i>
      <x v="358"/>
    </i>
    <i>
      <x v="513"/>
    </i>
    <i>
      <x v="483"/>
    </i>
    <i>
      <x v="440"/>
    </i>
    <i>
      <x v="112"/>
    </i>
    <i>
      <x v="498"/>
    </i>
    <i>
      <x v="148"/>
    </i>
    <i>
      <x v="428"/>
    </i>
    <i>
      <x v="156"/>
    </i>
    <i>
      <x v="480"/>
    </i>
    <i>
      <x v="157"/>
    </i>
    <i>
      <x v="494"/>
    </i>
    <i>
      <x v="202"/>
    </i>
    <i>
      <x v="506"/>
    </i>
    <i>
      <x v="232"/>
    </i>
    <i>
      <x v="520"/>
    </i>
    <i>
      <x v="250"/>
    </i>
    <i>
      <x v="432"/>
    </i>
    <i>
      <x v="325"/>
    </i>
    <i>
      <x v="442"/>
    </i>
    <i>
      <x v="341"/>
    </i>
    <i>
      <x v="481"/>
    </i>
    <i>
      <x v="18"/>
    </i>
    <i>
      <x v="490"/>
    </i>
    <i>
      <x v="348"/>
    </i>
    <i>
      <x v="43"/>
    </i>
    <i>
      <x v="355"/>
    </i>
    <i>
      <x v="502"/>
    </i>
    <i>
      <x v="380"/>
    </i>
    <i>
      <x v="508"/>
    </i>
    <i>
      <x v="397"/>
    </i>
    <i>
      <x v="514"/>
    </i>
    <i>
      <x v="405"/>
    </i>
    <i>
      <x v="531"/>
    </i>
    <i>
      <x v="407"/>
    </i>
    <i>
      <x v="374"/>
    </i>
    <i>
      <x v="243"/>
    </i>
    <i>
      <x v="488"/>
    </i>
    <i>
      <x v="451"/>
    </i>
    <i>
      <x v="254"/>
    </i>
    <i>
      <x v="510"/>
    </i>
    <i>
      <x v="255"/>
    </i>
    <i>
      <x v="180"/>
    </i>
    <i>
      <x v="256"/>
    </i>
    <i>
      <x v="471"/>
    </i>
    <i>
      <x v="260"/>
    </i>
    <i>
      <x v="55"/>
    </i>
    <i>
      <x v="262"/>
    </i>
    <i>
      <x v="240"/>
    </i>
    <i>
      <x v="264"/>
    </i>
    <i>
      <x v="415"/>
    </i>
    <i>
      <x v="266"/>
    </i>
    <i>
      <x v="184"/>
    </i>
    <i>
      <x v="267"/>
    </i>
    <i>
      <x v="462"/>
    </i>
    <i>
      <x v="268"/>
    </i>
    <i>
      <x v="192"/>
    </i>
    <i>
      <x v="270"/>
    </i>
    <i>
      <x v="496"/>
    </i>
    <i>
      <x v="277"/>
    </i>
    <i>
      <x v="505"/>
    </i>
    <i>
      <x v="17"/>
    </i>
    <i>
      <x v="239"/>
    </i>
    <i>
      <x v="282"/>
    </i>
    <i>
      <x v="525"/>
    </i>
    <i>
      <x v="283"/>
    </i>
    <i>
      <x v="131"/>
    </i>
    <i>
      <x v="288"/>
    </i>
    <i>
      <x v="427"/>
    </i>
    <i>
      <x v="290"/>
    </i>
    <i>
      <x v="438"/>
    </i>
    <i>
      <x v="292"/>
    </i>
    <i>
      <x v="447"/>
    </i>
    <i>
      <x v="303"/>
    </i>
    <i>
      <x v="459"/>
    </i>
    <i>
      <x v="305"/>
    </i>
    <i>
      <x v="467"/>
    </i>
    <i>
      <x v="307"/>
    </i>
    <i>
      <x v="37"/>
    </i>
    <i>
      <x v="308"/>
    </i>
    <i>
      <x v="207"/>
    </i>
    <i>
      <x v="309"/>
    </i>
    <i>
      <x v="218"/>
    </i>
    <i>
      <x v="314"/>
    </i>
    <i>
      <x v="225"/>
    </i>
    <i>
      <x v="317"/>
    </i>
    <i>
      <x v="503"/>
    </i>
    <i>
      <x v="323"/>
    </i>
    <i>
      <x v="65"/>
    </i>
    <i>
      <x v="134"/>
    </i>
    <i>
      <x v="74"/>
    </i>
    <i>
      <x v="330"/>
    </i>
    <i>
      <x v="517"/>
    </i>
    <i>
      <x v="333"/>
    </i>
    <i>
      <x v="523"/>
    </i>
    <i>
      <x v="338"/>
    </i>
    <i>
      <x v="527"/>
    </i>
    <i>
      <x v="138"/>
    </i>
    <i>
      <x v="534"/>
    </i>
    <i>
      <x v="11"/>
    </i>
    <i>
      <x v="414"/>
    </i>
    <i>
      <x v="344"/>
    </i>
    <i>
      <x v="417"/>
    </i>
    <i>
      <x v="150"/>
    </i>
    <i>
      <x v="173"/>
    </i>
    <i>
      <x v="350"/>
    </i>
    <i>
      <x v="26"/>
    </i>
    <i>
      <x v="19"/>
    </i>
    <i>
      <x v="182"/>
    </i>
    <i>
      <x v="352"/>
    </i>
    <i>
      <x v="444"/>
    </i>
    <i>
      <x v="353"/>
    </i>
    <i>
      <x v="449"/>
    </i>
    <i>
      <x v="83"/>
    </i>
    <i>
      <x v="452"/>
    </i>
    <i>
      <x v="356"/>
    </i>
    <i>
      <x v="460"/>
    </i>
    <i>
      <x v="357"/>
    </i>
    <i>
      <x v="465"/>
    </i>
    <i>
      <x v="565"/>
    </i>
    <i>
      <x v="469"/>
    </i>
    <i>
      <x v="567"/>
    </i>
    <i>
      <x v="472"/>
    </i>
    <i>
      <x v="362"/>
    </i>
    <i>
      <x v="41"/>
    </i>
    <i>
      <x v="363"/>
    </i>
    <i>
      <x v="119"/>
    </i>
    <i>
      <x v="364"/>
    </i>
    <i>
      <x v="484"/>
    </i>
    <i>
      <x v="373"/>
    </i>
    <i>
      <x v="489"/>
    </i>
    <i>
      <x v="553"/>
    </i>
    <i>
      <x v="219"/>
    </i>
    <i>
      <x v="559"/>
    </i>
    <i>
      <x v="224"/>
    </i>
    <i>
      <x v="376"/>
    </i>
    <i>
      <x v="499"/>
    </i>
    <i>
      <x v="118"/>
    </i>
    <i>
      <x v="120"/>
    </i>
    <i>
      <x v="382"/>
    </i>
    <i>
      <x v="59"/>
    </i>
    <i>
      <x v="385"/>
    </i>
    <i>
      <x v="236"/>
    </i>
    <i>
      <x v="387"/>
    </i>
    <i>
      <x v="237"/>
    </i>
    <i>
      <x v="388"/>
    </i>
    <i>
      <x v="67"/>
    </i>
    <i>
      <x v="389"/>
    </i>
    <i>
      <x v="238"/>
    </i>
    <i>
      <x v="392"/>
    </i>
    <i>
      <x v="516"/>
    </i>
    <i>
      <x v="159"/>
    </i>
    <i>
      <x v="518"/>
    </i>
    <i>
      <x v="398"/>
    </i>
    <i>
      <x v="521"/>
    </i>
    <i>
      <x v="404"/>
    </i>
    <i>
      <x v="524"/>
    </i>
    <i>
      <x v="167"/>
    </i>
    <i>
      <x v="526"/>
    </i>
    <i>
      <x v="406"/>
    </i>
    <i>
      <x v="528"/>
    </i>
    <i>
      <x v="170"/>
    </i>
    <i>
      <x v="533"/>
    </i>
    <i>
      <x v="410"/>
    </i>
    <i>
      <x v="549"/>
    </i>
    <i>
      <x v="412"/>
    </i>
    <i>
      <x v="413"/>
    </i>
    <i>
      <x v="81"/>
    </i>
    <i>
      <x v="375"/>
    </i>
    <i>
      <x v="10"/>
    </i>
    <i>
      <x v="359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8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7">
        <item m="1" x="15"/>
        <item x="4"/>
        <item x="10"/>
        <item x="5"/>
        <item m="1" x="11"/>
        <item x="7"/>
        <item x="2"/>
        <item x="3"/>
        <item x="1"/>
        <item m="1" x="14"/>
        <item m="1" x="13"/>
        <item x="6"/>
        <item x="9"/>
        <item x="8"/>
        <item x="0"/>
        <item m="1" x="12"/>
        <item t="default"/>
      </items>
    </pivotField>
    <pivotField showAll="0">
      <items count="37">
        <item x="3"/>
        <item x="11"/>
        <item x="14"/>
        <item x="20"/>
        <item x="21"/>
        <item x="16"/>
        <item x="7"/>
        <item x="4"/>
        <item x="9"/>
        <item x="17"/>
        <item x="2"/>
        <item x="19"/>
        <item x="1"/>
        <item x="12"/>
        <item x="6"/>
        <item x="5"/>
        <item x="13"/>
        <item x="22"/>
        <item x="18"/>
        <item x="8"/>
        <item x="10"/>
        <item x="15"/>
        <item x="24"/>
        <item x="23"/>
        <item x="25"/>
        <item x="26"/>
        <item x="27"/>
        <item x="28"/>
        <item x="29"/>
        <item x="30"/>
        <item x="32"/>
        <item x="31"/>
        <item x="33"/>
        <item x="34"/>
        <item x="0"/>
        <item x="35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1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372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374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80"/>
        <item x="371"/>
        <item x="386"/>
        <item x="375"/>
        <item x="376"/>
        <item x="379"/>
        <item x="377"/>
        <item x="378"/>
        <item x="382"/>
        <item x="383"/>
        <item x="381"/>
        <item x="384"/>
        <item x="387"/>
        <item x="385"/>
        <item x="392"/>
        <item x="389"/>
        <item x="388"/>
        <item x="393"/>
        <item x="391"/>
        <item x="390"/>
        <item x="395"/>
        <item x="394"/>
        <item x="397"/>
        <item x="396"/>
        <item x="399"/>
        <item x="398"/>
        <item x="400"/>
        <item x="401"/>
        <item x="402"/>
        <item x="406"/>
        <item x="404"/>
        <item x="403"/>
        <item x="405"/>
        <item x="407"/>
        <item x="409"/>
        <item x="408"/>
        <item x="373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m="1"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8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6">
        <i x="4" s="1"/>
        <i x="10" s="1"/>
        <i x="5" s="1"/>
        <i x="7" s="1"/>
        <i x="2" s="1"/>
        <i x="3" s="1"/>
        <i x="1" s="1"/>
        <i x="6" s="1"/>
        <i x="9" s="1"/>
        <i x="8" s="1"/>
        <i x="0" s="1"/>
        <i x="15" s="1" nd="1"/>
        <i x="11" s="1" nd="1"/>
        <i x="14" s="1" nd="1"/>
        <i x="13" s="1" nd="1"/>
        <i x="1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Tabel1" displayName="Tabel1" ref="A1:Y808" totalsRowShown="0" headerRowDxfId="10">
  <autoFilter ref="A1:Y808" xr:uid="{2FDE3AF6-1CE1-4F38-BD72-1F03CD30F4FC}"/>
  <tableColumns count="25">
    <tableColumn id="1" xr3:uid="{A89FCEBD-EFF0-43A5-BEAC-9201FF09453E}" name="personeelsnr"/>
    <tableColumn id="23" xr3:uid="{3989647C-F1EB-4322-A586-1EC53B4E823E}" name="volledige naam" dataDxfId="9">
      <calculatedColumnFormula>_xlfn.CONCAT(Tabel1[[#This Row],[personeelsnr]]," ",C2," ",D2)</calculatedColumnFormula>
    </tableColumn>
    <tableColumn id="2" xr3:uid="{5226395E-E367-49AF-B1AE-FB793233F2EF}" name="achternaam">
      <calculatedColumnFormula>VLOOKUP(Tabel1[[#This Row],[personeelsnr]],'data hastus'!$A:$C,2,0)</calculatedColumnFormula>
    </tableColumn>
    <tableColumn id="3" xr3:uid="{A6904BF5-26B6-4790-9F7C-B7ABA61BF162}" name="voornaam">
      <calculatedColumnFormula>VLOOKUP(Tabel1[[#This Row],[personeelsnr]],'data hastus'!$A:$C,3,0)</calculatedColumnFormula>
    </tableColumn>
    <tableColumn id="4" xr3:uid="{C755616E-8A16-4E70-8F36-D03DAE79077F}" name="teamcoach">
      <calculatedColumnFormula>VLOOKUP(Tabel1[[#This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SUM(Tabel1[[#This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microsoft.com/office/2007/relationships/slicer" Target="../slicers/slicer1.xml"/><Relationship Id="rId3" Type="http://schemas.openxmlformats.org/officeDocument/2006/relationships/pivotTable" Target="../pivotTables/pivotTable3.xml"/><Relationship Id="rId7" Type="http://schemas.openxmlformats.org/officeDocument/2006/relationships/ctrlProp" Target="../ctrlProps/ctrlProp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ivotTable" Target="../pivotTables/pivotTable4.xml"/><Relationship Id="rId9" Type="http://schemas.microsoft.com/office/2011/relationships/timeline" Target="../timelines/timelin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../../../../../../../../../../../../../../../../../:b:/r/teams/CTM-OTGentStad/Shared%20Documents/General/EAF/CSI(nieuwe%20sharepoint)%202025/3.%20Maart/EAF%205924%20gent%2019032025%2035216%20Coban%20Mehmet.pdf?csf=1&amp;web=1&amp;e=LnTQMo" TargetMode="External"/><Relationship Id="rId671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769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VHICn" TargetMode="External"/><Relationship Id="rId21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324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53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629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170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okaeLs" TargetMode="External"/><Relationship Id="rId268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475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682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32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28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wJB9Vw" TargetMode="External"/><Relationship Id="rId335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54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181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HRpbEN" TargetMode="External"/><Relationship Id="rId402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79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486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693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707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43" Type="http://schemas.openxmlformats.org/officeDocument/2006/relationships/hyperlink" Target="../../../../../../../../../../../../../../../../../../../../../../../:b:/r/teams/CTM-OTGentStad/Shared%20Documents/General/EAF/CSI(nieuwe%20sharepoint)%202025/2.%20Februari/EAF%206327%20Ledeberg%20Oosterlinck%20Willy%206327%2002022025.pdf?csf=1&amp;web=1&amp;e=4Y3y3I" TargetMode="External"/><Relationship Id="rId139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jHx1lm" TargetMode="External"/><Relationship Id="rId346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55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760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yiuRwW" TargetMode="External"/><Relationship Id="rId192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M3kcRx" TargetMode="External"/><Relationship Id="rId206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413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9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620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718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357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54" Type="http://schemas.openxmlformats.org/officeDocument/2006/relationships/hyperlink" Target="../../../../../../../../../../../../../../../../../../../../../../../:b:/r/teams/CTM-OTGentStad/Shared%20Documents/General/EAF/CSI(nieuwe%20sharepoint)%202025/2.%20Februari/EAF%206369%20Gent%20Sint-Baafsplein%2010022025%20El-Mohamed%20Mohamed.pdf?csf=1&amp;web=1&amp;e=o6cMTL" TargetMode="External"/><Relationship Id="rId217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56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771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6DMU6h" TargetMode="External"/><Relationship Id="rId424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631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729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uxAmZp" TargetMode="External"/><Relationship Id="rId270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65" Type="http://schemas.openxmlformats.org/officeDocument/2006/relationships/hyperlink" Target="../../../../../../../../../../../../../../../../../../../../../../../:b:/r/teams/CTM-OTGentStad/Shared%20Documents/General/EAF/CSI(nieuwe%20sharepoint)%202025/2.%20Februari/EAF%205928%20Ham%2015022025%20Yavas%20Talha%2015022025.pdf?csf=1&amp;web=1&amp;e=SZtVAr" TargetMode="External"/><Relationship Id="rId1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57Llsk" TargetMode="External"/><Relationship Id="rId368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57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782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x65hSS" TargetMode="External"/><Relationship Id="rId228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435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642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281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50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6" Type="http://schemas.openxmlformats.org/officeDocument/2006/relationships/hyperlink" Target="../../../../../../../../../../../../../../../../../../../../../../../:b:/r/teams/CTM-OTGentStad/Shared%20Documents/General/EAF/CSI(nieuwe%20sharepoint)%202025/2.%20Februari/EAF%2023022025%205771%20Gent%20Herman%20Meersman%2032387.pdf?csf=1&amp;web=1&amp;e=x69pKD" TargetMode="External"/><Relationship Id="rId141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HfmvPV" TargetMode="External"/><Relationship Id="rId379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58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793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8yhoPZ" TargetMode="External"/><Relationship Id="rId807" Type="http://schemas.openxmlformats.org/officeDocument/2006/relationships/table" Target="../tables/table1.xml"/><Relationship Id="rId7" Type="http://schemas.openxmlformats.org/officeDocument/2006/relationships/hyperlink" Target="../../../../../../../../../../../../../../../../../../../../../../../:b:/r/teams/CTM-OTGentStad/Shared%20Documents/General/EAF/CSI(nieuwe%20sharepoint)%202025/1.%20Januari/EAF%205912%20Blandijnberg%2010012025%20Yassine%20Taibi.pdf?csf=1&amp;web=1&amp;e=ZroY3r" TargetMode="External"/><Relationship Id="rId239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446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653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292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06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87" Type="http://schemas.openxmlformats.org/officeDocument/2006/relationships/hyperlink" Target="../../../../../../../../../../../../../../../../../../../../../../../:b:/r/teams/CTM-OTGentStad/Shared%20Documents/General/EAF/CSI(nieuwe%20sharepoint)%202025/2.%20Februari/EAF%205229%20Rooigemlaan%20Gent%2021022025.pdf?csf=1&amp;web=1&amp;e=1D4jGJ" TargetMode="External"/><Relationship Id="rId51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9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720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15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Uv1vjf" TargetMode="External"/><Relationship Id="rId457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664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1.%20Januari/EAF%205260%20Gent%20De%20Guchteneerestraat%2013012025%20Van%20Damme%20Glenn.pdf?csf=1&amp;web=1&amp;e=xXyBC8" TargetMode="External"/><Relationship Id="rId317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52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731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0N02H" TargetMode="External"/><Relationship Id="rId98" Type="http://schemas.openxmlformats.org/officeDocument/2006/relationships/hyperlink" Target="../../../../../../../../../../../../../../../../../../../../../../../:b:/r/teams/CTM-OTGentStad/Shared%20Documents/General/EAF/CSI(nieuwe%20sharepoint)%202025/3.%20Maart/EAF%2006032025%206314%20Gent%2016897%20Andy%20Vandendaele.pdf?csf=1&amp;web=1&amp;e=YVdKFf" TargetMode="External"/><Relationship Id="rId163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8ZGw7K" TargetMode="External"/><Relationship Id="rId370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0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468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675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25" Type="http://schemas.openxmlformats.org/officeDocument/2006/relationships/hyperlink" Target="../../../../../../../../../../../../../../../../../../../../../../../:b:/r/teams/CTM-OTGentStad/Shared%20Documents/General/EAF/CSI(nieuwe%20sharepoint)%202025/1.%20Januari/EAF%206357%20Brusselsesteenweg%20Gentbrugge%2016012025.pdf?csf=1&amp;web=1&amp;e=DzBEL9" TargetMode="External"/><Relationship Id="rId328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53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742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fHtEkg" TargetMode="External"/><Relationship Id="rId174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T0xayI" TargetMode="External"/><Relationship Id="rId381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60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41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479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686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36" Type="http://schemas.openxmlformats.org/officeDocument/2006/relationships/hyperlink" Target="../../../../../../../../../../../../../../../../../../../../../../../:b:/r/teams/CTM-OTGentStad/Shared%20Documents/General/EAF/CSI(nieuwe%20sharepoint)%202025/1.%20Januari/EAF%205923%20Gent%20Moerman%20Jimmy%2040138%2028012025.pdf?csf=1&amp;web=1&amp;e=I6qfcm" TargetMode="External"/><Relationship Id="rId339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54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753" Type="http://schemas.openxmlformats.org/officeDocument/2006/relationships/hyperlink" Target="../../../../../../:b:/r/teams/CTM-OTGentStad/Shared%20Documents/General/EAF/CSI(nieuwe%20sharepoint)%202025/6.%20Juni/EAF%2028062025%20Ozer%20Mesut.pdf?csf=1&amp;web=1&amp;e=NjfrJo" TargetMode="External"/><Relationship Id="rId101" Type="http://schemas.openxmlformats.org/officeDocument/2006/relationships/hyperlink" Target="../../../../../../../../../../../../../../../../../../../../../../../:b:/r/teams/CTM-OTGentStad/Shared%20Documents/General/EAF/CSI(nieuwe%20sharepoint)%202025/3.%20Maart/EAF%2010032025%205938%20Gent%2035845%20Yaseeb%20Jalili.pdf?csf=1&amp;web=1&amp;e=n9wMGC" TargetMode="External"/><Relationship Id="rId18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iQFa9l" TargetMode="External"/><Relationship Id="rId406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92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61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97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252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47" Type="http://schemas.openxmlformats.org/officeDocument/2006/relationships/hyperlink" Target="../../../../../../../../../../../../../../../../../../../../../../../:b:/r/teams/CTM-OTGentStad/Shared%20Documents/General/EAF/CSI(nieuwe%20sharepoint)%202025/2.%20Februari/EAF%205935%20Steenakker%2005022025%20Dorien%20De%20Keyser.pdf?csf=1&amp;web=1&amp;e=sYVzDg" TargetMode="External"/><Relationship Id="rId112" Type="http://schemas.openxmlformats.org/officeDocument/2006/relationships/hyperlink" Target="../../../../../../../../../../../../../../../../../../../../../../../:b:/r/teams/CTM-OTGentStad/Shared%20Documents/General/EAF/CSI(nieuwe%20sharepoint)%202025/3.%20Maart/EAF%202549%20-%20gent%20-%2018032025%20Ardic%20Attila.pdf?csf=1&amp;web=1&amp;e=FCNiEY" TargetMode="External"/><Relationship Id="rId55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764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zkCUte" TargetMode="External"/><Relationship Id="rId196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Wk9HcY" TargetMode="External"/><Relationship Id="rId417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624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263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470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8" Type="http://schemas.openxmlformats.org/officeDocument/2006/relationships/hyperlink" Target="../../../../../../../../../../../../../../../../../../../../../../../:b:/r/teams/CTM-OTGentStad/Shared%20Documents/General/EAF/CSI(nieuwe%20sharepoint)%202025/2.%20Februari/EAF%206364%20Koning%20Albertlaan%2015022025%20Franky%20Wauters.pdf?csf=1&amp;web=1&amp;e=stVfhJ" TargetMode="External"/><Relationship Id="rId123" Type="http://schemas.openxmlformats.org/officeDocument/2006/relationships/hyperlink" Target="../../../../../../../../../../../../../../../../../../../../../../../:b:/r/teams/CTM-OTGentStad/Shared%20Documents/General/EAF/CSI(nieuwe%20sharepoint)%202025/3.%20Maart/EAF%205922%20Kartuizerlaan%20Gent%2018.03.2025%20De%20Meyer%20Karel%2035246.pdf?csf=1&amp;web=1&amp;e=uxB3tw" TargetMode="External"/><Relationship Id="rId330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56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775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muwk2T" TargetMode="External"/><Relationship Id="rId428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635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274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481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702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Doornzelestraat%2020022025%20Yana%20Van%20Holsbeeck.pdf?csf=1&amp;web=1&amp;e=7bbt8A" TargetMode="External"/><Relationship Id="rId134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QAwW4O" TargetMode="External"/><Relationship Id="rId57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786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g6GJiC" TargetMode="External"/><Relationship Id="rId341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439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646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201" Type="http://schemas.openxmlformats.org/officeDocument/2006/relationships/hyperlink" Target="../../../../../../:b:/r/teams/CTM-OTGentStad/Shared%20Documents/General/EAF/CSI(nieuwe%20sharepoint)%202025/5.%20Mei/EAF%206314%20gent%2026052025%2036438.pdf?csf=1&amp;web=1&amp;e=UHNisa" TargetMode="External"/><Relationship Id="rId285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50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492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13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797" Type="http://schemas.openxmlformats.org/officeDocument/2006/relationships/hyperlink" Target="../../../../../../:b:/r/teams/CTM-OTGentStad/Shared%20Documents/General/EAF/CSI(nieuwe%20sharepoint)%202025/7.%20Juli/EAF%202269%20Dendermondsesteenweg%20Destelbergen%2023062025.pdf?csf=1&amp;web=1&amp;e=IgkD1L" TargetMode="External"/><Relationship Id="rId145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352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212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657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6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51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724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0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156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c6KW1m" TargetMode="External"/><Relationship Id="rId363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57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223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430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668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18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52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73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PihG1b" TargetMode="External"/><Relationship Id="rId167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mlR4mg" TargetMode="External"/><Relationship Id="rId374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58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71" Type="http://schemas.openxmlformats.org/officeDocument/2006/relationships/hyperlink" Target="../../../../../../../../../../../../../../../../../../../../../../../:b:/r/teams/CTM-OTGentStad/Shared%20Documents/General/EAF/CSI(nieuwe%20sharepoint)%202025/2.%20Februari/EAF%206364%20Gent%2023022025%20De%20Meulenaere%20Eric%209824.pdf?csf=1&amp;web=1&amp;e=hMsCQ2" TargetMode="External"/><Relationship Id="rId234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679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80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dnUF5Z" TargetMode="External"/><Relationship Id="rId2" Type="http://schemas.openxmlformats.org/officeDocument/2006/relationships/hyperlink" Target="../../../../../../../../../../../../../../../../../../../../../../../:b:/r/teams/CTM-OTGentStad/Shared%20Documents/General/EAF/CSI(nieuwe%20sharepoint)%202025/1.%20Januari/EAF%205048%2003012024%20Gentsestwg.pdf?csf=1&amp;web=1&amp;e=aFMjJX" TargetMode="External"/><Relationship Id="rId29" Type="http://schemas.openxmlformats.org/officeDocument/2006/relationships/hyperlink" Target="../../../../../../../../../../../../../../../../../../../../../../../:b:/r/teams/CTM-OTGentStad/Shared%20Documents/General/EAF/CSI(nieuwe%20sharepoint)%202025/1.%20Januari/EAF%206320%20Gentbrugge%2023012025.pdf?csf=1&amp;web=1&amp;e=RUAru3" TargetMode="External"/><Relationship Id="rId441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53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746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w6Wcfg" TargetMode="External"/><Relationship Id="rId178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VaHigG" TargetMode="External"/><Relationship Id="rId301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82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385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59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60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245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452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105" Type="http://schemas.openxmlformats.org/officeDocument/2006/relationships/hyperlink" Target="../../../../../../../../../../../../../../../../../../../../../../../:b:/r/teams/CTM-OTGentStad/Shared%20Documents/General/EAF/CSI(nieuwe%20sharepoint)%202025/3.%20Maart/EAF%205237%20Gent%2012032025%2039532%20Orhan%20Sahin.pdf?csf=1&amp;web=1&amp;e=nuID64" TargetMode="External"/><Relationship Id="rId312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757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SxEukA" TargetMode="External"/><Relationship Id="rId93" Type="http://schemas.openxmlformats.org/officeDocument/2006/relationships/hyperlink" Target="../../../../../../../../../../../../../../../../../../../../../../../:b:/r/teams/CTM-OTGentStad/Shared%20Documents/General/EAF/CSI(nieuwe%20sharepoint)%202025/3.%20Maart/EAF%2005032025%205042%20Gent%2040591%20Mahmoud%20Hiloui.pdf?csf=1&amp;web=1&amp;e=rnxvpg" TargetMode="External"/><Relationship Id="rId189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Useogf" TargetMode="External"/><Relationship Id="rId396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617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8RxC0M" TargetMode="External"/><Relationship Id="rId256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463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670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116" Type="http://schemas.openxmlformats.org/officeDocument/2006/relationships/hyperlink" Target="../../../../../../../../../../../../../../../../../../../../../../../:b:/r/teams/CTM-OTGentStad/Shared%20Documents/General/EAF/CSI(nieuwe%20sharepoint)%202025/3.%20Maart/EAF%205045%20Rooigemlaan%20Gent%2018032025.pdf?csf=1&amp;web=1&amp;e=T64n4k" TargetMode="External"/><Relationship Id="rId323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53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768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3wH0Ua" TargetMode="External"/><Relationship Id="rId20" Type="http://schemas.openxmlformats.org/officeDocument/2006/relationships/hyperlink" Target="../../../../../../../../../../../../../../../../../../../../../../../:b:/r/teams/CTM-OTGentStad/Shared%20Documents/General/EAF/CSI(nieuwe%20sharepoint)%202025/1.%20Januari/EAF%206334%2015012025%20Neuseplein%20Fatih%20Taser.pdf?csf=1&amp;web=1&amp;e=amwiDh" TargetMode="External"/><Relationship Id="rId628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267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474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127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Z1YyKX" TargetMode="External"/><Relationship Id="rId681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779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IjQv3b" TargetMode="External"/><Relationship Id="rId31" Type="http://schemas.openxmlformats.org/officeDocument/2006/relationships/hyperlink" Target="../../../../../../../../../../../../../../../../../../../../../../../:b:/r/teams/CTM-OTGentStad/Shared%20Documents/General/EAF/CSI(nieuwe%20sharepoint)%202025/1.%20Januari/EAF%206325%20Gent%2023012025.pdf?csf=1&amp;web=1&amp;e=GBaYyr" TargetMode="External"/><Relationship Id="rId334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54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639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180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m7uD1p" TargetMode="External"/><Relationship Id="rId278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401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485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692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706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42" Type="http://schemas.openxmlformats.org/officeDocument/2006/relationships/hyperlink" Target="../../../../../../../../../../../../../../../../../../../../../../../:b:/r/teams/CTM-OTGentStad/Shared%20Documents/General/EAF/CSI(nieuwe%20sharepoint)%202025/2.%20Februari/EAF%205048%20E17%20parking%2001022025.pdf?csf=1&amp;web=1&amp;e=g5k3g8" TargetMode="External"/><Relationship Id="rId13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OwKi2s" TargetMode="External"/><Relationship Id="rId345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55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19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4lzI34" TargetMode="External"/><Relationship Id="rId205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MR6m7A" TargetMode="External"/><Relationship Id="rId412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89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496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s3Scse" TargetMode="External"/><Relationship Id="rId717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3" Type="http://schemas.openxmlformats.org/officeDocument/2006/relationships/hyperlink" Target="../../../../../../../../../../../../../../../../../../../../../../../:b:/r/teams/CTM-OTGentStad/Shared%20Documents/General/EAF/CSI(nieuwe%20sharepoint)%202025/2.%20Februari/EAF%206317%20Gent%2006022025%2017951%20Claude%20Lega.pdf?csf=1&amp;web=1&amp;e=eK0gGq" TargetMode="External"/><Relationship Id="rId149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IuAyAi" TargetMode="External"/><Relationship Id="rId356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56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770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gjyBh3" TargetMode="External"/><Relationship Id="rId216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423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0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728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84DrjB" TargetMode="External"/><Relationship Id="rId64" Type="http://schemas.openxmlformats.org/officeDocument/2006/relationships/hyperlink" Target="../../../../../../../../../../../../../../../../../../../../../../../:b:/r/teams/CTM-OTGentStad/Shared%20Documents/General/EAF/CSI(nieuwe%20sharepoint)%202025/2.%20Februari/EAF%205927%20Doornzelestraat%2018022025%20Jeroen%20Hoeckman.pdf?csf=1&amp;web=1&amp;e=QVGoKV" TargetMode="External"/><Relationship Id="rId367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57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227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78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12Oj4V" TargetMode="External"/><Relationship Id="rId434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641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739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EL8rzu" TargetMode="External"/><Relationship Id="rId33" Type="http://schemas.openxmlformats.org/officeDocument/2006/relationships/hyperlink" Target="../../../../../../../../../../../../../../../../../../../../../../../:b:/r/teams/CTM-OTGentStad/Shared%20Documents/General/EAF/CSI(nieuwe%20sharepoint)%202025/1.%20Januari/EAF%205267%20Ledebergplein%2027012025%20Achraf%20Cesmeli.pdf?csf=1&amp;web=1&amp;e=c0MQiF" TargetMode="External"/><Relationship Id="rId129" Type="http://schemas.openxmlformats.org/officeDocument/2006/relationships/hyperlink" Target="../../../../../../:b:/r/teams/CTM-OTGentStad/Shared%20Documents/General/EAF/CSI(nieuwe%20sharepoint)%202025/3.%20Maart/EAF%2039581%205261%20%20Gent%2028032025%2039581%20Linus%20Vandenhoute.pdf?csf=1&amp;web=1&amp;e=1OENdK" TargetMode="External"/><Relationship Id="rId280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336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50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54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75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06022025%2040856%20Neissi%20Sadegh.pdf?csf=1&amp;web=1&amp;e=gbmZyo" TargetMode="External"/><Relationship Id="rId140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GE90n4" TargetMode="External"/><Relationship Id="rId182" Type="http://schemas.openxmlformats.org/officeDocument/2006/relationships/hyperlink" Target="../../../../../../:b:/r/teams/CTM-OTGentStad/Shared%20Documents/General/EAF/CSI(nieuwe%20sharepoint)%202025/5.%20Mei/EAF%202198%20Voskenslaan%2002052025.pdf?csf=1&amp;web=1&amp;e=JQU2ot" TargetMode="External"/><Relationship Id="rId378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403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58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750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jv9aFX" TargetMode="External"/><Relationship Id="rId79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a7T8ZV" TargetMode="External"/><Relationship Id="rId806" Type="http://schemas.openxmlformats.org/officeDocument/2006/relationships/drawing" Target="../drawings/drawing2.xm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8%20Gent%20Sint-Pieters%2003012025.pdf?csf=1&amp;web=1&amp;e=MuONUM" TargetMode="External"/><Relationship Id="rId238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445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87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61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52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94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08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291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305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47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51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44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86" Type="http://schemas.openxmlformats.org/officeDocument/2006/relationships/hyperlink" Target="../../../../../../../../../../../../../../../../../../../../../../../:b:/r/teams/CTM-OTGentStad/Shared%20Documents/General/EAF/CSI(nieuwe%20sharepoint)%202025/2.%20Februari/EAF%205914%20Gent%20Stapelplein%2025.02.2025%20Minbari%20Ako.pdf?csf=1&amp;web=1&amp;e=0HKBPM" TargetMode="External"/><Relationship Id="rId151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jpLotd" TargetMode="External"/><Relationship Id="rId389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55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59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761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EYTTyn" TargetMode="External"/><Relationship Id="rId193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C97cEj" TargetMode="External"/><Relationship Id="rId207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249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414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56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9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621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63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1.%20Januari/EAF%205927%20Nieuwe%20Wandeling%20Gent%2014012025.pdf?csf=1&amp;web=1&amp;e=gHQL1e" TargetMode="External"/><Relationship Id="rId109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260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316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52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719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5" Type="http://schemas.openxmlformats.org/officeDocument/2006/relationships/hyperlink" Target="../../../../../../../../../../../../../../../../../../../../../../../:b:/r/teams/CTM-OTGentStad/Shared%20Documents/General/EAF/CSI(nieuwe%20sharepoint)%202025/2.%20Februari/EAF%205909%20Antoon%20Sanderuusstraat%2014022025%20Tony%20De%20Pauw.pdf?csf=1&amp;web=1&amp;e=pO9W6z" TargetMode="External"/><Relationship Id="rId97" Type="http://schemas.openxmlformats.org/officeDocument/2006/relationships/hyperlink" Target="../../../../../../../../../../../../../../../../../../../../../../../:b:/r/teams/CTM-OTGentStad/Shared%20Documents/General/EAF/CSI(nieuwe%20sharepoint)%202025/3.%20Maart/EAF%2006032025%206313%20Gent%2029674%20Geoffrey%20Martens.pdf?csf=1&amp;web=1&amp;e=9Actf9" TargetMode="External"/><Relationship Id="rId120" Type="http://schemas.openxmlformats.org/officeDocument/2006/relationships/hyperlink" Target="../../../../../../../../../../../../../../../../../../../../../../../:b:/r/teams/CTM-OTGentStad/Shared%20Documents/General/EAF/CSI(nieuwe%20sharepoint)%202025/3.%20Maart/EAF%208138%20gent%2020032025%2041520%20Avery%20smets.pdf?csf=1&amp;web=1&amp;e=noogwJ" TargetMode="External"/><Relationship Id="rId358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56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730" Type="http://schemas.openxmlformats.org/officeDocument/2006/relationships/hyperlink" Target="../../../../../../:i:/r/teams/CTM-OTGentStad/Shared%20Documents/General/EAF/CSI(nieuwe%20sharepoint)%202025/1.%20Januari/achterkant.jpg?csf=1&amp;web=1&amp;e=DFmah2" TargetMode="External"/><Relationship Id="rId772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Q9kzja" TargetMode="External"/><Relationship Id="rId162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tv0xVJ" TargetMode="External"/><Relationship Id="rId218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425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67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632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271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674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24" Type="http://schemas.openxmlformats.org/officeDocument/2006/relationships/hyperlink" Target="../../../../../../../../../../../../../../../../../../../../../../../:b:/r/teams/CTM-OTGentStad/Shared%20Documents/General/EAF/CSI(nieuwe%20sharepoint)%202025/1.%20Januari/EAF%205040%20Gent%2020012025.pdf?csf=1&amp;web=1&amp;e=a9x7Ar" TargetMode="External"/><Relationship Id="rId66" Type="http://schemas.openxmlformats.org/officeDocument/2006/relationships/hyperlink" Target="../../../../../../../../../../../../../../../../../../../../../../../:b:/r/teams/CTM-OTGentStad/Shared%20Documents/General/EAF/CSI(nieuwe%20sharepoint)%202025/2.%20Februari/EAF%206317%20Gent%2012022025%20392967%20Van%20Holsbeeck%20Jens.pdf?csf=1&amp;web=1&amp;e=ccsZHJ" TargetMode="External"/><Relationship Id="rId131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K9fwuM" TargetMode="External"/><Relationship Id="rId327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69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53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57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741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tTHkYC" TargetMode="External"/><Relationship Id="rId783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gKNdbT" TargetMode="External"/><Relationship Id="rId173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UggWDV" TargetMode="External"/><Relationship Id="rId229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380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436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60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643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240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478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685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35" Type="http://schemas.openxmlformats.org/officeDocument/2006/relationships/hyperlink" Target="../../../../../../../../../../../../../../../../../../../../../../../:b:/r/teams/CTM-OTGentStad/Shared%20Documents/General/EAF/CSI(nieuwe%20sharepoint)%202025/1.%20Januari/EAF%2029012025%205763%20Gent%20%20Patrick%20Verschraegen%2033640.pdf?csf=1&amp;web=1&amp;e=KM0juh" TargetMode="External"/><Relationship Id="rId77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0" Type="http://schemas.openxmlformats.org/officeDocument/2006/relationships/hyperlink" Target="../../../../../../../../../../../../../../../../../../../../../../../:b:/r/teams/CTM-OTGentStad/Shared%20Documents/General/EAF/CSI(nieuwe%20sharepoint)%202025/3.%20Maart/EAF%2009032025%205932%20Gent%2040939%20Cisse%20Sayon.pdf?csf=1&amp;web=1&amp;e=WtzGZ6" TargetMode="External"/><Relationship Id="rId282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338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50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54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58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710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52" Type="http://schemas.openxmlformats.org/officeDocument/2006/relationships/hyperlink" Target="../../../../../../:b:/r/teams/CTM-OTGentStad/Shared%20Documents/General/EAF/CSI(nieuwe%20sharepoint)%202025/6.%20Juni/EAF%206339%20Gent%2024062025%2038634.pdf?csf=1&amp;web=1&amp;e=FwI5Jm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5328%20Gent%20-%20E17%2012012025%20Abdi%20Shane%20Rashid.pdf?csf=1&amp;web=1&amp;e=C88Tue" TargetMode="External"/><Relationship Id="rId142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Vttp01" TargetMode="External"/><Relationship Id="rId184" Type="http://schemas.openxmlformats.org/officeDocument/2006/relationships/hyperlink" Target="../../../../../../:b:/r/teams/CTM-OTGentStad/Shared%20Documents/General/EAF/CSI(nieuwe%20sharepoint)%202025/5.%20Mei/EAF%205047%20Einde%20Were%20Gent%2011052025.pdf?csf=1&amp;web=1&amp;e=q55fGv" TargetMode="External"/><Relationship Id="rId391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405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47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61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794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AK8Ac4" TargetMode="External"/><Relationship Id="rId251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489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654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696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46" Type="http://schemas.openxmlformats.org/officeDocument/2006/relationships/hyperlink" Target="../../../../../../../../../../../../../../../../../../../../../../../:b:/r/teams/CTM-OTGentStad/Shared%20Documents/General/EAF/CSI(nieuwe%20sharepoint)%202025/2.%20Februari/EAF%205911%20Gent%2021424%20Verstichel%20Jethro%2003022025.pdf?csf=1&amp;web=1&amp;e=Dm6yZg" TargetMode="External"/><Relationship Id="rId293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07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49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51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5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721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63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G28Fno" TargetMode="External"/><Relationship Id="rId88" Type="http://schemas.openxmlformats.org/officeDocument/2006/relationships/hyperlink" Target="../../../../../../../../../../../../../../../../../../../../../../../:b:/r/teams/CTM-OTGentStad/Shared%20Documents/General/EAF/CSI(nieuwe%20sharepoint)%202025/2.%20Februari/EAF%205240%20Tweekapellenstraat%20Gentbrugge%2013022025%20Antoon%20De%20Meyer%206229.pdf?csf=1&amp;web=1&amp;e=o2SW5z" TargetMode="External"/><Relationship Id="rId111" Type="http://schemas.openxmlformats.org/officeDocument/2006/relationships/hyperlink" Target="../../../../../../../../../../../../../../../../../../../../../../../:b:/r/teams/CTM-OTGentStad/Shared%20Documents/General/EAF/CSI(nieuwe%20sharepoint)%202025/3.%20Maart/EAF%206303%20Gent%2009032025%2025487stefaan%20Devos.pdf?csf=1&amp;web=1&amp;e=60wyDS" TargetMode="External"/><Relationship Id="rId153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X844NG" TargetMode="External"/><Relationship Id="rId195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IMRgoH" TargetMode="External"/><Relationship Id="rId209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360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416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59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220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458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623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5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1.%20Januari/EAF%205920%20Gent%2015012025.pdf?csf=1&amp;web=1&amp;e=jfXJr3" TargetMode="External"/><Relationship Id="rId57" Type="http://schemas.openxmlformats.org/officeDocument/2006/relationships/hyperlink" Target="../../../../../../../../../../../../../../../../../../../../../../../:b:/r/teams/CTM-OTGentStad/Shared%20Documents/General/EAF/CSI(nieuwe%20sharepoint)%202025/2.%20Februari/EAF%205241%20Gentbruggebrug%2014.02.2025.pdf?csf=1&amp;web=1&amp;e=gX3QC0" TargetMode="External"/><Relationship Id="rId262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318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52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6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732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aYv13D" TargetMode="External"/><Relationship Id="rId99" Type="http://schemas.openxmlformats.org/officeDocument/2006/relationships/hyperlink" Target="../../../../../../../../../../../../../../../../../../../../../../../:b:/r/teams/CTM-OTGentStad/Shared%20Documents/General/EAF/CSI(nieuwe%20sharepoint)%202025/3.%20Maart/EAF%2009032025%205040%20Gent%2028910%20Gassa%20Osmane.pdf?csf=1&amp;web=1&amp;e=7AKEvf" TargetMode="External"/><Relationship Id="rId122" Type="http://schemas.openxmlformats.org/officeDocument/2006/relationships/hyperlink" Target="../../../../../../../../../../../../../../../../../../../../../../../:b:/r/teams/CTM-OTGentStad/Shared%20Documents/General/EAF/CSI(nieuwe%20sharepoint)%202025/3.%20Maart/EAF%205911%20Gent%2006032025%2032091%20Ercan%20Koroglu.pdf?csf=1&amp;web=1&amp;e=0NA2d0" TargetMode="External"/><Relationship Id="rId164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FMnrwt" TargetMode="External"/><Relationship Id="rId371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774" Type="http://schemas.openxmlformats.org/officeDocument/2006/relationships/hyperlink" Target="../../../../../../:b:/r/teams/CTM-OTGentStad/Shared%20Documents/General/EAF/CSI(nieuwe%20sharepoint)%202025/7.%20Juli/EAF%202196%2010072025%20Gent.pdf?csf=1&amp;web=1&amp;e=Bq1P33" TargetMode="External"/><Relationship Id="rId427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69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634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676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26" Type="http://schemas.openxmlformats.org/officeDocument/2006/relationships/hyperlink" Target="../../../../../../../../../../../../../../../../../../../../../../../:b:/r/teams/CTM-OTGentStad/Shared%20Documents/General/EAF/CSI(nieuwe%20sharepoint)%202025/1.%20Januari/EAF%206324%20Poperingestraat%20Gent%2022012025.pdf?csf=1&amp;web=1&amp;e=eub2gI" TargetMode="External"/><Relationship Id="rId231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273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329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480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53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701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68" Type="http://schemas.openxmlformats.org/officeDocument/2006/relationships/hyperlink" Target="../../../../../../../../../../../../../../../../../../../../../../../:b:/r/teams/CTM-OTGentStad/Shared%20Documents/General/EAF/CSI(nieuwe%20sharepoint)%202025/2.%20Februari/EAF%206333%20Brusselsesteenweg%20Gentbrugge%2020022025.pdf?csf=1&amp;web=1&amp;e=vnp0RV" TargetMode="External"/><Relationship Id="rId133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xa9ejQ" TargetMode="External"/><Relationship Id="rId175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HTezdX" TargetMode="External"/><Relationship Id="rId340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57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743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hGpOjG" TargetMode="External"/><Relationship Id="rId785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yqbb44" TargetMode="External"/><Relationship Id="rId200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iK99mh" TargetMode="External"/><Relationship Id="rId382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438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60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645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687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242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284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491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50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712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37" Type="http://schemas.openxmlformats.org/officeDocument/2006/relationships/hyperlink" Target="../../../../../../../../../../../../../../../../../../../../../../../:b:/r/teams/CTM-OTGentStad/Shared%20Documents/General/EAF/CSI(nieuwe%20sharepoint)%202025/1.%20Januari/EAF%205039%20Gent%20Smet%20Antoon%208394%2020012025.pdf?csf=1&amp;web=1&amp;e=pg5gs7" TargetMode="External"/><Relationship Id="rId79" Type="http://schemas.openxmlformats.org/officeDocument/2006/relationships/hyperlink" Target="../../../../../../../../../../../../../../../../../../../../../../../:b:/r/teams/CTM-OTGentStad/Shared%20Documents/General/EAF/CSI(nieuwe%20sharepoint)%202025/2.%20Februari/EAF%202195%20Gentsesteenweg%20Deinze%2019.02.2025.pdf?csf=1&amp;web=1&amp;e=7AyK0J" TargetMode="External"/><Relationship Id="rId102" Type="http://schemas.openxmlformats.org/officeDocument/2006/relationships/hyperlink" Target="../../../../../../../../../../../../../../../../../../../../../../../:b:/r/teams/CTM-OTGentStad/Shared%20Documents/General/EAF/CSI(nieuwe%20sharepoint)%202025/1.%20Januari/EAF%205235%20Nieuwe%20Wandeling%20Gent%2028012025.pdf?csf=1&amp;web=1&amp;e=ebCDgZ" TargetMode="External"/><Relationship Id="rId144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lPWbfO" TargetMode="External"/><Relationship Id="rId54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8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75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R03sGO" TargetMode="External"/><Relationship Id="rId796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Id9Pcy" TargetMode="External"/><Relationship Id="rId90" Type="http://schemas.openxmlformats.org/officeDocument/2006/relationships/hyperlink" Target="../../../../../../../../../../../../../../../../../../../../../../../:b:/r/teams/CTM-OTGentStad/Shared%20Documents/General/EAF/CSI(nieuwe%20sharepoint)%202025/3.%20Maart/EAF%205325%20Gent%2011032025%2040138%20Tjimmy%20Moerman.pdf?csf=1&amp;web=1&amp;e=TbjdXl" TargetMode="External"/><Relationship Id="rId186" Type="http://schemas.openxmlformats.org/officeDocument/2006/relationships/hyperlink" Target="../../../../../../:b:/r/teams/CTM-OTGentStad/Shared%20Documents/General/EAF/CSI(nieuwe%20sharepoint)%202025/5.%20Mei/EAF%205265%20Gent%2013052025.pdf?csf=1&amp;web=1&amp;e=wGhFqH" TargetMode="External"/><Relationship Id="rId351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93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07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RngxgJ" TargetMode="External"/><Relationship Id="rId449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61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56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211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253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95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09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460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51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698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48" Type="http://schemas.openxmlformats.org/officeDocument/2006/relationships/hyperlink" Target="../../../../../../../../../../../../../../../../../../../../../../../:b:/r/teams/CTM-OTGentStad/Shared%20Documents/General/EAF/CSI(nieuwe%20sharepoint)%202025/2.%20Februari/EAF%205327%20Sint-Pietersstation%20Gent%2003.02.2025.pdf?csf=1&amp;web=1&amp;e=7c0JJD" TargetMode="External"/><Relationship Id="rId113" Type="http://schemas.openxmlformats.org/officeDocument/2006/relationships/hyperlink" Target="../../../../../../../../../../../../../../../../../../../../../../../:b:/r/teams/CTM-OTGentStad/Shared%20Documents/General/EAF/CSI(nieuwe%20sharepoint)%202025/3.%20Maart/EAF%205770%20Gent%2019032025%20410092%20Dorien%20De%20Keyser.pdf?csf=1&amp;web=1&amp;e=jshoDl" TargetMode="External"/><Relationship Id="rId320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55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723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5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KlmnO4" TargetMode="External"/><Relationship Id="rId155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pAMbDe" TargetMode="External"/><Relationship Id="rId197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bvfr9s" TargetMode="External"/><Relationship Id="rId362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418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625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222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64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471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667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59" Type="http://schemas.openxmlformats.org/officeDocument/2006/relationships/hyperlink" Target="../../../../../../../../../../../../../../../../../../../../../../../:b:/r/teams/CTM-OTGentStad/Shared%20Documents/General/EAF/CSI(nieuwe%20sharepoint)%202025/2.%20Februari/EAF%205052%20Antoon%20Catriestraat%2011022025%20Eva%20Teetaert.pdf?csf=1&amp;web=1&amp;e=Be65Jd" TargetMode="External"/><Relationship Id="rId124" Type="http://schemas.openxmlformats.org/officeDocument/2006/relationships/hyperlink" Target="../../../../../../../../../../../../../../../../../../../../../../../:b:/r/teams/CTM-OTGentStad/Shared%20Documents/General/EAF/CSI(nieuwe%20sharepoint)%202025/3.%20Maart/EAF%202197%20Gent%2025032025%2031600%20Tom%20Mertens.pdf?csf=1&amp;web=1&amp;e=VNHTbI" TargetMode="External"/><Relationship Id="rId52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6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734" Type="http://schemas.openxmlformats.org/officeDocument/2006/relationships/hyperlink" Target="../../../../../../:b:/r/teams/CTM-OTGentStad/Shared%20Documents/General/EAF/CSI(nieuwe%20sharepoint)%202025/5.%20Mei/EAF%2026052025.pdf?csf=1&amp;web=1&amp;e=serNyJ" TargetMode="External"/><Relationship Id="rId77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EvU7YK" TargetMode="External"/><Relationship Id="rId70" Type="http://schemas.openxmlformats.org/officeDocument/2006/relationships/hyperlink" Target="../../../../../../../../../../../../../../../../../../../../../../../:b:/r/teams/CTM-OTGentStad/Shared%20Documents/General/EAF/CSI(nieuwe%20sharepoint)%202025/2.%20Februari/EAF%205929%20Koer%20stelplaats%20Gentbrugge%2021.02.2025.pdf?csf=1&amp;web=1&amp;e=9V0YIc" TargetMode="External"/><Relationship Id="rId166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9PgaMv" TargetMode="External"/><Relationship Id="rId331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373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429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58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636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801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clwgVG" TargetMode="External"/><Relationship Id="rId1" Type="http://schemas.openxmlformats.org/officeDocument/2006/relationships/hyperlink" Target="../../../../../../../../../../../../../../../../../../../../../../../:b:/r/teams/CTM-OTGentStad/Shared%20Documents/General/EAF/CSI(nieuwe%20sharepoint)%202025/1.%20Januari/EAF%2014012025%205771%20Gent%20melisa%20kerman.pdf?csf=1&amp;web=1&amp;e=dEk7MG" TargetMode="External"/><Relationship Id="rId233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440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678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28" Type="http://schemas.openxmlformats.org/officeDocument/2006/relationships/hyperlink" Target="../../../../../../../../../../../../../../../../../../../../../../../:b:/r/teams/CTM-OTGentStad/Shared%20Documents/General/EAF/CSI(nieuwe%20sharepoint)%202025/1.%20Januari/EAF%206355%20Gent%2017012025.pdf?csf=1&amp;web=1&amp;e=nubr3y" TargetMode="External"/><Relationship Id="rId275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300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482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53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703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745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Z89sCK" TargetMode="External"/><Relationship Id="rId81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Steendam%20Gent%2022.02.2025%20om%2017u24.pdf?csf=1&amp;web=1&amp;e=xnBRRe" TargetMode="External"/><Relationship Id="rId135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3HjgKI" TargetMode="External"/><Relationship Id="rId177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GUlShf" TargetMode="External"/><Relationship Id="rId342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384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59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60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78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JwU8L4" TargetMode="External"/><Relationship Id="rId202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Wgg6qW" TargetMode="External"/><Relationship Id="rId244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647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89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39" Type="http://schemas.openxmlformats.org/officeDocument/2006/relationships/hyperlink" Target="../../../../../../../../../../../../../../../../../../../../../../../:b:/r/teams/CTM-OTGentStad/Shared%20Documents/General/EAF/CSI(nieuwe%20sharepoint)%202025/1.%20Januari/EAF%206368%20Zwijnaarde%2021424%20Verstichel%20Jethro%2029012025.pdf?csf=1&amp;web=1&amp;e=BBQkb0" TargetMode="External"/><Relationship Id="rId286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451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493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50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4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714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756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AgZp30" TargetMode="External"/><Relationship Id="rId50" Type="http://schemas.openxmlformats.org/officeDocument/2006/relationships/hyperlink" Target="../../../../../../../../../../../../../../../../../../../../../../../:b:/r/teams/CTM-OTGentStad/Shared%20Documents/General/EAF/CSI(nieuwe%20sharepoint)%202025/2.%20Februari/EAF%205325%20Wittewalle%20Oostakker%2005022025.pdf?csf=1&amp;web=1&amp;e=qSyk4B" TargetMode="External"/><Relationship Id="rId104" Type="http://schemas.openxmlformats.org/officeDocument/2006/relationships/hyperlink" Target="../../../../../../../../../../../../../../../../../../../../../../../:b:/r/teams/CTM-OTGentStad/Shared%20Documents/General/EAF/CSI(nieuwe%20sharepoint)%202025/Koer/EAF%205934%20Gentbrugge%2003012025.pdf?csf=1&amp;web=1&amp;e=gA3yxE" TargetMode="External"/><Relationship Id="rId146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cqosLV" TargetMode="External"/><Relationship Id="rId188" Type="http://schemas.openxmlformats.org/officeDocument/2006/relationships/hyperlink" Target="../../../../../../:b:/r/teams/CTM-OTGentStad/Shared%20Documents/General/EAF/CSI(nieuwe%20sharepoint)%202025/5.%20Mei/EAF%20Gent%2001052025%2030967.pdf?csf=1&amp;web=1&amp;e=WyOgNA" TargetMode="External"/><Relationship Id="rId311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353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95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09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56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798" Type="http://schemas.openxmlformats.org/officeDocument/2006/relationships/hyperlink" Target="../../../../../../:b:/r/teams/CTM-OTGentStad/Shared%20Documents/General/EAF/CSI(nieuwe%20sharepoint)%202025/7.%20Juli/EAF%202192%2028072025%20Gent.pdf?csf=1&amp;web=1&amp;e=UsUohr" TargetMode="External"/><Relationship Id="rId92" Type="http://schemas.openxmlformats.org/officeDocument/2006/relationships/hyperlink" Target="../../../../../../../../../../../../../../../../../../../../../../../:b:/r/teams/CTM-OTGentStad/Shared%20Documents/General/EAF/CSI(nieuwe%20sharepoint)%202025/3.%20Maart/EAF%2002032025%205929%20Gent%2038807%20Caroline%20Dossche.pdf?csf=1&amp;web=1&amp;e=7qhNOM" TargetMode="External"/><Relationship Id="rId213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420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616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Y78eDn" TargetMode="External"/><Relationship Id="rId658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255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DATZOL" TargetMode="External"/><Relationship Id="rId297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462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51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725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15" Type="http://schemas.openxmlformats.org/officeDocument/2006/relationships/hyperlink" Target="../../../../../../../../../../../../../../../../../../../../../../../:b:/r/teams/CTM-OTGentStad/Shared%20Documents/General/EAF/CSI(nieuwe%20sharepoint)%202025/3.%20Maart/EAF%206331%20Gent%2017032025%2036635%20FAdel%20Husan.pdf?csf=1&amp;web=1&amp;e=fV1Fsh" TargetMode="External"/><Relationship Id="rId157" Type="http://schemas.openxmlformats.org/officeDocument/2006/relationships/hyperlink" Target="../../../../../../:b:/r/teams/CTM-OTGentStad/Shared%20Documents/General/EAF/CSI(nieuwe%20sharepoint)%202025/4.%20April/EAF%205325%20Baarle%20Dorp%2018042025.pdf?csf=1&amp;web=1&amp;e=OBWyM3" TargetMode="External"/><Relationship Id="rId322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364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767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3B0Dmr" TargetMode="External"/><Relationship Id="rId61" Type="http://schemas.openxmlformats.org/officeDocument/2006/relationships/hyperlink" Target="../../../../../../../../../../../../../../../../../../../../../../../:b:/r/teams/CTM-OTGentStad/Shared%20Documents/General/EAF/CSI(nieuwe%20sharepoint)%202025/2.%20Februari/EAF%205923%20Steendam%20Gent%2018022025.pdf?csf=1&amp;web=1&amp;e=QfJmVX" TargetMode="External"/><Relationship Id="rId199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pOwbrm" TargetMode="External"/><Relationship Id="rId57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27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69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19" Type="http://schemas.openxmlformats.org/officeDocument/2006/relationships/hyperlink" Target="../../../../../../../../../../../../../../../../../../../../../../../:b:/r/teams/CTM-OTGentStad/Shared%20Documents/General/EAF/CSI(nieuwe%20sharepoint)%202025/1.%20Januari/EAF%205929%20Stelplaats%2014012025%20Moez%20El%20Ouni.pdf?csf=1&amp;web=1&amp;e=SWRkyp" TargetMode="External"/><Relationship Id="rId224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266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431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473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52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680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736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VhHAjF" TargetMode="External"/><Relationship Id="rId30" Type="http://schemas.openxmlformats.org/officeDocument/2006/relationships/hyperlink" Target="../../../../../../../../../../../../../../../../../../../../../../../:b:/r/teams/CTM-OTGentStad/Shared%20Documents/General/EAF/CSI(nieuwe%20sharepoint)%202025/1.%20Januari/EAF%206333%20Gent%2024012025.pdf?csf=1&amp;web=1&amp;e=IBYJmz" TargetMode="External"/><Relationship Id="rId126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KT7IyD" TargetMode="External"/><Relationship Id="rId168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rNjEo3" TargetMode="External"/><Relationship Id="rId333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54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778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SPf5Qn" TargetMode="External"/><Relationship Id="rId72" Type="http://schemas.openxmlformats.org/officeDocument/2006/relationships/hyperlink" Target="../../../../../../../../../../../../../../../../../../../../../../../:b:/r/teams/CTM-OTGentStad/Shared%20Documents/General/EAF/CSI(nieuwe%20sharepoint)%202025/2.%20Februari/EAF%205049%20Rooigemlaan%2023022025%20Billy%20Teetaert.pdf?csf=1&amp;web=1&amp;e=hdjwpm" TargetMode="External"/><Relationship Id="rId375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58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38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80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5229%20Gent%2003012025.pdf?csf=1&amp;web=1&amp;e=fYwKWV" TargetMode="External"/><Relationship Id="rId235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277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400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42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484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705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137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hBUc3S" TargetMode="External"/><Relationship Id="rId302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344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691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747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Zu8sGe" TargetMode="External"/><Relationship Id="rId789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2r13hH" TargetMode="External"/><Relationship Id="rId41" Type="http://schemas.openxmlformats.org/officeDocument/2006/relationships/hyperlink" Target="../../../../../../../../../../../../../../../../../../../../../../../:b:/r/teams/CTM-OTGentStad/Shared%20Documents/General/EAF/CSI(nieuwe%20sharepoint)%202025/1.%20Januari/EAF%206311%20Gent%2003012025.pdf?csf=1&amp;web=1&amp;e=3WPodS" TargetMode="External"/><Relationship Id="rId83" Type="http://schemas.openxmlformats.org/officeDocument/2006/relationships/hyperlink" Target="../../../../../../../../../../../../../../../../../../../../../../../:b:/r/teams/CTM-OTGentStad/Shared%20Documents/General/EAF/CSI(nieuwe%20sharepoint)%202025/2.%20Februari/EAF%202548%20Dampoort%20Gent%2028022025.pdf?csf=1&amp;web=1&amp;e=FO65Hj" TargetMode="External"/><Relationship Id="rId179" Type="http://schemas.openxmlformats.org/officeDocument/2006/relationships/hyperlink" Target="../../../../../../:b:/r/teams/CTM-OTGentStad/Shared%20Documents/General/EAF/CSI(nieuwe%20sharepoint)%202025/5.%20Mei/EAF%205044%20Dampoort%2006052025.pdf?csf=1&amp;web=1&amp;e=KTyUDv" TargetMode="External"/><Relationship Id="rId386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5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60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49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190" Type="http://schemas.openxmlformats.org/officeDocument/2006/relationships/hyperlink" Target="../../../../../../:b:/r/teams/CTM-OTGentStad/Shared%20Documents/General/EAF/CSI(nieuwe%20sharepoint)%202025/4.%20April/EAF%202197%20Gent%2007042025.pdf?csf=1&amp;web=1&amp;e=1wA1rr" TargetMode="External"/><Relationship Id="rId204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8wj3ZG" TargetMode="External"/><Relationship Id="rId246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288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411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53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50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660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106" Type="http://schemas.openxmlformats.org/officeDocument/2006/relationships/hyperlink" Target="../../../../../../../../../../../../../../../../../../../../../../../:b:/r/teams/CTM-OTGentStad/Shared%20Documents/General/EAF/CSI(nieuwe%20sharepoint)%202025/2.%20Februari/EAF%205923%20Wondelgem%2027022025%2039779.pdf?csf=1&amp;web=1&amp;e=PbrmZz" TargetMode="External"/><Relationship Id="rId313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495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716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58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mqLU77" TargetMode="External"/><Relationship Id="rId10" Type="http://schemas.openxmlformats.org/officeDocument/2006/relationships/hyperlink" Target="../../../../../../../../../../../../../../../../../../../../../../../:b:/r/teams/CTM-OTGentStad/Shared%20Documents/General/EAF/CSI(nieuwe%20sharepoint)%202025/1.%20Januari/EAF%205931%20Bevrijdingslaan%2008012025%20Bruno%20De%20Naegel.pdf?csf=1&amp;web=1&amp;e=nKMatl" TargetMode="External"/><Relationship Id="rId52" Type="http://schemas.openxmlformats.org/officeDocument/2006/relationships/hyperlink" Target="../../../../../../../../../../../../../../../../../../../../../../../:b:/r/teams/CTM-OTGentStad/Shared%20Documents/General/EAF/CSI(nieuwe%20sharepoint)%202025/2.%20Februari/EAF%202195%20Gent%2007022025%204419%20Maelbrancke%20Eddy.pdf?csf=1&amp;web=1&amp;e=HQTBt5" TargetMode="External"/><Relationship Id="rId94" Type="http://schemas.openxmlformats.org/officeDocument/2006/relationships/hyperlink" Target="../../../../../../../../../../../../../../../../../../../../../../../:b:/r/teams/CTM-OTGentStad/Shared%20Documents/General/EAF/CSI(nieuwe%20sharepoint)%202025/3.%20Maart/EAF%2005032025%205911%20Gent%20Tom%20Hoste.pdf?csf=1&amp;web=1&amp;e=8QSyCb" TargetMode="External"/><Relationship Id="rId148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Yei0fK" TargetMode="External"/><Relationship Id="rId355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97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52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18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eswFZ6" TargetMode="External"/><Relationship Id="rId215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57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422" Type="http://schemas.openxmlformats.org/officeDocument/2006/relationships/hyperlink" Target="../../../../../../:b:/r/teams/CTM-OTGentStad/Shared%20Documents/General/EAF/CSI(nieuwe%20sharepoint)2024/EAF%205367%20Gent%2004052024.pdf?csf=1&amp;web=1&amp;e=YuScoI" TargetMode="External"/><Relationship Id="rId464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299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727" Type="http://schemas.openxmlformats.org/officeDocument/2006/relationships/hyperlink" Target="../../../../../../:b:/r/teams/CTM-OTGentStad/Shared%20Documents/General/EAF/CSI(nieuwe%20sharepoint)%202025/6.%20Juni/EAF%205237%20Dampoort%20Gent%2005062025.pdf?csf=1&amp;web=1&amp;e=jwbaP7" TargetMode="External"/><Relationship Id="rId63" Type="http://schemas.openxmlformats.org/officeDocument/2006/relationships/hyperlink" Target="../../../../../../../../../../../../../../../../../../../../../../../:b:/r/teams/CTM-OTGentStad/Shared%20Documents/General/EAF/CSI(nieuwe%20sharepoint)%202025/2.%20Februari/EAF%205261%20Sint-Pietersstation%20Gent%2007022025.pdf?csf=1&amp;web=1&amp;e=PUiZhI" TargetMode="External"/><Relationship Id="rId159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pSmOVh" TargetMode="External"/><Relationship Id="rId366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57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780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iZaoKz" TargetMode="External"/><Relationship Id="rId226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433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0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738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jQtDtH" TargetMode="External"/><Relationship Id="rId74" Type="http://schemas.openxmlformats.org/officeDocument/2006/relationships/hyperlink" Target="../../../../../../../../../../../../../../../../../../../../../../../:b:/r/teams/CTM-OTGentStad/Shared%20Documents/General/EAF/CSI(nieuwe%20sharepoint)%202025/2.%20Februari/EAF%202206%20Gent%2024022025%2030121%20Simons%20Andreas.pdf?csf=1&amp;web=1&amp;e=LgLSxX" TargetMode="External"/><Relationship Id="rId377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50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8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805" Type="http://schemas.openxmlformats.org/officeDocument/2006/relationships/printerSettings" Target="../printerSettings/printerSettings1.bin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051%20Gent%2004012025.pdf?csf=1&amp;web=1&amp;e=1AOxgI" TargetMode="External"/><Relationship Id="rId237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79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iWH3Dd" TargetMode="External"/><Relationship Id="rId444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651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74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chL3bd" TargetMode="External"/><Relationship Id="rId290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04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388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51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60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85" Type="http://schemas.openxmlformats.org/officeDocument/2006/relationships/hyperlink" Target="../../../../../../../../../../../../../../../../../../../../../../../:b:/r/teams/CTM-OTGentStad/Shared%20Documents/General/EAF/CSI(nieuwe%20sharepoint)%202025/2.%20Februari/EAF%205046%20Gent%20Brusselsesteenweg%2027022025%20Demirkaya%20Serkan.pdf?csf=1&amp;web=1&amp;e=FTes56" TargetMode="External"/><Relationship Id="rId150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hKAWsc" TargetMode="External"/><Relationship Id="rId59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248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455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662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12" Type="http://schemas.openxmlformats.org/officeDocument/2006/relationships/hyperlink" Target="../../../../../../../../../../../../../../../../../../../../../../../:b:/r/teams/CTM-OTGentStad/Shared%20Documents/General/EAF/CSI(nieuwe%20sharepoint)%202025/1.%20Januari/EAF%205267%20Gent%2012012025.pdf?csf=1&amp;web=1&amp;e=vHTzlT" TargetMode="External"/><Relationship Id="rId108" Type="http://schemas.openxmlformats.org/officeDocument/2006/relationships/hyperlink" Target="../../../../../../../../../../../../../../../../../../../../../../../:b:/r/teams/CTM-OTGentStad/Shared%20Documents/General/EAF/CSI(nieuwe%20sharepoint)%202025/3.%20Maart/EAF%205915%20Overzet%20Gent%2013032025%20Steven%20Van%20den%20Meerssche%2037662.pdf?csf=1&amp;web=1&amp;e=xURdTd" TargetMode="External"/><Relationship Id="rId315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52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96" Type="http://schemas.openxmlformats.org/officeDocument/2006/relationships/hyperlink" Target="../../../../../../../../../../../../../../../../../../../../../../../:b:/r/teams/CTM-OTGentStad/Shared%20Documents/General/EAF/CSI(nieuwe%20sharepoint)%202025/3.%20Maart/EAF%2006032025%205916%20Gent%2026960%20Toubadie%20Mossa.pdf?csf=1&amp;web=1&amp;e=u8d4kD" TargetMode="External"/><Relationship Id="rId161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W4WgbW" TargetMode="External"/><Relationship Id="rId399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9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466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673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23" Type="http://schemas.openxmlformats.org/officeDocument/2006/relationships/hyperlink" Target="../../../../../../../../../../../../../../../../../../../../../../../:b:/r/teams/CTM-OTGentStad/Shared%20Documents/General/EAF/CSI(nieuwe%20sharepoint)%202025/1.%20Januari/EAF%206327%20Gent%2020012025.pdf?csf=1&amp;web=1&amp;e=WhuGZA" TargetMode="External"/><Relationship Id="rId119" Type="http://schemas.openxmlformats.org/officeDocument/2006/relationships/hyperlink" Target="../../../../../../../../../../../../../../../../../../../../../../../:b:/r/teams/CTM-OTGentStad/Shared%20Documents/General/EAF/CSI(nieuwe%20sharepoint)%202025/3.%20Maart/EAF%206326%20gent%2015032025%2035495%20Mahmoud.pdf?csf=1&amp;web=1&amp;e=j97H5s" TargetMode="External"/><Relationship Id="rId326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53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740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B7kDSA" TargetMode="External"/><Relationship Id="rId172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SyduVe" TargetMode="External"/><Relationship Id="rId477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60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684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337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34" Type="http://schemas.openxmlformats.org/officeDocument/2006/relationships/hyperlink" Target="../../../../../../../../../../../../../../../../../../../../../../../:b:/r/teams/CTM-OTGentStad/Shared%20Documents/General/EAF/CSI(nieuwe%20sharepoint)%202025/1.%20Januari/EAF%205264%20Morekstraat%20Wondelgem%2022.01.2025.pdf?csf=1&amp;web=1&amp;e=hPbgQQ" TargetMode="External"/><Relationship Id="rId54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1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HcQ1RY" TargetMode="External"/><Relationship Id="rId183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vnNTK" TargetMode="External"/><Relationship Id="rId390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404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61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250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488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695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09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45" Type="http://schemas.openxmlformats.org/officeDocument/2006/relationships/hyperlink" Target="../../../../../../../../../../../../../../../../../../../../../../../:b:/r/teams/CTM-OTGentStad/Shared%20Documents/General/EAF/CSI(nieuwe%20sharepoint)%202025/2.%20Februari/EAF%206314%20Gent%2012514%20De%20Smet%20Kenneth%2003022025.pdf?csf=1&amp;web=1&amp;e=i4qfzY" TargetMode="External"/><Relationship Id="rId110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Coupure%20Rechts%2029012025%20Odaci%20Kadir.pdf?csf=1&amp;web=1&amp;e=54sdH5" TargetMode="External"/><Relationship Id="rId348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55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762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BJjhEw" TargetMode="External"/><Relationship Id="rId194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M3EQgY" TargetMode="External"/><Relationship Id="rId208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415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622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261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49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56" Type="http://schemas.openxmlformats.org/officeDocument/2006/relationships/hyperlink" Target="../../../../../../../../../../../../../../../../../../../../../../../:b:/r/teams/CTM-OTGentStad/Shared%20Documents/General/EAF/CSI(nieuwe%20sharepoint)%202025/2.%20Februari/EAF%206322%20Sint%20Salvatorstraat%2014022025%20Willy%20Oosterlinck.pdf?csf=1&amp;web=1&amp;e=hlfaNB" TargetMode="External"/><Relationship Id="rId359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56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773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XLl8Ke" TargetMode="External"/><Relationship Id="rId121" Type="http://schemas.openxmlformats.org/officeDocument/2006/relationships/hyperlink" Target="../../../../../../../../../../../../../../../../../../../../../../../:b:/r/teams/CTM-OTGentStad/Shared%20Documents/General/EAF/CSI(nieuwe%20sharepoint)%202025/3.%20Maart/EAF%205054%20Hoveniersstraat%20Ledeberg%20Gent%2019.03.2025%20Avci%20Muhammet%20Abdullah%2039779.pdf?csf=1&amp;web=1&amp;e=paxGlY" TargetMode="External"/><Relationship Id="rId219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426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633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" Type="http://schemas.openxmlformats.org/officeDocument/2006/relationships/hyperlink" Target="../../../../../../../../../../../../../../../../../../../../../../../:b:/r/teams/CTM-OTGentStad/Shared%20Documents/General/EAF/CSI(nieuwe%20sharepoint)%202025/2.%20Februari/EAF%204676%20Gent%2011022025%2025679%20Van%20Renterghem%20Serge.pdf?csf=1&amp;web=1&amp;e=eCPvXL" TargetMode="External"/><Relationship Id="rId272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57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700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132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vqskPh" TargetMode="External"/><Relationship Id="rId784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O2LfFe" TargetMode="External"/><Relationship Id="rId437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644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283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490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50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711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8" Type="http://schemas.openxmlformats.org/officeDocument/2006/relationships/hyperlink" Target="../../../../../../../../../../../../../../../../../../../../../../../:b:/r/teams/CTM-OTGentStad/Shared%20Documents/General/EAF/CSI(nieuwe%20sharepoint)%202025/2.%20Februari/EAF%205929%20Keizer%20Karelstraat%20Gent%2022022025.pdf?csf=1&amp;web=1&amp;e=PeWNlT" TargetMode="External"/><Relationship Id="rId143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za7Sf2" TargetMode="External"/><Relationship Id="rId350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58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795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924MIp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1.%20Januari/EAF%206366%20Gent%2010012025.pdf?csf=1&amp;web=1&amp;e=ieg7nu" TargetMode="External"/><Relationship Id="rId210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448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655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294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308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51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722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89" Type="http://schemas.openxmlformats.org/officeDocument/2006/relationships/hyperlink" Target="../../../../../../../../../../../../../../../../../../../../../../../:b:/r/teams/CTM-OTGentStad/Shared%20Documents/General/EAF/CSI(nieuwe%20sharepoint)%202025/3.%20Maart/EAF%202196%20Voskenslaan%20Gent%2004032025.pdf?csf=1&amp;web=1&amp;e=oftcHq" TargetMode="External"/><Relationship Id="rId154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pMhFi6" TargetMode="External"/><Relationship Id="rId361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59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459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66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16" Type="http://schemas.openxmlformats.org/officeDocument/2006/relationships/hyperlink" Target="../../../../../../../../../../../../../../../../../../../../../../../:b:/r/teams/CTM-OTGentStad/Shared%20Documents/General/EAF/CSI(nieuwe%20sharepoint)%202025/1.%20Januari/EAF%2014012025_2%205912%20Gent%20Stefaan%20Devos.pdf?csf=1&amp;web=1&amp;e=Fj69fG" TargetMode="External"/><Relationship Id="rId221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319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52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733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EuPzxK" TargetMode="External"/><Relationship Id="rId165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sFGscw" TargetMode="External"/><Relationship Id="rId372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677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800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b8ZwJS" TargetMode="External"/><Relationship Id="rId232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7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53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744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DUJa6T" TargetMode="External"/><Relationship Id="rId80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176" Type="http://schemas.openxmlformats.org/officeDocument/2006/relationships/hyperlink" Target="../../../../../../../../../../../../../../../../../../../../../../../:b:/r/teams/CTM-OTGentStad/Shared%20Documents/General/EAF/CSI(nieuwe%20sharepoint)%202025/1.%20Januari/EAF%205922%20Sanderuustraat%2021012025%20Henri%20Steurbaut.pdf?csf=1&amp;web=1&amp;e=SkYWTr" TargetMode="External"/><Relationship Id="rId383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59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60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243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450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688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38" Type="http://schemas.openxmlformats.org/officeDocument/2006/relationships/hyperlink" Target="../../../../../../../../../../../../../../../../../../../../../../../:b:/r/teams/CTM-OTGentStad/Shared%20Documents/General/EAF/CSI(nieuwe%20sharepoint)%202025/1.%20Januari/EAF%202204%20Gent%2030012025%2040652%20Van%20Damme%20Gilyanne.pdf?csf=1&amp;web=1&amp;e=y5Sxmd" TargetMode="External"/><Relationship Id="rId103" Type="http://schemas.openxmlformats.org/officeDocument/2006/relationships/hyperlink" Target="../../../../../../../../../../../../../../../../../../../../../../../:b:/r/teams/CTM-OTGentStad/Shared%20Documents/General/EAF/CSI(nieuwe%20sharepoint)%202025/3.%20Maart/EAF%206375%20Ferrelaan%20Gent%2003032025%20Hublau%20Roland%2026137.pdf?csf=1&amp;web=1&amp;e=7CODAk" TargetMode="External"/><Relationship Id="rId310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54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755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SBstym" TargetMode="External"/><Relationship Id="rId91" Type="http://schemas.openxmlformats.org/officeDocument/2006/relationships/hyperlink" Target="../../../../../../../../../../../../../../../../../../../../../../../:b:/r/teams/CTM-OTGentStad/Shared%20Documents/General/EAF/CSI(nieuwe%20sharepoint)%202025/3.%20Maart/EAF%2001032025%205047%20Gent%2040138%20Tjimmy%20Moerman.pdf?csf=1&amp;web=1&amp;e=Zv98J9" TargetMode="External"/><Relationship Id="rId187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zNuI0v" TargetMode="External"/><Relationship Id="rId394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408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61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254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699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" Type="http://schemas.openxmlformats.org/officeDocument/2006/relationships/hyperlink" Target="../../../../../../../../../../../../../../../../../../../../../../../:b:/r/teams/CTM-OTGentStad/Shared%20Documents/General/EAF/CSI(nieuwe%20sharepoint)%202025/2.%20Februari/EAF%205769%20Van%20Goethemstraat%2005022025%20Jeroen%20Hoeckman.pdf?csf=1&amp;web=1&amp;e=6a2R1r" TargetMode="External"/><Relationship Id="rId114" Type="http://schemas.openxmlformats.org/officeDocument/2006/relationships/hyperlink" Target="../../../../../../../../../../../../../../../../../../../../../../../:b:/r/teams/CTM-OTGentStad/Shared%20Documents/General/EAF/CSI(nieuwe%20sharepoint)%202025/3.%20Maart/EAF%206322%20Wondelgem%20Liefkensstraat%2019032025%20De%20Vrieze%20Ludo.pdf?csf=1&amp;web=1&amp;e=HfnT4Q" TargetMode="External"/><Relationship Id="rId461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5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766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qiVg3B" TargetMode="External"/><Relationship Id="rId198" Type="http://schemas.openxmlformats.org/officeDocument/2006/relationships/hyperlink" Target="../../../../../../:b:/r/teams/CTM-OTGentStad/Shared%20Documents/General/EAF/CSI(nieuwe%20sharepoint)%202025/5.%20Mei/EAF%205928%20Gent%2023052025%2041482.pdf?csf=1&amp;web=1&amp;e=v3ulSn" TargetMode="External"/><Relationship Id="rId321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419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626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265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472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125" Type="http://schemas.openxmlformats.org/officeDocument/2006/relationships/hyperlink" Target="../../../../../../../../../../../../../../../../../../../../../../../:b:/r/teams/CTM-OTGentStad/Shared%20Documents/General/EAF/CSI(nieuwe%20sharepoint)%202025/3.%20Maart/EAF%205043%20Rooigemlaan%20-%20Drongensesteenweg%20Gent%2026032025.pdf?csf=1&amp;web=1&amp;e=RAkEqq" TargetMode="External"/><Relationship Id="rId332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777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ALg9A2" TargetMode="External"/><Relationship Id="rId637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276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483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690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704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40" Type="http://schemas.openxmlformats.org/officeDocument/2006/relationships/hyperlink" Target="../../../../../../../../../../../../../../../../../../../../../../../:b:/r/teams/CTM-OTGentStad/Shared%20Documents/General/EAF/CSI(nieuwe%20sharepoint)%202025/1.%20Januari/EAF%205053%20E17%2031012025%20Achraf%20Cesmeli.pdf?csf=1&amp;web=1&amp;e=8dRYZC" TargetMode="External"/><Relationship Id="rId136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pJo8IT" TargetMode="External"/><Relationship Id="rId343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55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788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LC3Po7" TargetMode="External"/><Relationship Id="rId203" Type="http://schemas.openxmlformats.org/officeDocument/2006/relationships/hyperlink" Target="../../../../../../:b:/r/teams/CTM-OTGentStad/Shared%20Documents/General/EAF/CSI(nieuwe%20sharepoint)%202025/5.%20Mei/EAF%205630%20Gent%2029052025%2040856.pdf?csf=1&amp;web=1&amp;e=JZClaW" TargetMode="External"/><Relationship Id="rId648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287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410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494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50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715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147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RLgwcS" TargetMode="External"/><Relationship Id="rId354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799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wqwRr0" TargetMode="External"/><Relationship Id="rId51" Type="http://schemas.openxmlformats.org/officeDocument/2006/relationships/hyperlink" Target="../../../../../../../../../../../../../../../../../../../../../../../:b:/r/teams/CTM-OTGentStad/Shared%20Documents/General/EAF/CSI(nieuwe%20sharepoint)%202025/2.%20Februari/EAF%202199%20Deinze%2040266%20Taibi%20Yassine%2005022025.pdf?csf=1&amp;web=1&amp;e=i6OFji" TargetMode="External"/><Relationship Id="rId56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659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214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98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421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51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158" Type="http://schemas.openxmlformats.org/officeDocument/2006/relationships/hyperlink" Target="../../../../../../:b:/r/teams/CTM-OTGentStad/Shared%20Documents/General/EAF/CSI(nieuwe%20sharepoint)%202025/4.%20April/EAF%205918%20E17%2019042025.pdf?csf=1&amp;web=1&amp;e=ddXFRF" TargetMode="External"/><Relationship Id="rId726" Type="http://schemas.openxmlformats.org/officeDocument/2006/relationships/hyperlink" Target="../../../../../../:b:/r/teams/CTM-OTGentStad/Shared%20Documents/General/EAF/CSI(nieuwe%20sharepoint)%202025/6.%20Juni/EAF%205266%20Burggravenlaan%20Gent%2026.05.2025%20Frank%20Dhondt%2015412.pdf?csf=1&amp;web=1&amp;e=4FDvLQ" TargetMode="External"/><Relationship Id="rId62" Type="http://schemas.openxmlformats.org/officeDocument/2006/relationships/hyperlink" Target="../../../../../../../../../../../../../../../../../../../../../../../:b:/r/teams/CTM-OTGentStad/Shared%20Documents/General/EAF/CSI(nieuwe%20sharepoint)%202025/2.%20Februari/EAF%205052%20Seghersplein%20Gent%2014022025.pdf?csf=1&amp;web=1&amp;e=0fC15J" TargetMode="External"/><Relationship Id="rId365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57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225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432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737" Type="http://schemas.openxmlformats.org/officeDocument/2006/relationships/hyperlink" Target="../../../../../../:b:/r/teams/CTM-OTGentStad/Shared%20Documents/General/EAF/CSI(nieuwe%20sharepoint)%202025/5.%20Mei/EAF%2039651%2023052025%2039651.pdf?csf=1&amp;web=1&amp;e=rltYs2" TargetMode="External"/><Relationship Id="rId73" Type="http://schemas.openxmlformats.org/officeDocument/2006/relationships/hyperlink" Target="../../../../../../../../../../../../../../../../../../../../../../../:b:/r/teams/CTM-OTGentStad/Shared%20Documents/General/EAF/CSI(nieuwe%20sharepoint)%202025/2.%20Februari/EAF%205925%20Meulesteedsesteenweg%20Gent%2018022025.pdf?csf=1&amp;web=1&amp;e=zDiOb3" TargetMode="External"/><Relationship Id="rId169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IVkV32" TargetMode="External"/><Relationship Id="rId376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58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790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PfmlvZ" TargetMode="External"/><Relationship Id="rId804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VoqVn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12%20Brusselsepoortstraat%20Gent%2003012025.pdf?csf=1&amp;web=1&amp;e=gFfkne" TargetMode="External"/><Relationship Id="rId236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443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0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303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748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MoTS7i" TargetMode="External"/><Relationship Id="rId84" Type="http://schemas.openxmlformats.org/officeDocument/2006/relationships/hyperlink" Target="../../../../../../../../../../../../../../../../../../../../../../../:b:/r/teams/CTM-OTGentStad/Shared%20Documents/General/EAF/CSI(nieuwe%20sharepoint)%202025/2.%20Februari/EAF%202546%20Meeuwstraat%20Gent%2027.02.2025.pdf?csf=1&amp;web=1&amp;e=W2Gd34" TargetMode="External"/><Relationship Id="rId387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51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9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0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247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07" Type="http://schemas.openxmlformats.org/officeDocument/2006/relationships/hyperlink" Target="../../../../../../../../../../../../../../../../../../../../../../../:b:/r/teams/CTM-OTGentStad/Shared%20Documents/General/EAF/CSI(nieuwe%20sharepoint)%202025/3.%20Maart/EAF%20-%205928%20-%20gent%20-%2016032025%2041246%20Yana%20van%20Holsbeeck.pdf?csf=1&amp;web=1&amp;e=X0dmld" TargetMode="External"/><Relationship Id="rId454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661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759" Type="http://schemas.openxmlformats.org/officeDocument/2006/relationships/hyperlink" Target="../../../../../../:b:/r/teams/CTM-OTGentStad/Shared%20Documents/General/EAF/CSI(nieuwe%20sharepoint)%202025/7.%20Juli/EAF%202193%20EKE%2003072025.pdf?csf=1&amp;web=1&amp;e=SRKFdu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1.%20Januari/EAF%205767%20Dendermondsesteenweg%20Gent%2010012025.pdf?csf=1&amp;web=1&amp;e=zqEEXT" TargetMode="External"/><Relationship Id="rId314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398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52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619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95" Type="http://schemas.openxmlformats.org/officeDocument/2006/relationships/hyperlink" Target="../../../../../../../../../../../../../../../../../../../../../../../:b:/r/teams/CTM-OTGentStad/Shared%20Documents/General/EAF/CSI(nieuwe%20sharepoint)%202025/3.%20Maart/EAF%2006032025%205909%20Gent%2041092%20Dorien%20De%20Keyser.pdf?csf=1&amp;web=1&amp;e=FbvBh0" TargetMode="External"/><Relationship Id="rId160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lKsXRJ" TargetMode="External"/><Relationship Id="rId258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465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672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22" Type="http://schemas.openxmlformats.org/officeDocument/2006/relationships/hyperlink" Target="../../../../../../../../../../../../../../../../../../../../../../../:b:/r/teams/CTM-OTGentStad/Shared%20Documents/General/EAF/CSI(nieuwe%20sharepoint)%202025/1.%20Januari/EAF%205929%20%20Gent%2022012025%20Jeroen%20Hoeckman%2041162.pdf?csf=1&amp;web=1&amp;e=x1SEBB" TargetMode="External"/><Relationship Id="rId118" Type="http://schemas.openxmlformats.org/officeDocument/2006/relationships/hyperlink" Target="../../../../../../../../../../../../../../../../../../../../../../../:b:/r/teams/CTM-OTGentStad/Shared%20Documents/General/EAF/CSI(nieuwe%20sharepoint)%202025/3.%20Maart/EAF%204665%20gent%2019032025%2035450%20Hugo%20Roos.pdf?csf=1&amp;web=1&amp;e=iOTNKk" TargetMode="External"/><Relationship Id="rId325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53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171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07bv7z" TargetMode="External"/><Relationship Id="rId269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476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683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dimension ref="B2:S374"/>
  <sheetViews>
    <sheetView zoomScale="90" zoomScaleNormal="90" workbookViewId="0">
      <selection activeCell="D24" sqref="D24"/>
    </sheetView>
  </sheetViews>
  <sheetFormatPr defaultColWidth="8.88671875" defaultRowHeight="14.4" x14ac:dyDescent="0.3"/>
  <cols>
    <col min="1" max="1" width="19.6640625" style="30" bestFit="1" customWidth="1"/>
    <col min="2" max="2" width="9.5546875" style="30" bestFit="1" customWidth="1"/>
    <col min="3" max="3" width="34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33203125" style="30" bestFit="1" customWidth="1"/>
    <col min="9" max="9" width="19.44140625" style="30" bestFit="1" customWidth="1"/>
    <col min="10" max="10" width="14.7773437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3393</v>
      </c>
      <c r="D12" t="s">
        <v>166</v>
      </c>
      <c r="F12" s="1" t="s">
        <v>3392</v>
      </c>
      <c r="G12" t="s">
        <v>166</v>
      </c>
      <c r="I12"/>
      <c r="J12" s="1" t="s">
        <v>203</v>
      </c>
      <c r="K12"/>
    </row>
    <row r="13" spans="3:19" x14ac:dyDescent="0.3">
      <c r="C13" s="2" t="s">
        <v>142</v>
      </c>
      <c r="D13">
        <v>6</v>
      </c>
      <c r="F13" s="2" t="s">
        <v>168</v>
      </c>
      <c r="G13">
        <v>13</v>
      </c>
      <c r="I13" s="1" t="s">
        <v>205</v>
      </c>
      <c r="J13" t="s">
        <v>206</v>
      </c>
      <c r="K13" t="s">
        <v>207</v>
      </c>
    </row>
    <row r="14" spans="3:19" x14ac:dyDescent="0.3">
      <c r="C14" s="2" t="s">
        <v>124</v>
      </c>
      <c r="D14">
        <v>6</v>
      </c>
      <c r="F14" s="2" t="s">
        <v>167</v>
      </c>
      <c r="G14">
        <v>12</v>
      </c>
      <c r="I14" s="2" t="s">
        <v>3383</v>
      </c>
      <c r="J14">
        <v>29</v>
      </c>
      <c r="K14">
        <v>12</v>
      </c>
    </row>
    <row r="15" spans="3:19" x14ac:dyDescent="0.3">
      <c r="C15" s="2" t="s">
        <v>140</v>
      </c>
      <c r="D15">
        <v>4</v>
      </c>
      <c r="F15" s="2" t="s">
        <v>170</v>
      </c>
      <c r="G15">
        <v>9</v>
      </c>
      <c r="I15" s="2" t="s">
        <v>3384</v>
      </c>
      <c r="J15">
        <v>37</v>
      </c>
      <c r="K15">
        <v>8</v>
      </c>
    </row>
    <row r="16" spans="3:19" x14ac:dyDescent="0.3">
      <c r="C16" s="2" t="s">
        <v>143</v>
      </c>
      <c r="D16">
        <v>4</v>
      </c>
      <c r="F16" s="2" t="s">
        <v>178</v>
      </c>
      <c r="G16">
        <v>8</v>
      </c>
      <c r="I16" s="2" t="s">
        <v>3385</v>
      </c>
      <c r="J16">
        <v>32</v>
      </c>
      <c r="K16">
        <v>4</v>
      </c>
    </row>
    <row r="17" spans="2:11" x14ac:dyDescent="0.3">
      <c r="C17" s="2" t="s">
        <v>71</v>
      </c>
      <c r="D17">
        <v>3</v>
      </c>
      <c r="F17" s="2" t="s">
        <v>173</v>
      </c>
      <c r="G17">
        <v>7</v>
      </c>
      <c r="I17" s="2" t="s">
        <v>212</v>
      </c>
      <c r="J17">
        <v>27</v>
      </c>
      <c r="K17">
        <v>12</v>
      </c>
    </row>
    <row r="18" spans="2:11" x14ac:dyDescent="0.3">
      <c r="C18" s="2" t="s">
        <v>135</v>
      </c>
      <c r="D18">
        <v>3</v>
      </c>
      <c r="F18" s="2" t="s">
        <v>190</v>
      </c>
      <c r="G18">
        <v>7</v>
      </c>
      <c r="I18" s="2" t="s">
        <v>214</v>
      </c>
      <c r="J18">
        <v>19</v>
      </c>
      <c r="K18">
        <v>7</v>
      </c>
    </row>
    <row r="19" spans="2:11" x14ac:dyDescent="0.3">
      <c r="C19" s="2" t="s">
        <v>133</v>
      </c>
      <c r="D19">
        <v>3</v>
      </c>
      <c r="F19" s="2" t="s">
        <v>177</v>
      </c>
      <c r="G19">
        <v>7</v>
      </c>
      <c r="I19" s="2" t="s">
        <v>216</v>
      </c>
      <c r="J19">
        <v>26</v>
      </c>
      <c r="K19">
        <v>7</v>
      </c>
    </row>
    <row r="20" spans="2:11" x14ac:dyDescent="0.3">
      <c r="C20" s="2" t="s">
        <v>109</v>
      </c>
      <c r="D20">
        <v>3</v>
      </c>
      <c r="F20" s="2" t="s">
        <v>179</v>
      </c>
      <c r="G20">
        <v>6</v>
      </c>
      <c r="I20" s="2" t="s">
        <v>218</v>
      </c>
      <c r="J20">
        <v>27</v>
      </c>
      <c r="K20">
        <v>7</v>
      </c>
    </row>
    <row r="21" spans="2:11" x14ac:dyDescent="0.3">
      <c r="C21" s="2" t="s">
        <v>137</v>
      </c>
      <c r="D21">
        <v>3</v>
      </c>
      <c r="F21" s="2" t="s">
        <v>174</v>
      </c>
      <c r="G21">
        <v>6</v>
      </c>
      <c r="I21" s="2" t="s">
        <v>220</v>
      </c>
      <c r="J21">
        <v>2</v>
      </c>
      <c r="K21"/>
    </row>
    <row r="22" spans="2:11" x14ac:dyDescent="0.3">
      <c r="C22" s="2" t="s">
        <v>14</v>
      </c>
      <c r="D22">
        <v>3</v>
      </c>
      <c r="F22" s="2" t="s">
        <v>202</v>
      </c>
      <c r="G22">
        <v>6</v>
      </c>
      <c r="I22" s="2" t="s">
        <v>222</v>
      </c>
      <c r="J22"/>
      <c r="K22"/>
    </row>
    <row r="23" spans="2:11" x14ac:dyDescent="0.3">
      <c r="C23" s="2" t="s">
        <v>75</v>
      </c>
      <c r="D23">
        <v>3</v>
      </c>
      <c r="F23" s="2" t="s">
        <v>175</v>
      </c>
      <c r="G23">
        <v>6</v>
      </c>
      <c r="I23" s="2" t="s">
        <v>224</v>
      </c>
      <c r="J23"/>
      <c r="K23"/>
    </row>
    <row r="24" spans="2:11" x14ac:dyDescent="0.3">
      <c r="C24" s="2" t="s">
        <v>52</v>
      </c>
      <c r="D24">
        <v>3</v>
      </c>
      <c r="F24" s="2" t="s">
        <v>169</v>
      </c>
      <c r="G24">
        <v>5</v>
      </c>
      <c r="I24" s="2" t="s">
        <v>226</v>
      </c>
      <c r="J24"/>
      <c r="K24"/>
    </row>
    <row r="25" spans="2:11" x14ac:dyDescent="0.3">
      <c r="C25" s="2" t="s">
        <v>125</v>
      </c>
      <c r="D25">
        <v>3</v>
      </c>
      <c r="F25" s="2" t="s">
        <v>194</v>
      </c>
      <c r="G25">
        <v>5</v>
      </c>
      <c r="I25" s="2" t="s">
        <v>228</v>
      </c>
      <c r="J25"/>
      <c r="K25"/>
    </row>
    <row r="26" spans="2:11" x14ac:dyDescent="0.3">
      <c r="C26" s="2" t="s">
        <v>80</v>
      </c>
      <c r="D26">
        <v>3</v>
      </c>
      <c r="F26" s="2" t="s">
        <v>201</v>
      </c>
      <c r="G26">
        <v>5</v>
      </c>
    </row>
    <row r="27" spans="2:11" x14ac:dyDescent="0.3">
      <c r="C27" s="2" t="s">
        <v>154</v>
      </c>
      <c r="D27">
        <v>2</v>
      </c>
      <c r="F27" s="2" t="s">
        <v>210</v>
      </c>
      <c r="G27">
        <v>4</v>
      </c>
      <c r="I27" s="1" t="s">
        <v>3394</v>
      </c>
      <c r="J27" t="s">
        <v>166</v>
      </c>
    </row>
    <row r="28" spans="2:11" x14ac:dyDescent="0.3">
      <c r="C28" s="2" t="s">
        <v>3305</v>
      </c>
      <c r="D28">
        <v>2</v>
      </c>
      <c r="F28" s="2" t="s">
        <v>242</v>
      </c>
      <c r="G28">
        <v>3</v>
      </c>
      <c r="I28" s="2" t="s">
        <v>185</v>
      </c>
      <c r="J28">
        <v>46</v>
      </c>
    </row>
    <row r="29" spans="2:11" x14ac:dyDescent="0.3">
      <c r="C29" s="2" t="s">
        <v>160</v>
      </c>
      <c r="D29">
        <v>2</v>
      </c>
      <c r="F29" s="2" t="s">
        <v>252</v>
      </c>
      <c r="G29">
        <v>3</v>
      </c>
      <c r="I29" s="2" t="s">
        <v>187</v>
      </c>
      <c r="J29">
        <v>41</v>
      </c>
    </row>
    <row r="30" spans="2:11" x14ac:dyDescent="0.3">
      <c r="C30" s="2" t="s">
        <v>15</v>
      </c>
      <c r="D30">
        <v>2</v>
      </c>
      <c r="F30" s="2" t="s">
        <v>183</v>
      </c>
      <c r="G30">
        <v>3</v>
      </c>
      <c r="I30" s="2" t="s">
        <v>191</v>
      </c>
      <c r="J30">
        <v>38</v>
      </c>
    </row>
    <row r="31" spans="2:11" x14ac:dyDescent="0.3">
      <c r="B31" s="34">
        <f>AVERAGE(D13:D275)</f>
        <v>2.7567567567567566</v>
      </c>
      <c r="C31" s="2" t="s">
        <v>134</v>
      </c>
      <c r="D31">
        <v>2</v>
      </c>
      <c r="F31" s="2" t="s">
        <v>192</v>
      </c>
      <c r="G31">
        <v>3</v>
      </c>
      <c r="I31" s="2" t="s">
        <v>189</v>
      </c>
      <c r="J31">
        <v>31</v>
      </c>
    </row>
    <row r="32" spans="2:11" x14ac:dyDescent="0.3">
      <c r="C32" s="2" t="s">
        <v>20</v>
      </c>
      <c r="D32">
        <v>2</v>
      </c>
      <c r="F32" s="2" t="s">
        <v>237</v>
      </c>
      <c r="G32">
        <v>3</v>
      </c>
      <c r="I32" s="2" t="s">
        <v>195</v>
      </c>
      <c r="J32">
        <v>26</v>
      </c>
    </row>
    <row r="33" spans="3:15" x14ac:dyDescent="0.3">
      <c r="C33" s="2" t="s">
        <v>107</v>
      </c>
      <c r="D33">
        <v>2</v>
      </c>
      <c r="F33" s="2" t="s">
        <v>290</v>
      </c>
      <c r="G33">
        <v>3</v>
      </c>
      <c r="I33" s="2" t="s">
        <v>193</v>
      </c>
      <c r="J33">
        <v>25</v>
      </c>
    </row>
    <row r="34" spans="3:15" x14ac:dyDescent="0.3">
      <c r="C34" s="2" t="s">
        <v>22</v>
      </c>
      <c r="D34">
        <v>2</v>
      </c>
      <c r="F34" s="2" t="s">
        <v>176</v>
      </c>
      <c r="G34">
        <v>3</v>
      </c>
      <c r="I34" s="2" t="s">
        <v>199</v>
      </c>
      <c r="J34">
        <v>25</v>
      </c>
    </row>
    <row r="35" spans="3:15" x14ac:dyDescent="0.3">
      <c r="C35" s="2" t="s">
        <v>126</v>
      </c>
      <c r="D35">
        <v>2</v>
      </c>
      <c r="F35" s="2" t="s">
        <v>219</v>
      </c>
      <c r="G35">
        <v>3</v>
      </c>
      <c r="I35" s="2" t="s">
        <v>197</v>
      </c>
      <c r="J35">
        <v>21</v>
      </c>
    </row>
    <row r="36" spans="3:15" x14ac:dyDescent="0.3">
      <c r="C36" s="2" t="s">
        <v>23</v>
      </c>
      <c r="D36">
        <v>2</v>
      </c>
      <c r="F36" s="2" t="s">
        <v>246</v>
      </c>
      <c r="G36">
        <v>3</v>
      </c>
      <c r="I36" s="2" t="s">
        <v>1165</v>
      </c>
      <c r="J36">
        <v>4</v>
      </c>
    </row>
    <row r="37" spans="3:15" x14ac:dyDescent="0.3">
      <c r="C37" s="2" t="s">
        <v>132</v>
      </c>
      <c r="D37">
        <v>2</v>
      </c>
      <c r="F37" s="2" t="s">
        <v>292</v>
      </c>
      <c r="G37">
        <v>2</v>
      </c>
      <c r="I37" s="2" t="s">
        <v>397</v>
      </c>
      <c r="J37">
        <v>1</v>
      </c>
    </row>
    <row r="38" spans="3:15" x14ac:dyDescent="0.3">
      <c r="C38" s="2" t="s">
        <v>31</v>
      </c>
      <c r="D38">
        <v>2</v>
      </c>
      <c r="F38" s="2" t="s">
        <v>217</v>
      </c>
      <c r="G38">
        <v>2</v>
      </c>
      <c r="I38" s="2" t="s">
        <v>3336</v>
      </c>
      <c r="J38">
        <v>1</v>
      </c>
    </row>
    <row r="39" spans="3:15" x14ac:dyDescent="0.3">
      <c r="C39" s="2" t="s">
        <v>139</v>
      </c>
      <c r="D39">
        <v>2</v>
      </c>
      <c r="F39" s="2" t="s">
        <v>236</v>
      </c>
      <c r="G39">
        <v>2</v>
      </c>
      <c r="I39" s="2" t="s">
        <v>165</v>
      </c>
      <c r="J39">
        <v>259</v>
      </c>
    </row>
    <row r="40" spans="3:15" x14ac:dyDescent="0.3">
      <c r="C40" s="2" t="s">
        <v>36</v>
      </c>
      <c r="D40">
        <v>2</v>
      </c>
      <c r="F40" s="2" t="s">
        <v>200</v>
      </c>
      <c r="G40">
        <v>2</v>
      </c>
    </row>
    <row r="41" spans="3:15" x14ac:dyDescent="0.3">
      <c r="C41" s="2" t="s">
        <v>153</v>
      </c>
      <c r="D41">
        <v>2</v>
      </c>
      <c r="F41" s="2" t="s">
        <v>288</v>
      </c>
      <c r="G41">
        <v>2</v>
      </c>
      <c r="I41" s="35" t="s">
        <v>3387</v>
      </c>
      <c r="J41" s="35"/>
      <c r="K41" s="35"/>
      <c r="L41" s="25"/>
      <c r="M41" s="35" t="s">
        <v>3386</v>
      </c>
      <c r="N41" s="35"/>
      <c r="O41" s="35"/>
    </row>
    <row r="42" spans="3:15" x14ac:dyDescent="0.3">
      <c r="C42" s="2" t="s">
        <v>41</v>
      </c>
      <c r="D42">
        <v>2</v>
      </c>
      <c r="F42" s="2" t="s">
        <v>279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23</v>
      </c>
      <c r="N42" s="13" t="str">
        <f>'[1]Ingeplande per TC'!$B$2</f>
        <v>Christoff Rotty</v>
      </c>
      <c r="O42" s="13"/>
    </row>
    <row r="43" spans="3:15" x14ac:dyDescent="0.3">
      <c r="C43" s="2" t="s">
        <v>108</v>
      </c>
      <c r="D43">
        <v>2</v>
      </c>
      <c r="F43" s="2" t="s">
        <v>254</v>
      </c>
      <c r="G43">
        <v>2</v>
      </c>
      <c r="I43" s="13">
        <f>'[1]Ingeplande per TC'!$A$3</f>
        <v>9</v>
      </c>
      <c r="J43" s="13" t="str">
        <f>'[1]Ingeplande per TC'!$B$3</f>
        <v>Bart Van der Beken</v>
      </c>
      <c r="K43" s="13"/>
      <c r="L43" s="25"/>
      <c r="M43" s="13">
        <f>'[1]Ingeplande per TC'!$D$3</f>
        <v>17</v>
      </c>
      <c r="N43" s="13" t="str">
        <f>'[1]Ingeplande per TC'!$B$3</f>
        <v>Bart Van der Beken</v>
      </c>
      <c r="O43" s="13"/>
    </row>
    <row r="44" spans="3:15" x14ac:dyDescent="0.3">
      <c r="C44" s="2" t="s">
        <v>66</v>
      </c>
      <c r="D44">
        <v>2</v>
      </c>
      <c r="F44" s="2" t="s">
        <v>3282</v>
      </c>
      <c r="G44">
        <v>2</v>
      </c>
      <c r="I44" s="13">
        <f>'[1]Ingeplande per TC'!$A$4</f>
        <v>3</v>
      </c>
      <c r="J44" s="13" t="str">
        <f>'[1]Ingeplande per TC'!$B$4</f>
        <v>Els Dewulf</v>
      </c>
      <c r="K44" s="13"/>
      <c r="L44" s="25"/>
      <c r="M44" s="13">
        <f>'[1]Ingeplande per TC'!$D$4</f>
        <v>16</v>
      </c>
      <c r="N44" s="13" t="str">
        <f>'[1]Ingeplande per TC'!$B$4</f>
        <v>Els Dewulf</v>
      </c>
      <c r="O44" s="13"/>
    </row>
    <row r="45" spans="3:15" x14ac:dyDescent="0.3">
      <c r="C45" s="2" t="s">
        <v>111</v>
      </c>
      <c r="D45">
        <v>2</v>
      </c>
      <c r="F45" s="2" t="s">
        <v>263</v>
      </c>
      <c r="G45">
        <v>2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15</v>
      </c>
      <c r="N45" s="13" t="str">
        <f>'[1]Ingeplande per TC'!$B$5</f>
        <v>Els Vanhoe</v>
      </c>
      <c r="O45" s="13"/>
    </row>
    <row r="46" spans="3:15" x14ac:dyDescent="0.3">
      <c r="C46" s="2" t="s">
        <v>70</v>
      </c>
      <c r="D46">
        <v>2</v>
      </c>
      <c r="F46" s="2" t="s">
        <v>260</v>
      </c>
      <c r="G46">
        <v>2</v>
      </c>
      <c r="I46" s="13">
        <f>'[1]Ingeplande per TC'!$A$6</f>
        <v>8</v>
      </c>
      <c r="J46" s="13" t="str">
        <f>'[1]Ingeplande per TC'!$B$6</f>
        <v>Dominique De Clercq</v>
      </c>
      <c r="K46" s="13"/>
      <c r="L46" s="25"/>
      <c r="M46" s="13">
        <f>'[1]Ingeplande per TC'!$D$6</f>
        <v>22</v>
      </c>
      <c r="N46" s="13" t="str">
        <f>'[1]Ingeplande per TC'!$B$6</f>
        <v>Dominique De Clercq</v>
      </c>
      <c r="O46" s="13"/>
    </row>
    <row r="47" spans="3:15" x14ac:dyDescent="0.3">
      <c r="C47" s="2" t="s">
        <v>127</v>
      </c>
      <c r="D47">
        <v>2</v>
      </c>
      <c r="F47" s="2" t="s">
        <v>257</v>
      </c>
      <c r="G47">
        <v>2</v>
      </c>
      <c r="I47" s="13">
        <f>'[1]Ingeplande per TC'!$A$7</f>
        <v>7</v>
      </c>
      <c r="J47" s="13" t="str">
        <f>'[1]Ingeplande per TC'!$B$7</f>
        <v>Steven Storm</v>
      </c>
      <c r="K47" s="13"/>
      <c r="L47" s="25"/>
      <c r="M47" s="13">
        <f>'[1]Ingeplande per TC'!$D$7</f>
        <v>8</v>
      </c>
      <c r="N47" s="13" t="str">
        <f>'[1]Ingeplande per TC'!$B$7</f>
        <v>Steven Storm</v>
      </c>
      <c r="O47" s="13"/>
    </row>
    <row r="48" spans="3:15" x14ac:dyDescent="0.3">
      <c r="C48" s="2" t="s">
        <v>2</v>
      </c>
      <c r="D48">
        <v>2</v>
      </c>
      <c r="F48" s="2" t="s">
        <v>213</v>
      </c>
      <c r="G48">
        <v>2</v>
      </c>
      <c r="I48" s="13">
        <f>'[1]Ingeplande per TC'!$A$8</f>
        <v>8</v>
      </c>
      <c r="J48" s="13" t="str">
        <f>'[1]Ingeplande per TC'!$B$8</f>
        <v>Lucie Vande Velde</v>
      </c>
      <c r="K48" s="13"/>
      <c r="L48" s="25"/>
      <c r="M48" s="13">
        <f>'[1]Ingeplande per TC'!$D$8</f>
        <v>15</v>
      </c>
      <c r="N48" s="13" t="str">
        <f>'[1]Ingeplande per TC'!$B$8</f>
        <v>Lucie Vande Velde</v>
      </c>
      <c r="O48" s="13"/>
    </row>
    <row r="49" spans="3:15" x14ac:dyDescent="0.3">
      <c r="C49" s="2" t="s">
        <v>131</v>
      </c>
      <c r="D49">
        <v>2</v>
      </c>
      <c r="F49" s="2" t="s">
        <v>265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12</v>
      </c>
      <c r="N49" s="13" t="str">
        <f>'[1]Ingeplande per TC'!$B$9</f>
        <v>Kenneth De Rick</v>
      </c>
      <c r="O49" s="13"/>
    </row>
    <row r="50" spans="3:15" x14ac:dyDescent="0.3">
      <c r="C50" s="2" t="s">
        <v>73</v>
      </c>
      <c r="D50">
        <v>2</v>
      </c>
      <c r="F50" s="2" t="s">
        <v>238</v>
      </c>
      <c r="G50">
        <v>2</v>
      </c>
      <c r="I50" s="14">
        <f>SUM(I42:I49)</f>
        <v>60</v>
      </c>
      <c r="J50" s="14" t="s">
        <v>398</v>
      </c>
      <c r="K50" s="14"/>
      <c r="L50" s="25"/>
      <c r="M50" s="14">
        <f>SUM(M42:M49)</f>
        <v>128</v>
      </c>
      <c r="N50" s="14" t="s">
        <v>398</v>
      </c>
      <c r="O50" s="14"/>
    </row>
    <row r="51" spans="3:15" x14ac:dyDescent="0.3">
      <c r="C51" s="2" t="s">
        <v>6</v>
      </c>
      <c r="D51">
        <v>2</v>
      </c>
      <c r="F51" s="2" t="s">
        <v>245</v>
      </c>
      <c r="G51">
        <v>2</v>
      </c>
    </row>
    <row r="52" spans="3:15" x14ac:dyDescent="0.3">
      <c r="C52" s="2" t="s">
        <v>77</v>
      </c>
      <c r="D52">
        <v>2</v>
      </c>
      <c r="F52" s="2" t="s">
        <v>188</v>
      </c>
      <c r="G52">
        <v>2</v>
      </c>
    </row>
    <row r="53" spans="3:15" x14ac:dyDescent="0.3">
      <c r="C53" s="2" t="s">
        <v>136</v>
      </c>
      <c r="D53">
        <v>2</v>
      </c>
      <c r="F53" s="2" t="s">
        <v>171</v>
      </c>
      <c r="G53">
        <v>2</v>
      </c>
    </row>
    <row r="54" spans="3:15" x14ac:dyDescent="0.3">
      <c r="C54" s="2" t="s">
        <v>88</v>
      </c>
      <c r="D54">
        <v>2</v>
      </c>
      <c r="F54" s="2" t="s">
        <v>328</v>
      </c>
      <c r="G54">
        <v>2</v>
      </c>
    </row>
    <row r="55" spans="3:15" x14ac:dyDescent="0.3">
      <c r="C55" s="2" t="s">
        <v>152</v>
      </c>
      <c r="D55">
        <v>2</v>
      </c>
      <c r="F55" s="2" t="s">
        <v>244</v>
      </c>
      <c r="G55">
        <v>2</v>
      </c>
    </row>
    <row r="56" spans="3:15" x14ac:dyDescent="0.3">
      <c r="C56" s="2" t="s">
        <v>95</v>
      </c>
      <c r="D56">
        <v>2</v>
      </c>
      <c r="F56" s="2" t="s">
        <v>372</v>
      </c>
      <c r="G56">
        <v>2</v>
      </c>
    </row>
    <row r="57" spans="3:15" x14ac:dyDescent="0.3">
      <c r="C57" s="2" t="s">
        <v>144</v>
      </c>
      <c r="D57">
        <v>2</v>
      </c>
      <c r="F57" s="2" t="s">
        <v>211</v>
      </c>
      <c r="G57">
        <v>2</v>
      </c>
    </row>
    <row r="58" spans="3:15" x14ac:dyDescent="0.3">
      <c r="C58" s="2" t="s">
        <v>98</v>
      </c>
      <c r="D58">
        <v>2</v>
      </c>
      <c r="F58" s="2" t="s">
        <v>284</v>
      </c>
      <c r="G58">
        <v>2</v>
      </c>
    </row>
    <row r="59" spans="3:15" x14ac:dyDescent="0.3">
      <c r="C59" s="2" t="s">
        <v>146</v>
      </c>
      <c r="D59">
        <v>2</v>
      </c>
      <c r="F59" s="2" t="s">
        <v>196</v>
      </c>
      <c r="G59">
        <v>1</v>
      </c>
    </row>
    <row r="60" spans="3:15" x14ac:dyDescent="0.3">
      <c r="C60" s="2" t="s">
        <v>100</v>
      </c>
      <c r="D60">
        <v>2</v>
      </c>
      <c r="F60" s="2" t="s">
        <v>331</v>
      </c>
      <c r="G60">
        <v>1</v>
      </c>
    </row>
    <row r="61" spans="3:15" x14ac:dyDescent="0.3">
      <c r="C61" s="2" t="s">
        <v>85</v>
      </c>
      <c r="D61">
        <v>2</v>
      </c>
      <c r="F61" s="2" t="s">
        <v>259</v>
      </c>
      <c r="G61">
        <v>1</v>
      </c>
    </row>
    <row r="62" spans="3:15" x14ac:dyDescent="0.3">
      <c r="C62" s="2" t="s">
        <v>162</v>
      </c>
      <c r="D62">
        <v>1</v>
      </c>
      <c r="F62" s="2" t="s">
        <v>393</v>
      </c>
      <c r="G62">
        <v>1</v>
      </c>
    </row>
    <row r="63" spans="3:15" x14ac:dyDescent="0.3">
      <c r="C63" s="2" t="s">
        <v>129</v>
      </c>
      <c r="D63">
        <v>1</v>
      </c>
      <c r="F63" s="2" t="s">
        <v>3369</v>
      </c>
      <c r="G63">
        <v>1</v>
      </c>
    </row>
    <row r="64" spans="3:15" x14ac:dyDescent="0.3">
      <c r="C64" s="2" t="s">
        <v>3330</v>
      </c>
      <c r="D64">
        <v>1</v>
      </c>
      <c r="F64" s="2" t="s">
        <v>3314</v>
      </c>
      <c r="G64">
        <v>1</v>
      </c>
    </row>
    <row r="65" spans="3:7" x14ac:dyDescent="0.3">
      <c r="C65" s="2" t="s">
        <v>3334</v>
      </c>
      <c r="D65">
        <v>1</v>
      </c>
      <c r="F65" s="2" t="s">
        <v>305</v>
      </c>
      <c r="G65">
        <v>1</v>
      </c>
    </row>
    <row r="66" spans="3:7" x14ac:dyDescent="0.3">
      <c r="C66" s="2" t="s">
        <v>141</v>
      </c>
      <c r="D66">
        <v>1</v>
      </c>
      <c r="F66" s="2" t="s">
        <v>306</v>
      </c>
      <c r="G66">
        <v>1</v>
      </c>
    </row>
    <row r="67" spans="3:7" x14ac:dyDescent="0.3">
      <c r="C67" s="2" t="s">
        <v>42</v>
      </c>
      <c r="D67">
        <v>1</v>
      </c>
      <c r="F67" s="2" t="s">
        <v>362</v>
      </c>
      <c r="G67">
        <v>1</v>
      </c>
    </row>
    <row r="68" spans="3:7" x14ac:dyDescent="0.3">
      <c r="C68" s="2" t="s">
        <v>3288</v>
      </c>
      <c r="D68">
        <v>1</v>
      </c>
      <c r="F68" s="2" t="s">
        <v>3360</v>
      </c>
      <c r="G68">
        <v>1</v>
      </c>
    </row>
    <row r="69" spans="3:7" x14ac:dyDescent="0.3">
      <c r="C69" s="2" t="s">
        <v>43</v>
      </c>
      <c r="D69">
        <v>1</v>
      </c>
      <c r="F69" s="2" t="s">
        <v>281</v>
      </c>
      <c r="G69">
        <v>1</v>
      </c>
    </row>
    <row r="70" spans="3:7" x14ac:dyDescent="0.3">
      <c r="C70" s="2" t="s">
        <v>122</v>
      </c>
      <c r="D70">
        <v>1</v>
      </c>
      <c r="F70" s="2" t="s">
        <v>186</v>
      </c>
      <c r="G70">
        <v>1</v>
      </c>
    </row>
    <row r="71" spans="3:7" x14ac:dyDescent="0.3">
      <c r="C71" s="2" t="s">
        <v>44</v>
      </c>
      <c r="D71">
        <v>1</v>
      </c>
      <c r="F71" s="2" t="s">
        <v>332</v>
      </c>
      <c r="G71">
        <v>1</v>
      </c>
    </row>
    <row r="72" spans="3:7" x14ac:dyDescent="0.3">
      <c r="C72" s="2" t="s">
        <v>7</v>
      </c>
      <c r="D72">
        <v>1</v>
      </c>
      <c r="F72" s="2" t="s">
        <v>3341</v>
      </c>
      <c r="G72">
        <v>1</v>
      </c>
    </row>
    <row r="73" spans="3:7" x14ac:dyDescent="0.3">
      <c r="C73" s="2" t="s">
        <v>45</v>
      </c>
      <c r="D73">
        <v>1</v>
      </c>
      <c r="F73" s="2" t="s">
        <v>378</v>
      </c>
      <c r="G73">
        <v>1</v>
      </c>
    </row>
    <row r="74" spans="3:7" x14ac:dyDescent="0.3">
      <c r="C74" s="2" t="s">
        <v>40</v>
      </c>
      <c r="D74">
        <v>1</v>
      </c>
      <c r="F74" s="2" t="s">
        <v>235</v>
      </c>
      <c r="G74">
        <v>1</v>
      </c>
    </row>
    <row r="75" spans="3:7" x14ac:dyDescent="0.3">
      <c r="C75" s="2" t="s">
        <v>46</v>
      </c>
      <c r="D75">
        <v>1</v>
      </c>
      <c r="F75" s="2" t="s">
        <v>349</v>
      </c>
      <c r="G75">
        <v>1</v>
      </c>
    </row>
    <row r="76" spans="3:7" x14ac:dyDescent="0.3">
      <c r="C76" s="2" t="s">
        <v>104</v>
      </c>
      <c r="D76">
        <v>1</v>
      </c>
      <c r="F76" s="2" t="s">
        <v>209</v>
      </c>
      <c r="G76">
        <v>1</v>
      </c>
    </row>
    <row r="77" spans="3:7" x14ac:dyDescent="0.3">
      <c r="C77" s="2" t="s">
        <v>47</v>
      </c>
      <c r="D77">
        <v>1</v>
      </c>
      <c r="F77" s="2" t="s">
        <v>243</v>
      </c>
      <c r="G77">
        <v>1</v>
      </c>
    </row>
    <row r="78" spans="3:7" x14ac:dyDescent="0.3">
      <c r="C78" s="2" t="s">
        <v>29</v>
      </c>
      <c r="D78">
        <v>1</v>
      </c>
      <c r="F78" s="2" t="s">
        <v>293</v>
      </c>
      <c r="G78">
        <v>1</v>
      </c>
    </row>
    <row r="79" spans="3:7" x14ac:dyDescent="0.3">
      <c r="C79" s="2" t="s">
        <v>48</v>
      </c>
      <c r="D79">
        <v>1</v>
      </c>
      <c r="F79" s="2" t="s">
        <v>308</v>
      </c>
      <c r="G79">
        <v>1</v>
      </c>
    </row>
    <row r="80" spans="3:7" x14ac:dyDescent="0.3">
      <c r="C80" s="2" t="s">
        <v>118</v>
      </c>
      <c r="D80">
        <v>1</v>
      </c>
      <c r="F80" s="2" t="s">
        <v>337</v>
      </c>
      <c r="G80">
        <v>1</v>
      </c>
    </row>
    <row r="81" spans="3:7" x14ac:dyDescent="0.3">
      <c r="C81" s="2" t="s">
        <v>49</v>
      </c>
      <c r="D81">
        <v>1</v>
      </c>
      <c r="F81" s="2" t="s">
        <v>204</v>
      </c>
      <c r="G81">
        <v>1</v>
      </c>
    </row>
    <row r="82" spans="3:7" x14ac:dyDescent="0.3">
      <c r="C82" s="2" t="s">
        <v>30</v>
      </c>
      <c r="D82">
        <v>1</v>
      </c>
      <c r="F82" s="2" t="s">
        <v>225</v>
      </c>
      <c r="G82">
        <v>1</v>
      </c>
    </row>
    <row r="83" spans="3:7" x14ac:dyDescent="0.3">
      <c r="C83" s="2" t="s">
        <v>50</v>
      </c>
      <c r="D83">
        <v>1</v>
      </c>
      <c r="F83" s="2" t="s">
        <v>385</v>
      </c>
      <c r="G83">
        <v>1</v>
      </c>
    </row>
    <row r="84" spans="3:7" x14ac:dyDescent="0.3">
      <c r="C84" s="2" t="s">
        <v>3279</v>
      </c>
      <c r="D84">
        <v>1</v>
      </c>
      <c r="F84" s="2" t="s">
        <v>323</v>
      </c>
      <c r="G84">
        <v>1</v>
      </c>
    </row>
    <row r="85" spans="3:7" x14ac:dyDescent="0.3">
      <c r="C85" s="2" t="s">
        <v>51</v>
      </c>
      <c r="D85">
        <v>1</v>
      </c>
      <c r="F85" s="2" t="s">
        <v>3363</v>
      </c>
      <c r="G85">
        <v>1</v>
      </c>
    </row>
    <row r="86" spans="3:7" x14ac:dyDescent="0.3">
      <c r="C86" s="2" t="s">
        <v>138</v>
      </c>
      <c r="D86">
        <v>1</v>
      </c>
      <c r="F86" s="2" t="s">
        <v>301</v>
      </c>
      <c r="G86">
        <v>1</v>
      </c>
    </row>
    <row r="87" spans="3:7" x14ac:dyDescent="0.3">
      <c r="C87" s="2" t="s">
        <v>1</v>
      </c>
      <c r="D87">
        <v>1</v>
      </c>
      <c r="F87" s="2" t="s">
        <v>271</v>
      </c>
      <c r="G87">
        <v>1</v>
      </c>
    </row>
    <row r="88" spans="3:7" x14ac:dyDescent="0.3">
      <c r="C88" s="2" t="s">
        <v>39</v>
      </c>
      <c r="D88">
        <v>1</v>
      </c>
      <c r="F88" s="2" t="s">
        <v>180</v>
      </c>
      <c r="G88">
        <v>1</v>
      </c>
    </row>
    <row r="89" spans="3:7" x14ac:dyDescent="0.3">
      <c r="C89" s="2" t="s">
        <v>53</v>
      </c>
      <c r="D89">
        <v>1</v>
      </c>
      <c r="F89" s="2" t="s">
        <v>368</v>
      </c>
      <c r="G89">
        <v>1</v>
      </c>
    </row>
    <row r="90" spans="3:7" x14ac:dyDescent="0.3">
      <c r="C90" s="2" t="s">
        <v>3299</v>
      </c>
      <c r="D90">
        <v>1</v>
      </c>
      <c r="F90" s="2" t="s">
        <v>339</v>
      </c>
      <c r="G90">
        <v>1</v>
      </c>
    </row>
    <row r="91" spans="3:7" x14ac:dyDescent="0.3">
      <c r="C91" s="2" t="s">
        <v>54</v>
      </c>
      <c r="D91">
        <v>1</v>
      </c>
      <c r="F91" s="2" t="s">
        <v>241</v>
      </c>
      <c r="G91">
        <v>1</v>
      </c>
    </row>
    <row r="92" spans="3:7" x14ac:dyDescent="0.3">
      <c r="C92" s="2" t="s">
        <v>19</v>
      </c>
      <c r="D92">
        <v>1</v>
      </c>
      <c r="F92" s="2" t="s">
        <v>184</v>
      </c>
      <c r="G92">
        <v>1</v>
      </c>
    </row>
    <row r="93" spans="3:7" x14ac:dyDescent="0.3">
      <c r="C93" s="2" t="s">
        <v>55</v>
      </c>
      <c r="D93">
        <v>1</v>
      </c>
      <c r="F93" s="2" t="s">
        <v>3352</v>
      </c>
      <c r="G93">
        <v>1</v>
      </c>
    </row>
    <row r="94" spans="3:7" x14ac:dyDescent="0.3">
      <c r="C94" s="2" t="s">
        <v>106</v>
      </c>
      <c r="D94">
        <v>1</v>
      </c>
      <c r="F94" s="2" t="s">
        <v>3395</v>
      </c>
      <c r="G94">
        <v>1</v>
      </c>
    </row>
    <row r="95" spans="3:7" x14ac:dyDescent="0.3">
      <c r="C95" s="2" t="s">
        <v>56</v>
      </c>
      <c r="D95">
        <v>1</v>
      </c>
      <c r="F95" s="2" t="s">
        <v>307</v>
      </c>
      <c r="G95">
        <v>1</v>
      </c>
    </row>
    <row r="96" spans="3:7" x14ac:dyDescent="0.3">
      <c r="C96" s="2" t="s">
        <v>110</v>
      </c>
      <c r="D96">
        <v>1</v>
      </c>
      <c r="F96" s="2" t="s">
        <v>320</v>
      </c>
      <c r="G96">
        <v>1</v>
      </c>
    </row>
    <row r="97" spans="3:7" x14ac:dyDescent="0.3">
      <c r="C97" s="2" t="s">
        <v>57</v>
      </c>
      <c r="D97">
        <v>1</v>
      </c>
      <c r="F97" s="2" t="s">
        <v>383</v>
      </c>
      <c r="G97">
        <v>1</v>
      </c>
    </row>
    <row r="98" spans="3:7" x14ac:dyDescent="0.3">
      <c r="C98" s="2" t="s">
        <v>113</v>
      </c>
      <c r="D98">
        <v>1</v>
      </c>
      <c r="F98" s="2" t="s">
        <v>3347</v>
      </c>
      <c r="G98">
        <v>1</v>
      </c>
    </row>
    <row r="99" spans="3:7" x14ac:dyDescent="0.3">
      <c r="C99" s="2" t="s">
        <v>58</v>
      </c>
      <c r="D99">
        <v>1</v>
      </c>
      <c r="F99" s="2" t="s">
        <v>359</v>
      </c>
      <c r="G99">
        <v>1</v>
      </c>
    </row>
    <row r="100" spans="3:7" x14ac:dyDescent="0.3">
      <c r="C100" s="2" t="s">
        <v>116</v>
      </c>
      <c r="D100">
        <v>1</v>
      </c>
      <c r="F100" s="2" t="s">
        <v>298</v>
      </c>
      <c r="G100">
        <v>1</v>
      </c>
    </row>
    <row r="101" spans="3:7" x14ac:dyDescent="0.3">
      <c r="C101" s="2" t="s">
        <v>59</v>
      </c>
      <c r="D101">
        <v>1</v>
      </c>
      <c r="F101" s="2" t="s">
        <v>365</v>
      </c>
      <c r="G101">
        <v>1</v>
      </c>
    </row>
    <row r="102" spans="3:7" x14ac:dyDescent="0.3">
      <c r="C102" s="2" t="s">
        <v>120</v>
      </c>
      <c r="D102">
        <v>1</v>
      </c>
      <c r="F102" s="2" t="s">
        <v>223</v>
      </c>
      <c r="G102">
        <v>1</v>
      </c>
    </row>
    <row r="103" spans="3:7" x14ac:dyDescent="0.3">
      <c r="C103" s="2" t="s">
        <v>60</v>
      </c>
      <c r="D103">
        <v>1</v>
      </c>
      <c r="F103" s="2" t="s">
        <v>329</v>
      </c>
      <c r="G103">
        <v>1</v>
      </c>
    </row>
    <row r="104" spans="3:7" x14ac:dyDescent="0.3">
      <c r="C104" s="2" t="s">
        <v>4</v>
      </c>
      <c r="D104">
        <v>1</v>
      </c>
      <c r="F104" s="2" t="s">
        <v>312</v>
      </c>
      <c r="G104">
        <v>1</v>
      </c>
    </row>
    <row r="105" spans="3:7" x14ac:dyDescent="0.3">
      <c r="C105" s="2" t="s">
        <v>61</v>
      </c>
      <c r="D105">
        <v>1</v>
      </c>
      <c r="F105" s="2" t="s">
        <v>379</v>
      </c>
      <c r="G105">
        <v>1</v>
      </c>
    </row>
    <row r="106" spans="3:7" x14ac:dyDescent="0.3">
      <c r="C106" s="2" t="s">
        <v>32</v>
      </c>
      <c r="D106">
        <v>1</v>
      </c>
      <c r="F106" s="2" t="s">
        <v>283</v>
      </c>
      <c r="G106">
        <v>1</v>
      </c>
    </row>
    <row r="107" spans="3:7" x14ac:dyDescent="0.3">
      <c r="C107" s="2" t="s">
        <v>62</v>
      </c>
      <c r="D107">
        <v>1</v>
      </c>
      <c r="F107" s="2" t="s">
        <v>304</v>
      </c>
      <c r="G107">
        <v>1</v>
      </c>
    </row>
    <row r="108" spans="3:7" x14ac:dyDescent="0.3">
      <c r="C108" s="2" t="s">
        <v>33</v>
      </c>
      <c r="D108">
        <v>1</v>
      </c>
      <c r="F108" s="2" t="s">
        <v>3310</v>
      </c>
      <c r="G108">
        <v>1</v>
      </c>
    </row>
    <row r="109" spans="3:7" x14ac:dyDescent="0.3">
      <c r="C109" s="2" t="s">
        <v>63</v>
      </c>
      <c r="D109">
        <v>1</v>
      </c>
      <c r="F109" s="2" t="s">
        <v>3376</v>
      </c>
      <c r="G109">
        <v>1</v>
      </c>
    </row>
    <row r="110" spans="3:7" x14ac:dyDescent="0.3">
      <c r="C110" s="2" t="s">
        <v>3365</v>
      </c>
      <c r="D110">
        <v>1</v>
      </c>
      <c r="F110" s="2" t="s">
        <v>324</v>
      </c>
      <c r="G110">
        <v>1</v>
      </c>
    </row>
    <row r="111" spans="3:7" x14ac:dyDescent="0.3">
      <c r="C111" s="2" t="s">
        <v>64</v>
      </c>
      <c r="D111">
        <v>1</v>
      </c>
      <c r="F111" s="2" t="s">
        <v>311</v>
      </c>
      <c r="G111">
        <v>1</v>
      </c>
    </row>
    <row r="112" spans="3:7" x14ac:dyDescent="0.3">
      <c r="C112" s="2" t="s">
        <v>157</v>
      </c>
      <c r="D112">
        <v>1</v>
      </c>
      <c r="F112" s="2" t="s">
        <v>230</v>
      </c>
      <c r="G112">
        <v>1</v>
      </c>
    </row>
    <row r="113" spans="3:7" x14ac:dyDescent="0.3">
      <c r="C113" s="2" t="s">
        <v>65</v>
      </c>
      <c r="D113">
        <v>1</v>
      </c>
      <c r="F113" s="2" t="s">
        <v>316</v>
      </c>
      <c r="G113">
        <v>1</v>
      </c>
    </row>
    <row r="114" spans="3:7" x14ac:dyDescent="0.3">
      <c r="C114" s="2" t="s">
        <v>9</v>
      </c>
      <c r="D114">
        <v>1</v>
      </c>
      <c r="F114" s="2" t="s">
        <v>208</v>
      </c>
      <c r="G114">
        <v>1</v>
      </c>
    </row>
    <row r="115" spans="3:7" x14ac:dyDescent="0.3">
      <c r="C115" s="2" t="s">
        <v>3320</v>
      </c>
      <c r="D115">
        <v>1</v>
      </c>
      <c r="F115" s="2" t="s">
        <v>255</v>
      </c>
      <c r="G115">
        <v>1</v>
      </c>
    </row>
    <row r="116" spans="3:7" x14ac:dyDescent="0.3">
      <c r="C116" s="2" t="s">
        <v>11</v>
      </c>
      <c r="D116">
        <v>1</v>
      </c>
      <c r="F116" s="2" t="s">
        <v>287</v>
      </c>
      <c r="G116">
        <v>1</v>
      </c>
    </row>
    <row r="117" spans="3:7" x14ac:dyDescent="0.3">
      <c r="C117" s="2" t="s">
        <v>67</v>
      </c>
      <c r="D117">
        <v>1</v>
      </c>
      <c r="F117" s="2" t="s">
        <v>336</v>
      </c>
      <c r="G117">
        <v>1</v>
      </c>
    </row>
    <row r="118" spans="3:7" x14ac:dyDescent="0.3">
      <c r="C118" s="2" t="s">
        <v>163</v>
      </c>
      <c r="D118">
        <v>1</v>
      </c>
      <c r="F118" s="2" t="s">
        <v>3319</v>
      </c>
      <c r="G118">
        <v>1</v>
      </c>
    </row>
    <row r="119" spans="3:7" x14ac:dyDescent="0.3">
      <c r="C119" s="2" t="s">
        <v>68</v>
      </c>
      <c r="D119">
        <v>1</v>
      </c>
      <c r="F119" s="2" t="s">
        <v>240</v>
      </c>
      <c r="G119">
        <v>1</v>
      </c>
    </row>
    <row r="120" spans="3:7" x14ac:dyDescent="0.3">
      <c r="C120" s="2" t="s">
        <v>164</v>
      </c>
      <c r="D120">
        <v>1</v>
      </c>
      <c r="F120" s="2" t="s">
        <v>330</v>
      </c>
      <c r="G120">
        <v>1</v>
      </c>
    </row>
    <row r="121" spans="3:7" x14ac:dyDescent="0.3">
      <c r="C121" s="2" t="s">
        <v>69</v>
      </c>
      <c r="D121">
        <v>1</v>
      </c>
      <c r="F121" s="2" t="s">
        <v>277</v>
      </c>
      <c r="G121">
        <v>1</v>
      </c>
    </row>
    <row r="122" spans="3:7" x14ac:dyDescent="0.3">
      <c r="C122" s="2" t="s">
        <v>3296</v>
      </c>
      <c r="D122">
        <v>1</v>
      </c>
      <c r="F122" s="2" t="s">
        <v>396</v>
      </c>
      <c r="G122">
        <v>1</v>
      </c>
    </row>
    <row r="123" spans="3:7" x14ac:dyDescent="0.3">
      <c r="C123" s="2" t="s">
        <v>3348</v>
      </c>
      <c r="D123">
        <v>1</v>
      </c>
      <c r="F123" s="2" t="s">
        <v>251</v>
      </c>
      <c r="G123">
        <v>1</v>
      </c>
    </row>
    <row r="124" spans="3:7" x14ac:dyDescent="0.3">
      <c r="C124" s="2" t="s">
        <v>3349</v>
      </c>
      <c r="D124">
        <v>1</v>
      </c>
      <c r="F124" s="2" t="s">
        <v>3292</v>
      </c>
      <c r="G124">
        <v>1</v>
      </c>
    </row>
    <row r="125" spans="3:7" x14ac:dyDescent="0.3">
      <c r="C125" s="2" t="s">
        <v>0</v>
      </c>
      <c r="D125">
        <v>1</v>
      </c>
      <c r="F125" s="2" t="s">
        <v>384</v>
      </c>
      <c r="G125">
        <v>1</v>
      </c>
    </row>
    <row r="126" spans="3:7" x14ac:dyDescent="0.3">
      <c r="C126" s="2" t="s">
        <v>103</v>
      </c>
      <c r="D126">
        <v>1</v>
      </c>
      <c r="F126" s="2" t="s">
        <v>348</v>
      </c>
      <c r="G126">
        <v>1</v>
      </c>
    </row>
    <row r="127" spans="3:7" x14ac:dyDescent="0.3">
      <c r="C127" s="2" t="s">
        <v>72</v>
      </c>
      <c r="D127">
        <v>1</v>
      </c>
      <c r="F127" s="2" t="s">
        <v>3379</v>
      </c>
      <c r="G127">
        <v>1</v>
      </c>
    </row>
    <row r="128" spans="3:7" x14ac:dyDescent="0.3">
      <c r="C128" s="2" t="s">
        <v>105</v>
      </c>
      <c r="D128">
        <v>1</v>
      </c>
      <c r="F128" s="2" t="s">
        <v>262</v>
      </c>
      <c r="G128">
        <v>1</v>
      </c>
    </row>
    <row r="129" spans="3:7" x14ac:dyDescent="0.3">
      <c r="C129" s="2" t="s">
        <v>21</v>
      </c>
      <c r="D129">
        <v>1</v>
      </c>
      <c r="F129" s="2" t="s">
        <v>347</v>
      </c>
      <c r="G129">
        <v>1</v>
      </c>
    </row>
    <row r="130" spans="3:7" x14ac:dyDescent="0.3">
      <c r="C130" s="2" t="s">
        <v>27</v>
      </c>
      <c r="D130">
        <v>1</v>
      </c>
      <c r="F130" s="2" t="s">
        <v>356</v>
      </c>
      <c r="G130">
        <v>1</v>
      </c>
    </row>
    <row r="131" spans="3:7" x14ac:dyDescent="0.3">
      <c r="C131" s="2" t="s">
        <v>74</v>
      </c>
      <c r="D131">
        <v>1</v>
      </c>
      <c r="F131" s="2" t="s">
        <v>299</v>
      </c>
      <c r="G131">
        <v>1</v>
      </c>
    </row>
    <row r="132" spans="3:7" x14ac:dyDescent="0.3">
      <c r="C132" s="2" t="s">
        <v>3</v>
      </c>
      <c r="D132">
        <v>1</v>
      </c>
      <c r="F132" s="2" t="s">
        <v>343</v>
      </c>
      <c r="G132">
        <v>1</v>
      </c>
    </row>
    <row r="133" spans="3:7" x14ac:dyDescent="0.3">
      <c r="C133" s="2" t="s">
        <v>3370</v>
      </c>
      <c r="D133">
        <v>1</v>
      </c>
      <c r="F133" s="2" t="s">
        <v>215</v>
      </c>
      <c r="G133">
        <v>1</v>
      </c>
    </row>
    <row r="134" spans="3:7" x14ac:dyDescent="0.3">
      <c r="C134" s="2" t="s">
        <v>28</v>
      </c>
      <c r="D134">
        <v>1</v>
      </c>
      <c r="F134" s="2" t="s">
        <v>319</v>
      </c>
      <c r="G134">
        <v>1</v>
      </c>
    </row>
    <row r="135" spans="3:7" x14ac:dyDescent="0.3">
      <c r="C135" s="2" t="s">
        <v>3355</v>
      </c>
      <c r="D135">
        <v>1</v>
      </c>
      <c r="F135" s="2" t="s">
        <v>300</v>
      </c>
      <c r="G135">
        <v>1</v>
      </c>
    </row>
    <row r="136" spans="3:7" x14ac:dyDescent="0.3">
      <c r="C136" s="2" t="s">
        <v>112</v>
      </c>
      <c r="D136">
        <v>1</v>
      </c>
      <c r="F136" s="2" t="s">
        <v>351</v>
      </c>
      <c r="G136">
        <v>1</v>
      </c>
    </row>
    <row r="137" spans="3:7" x14ac:dyDescent="0.3">
      <c r="C137" s="2" t="s">
        <v>76</v>
      </c>
      <c r="D137">
        <v>1</v>
      </c>
      <c r="F137" s="2" t="s">
        <v>273</v>
      </c>
      <c r="G137">
        <v>1</v>
      </c>
    </row>
    <row r="138" spans="3:7" x14ac:dyDescent="0.3">
      <c r="C138" s="2" t="s">
        <v>114</v>
      </c>
      <c r="D138">
        <v>1</v>
      </c>
      <c r="F138" s="2" t="s">
        <v>261</v>
      </c>
      <c r="G138">
        <v>1</v>
      </c>
    </row>
    <row r="139" spans="3:7" x14ac:dyDescent="0.3">
      <c r="C139" s="2" t="s">
        <v>13</v>
      </c>
      <c r="D139">
        <v>1</v>
      </c>
      <c r="F139" s="2" t="s">
        <v>395</v>
      </c>
      <c r="G139">
        <v>1</v>
      </c>
    </row>
    <row r="140" spans="3:7" x14ac:dyDescent="0.3">
      <c r="C140" s="2" t="s">
        <v>115</v>
      </c>
      <c r="D140">
        <v>1</v>
      </c>
      <c r="F140" s="2" t="s">
        <v>310</v>
      </c>
      <c r="G140">
        <v>1</v>
      </c>
    </row>
    <row r="141" spans="3:7" x14ac:dyDescent="0.3">
      <c r="C141" s="2" t="s">
        <v>78</v>
      </c>
      <c r="D141">
        <v>1</v>
      </c>
      <c r="F141"/>
      <c r="G141"/>
    </row>
    <row r="142" spans="3:7" x14ac:dyDescent="0.3">
      <c r="C142" s="2" t="s">
        <v>117</v>
      </c>
      <c r="D142">
        <v>1</v>
      </c>
      <c r="F142"/>
      <c r="G142"/>
    </row>
    <row r="143" spans="3:7" x14ac:dyDescent="0.3">
      <c r="C143" s="2" t="s">
        <v>79</v>
      </c>
      <c r="D143">
        <v>1</v>
      </c>
      <c r="F143"/>
      <c r="G143"/>
    </row>
    <row r="144" spans="3:7" x14ac:dyDescent="0.3">
      <c r="C144" s="2" t="s">
        <v>119</v>
      </c>
      <c r="D144">
        <v>1</v>
      </c>
      <c r="F144"/>
      <c r="G144"/>
    </row>
    <row r="145" spans="3:7" x14ac:dyDescent="0.3">
      <c r="C145" s="2" t="s">
        <v>150</v>
      </c>
      <c r="D145">
        <v>1</v>
      </c>
      <c r="F145"/>
      <c r="G145"/>
    </row>
    <row r="146" spans="3:7" x14ac:dyDescent="0.3">
      <c r="C146" s="2" t="s">
        <v>121</v>
      </c>
      <c r="D146">
        <v>1</v>
      </c>
      <c r="F146"/>
      <c r="G146"/>
    </row>
    <row r="147" spans="3:7" x14ac:dyDescent="0.3">
      <c r="C147" s="2" t="s">
        <v>151</v>
      </c>
      <c r="D147">
        <v>1</v>
      </c>
      <c r="F147"/>
      <c r="G147"/>
    </row>
    <row r="148" spans="3:7" x14ac:dyDescent="0.3">
      <c r="C148" s="2" t="s">
        <v>123</v>
      </c>
      <c r="D148">
        <v>1</v>
      </c>
      <c r="F148"/>
      <c r="G148"/>
    </row>
    <row r="149" spans="3:7" x14ac:dyDescent="0.3">
      <c r="C149" s="2" t="s">
        <v>82</v>
      </c>
      <c r="D149">
        <v>1</v>
      </c>
      <c r="F149"/>
      <c r="G149"/>
    </row>
    <row r="150" spans="3:7" x14ac:dyDescent="0.3">
      <c r="C150" s="2" t="s">
        <v>5</v>
      </c>
      <c r="D150">
        <v>1</v>
      </c>
      <c r="F150"/>
      <c r="G150"/>
    </row>
    <row r="151" spans="3:7" x14ac:dyDescent="0.3">
      <c r="C151" s="2" t="s">
        <v>83</v>
      </c>
      <c r="D151">
        <v>1</v>
      </c>
      <c r="F151"/>
      <c r="G151"/>
    </row>
    <row r="152" spans="3:7" x14ac:dyDescent="0.3">
      <c r="C152" s="2" t="s">
        <v>17</v>
      </c>
      <c r="D152">
        <v>1</v>
      </c>
      <c r="F152"/>
      <c r="G152"/>
    </row>
    <row r="153" spans="3:7" x14ac:dyDescent="0.3">
      <c r="C153" s="2" t="s">
        <v>3278</v>
      </c>
      <c r="D153">
        <v>1</v>
      </c>
      <c r="F153"/>
      <c r="G153"/>
    </row>
    <row r="154" spans="3:7" x14ac:dyDescent="0.3">
      <c r="C154" s="2" t="s">
        <v>128</v>
      </c>
      <c r="D154">
        <v>1</v>
      </c>
      <c r="F154"/>
      <c r="G154"/>
    </row>
    <row r="155" spans="3:7" x14ac:dyDescent="0.3">
      <c r="C155" s="2" t="s">
        <v>84</v>
      </c>
      <c r="D155">
        <v>1</v>
      </c>
      <c r="F155"/>
      <c r="G155"/>
    </row>
    <row r="156" spans="3:7" x14ac:dyDescent="0.3">
      <c r="C156" s="2" t="s">
        <v>130</v>
      </c>
      <c r="D156">
        <v>1</v>
      </c>
      <c r="F156"/>
      <c r="G156"/>
    </row>
    <row r="157" spans="3:7" x14ac:dyDescent="0.3">
      <c r="C157" s="2" t="s">
        <v>3283</v>
      </c>
      <c r="D157">
        <v>1</v>
      </c>
      <c r="F157"/>
      <c r="G157"/>
    </row>
    <row r="158" spans="3:7" x14ac:dyDescent="0.3">
      <c r="C158" s="2" t="s">
        <v>34</v>
      </c>
      <c r="D158">
        <v>1</v>
      </c>
      <c r="F158"/>
      <c r="G158"/>
    </row>
    <row r="159" spans="3:7" x14ac:dyDescent="0.3">
      <c r="C159" s="2" t="s">
        <v>149</v>
      </c>
      <c r="D159">
        <v>1</v>
      </c>
      <c r="F159"/>
      <c r="G159"/>
    </row>
    <row r="160" spans="3:7" x14ac:dyDescent="0.3">
      <c r="C160" s="2" t="s">
        <v>35</v>
      </c>
      <c r="D160">
        <v>1</v>
      </c>
      <c r="F160"/>
      <c r="G160"/>
    </row>
    <row r="161" spans="3:7" x14ac:dyDescent="0.3">
      <c r="C161" s="2" t="s">
        <v>87</v>
      </c>
      <c r="D161">
        <v>1</v>
      </c>
      <c r="F161"/>
      <c r="G161"/>
    </row>
    <row r="162" spans="3:7" x14ac:dyDescent="0.3">
      <c r="C162" s="2" t="s">
        <v>3327</v>
      </c>
      <c r="D162">
        <v>1</v>
      </c>
      <c r="F162"/>
      <c r="G162"/>
    </row>
    <row r="163" spans="3:7" x14ac:dyDescent="0.3">
      <c r="C163" s="2" t="s">
        <v>16</v>
      </c>
      <c r="D163">
        <v>1</v>
      </c>
      <c r="F163"/>
      <c r="G163"/>
    </row>
    <row r="164" spans="3:7" x14ac:dyDescent="0.3">
      <c r="C164" s="2" t="s">
        <v>18</v>
      </c>
      <c r="D164">
        <v>1</v>
      </c>
      <c r="F164"/>
      <c r="G164"/>
    </row>
    <row r="165" spans="3:7" x14ac:dyDescent="0.3">
      <c r="C165" s="2" t="s">
        <v>89</v>
      </c>
      <c r="D165">
        <v>1</v>
      </c>
      <c r="F165"/>
      <c r="G165"/>
    </row>
    <row r="166" spans="3:7" x14ac:dyDescent="0.3">
      <c r="C166" s="2" t="s">
        <v>8</v>
      </c>
      <c r="D166">
        <v>1</v>
      </c>
      <c r="F166"/>
      <c r="G166"/>
    </row>
    <row r="167" spans="3:7" x14ac:dyDescent="0.3">
      <c r="C167" s="2" t="s">
        <v>90</v>
      </c>
      <c r="D167">
        <v>1</v>
      </c>
      <c r="F167"/>
      <c r="G167"/>
    </row>
    <row r="168" spans="3:7" x14ac:dyDescent="0.3">
      <c r="C168" s="2" t="s">
        <v>37</v>
      </c>
      <c r="D168">
        <v>1</v>
      </c>
      <c r="F168"/>
      <c r="G168"/>
    </row>
    <row r="169" spans="3:7" x14ac:dyDescent="0.3">
      <c r="C169" s="2" t="s">
        <v>91</v>
      </c>
      <c r="D169">
        <v>1</v>
      </c>
      <c r="F169"/>
      <c r="G169"/>
    </row>
    <row r="170" spans="3:7" x14ac:dyDescent="0.3">
      <c r="C170" s="2" t="s">
        <v>3285</v>
      </c>
      <c r="D170">
        <v>1</v>
      </c>
      <c r="F170"/>
      <c r="G170"/>
    </row>
    <row r="171" spans="3:7" x14ac:dyDescent="0.3">
      <c r="C171" s="2" t="s">
        <v>92</v>
      </c>
      <c r="D171">
        <v>1</v>
      </c>
      <c r="F171"/>
      <c r="G171"/>
    </row>
    <row r="172" spans="3:7" x14ac:dyDescent="0.3">
      <c r="C172" s="2" t="s">
        <v>10</v>
      </c>
      <c r="D172">
        <v>1</v>
      </c>
      <c r="F172"/>
      <c r="G172"/>
    </row>
    <row r="173" spans="3:7" x14ac:dyDescent="0.3">
      <c r="C173" s="2" t="s">
        <v>93</v>
      </c>
      <c r="D173">
        <v>1</v>
      </c>
      <c r="F173"/>
      <c r="G173"/>
    </row>
    <row r="174" spans="3:7" x14ac:dyDescent="0.3">
      <c r="C174" s="2" t="s">
        <v>38</v>
      </c>
      <c r="D174">
        <v>1</v>
      </c>
      <c r="F174"/>
      <c r="G174"/>
    </row>
    <row r="175" spans="3:7" x14ac:dyDescent="0.3">
      <c r="C175" s="2" t="s">
        <v>94</v>
      </c>
      <c r="D175">
        <v>1</v>
      </c>
      <c r="F175"/>
      <c r="G175"/>
    </row>
    <row r="176" spans="3:7" x14ac:dyDescent="0.3">
      <c r="C176" s="2" t="s">
        <v>145</v>
      </c>
      <c r="D176">
        <v>1</v>
      </c>
      <c r="F176"/>
      <c r="G176"/>
    </row>
    <row r="177" spans="3:7" x14ac:dyDescent="0.3">
      <c r="C177" s="2" t="s">
        <v>24</v>
      </c>
      <c r="D177">
        <v>1</v>
      </c>
      <c r="F177"/>
      <c r="G177"/>
    </row>
    <row r="178" spans="3:7" x14ac:dyDescent="0.3">
      <c r="C178" s="2" t="s">
        <v>159</v>
      </c>
      <c r="D178">
        <v>1</v>
      </c>
      <c r="F178"/>
      <c r="G178"/>
    </row>
    <row r="179" spans="3:7" x14ac:dyDescent="0.3">
      <c r="C179" s="2" t="s">
        <v>96</v>
      </c>
      <c r="D179">
        <v>1</v>
      </c>
      <c r="F179"/>
      <c r="G179"/>
    </row>
    <row r="180" spans="3:7" x14ac:dyDescent="0.3">
      <c r="C180" s="2" t="s">
        <v>155</v>
      </c>
      <c r="D180">
        <v>1</v>
      </c>
      <c r="F180"/>
      <c r="G180"/>
    </row>
    <row r="181" spans="3:7" x14ac:dyDescent="0.3">
      <c r="C181" s="2" t="s">
        <v>97</v>
      </c>
      <c r="D181">
        <v>1</v>
      </c>
      <c r="F181"/>
      <c r="G181"/>
    </row>
    <row r="182" spans="3:7" x14ac:dyDescent="0.3">
      <c r="C182" s="2" t="s">
        <v>161</v>
      </c>
      <c r="D182">
        <v>1</v>
      </c>
      <c r="F182"/>
      <c r="G182"/>
    </row>
    <row r="183" spans="3:7" x14ac:dyDescent="0.3">
      <c r="C183" s="2" t="s">
        <v>25</v>
      </c>
      <c r="D183">
        <v>1</v>
      </c>
      <c r="F183"/>
      <c r="G183"/>
    </row>
    <row r="184" spans="3:7" x14ac:dyDescent="0.3">
      <c r="C184" s="2" t="s">
        <v>158</v>
      </c>
      <c r="D184">
        <v>1</v>
      </c>
      <c r="F184"/>
      <c r="G184"/>
    </row>
    <row r="185" spans="3:7" x14ac:dyDescent="0.3">
      <c r="C185" s="2" t="s">
        <v>99</v>
      </c>
      <c r="D185">
        <v>1</v>
      </c>
      <c r="F185"/>
      <c r="G185"/>
    </row>
    <row r="186" spans="3:7" x14ac:dyDescent="0.3">
      <c r="C186" s="2" t="s">
        <v>3339</v>
      </c>
      <c r="D186">
        <v>1</v>
      </c>
      <c r="F186"/>
      <c r="G186"/>
    </row>
    <row r="187" spans="3:7" x14ac:dyDescent="0.3">
      <c r="C187" s="2" t="s">
        <v>26</v>
      </c>
      <c r="D187">
        <v>1</v>
      </c>
      <c r="F187"/>
      <c r="G187"/>
    </row>
    <row r="188" spans="3:7" x14ac:dyDescent="0.3">
      <c r="C188" s="2" t="s">
        <v>147</v>
      </c>
      <c r="D188">
        <v>1</v>
      </c>
      <c r="F188"/>
      <c r="G188"/>
    </row>
    <row r="189" spans="3:7" x14ac:dyDescent="0.3">
      <c r="C189" s="2" t="s">
        <v>156</v>
      </c>
      <c r="D189">
        <v>1</v>
      </c>
      <c r="F189"/>
      <c r="G189"/>
    </row>
    <row r="190" spans="3:7" x14ac:dyDescent="0.3">
      <c r="C190" s="2" t="s">
        <v>148</v>
      </c>
      <c r="D190">
        <v>1</v>
      </c>
      <c r="F190"/>
      <c r="G190"/>
    </row>
    <row r="191" spans="3:7" x14ac:dyDescent="0.3">
      <c r="C191" s="2" t="s">
        <v>101</v>
      </c>
      <c r="D191">
        <v>1</v>
      </c>
      <c r="F191"/>
      <c r="G191"/>
    </row>
    <row r="192" spans="3:7" x14ac:dyDescent="0.3">
      <c r="C192" s="2" t="s">
        <v>102</v>
      </c>
      <c r="D192">
        <v>1</v>
      </c>
      <c r="F192"/>
      <c r="G192"/>
    </row>
    <row r="193" spans="3:7" x14ac:dyDescent="0.3">
      <c r="C193" s="2" t="s">
        <v>12</v>
      </c>
      <c r="D193">
        <v>1</v>
      </c>
      <c r="F193"/>
      <c r="G193"/>
    </row>
    <row r="194" spans="3:7" x14ac:dyDescent="0.3">
      <c r="C194" s="2" t="s">
        <v>86</v>
      </c>
      <c r="D194">
        <v>1</v>
      </c>
      <c r="F194"/>
      <c r="G194"/>
    </row>
    <row r="195" spans="3:7" x14ac:dyDescent="0.3">
      <c r="C195" s="2" t="s">
        <v>3364</v>
      </c>
      <c r="D195">
        <v>1</v>
      </c>
      <c r="F195"/>
      <c r="G195"/>
    </row>
    <row r="196" spans="3:7" x14ac:dyDescent="0.3">
      <c r="C196" s="2" t="s">
        <v>81</v>
      </c>
      <c r="D196">
        <v>1</v>
      </c>
      <c r="F196"/>
      <c r="G196"/>
    </row>
    <row r="197" spans="3:7" x14ac:dyDescent="0.3">
      <c r="C197" s="2" t="s">
        <v>165</v>
      </c>
      <c r="D197">
        <v>255</v>
      </c>
      <c r="F197"/>
      <c r="G197"/>
    </row>
    <row r="198" spans="3:7" x14ac:dyDescent="0.3">
      <c r="C198"/>
      <c r="D198"/>
      <c r="F198"/>
      <c r="G198"/>
    </row>
    <row r="199" spans="3:7" x14ac:dyDescent="0.3">
      <c r="C199"/>
      <c r="D199"/>
      <c r="F199"/>
      <c r="G199"/>
    </row>
    <row r="200" spans="3:7" x14ac:dyDescent="0.3">
      <c r="C200"/>
      <c r="D200"/>
      <c r="F200"/>
      <c r="G200"/>
    </row>
    <row r="201" spans="3:7" x14ac:dyDescent="0.3">
      <c r="C201"/>
      <c r="D201"/>
      <c r="F201"/>
      <c r="G201"/>
    </row>
    <row r="202" spans="3:7" x14ac:dyDescent="0.3">
      <c r="C202"/>
      <c r="D202"/>
      <c r="F202"/>
      <c r="G202"/>
    </row>
    <row r="203" spans="3:7" x14ac:dyDescent="0.3">
      <c r="C203"/>
      <c r="D203"/>
      <c r="F203"/>
      <c r="G203"/>
    </row>
    <row r="204" spans="3:7" x14ac:dyDescent="0.3">
      <c r="C204"/>
      <c r="D204"/>
      <c r="F204"/>
      <c r="G204"/>
    </row>
    <row r="205" spans="3:7" x14ac:dyDescent="0.3">
      <c r="C205"/>
      <c r="D205"/>
      <c r="F205"/>
      <c r="G205"/>
    </row>
    <row r="206" spans="3:7" x14ac:dyDescent="0.3">
      <c r="C206"/>
      <c r="D206"/>
      <c r="F206"/>
      <c r="G206"/>
    </row>
    <row r="207" spans="3:7" x14ac:dyDescent="0.3">
      <c r="C207"/>
      <c r="D207"/>
      <c r="F207"/>
      <c r="G207"/>
    </row>
    <row r="208" spans="3:7" x14ac:dyDescent="0.3">
      <c r="C208"/>
      <c r="D208"/>
      <c r="F208"/>
      <c r="G208"/>
    </row>
    <row r="209" spans="3:7" x14ac:dyDescent="0.3">
      <c r="C209"/>
      <c r="D209"/>
      <c r="F209"/>
      <c r="G209"/>
    </row>
    <row r="210" spans="3:7" x14ac:dyDescent="0.3">
      <c r="C210"/>
      <c r="D210"/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</sheetData>
  <mergeCells count="2">
    <mergeCell ref="I41:K41"/>
    <mergeCell ref="M41:O41"/>
  </mergeCells>
  <pageMargins left="0.7" right="0.7" top="0.75" bottom="0.75" header="0.3" footer="0.3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8"/>
      </x14:slicerList>
    </ext>
    <ext xmlns:x15="http://schemas.microsoft.com/office/spreadsheetml/2010/11/main" uri="{7E03D99C-DC04-49d9-9315-930204A7B6E9}">
      <x15:timelineRefs>
        <x15:timelineRef r:id="rId9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D808"/>
  <sheetViews>
    <sheetView tabSelected="1" zoomScale="93" zoomScaleNormal="93" workbookViewId="0">
      <pane ySplit="1" topLeftCell="A771" activePane="bottomLeft" state="frozen"/>
      <selection pane="bottomLeft" activeCell="U808" sqref="U808"/>
    </sheetView>
  </sheetViews>
  <sheetFormatPr defaultRowHeight="14.4" x14ac:dyDescent="0.3"/>
  <cols>
    <col min="1" max="1" width="15.109375" customWidth="1"/>
    <col min="2" max="2" width="37.5546875" hidden="1" customWidth="1"/>
    <col min="3" max="3" width="13.6640625" customWidth="1"/>
    <col min="4" max="4" width="20.44140625" customWidth="1"/>
    <col min="5" max="5" width="19.664062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3" width="9.109375" style="5" customWidth="1"/>
    <col min="14" max="14" width="11.44140625" style="5" customWidth="1"/>
    <col min="15" max="15" width="13.109375" style="5" hidden="1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70.88671875" style="5" bestFit="1" customWidth="1"/>
    <col min="22" max="22" width="9.33203125" style="5" bestFit="1" customWidth="1"/>
    <col min="23" max="23" width="9.33203125" style="5" customWidth="1"/>
    <col min="25" max="25" width="31.5546875" bestFit="1" customWidth="1"/>
  </cols>
  <sheetData>
    <row r="1" spans="1:30" x14ac:dyDescent="0.3">
      <c r="A1" t="s">
        <v>399</v>
      </c>
      <c r="B1" t="s">
        <v>400</v>
      </c>
      <c r="C1" t="s">
        <v>401</v>
      </c>
      <c r="D1" t="s">
        <v>402</v>
      </c>
      <c r="E1" t="s">
        <v>403</v>
      </c>
      <c r="F1" s="3" t="s">
        <v>404</v>
      </c>
      <c r="G1" s="26" t="s">
        <v>405</v>
      </c>
      <c r="H1" s="26" t="s">
        <v>406</v>
      </c>
      <c r="I1" s="26" t="s">
        <v>407</v>
      </c>
      <c r="J1" s="27" t="s">
        <v>408</v>
      </c>
      <c r="K1" s="28" t="s">
        <v>409</v>
      </c>
      <c r="L1" s="29" t="s">
        <v>410</v>
      </c>
      <c r="M1" s="27" t="s">
        <v>411</v>
      </c>
      <c r="N1" s="28" t="s">
        <v>412</v>
      </c>
      <c r="O1" s="29" t="s">
        <v>413</v>
      </c>
      <c r="P1" s="27" t="s">
        <v>414</v>
      </c>
      <c r="Q1" s="28" t="s">
        <v>415</v>
      </c>
      <c r="R1" s="28" t="s">
        <v>416</v>
      </c>
      <c r="S1" s="28" t="s">
        <v>417</v>
      </c>
      <c r="T1" s="31" t="s">
        <v>418</v>
      </c>
      <c r="U1" s="29" t="s">
        <v>419</v>
      </c>
      <c r="V1" s="29" t="s">
        <v>206</v>
      </c>
      <c r="W1" s="29" t="s">
        <v>207</v>
      </c>
      <c r="X1" t="s">
        <v>420</v>
      </c>
      <c r="Y1" t="s">
        <v>181</v>
      </c>
    </row>
    <row r="2" spans="1:30" s="15" customFormat="1" x14ac:dyDescent="0.3">
      <c r="A2">
        <v>9999</v>
      </c>
      <c r="B2" t="str">
        <f>_xlfn.CONCAT(Tabel1[[#This Row],[personeelsnr]]," ",C2," ",D2)</f>
        <v>9999 - -</v>
      </c>
      <c r="C2" t="s">
        <v>3388</v>
      </c>
      <c r="D2" t="s">
        <v>3388</v>
      </c>
      <c r="E2" t="s">
        <v>1165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SUM(Tabel1[[#This Row],[Januari]:[December]])</f>
        <v>1</v>
      </c>
      <c r="T2" s="9">
        <v>45296</v>
      </c>
      <c r="U2" s="8" t="s">
        <v>421</v>
      </c>
      <c r="V2" s="8">
        <v>1</v>
      </c>
      <c r="W2" s="8"/>
      <c r="X2" t="s">
        <v>206</v>
      </c>
      <c r="Y2" t="s">
        <v>170</v>
      </c>
      <c r="Z2"/>
      <c r="AA2"/>
      <c r="AB2"/>
      <c r="AC2"/>
      <c r="AD2"/>
    </row>
    <row r="3" spans="1:30" s="15" customFormat="1" x14ac:dyDescent="0.3">
      <c r="A3">
        <v>34328</v>
      </c>
      <c r="B3" t="str">
        <f>_xlfn.CONCAT(Tabel1[[#This Row],[personeelsnr]]," ",C3," ",D3)</f>
        <v>34328 Kerremans Jürgen</v>
      </c>
      <c r="C3" t="str">
        <f>VLOOKUP(Tabel1[[#This Row],[personeelsnr]],'data hastus'!$A:$C,2,0)</f>
        <v>Kerremans</v>
      </c>
      <c r="D3" t="str">
        <f>VLOOKUP(Tabel1[[#This Row],[personeelsnr]],'data hastus'!$A:$C,3,0)</f>
        <v>Jürgen</v>
      </c>
      <c r="E3" t="str">
        <f>VLOOKUP(Tabel1[[#This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SUM(Tabel1[[#This Row],[Januari]:[December]])</f>
        <v>1</v>
      </c>
      <c r="T3" s="9">
        <v>45296</v>
      </c>
      <c r="U3" s="8" t="s">
        <v>422</v>
      </c>
      <c r="V3" s="8"/>
      <c r="W3" s="8">
        <v>1</v>
      </c>
      <c r="X3" t="s">
        <v>207</v>
      </c>
      <c r="Y3" t="s">
        <v>176</v>
      </c>
      <c r="Z3"/>
      <c r="AA3"/>
      <c r="AB3"/>
      <c r="AC3"/>
      <c r="AD3"/>
    </row>
    <row r="4" spans="1:30" x14ac:dyDescent="0.3">
      <c r="A4">
        <v>39581</v>
      </c>
      <c r="B4" t="str">
        <f>_xlfn.CONCAT(Tabel1[[#This Row],[personeelsnr]]," ",C4," ",D4)</f>
        <v>39581 Vandenhaute Linus</v>
      </c>
      <c r="C4" t="str">
        <f>VLOOKUP(Tabel1[[#This Row],[personeelsnr]],'data hastus'!$A:$C,2,0)</f>
        <v>Vandenhaute</v>
      </c>
      <c r="D4" t="str">
        <f>VLOOKUP(Tabel1[[#This Row],[personeelsnr]],'data hastus'!$A:$C,3,0)</f>
        <v>Linus</v>
      </c>
      <c r="E4" t="str">
        <f>VLOOKUP(Tabel1[[#This Row],[personeelsnr]],'data hastus'!A:K,11,FALSE)</f>
        <v>Els Dewulf</v>
      </c>
      <c r="F4" s="10"/>
      <c r="G4" s="7">
        <v>1</v>
      </c>
      <c r="H4" s="7"/>
      <c r="I4" s="7"/>
      <c r="S4" s="5">
        <f>SUM(Tabel1[[#This Row],[Januari]:[December]])</f>
        <v>1</v>
      </c>
      <c r="T4" s="9">
        <v>45296</v>
      </c>
      <c r="U4" s="8" t="s">
        <v>423</v>
      </c>
      <c r="V4" s="8">
        <v>1</v>
      </c>
      <c r="W4" s="8"/>
      <c r="X4" t="s">
        <v>206</v>
      </c>
      <c r="Y4" t="s">
        <v>167</v>
      </c>
    </row>
    <row r="5" spans="1:30" x14ac:dyDescent="0.3">
      <c r="A5">
        <v>38346</v>
      </c>
      <c r="B5" t="str">
        <f>_xlfn.CONCAT(Tabel1[[#This Row],[personeelsnr]]," ",C5," ",D5)</f>
        <v>38346 Van Cleemputte Thibeaux</v>
      </c>
      <c r="C5" t="str">
        <f>VLOOKUP(Tabel1[[#This Row],[personeelsnr]],'data hastus'!$A:$C,2,0)</f>
        <v>Van Cleemputte</v>
      </c>
      <c r="D5" t="str">
        <f>VLOOKUP(Tabel1[[#This Row],[personeelsnr]],'data hastus'!$A:$C,3,0)</f>
        <v>Thibeaux</v>
      </c>
      <c r="E5" t="str">
        <f>VLOOKUP(Tabel1[[#This Row],[personeelsnr]],'data hastus'!A:K,11,FALSE)</f>
        <v>Els Vanhoe</v>
      </c>
      <c r="F5" s="10"/>
      <c r="G5" s="7">
        <v>1</v>
      </c>
      <c r="H5" s="7"/>
      <c r="I5" s="7"/>
      <c r="S5" s="5">
        <f>SUM(Tabel1[[#This Row],[Januari]:[December]])</f>
        <v>1</v>
      </c>
      <c r="T5" s="9">
        <v>45297</v>
      </c>
      <c r="U5" s="8" t="s">
        <v>424</v>
      </c>
      <c r="V5" s="8">
        <v>1</v>
      </c>
      <c r="W5" s="8"/>
      <c r="X5" t="s">
        <v>206</v>
      </c>
      <c r="Y5" t="s">
        <v>167</v>
      </c>
    </row>
    <row r="6" spans="1:30" x14ac:dyDescent="0.3">
      <c r="A6">
        <v>31111</v>
      </c>
      <c r="B6" t="str">
        <f>_xlfn.CONCAT(Tabel1[[#This Row],[personeelsnr]]," ",C6," ",D6)</f>
        <v>31111 Bonne Niko</v>
      </c>
      <c r="C6" t="str">
        <f>VLOOKUP(Tabel1[[#This Row],[personeelsnr]],'data hastus'!$A:$C,2,0)</f>
        <v>Bonne</v>
      </c>
      <c r="D6" t="str">
        <f>VLOOKUP(Tabel1[[#This Row],[personeelsnr]],'data hastus'!$A:$C,3,0)</f>
        <v>Niko</v>
      </c>
      <c r="E6" t="str">
        <f>VLOOKUP(Tabel1[[#This Row],[personeelsnr]],'data hastus'!A:K,11,FALSE)</f>
        <v>Els Vanhoe</v>
      </c>
      <c r="F6" s="10"/>
      <c r="G6" s="7">
        <v>1</v>
      </c>
      <c r="H6" s="7"/>
      <c r="I6" s="7"/>
      <c r="S6" s="5">
        <f>SUM(Tabel1[[#This Row],[Januari]:[December]])</f>
        <v>1</v>
      </c>
      <c r="T6" s="9">
        <v>45299</v>
      </c>
      <c r="U6" s="8" t="s">
        <v>425</v>
      </c>
      <c r="V6" s="8">
        <v>1</v>
      </c>
      <c r="W6" s="8"/>
      <c r="X6" t="s">
        <v>206</v>
      </c>
      <c r="Y6" t="s">
        <v>167</v>
      </c>
    </row>
    <row r="7" spans="1:30" x14ac:dyDescent="0.3">
      <c r="A7">
        <v>37313</v>
      </c>
      <c r="B7" t="str">
        <f>_xlfn.CONCAT(Tabel1[[#This Row],[personeelsnr]]," ",C7," ",D7)</f>
        <v>37313 Dedeci Mecit</v>
      </c>
      <c r="C7" t="str">
        <f>VLOOKUP(Tabel1[[#This Row],[personeelsnr]],'data hastus'!$A:$C,2,0)</f>
        <v>Dedeci</v>
      </c>
      <c r="D7" t="str">
        <f>VLOOKUP(Tabel1[[#This Row],[personeelsnr]],'data hastus'!$A:$C,3,0)</f>
        <v>Mecit</v>
      </c>
      <c r="E7" t="str">
        <f>VLOOKUP(Tabel1[[#This Row],[personeelsnr]],'data hastus'!A:K,11,FALSE)</f>
        <v>Bart Van Der Beken</v>
      </c>
      <c r="F7" s="10"/>
      <c r="G7" s="7">
        <v>1</v>
      </c>
      <c r="H7" s="7"/>
      <c r="I7" s="7"/>
      <c r="S7" s="5">
        <f>SUM(Tabel1[[#This Row],[Januari]:[December]])</f>
        <v>1</v>
      </c>
      <c r="T7" s="9">
        <v>45299</v>
      </c>
      <c r="U7" s="8" t="s">
        <v>426</v>
      </c>
      <c r="V7" s="8"/>
      <c r="W7" s="8">
        <v>1</v>
      </c>
      <c r="X7" t="s">
        <v>207</v>
      </c>
      <c r="Y7" t="s">
        <v>167</v>
      </c>
    </row>
    <row r="8" spans="1:30" x14ac:dyDescent="0.3">
      <c r="A8">
        <v>37808</v>
      </c>
      <c r="B8" t="str">
        <f>_xlfn.CONCAT(Tabel1[[#This Row],[personeelsnr]]," ",C8," ",D8)</f>
        <v>37808 Gök Mustafa</v>
      </c>
      <c r="C8" t="str">
        <f>VLOOKUP(Tabel1[[#This Row],[personeelsnr]],'data hastus'!$A:$C,2,0)</f>
        <v>Gök</v>
      </c>
      <c r="D8" t="str">
        <f>VLOOKUP(Tabel1[[#This Row],[personeelsnr]],'data hastus'!$A:$C,3,0)</f>
        <v>Mustafa</v>
      </c>
      <c r="E8" t="str">
        <f>VLOOKUP(Tabel1[[#This Row],[personeelsnr]],'data hastus'!A:K,11,FALSE)</f>
        <v>Els Vanhoe</v>
      </c>
      <c r="F8" s="10"/>
      <c r="G8" s="7">
        <v>1</v>
      </c>
      <c r="H8" s="7"/>
      <c r="I8" s="7"/>
      <c r="S8" s="5">
        <f>SUM(Tabel1[[#This Row],[Januari]:[December]])</f>
        <v>1</v>
      </c>
      <c r="T8" s="9">
        <v>45301</v>
      </c>
      <c r="U8" s="8" t="s">
        <v>427</v>
      </c>
      <c r="V8" s="8">
        <v>1</v>
      </c>
      <c r="W8" s="8"/>
      <c r="X8" t="s">
        <v>206</v>
      </c>
      <c r="Y8" t="s">
        <v>172</v>
      </c>
    </row>
    <row r="9" spans="1:30" x14ac:dyDescent="0.3">
      <c r="A9">
        <v>39183</v>
      </c>
      <c r="B9" t="str">
        <f>_xlfn.CONCAT(Tabel1[[#This Row],[personeelsnr]]," ",C9," ",D9)</f>
        <v>39183 Al Masri Anas</v>
      </c>
      <c r="C9" t="str">
        <f>VLOOKUP(Tabel1[[#This Row],[personeelsnr]],'data hastus'!$A:$C,2,0)</f>
        <v>Al Masri</v>
      </c>
      <c r="D9" t="str">
        <f>VLOOKUP(Tabel1[[#This Row],[personeelsnr]],'data hastus'!$A:$C,3,0)</f>
        <v>Anas</v>
      </c>
      <c r="E9" t="str">
        <f>VLOOKUP(Tabel1[[#This Row],[personeelsnr]],'data hastus'!A:K,11,FALSE)</f>
        <v>Christoff Rotty</v>
      </c>
      <c r="F9" s="10"/>
      <c r="G9" s="7">
        <v>1</v>
      </c>
      <c r="H9" s="7"/>
      <c r="I9" s="7"/>
      <c r="S9" s="5">
        <f>SUM(Tabel1[[#This Row],[Januari]:[December]])</f>
        <v>1</v>
      </c>
      <c r="T9" s="9">
        <v>45301</v>
      </c>
      <c r="U9" s="8" t="s">
        <v>428</v>
      </c>
      <c r="V9" s="8">
        <v>1</v>
      </c>
      <c r="W9" s="8"/>
      <c r="X9" t="s">
        <v>206</v>
      </c>
      <c r="Y9" t="s">
        <v>172</v>
      </c>
    </row>
    <row r="10" spans="1:30" x14ac:dyDescent="0.3">
      <c r="A10">
        <v>39145</v>
      </c>
      <c r="B10" t="str">
        <f>_xlfn.CONCAT(Tabel1[[#This Row],[personeelsnr]]," ",C10," ",D10)</f>
        <v>39145 Landoulsi Sabeur</v>
      </c>
      <c r="C10" t="str">
        <f>VLOOKUP(Tabel1[[#This Row],[personeelsnr]],'data hastus'!$A:$C,2,0)</f>
        <v>Landoulsi</v>
      </c>
      <c r="D10" t="str">
        <f>VLOOKUP(Tabel1[[#This Row],[personeelsnr]],'data hastus'!$A:$C,3,0)</f>
        <v>Sabeur</v>
      </c>
      <c r="E10" t="str">
        <f>VLOOKUP(Tabel1[[#This Row],[personeelsnr]],'data hastus'!A:K,11,FALSE)</f>
        <v>Christoff Rotty</v>
      </c>
      <c r="F10" s="10"/>
      <c r="G10" s="7">
        <v>1</v>
      </c>
      <c r="H10" s="7"/>
      <c r="I10" s="7"/>
      <c r="S10" s="5">
        <f>SUM(Tabel1[[#This Row],[Januari]:[December]])</f>
        <v>1</v>
      </c>
      <c r="T10" s="9">
        <v>45302</v>
      </c>
      <c r="U10" s="8" t="s">
        <v>429</v>
      </c>
      <c r="V10" s="8">
        <v>1</v>
      </c>
      <c r="W10" s="8"/>
      <c r="X10" t="s">
        <v>206</v>
      </c>
      <c r="Y10" t="s">
        <v>289</v>
      </c>
    </row>
    <row r="11" spans="1:30" x14ac:dyDescent="0.3">
      <c r="A11">
        <v>17566</v>
      </c>
      <c r="B11" t="str">
        <f>_xlfn.CONCAT(Tabel1[[#This Row],[personeelsnr]]," ",C11," ",D11)</f>
        <v>17566 Praet Reginald</v>
      </c>
      <c r="C11" t="str">
        <f>VLOOKUP(Tabel1[[#This Row],[personeelsnr]],'data hastus'!$A:$C,2,0)</f>
        <v>Praet</v>
      </c>
      <c r="D11" t="str">
        <f>VLOOKUP(Tabel1[[#This Row],[personeelsnr]],'data hastus'!$A:$C,3,0)</f>
        <v>Reginald</v>
      </c>
      <c r="E11" t="str">
        <f>VLOOKUP(Tabel1[[#This Row],[personeelsnr]],'data hastus'!A:K,11,FALSE)</f>
        <v>Bart Van Der Beken</v>
      </c>
      <c r="F11" s="10"/>
      <c r="G11" s="7">
        <v>1</v>
      </c>
      <c r="H11" s="7"/>
      <c r="I11" s="7"/>
      <c r="S11" s="5">
        <f>SUM(Tabel1[[#This Row],[Januari]:[December]])</f>
        <v>1</v>
      </c>
      <c r="T11" s="9">
        <v>45302</v>
      </c>
      <c r="U11" s="8" t="s">
        <v>430</v>
      </c>
      <c r="V11" s="8"/>
      <c r="W11" s="8">
        <v>1</v>
      </c>
      <c r="X11" t="s">
        <v>207</v>
      </c>
      <c r="Y11" t="s">
        <v>180</v>
      </c>
    </row>
    <row r="12" spans="1:30" x14ac:dyDescent="0.3">
      <c r="A12">
        <v>38634</v>
      </c>
      <c r="B12" t="str">
        <f>_xlfn.CONCAT(Tabel1[[#This Row],[personeelsnr]]," ",C12," ",D12)</f>
        <v>38634 Asskale Zouhir</v>
      </c>
      <c r="C12" t="str">
        <f>VLOOKUP(Tabel1[[#This Row],[personeelsnr]],'data hastus'!$A:$C,2,0)</f>
        <v>Asskale</v>
      </c>
      <c r="D12" t="str">
        <f>VLOOKUP(Tabel1[[#This Row],[personeelsnr]],'data hastus'!$A:$C,3,0)</f>
        <v>Zouhir</v>
      </c>
      <c r="E12" t="str">
        <f>VLOOKUP(Tabel1[[#This Row],[personeelsnr]],'data hastus'!A:K,11,FALSE)</f>
        <v>Bart Van Der Beken</v>
      </c>
      <c r="F12" s="10"/>
      <c r="G12" s="7">
        <v>1</v>
      </c>
      <c r="H12" s="7"/>
      <c r="I12" s="7"/>
      <c r="S12" s="5">
        <f>SUM(Tabel1[[#This Row],[Januari]:[December]])</f>
        <v>1</v>
      </c>
      <c r="T12" s="9">
        <v>45302</v>
      </c>
      <c r="U12" s="8" t="s">
        <v>431</v>
      </c>
      <c r="V12" s="8">
        <v>1</v>
      </c>
      <c r="W12" s="8"/>
      <c r="X12" t="s">
        <v>206</v>
      </c>
      <c r="Y12" t="s">
        <v>172</v>
      </c>
    </row>
    <row r="13" spans="1:30" x14ac:dyDescent="0.3">
      <c r="A13">
        <v>15282</v>
      </c>
      <c r="B13" t="str">
        <f>_xlfn.CONCAT(Tabel1[[#This Row],[personeelsnr]]," ",C13," ",D13)</f>
        <v>15282 Marinx Kristoff</v>
      </c>
      <c r="C13" t="str">
        <f>VLOOKUP(Tabel1[[#This Row],[personeelsnr]],'data hastus'!$A:$C,2,0)</f>
        <v>Marinx</v>
      </c>
      <c r="D13" t="str">
        <f>VLOOKUP(Tabel1[[#This Row],[personeelsnr]],'data hastus'!$A:$C,3,0)</f>
        <v>Kristoff</v>
      </c>
      <c r="E13" t="str">
        <f>VLOOKUP(Tabel1[[#This Row],[personeelsnr]],'data hastus'!A:K,11,FALSE)</f>
        <v>Kenneth De Rick</v>
      </c>
      <c r="F13" s="10"/>
      <c r="G13" s="7">
        <v>1</v>
      </c>
      <c r="H13" s="7"/>
      <c r="I13" s="7"/>
      <c r="S13" s="5">
        <f>SUM(Tabel1[[#This Row],[Januari]:[December]])</f>
        <v>1</v>
      </c>
      <c r="T13" s="9">
        <v>45303</v>
      </c>
      <c r="U13" s="8" t="s">
        <v>432</v>
      </c>
      <c r="V13" s="8">
        <v>1</v>
      </c>
      <c r="W13" s="8"/>
      <c r="X13" t="s">
        <v>206</v>
      </c>
      <c r="Y13" t="s">
        <v>167</v>
      </c>
    </row>
    <row r="14" spans="1:30" x14ac:dyDescent="0.3">
      <c r="A14">
        <v>9999</v>
      </c>
      <c r="B14" t="str">
        <f>_xlfn.CONCAT(Tabel1[[#This Row],[personeelsnr]]," ",C14," ",D14)</f>
        <v>9999 - -</v>
      </c>
      <c r="C14" t="s">
        <v>3388</v>
      </c>
      <c r="D14" t="s">
        <v>3388</v>
      </c>
      <c r="E14" t="s">
        <v>1165</v>
      </c>
      <c r="F14" s="10"/>
      <c r="G14" s="7">
        <v>1</v>
      </c>
      <c r="H14" s="7"/>
      <c r="I14" s="7"/>
      <c r="S14" s="5">
        <f>SUM(Tabel1[[#This Row],[Januari]:[December]])</f>
        <v>1</v>
      </c>
      <c r="T14" s="9">
        <v>45303</v>
      </c>
      <c r="U14" s="8" t="s">
        <v>433</v>
      </c>
      <c r="V14" s="8">
        <v>1</v>
      </c>
      <c r="W14" s="8"/>
      <c r="X14" t="s">
        <v>206</v>
      </c>
      <c r="Y14" t="s">
        <v>192</v>
      </c>
    </row>
    <row r="15" spans="1:30" x14ac:dyDescent="0.3">
      <c r="A15">
        <v>9999</v>
      </c>
      <c r="B15" t="str">
        <f>_xlfn.CONCAT(Tabel1[[#This Row],[personeelsnr]]," ",C15," ",D15)</f>
        <v>9999 - -</v>
      </c>
      <c r="C15" t="s">
        <v>3388</v>
      </c>
      <c r="D15" t="s">
        <v>3388</v>
      </c>
      <c r="E15" t="s">
        <v>1165</v>
      </c>
      <c r="F15" s="10"/>
      <c r="G15" s="7">
        <v>1</v>
      </c>
      <c r="H15" s="7"/>
      <c r="I15" s="7"/>
      <c r="S15" s="5">
        <f>SUM(Tabel1[[#This Row],[Januari]:[December]])</f>
        <v>1</v>
      </c>
      <c r="T15" s="9">
        <v>45303</v>
      </c>
      <c r="U15" s="8" t="s">
        <v>434</v>
      </c>
      <c r="V15" s="8"/>
      <c r="W15" s="8">
        <v>1</v>
      </c>
      <c r="X15" t="s">
        <v>207</v>
      </c>
      <c r="Y15" t="s">
        <v>186</v>
      </c>
    </row>
    <row r="16" spans="1:30" x14ac:dyDescent="0.3">
      <c r="A16">
        <v>19917</v>
      </c>
      <c r="B16" t="str">
        <f>_xlfn.CONCAT(Tabel1[[#This Row],[personeelsnr]]," ",C16," ",D16)</f>
        <v>19917 Vandevyvere Frank</v>
      </c>
      <c r="C16" t="str">
        <f>VLOOKUP(Tabel1[[#This Row],[personeelsnr]],'data hastus'!$A:$C,2,0)</f>
        <v>Vandevyvere</v>
      </c>
      <c r="D16" t="str">
        <f>VLOOKUP(Tabel1[[#This Row],[personeelsnr]],'data hastus'!$A:$C,3,0)</f>
        <v>Frank</v>
      </c>
      <c r="E16" t="str">
        <f>VLOOKUP(Tabel1[[#This Row],[personeelsnr]],'data hastus'!A:K,11,FALSE)</f>
        <v>Bart Van Der Beken</v>
      </c>
      <c r="F16" s="10"/>
      <c r="G16" s="7">
        <v>1</v>
      </c>
      <c r="H16" s="7"/>
      <c r="I16" s="7"/>
      <c r="S16" s="5">
        <f>SUM(Tabel1[[#This Row],[Januari]:[December]])</f>
        <v>1</v>
      </c>
      <c r="T16" s="9">
        <v>45303</v>
      </c>
      <c r="U16" s="8" t="s">
        <v>435</v>
      </c>
      <c r="V16" s="8">
        <v>1</v>
      </c>
      <c r="W16" s="8"/>
      <c r="X16" t="s">
        <v>206</v>
      </c>
      <c r="Y16" t="s">
        <v>177</v>
      </c>
    </row>
    <row r="17" spans="1:25" x14ac:dyDescent="0.3">
      <c r="A17">
        <v>36626</v>
      </c>
      <c r="B17" t="str">
        <f>_xlfn.CONCAT(Tabel1[[#This Row],[personeelsnr]]," ",C17," ",D17)</f>
        <v>36626 Kartal Kadir</v>
      </c>
      <c r="C17" t="str">
        <f>VLOOKUP(Tabel1[[#This Row],[personeelsnr]],'data hastus'!$A:$C,2,0)</f>
        <v>Kartal</v>
      </c>
      <c r="D17" t="str">
        <f>VLOOKUP(Tabel1[[#This Row],[personeelsnr]],'data hastus'!$A:$C,3,0)</f>
        <v>Kadir</v>
      </c>
      <c r="E17" t="str">
        <f>VLOOKUP(Tabel1[[#This Row],[personeelsnr]],'data hastus'!A:K,11,FALSE)</f>
        <v>Els Dewulf</v>
      </c>
      <c r="F17" s="10"/>
      <c r="G17" s="7">
        <v>1</v>
      </c>
      <c r="H17" s="7"/>
      <c r="I17" s="7"/>
      <c r="S17" s="5">
        <f>SUM(Tabel1[[#This Row],[Januari]:[December]])</f>
        <v>1</v>
      </c>
      <c r="T17" s="9">
        <v>45306</v>
      </c>
      <c r="U17" s="8" t="s">
        <v>436</v>
      </c>
      <c r="V17" s="8">
        <v>1</v>
      </c>
      <c r="W17" s="8"/>
      <c r="X17" t="s">
        <v>206</v>
      </c>
      <c r="Y17" t="s">
        <v>167</v>
      </c>
    </row>
    <row r="18" spans="1:25" x14ac:dyDescent="0.3">
      <c r="A18">
        <v>39859</v>
      </c>
      <c r="B18" t="str">
        <f>_xlfn.CONCAT(Tabel1[[#This Row],[personeelsnr]]," ",C18," ",D18)</f>
        <v>39859 Costers Kelly</v>
      </c>
      <c r="C18" t="str">
        <f>VLOOKUP(Tabel1[[#This Row],[personeelsnr]],'data hastus'!$A:$C,2,0)</f>
        <v>Costers</v>
      </c>
      <c r="D18" t="str">
        <f>VLOOKUP(Tabel1[[#This Row],[personeelsnr]],'data hastus'!$A:$C,3,0)</f>
        <v>Kelly</v>
      </c>
      <c r="E18" t="str">
        <f>VLOOKUP(Tabel1[[#This Row],[personeelsnr]],'data hastus'!A:K,11,FALSE)</f>
        <v>Bart Van Der Beken</v>
      </c>
      <c r="F18" s="10"/>
      <c r="G18" s="7">
        <v>1</v>
      </c>
      <c r="H18" s="7"/>
      <c r="I18" s="7"/>
      <c r="S18" s="5">
        <f>SUM(Tabel1[[#This Row],[Januari]:[December]])</f>
        <v>1</v>
      </c>
      <c r="T18" s="9">
        <v>45306</v>
      </c>
      <c r="U18" s="8" t="s">
        <v>437</v>
      </c>
      <c r="V18" s="8">
        <v>1</v>
      </c>
      <c r="W18" s="8"/>
      <c r="X18" t="s">
        <v>206</v>
      </c>
      <c r="Y18" t="s">
        <v>190</v>
      </c>
    </row>
    <row r="19" spans="1:25" x14ac:dyDescent="0.3">
      <c r="A19">
        <v>38931</v>
      </c>
      <c r="B19" t="str">
        <f>_xlfn.CONCAT(Tabel1[[#This Row],[personeelsnr]]," ",C19," ",D19)</f>
        <v>38931 Sancak Eyuphan</v>
      </c>
      <c r="C19" t="str">
        <f>VLOOKUP(Tabel1[[#This Row],[personeelsnr]],'data hastus'!$A:$C,2,0)</f>
        <v>Sancak</v>
      </c>
      <c r="D19" t="str">
        <f>VLOOKUP(Tabel1[[#This Row],[personeelsnr]],'data hastus'!$A:$C,3,0)</f>
        <v>Eyuphan</v>
      </c>
      <c r="E19" t="str">
        <f>VLOOKUP(Tabel1[[#This Row],[personeelsnr]],'data hastus'!A:K,11,FALSE)</f>
        <v>Bart Van Der Beken</v>
      </c>
      <c r="F19" s="10"/>
      <c r="G19" s="7">
        <v>1</v>
      </c>
      <c r="H19" s="7"/>
      <c r="I19" s="7"/>
      <c r="S19" s="5">
        <f>SUM(Tabel1[[#This Row],[Januari]:[December]])</f>
        <v>1</v>
      </c>
      <c r="T19" s="9">
        <v>45306</v>
      </c>
      <c r="U19" s="8" t="s">
        <v>438</v>
      </c>
      <c r="V19" s="8">
        <v>1</v>
      </c>
      <c r="W19" s="8"/>
      <c r="X19" t="s">
        <v>206</v>
      </c>
      <c r="Y19" t="s">
        <v>194</v>
      </c>
    </row>
    <row r="20" spans="1:25" x14ac:dyDescent="0.3">
      <c r="A20">
        <v>38579</v>
      </c>
      <c r="B20" t="str">
        <f>_xlfn.CONCAT(Tabel1[[#This Row],[personeelsnr]]," ",C20," ",D20)</f>
        <v>38579 Haaze Sven</v>
      </c>
      <c r="C20" t="str">
        <f>VLOOKUP(Tabel1[[#This Row],[personeelsnr]],'data hastus'!$A:$C,2,0)</f>
        <v>Haaze</v>
      </c>
      <c r="D20" t="str">
        <f>VLOOKUP(Tabel1[[#This Row],[personeelsnr]],'data hastus'!$A:$C,3,0)</f>
        <v>Sven</v>
      </c>
      <c r="E20" t="str">
        <f>VLOOKUP(Tabel1[[#This Row],[personeelsnr]],'data hastus'!A:K,11,FALSE)</f>
        <v>Els Dewulf</v>
      </c>
      <c r="F20" s="10"/>
      <c r="G20" s="7">
        <v>1</v>
      </c>
      <c r="H20" s="7"/>
      <c r="I20" s="7"/>
      <c r="S20" s="5">
        <f>SUM(Tabel1[[#This Row],[Januari]:[December]])</f>
        <v>1</v>
      </c>
      <c r="T20" s="9">
        <v>45308</v>
      </c>
      <c r="U20" s="8" t="s">
        <v>439</v>
      </c>
      <c r="V20" s="8">
        <v>1</v>
      </c>
      <c r="W20" s="8"/>
      <c r="X20" t="s">
        <v>206</v>
      </c>
      <c r="Y20" t="s">
        <v>180</v>
      </c>
    </row>
    <row r="21" spans="1:25" x14ac:dyDescent="0.3">
      <c r="A21">
        <v>39019</v>
      </c>
      <c r="B21" t="str">
        <f>_xlfn.CONCAT(Tabel1[[#This Row],[personeelsnr]]," ",C21," ",D21)</f>
        <v>39019 De taeye Kelly</v>
      </c>
      <c r="C21" t="str">
        <f>VLOOKUP(Tabel1[[#This Row],[personeelsnr]],'data hastus'!$A:$C,2,0)</f>
        <v>De taeye</v>
      </c>
      <c r="D21" t="str">
        <f>VLOOKUP(Tabel1[[#This Row],[personeelsnr]],'data hastus'!$A:$C,3,0)</f>
        <v>Kelly</v>
      </c>
      <c r="E21" t="str">
        <f>VLOOKUP(Tabel1[[#This Row],[personeelsnr]],'data hastus'!A:K,11,FALSE)</f>
        <v>Lucie Vande Velde</v>
      </c>
      <c r="F21" s="10"/>
      <c r="G21" s="7">
        <v>1</v>
      </c>
      <c r="H21" s="7"/>
      <c r="I21" s="7"/>
      <c r="S21" s="5">
        <f>SUM(Tabel1[[#This Row],[Januari]:[December]])</f>
        <v>1</v>
      </c>
      <c r="T21" s="9">
        <v>45308</v>
      </c>
      <c r="U21" s="8" t="s">
        <v>440</v>
      </c>
      <c r="V21" s="8">
        <v>1</v>
      </c>
      <c r="W21" s="8"/>
      <c r="X21" t="s">
        <v>206</v>
      </c>
      <c r="Y21" t="s">
        <v>188</v>
      </c>
    </row>
    <row r="22" spans="1:25" x14ac:dyDescent="0.3">
      <c r="A22">
        <v>39673</v>
      </c>
      <c r="B22" t="str">
        <f>_xlfn.CONCAT(Tabel1[[#This Row],[personeelsnr]]," ",C22," ",D22)</f>
        <v>39673 Steurbaut Henri</v>
      </c>
      <c r="C22" t="str">
        <f>VLOOKUP(Tabel1[[#This Row],[personeelsnr]],'data hastus'!$A:$C,2,0)</f>
        <v>Steurbaut</v>
      </c>
      <c r="D22" t="str">
        <f>VLOOKUP(Tabel1[[#This Row],[personeelsnr]],'data hastus'!$A:$C,3,0)</f>
        <v>Henri</v>
      </c>
      <c r="E22" t="str">
        <f>VLOOKUP(Tabel1[[#This Row],[personeelsnr]],'data hastus'!A:K,11,FALSE)</f>
        <v>Els Vanhoe</v>
      </c>
      <c r="F22" s="10"/>
      <c r="G22" s="7">
        <v>1</v>
      </c>
      <c r="H22" s="7"/>
      <c r="I22" s="7"/>
      <c r="S22" s="5">
        <f>SUM(Tabel1[[#This Row],[Januari]:[December]])</f>
        <v>1</v>
      </c>
      <c r="T22" s="9">
        <v>45308</v>
      </c>
      <c r="U22" s="8" t="s">
        <v>441</v>
      </c>
      <c r="V22" s="8">
        <v>1</v>
      </c>
      <c r="W22" s="8"/>
      <c r="X22" t="s">
        <v>206</v>
      </c>
      <c r="Y22" t="s">
        <v>174</v>
      </c>
    </row>
    <row r="23" spans="1:25" x14ac:dyDescent="0.3">
      <c r="A23">
        <v>36627</v>
      </c>
      <c r="B23" t="str">
        <f>_xlfn.CONCAT(Tabel1[[#This Row],[personeelsnr]]," ",C23," ",D23)</f>
        <v>36627 Dobbelaere David</v>
      </c>
      <c r="C23" t="str">
        <f>VLOOKUP(Tabel1[[#This Row],[personeelsnr]],'data hastus'!$A:$C,2,0)</f>
        <v>Dobbelaere</v>
      </c>
      <c r="D23" t="str">
        <f>VLOOKUP(Tabel1[[#This Row],[personeelsnr]],'data hastus'!$A:$C,3,0)</f>
        <v>David</v>
      </c>
      <c r="E23" t="str">
        <f>VLOOKUP(Tabel1[[#This Row],[personeelsnr]],'data hastus'!A:K,11,FALSE)</f>
        <v>Els Dewulf</v>
      </c>
      <c r="F23" s="10"/>
      <c r="G23" s="7">
        <v>1</v>
      </c>
      <c r="H23" s="7"/>
      <c r="I23" s="7"/>
      <c r="S23" s="5">
        <f>SUM(Tabel1[[#This Row],[Januari]:[December]])</f>
        <v>1</v>
      </c>
      <c r="T23" s="9">
        <v>45309</v>
      </c>
      <c r="U23" s="8" t="s">
        <v>442</v>
      </c>
      <c r="V23" s="8">
        <v>1</v>
      </c>
      <c r="W23" s="8"/>
      <c r="X23" t="s">
        <v>206</v>
      </c>
      <c r="Y23" t="s">
        <v>389</v>
      </c>
    </row>
    <row r="24" spans="1:25" x14ac:dyDescent="0.3">
      <c r="A24">
        <v>31668</v>
      </c>
      <c r="B24" t="str">
        <f>_xlfn.CONCAT(Tabel1[[#This Row],[personeelsnr]]," ",C24," ",D24)</f>
        <v>31668 Weemhof Maurice</v>
      </c>
      <c r="C24" t="str">
        <f>VLOOKUP(Tabel1[[#This Row],[personeelsnr]],'data hastus'!$A:$C,2,0)</f>
        <v>Weemhof</v>
      </c>
      <c r="D24" t="str">
        <f>VLOOKUP(Tabel1[[#This Row],[personeelsnr]],'data hastus'!$A:$C,3,0)</f>
        <v>Maurice</v>
      </c>
      <c r="E24" t="str">
        <f>VLOOKUP(Tabel1[[#This Row],[personeelsnr]],'data hastus'!A:K,11,FALSE)</f>
        <v>Dominique De Clercq</v>
      </c>
      <c r="F24" s="10"/>
      <c r="G24" s="7">
        <v>1</v>
      </c>
      <c r="H24" s="7"/>
      <c r="I24" s="7"/>
      <c r="S24" s="5">
        <f>SUM(Tabel1[[#This Row],[Januari]:[December]])</f>
        <v>1</v>
      </c>
      <c r="T24" s="9">
        <v>45310</v>
      </c>
      <c r="U24" s="8" t="s">
        <v>443</v>
      </c>
      <c r="V24" s="8">
        <v>1</v>
      </c>
      <c r="W24" s="8"/>
      <c r="X24" t="s">
        <v>206</v>
      </c>
      <c r="Y24" t="s">
        <v>171</v>
      </c>
    </row>
    <row r="25" spans="1:25" x14ac:dyDescent="0.3">
      <c r="A25">
        <v>9999</v>
      </c>
      <c r="B25" t="str">
        <f>_xlfn.CONCAT(Tabel1[[#This Row],[personeelsnr]]," ",C25," ",D25)</f>
        <v>9999 - -</v>
      </c>
      <c r="C25" t="s">
        <v>3388</v>
      </c>
      <c r="D25" t="s">
        <v>3388</v>
      </c>
      <c r="E25" t="s">
        <v>1165</v>
      </c>
      <c r="F25" s="10"/>
      <c r="G25" s="7">
        <v>1</v>
      </c>
      <c r="H25" s="7"/>
      <c r="I25" s="7"/>
      <c r="S25" s="5">
        <f>SUM(Tabel1[[#This Row],[Januari]:[December]])</f>
        <v>1</v>
      </c>
      <c r="T25" s="9">
        <v>45311</v>
      </c>
      <c r="U25" s="8" t="s">
        <v>444</v>
      </c>
      <c r="V25" s="8">
        <v>1</v>
      </c>
      <c r="W25" s="8"/>
      <c r="X25" t="s">
        <v>206</v>
      </c>
      <c r="Y25" t="s">
        <v>208</v>
      </c>
    </row>
    <row r="26" spans="1:25" x14ac:dyDescent="0.3">
      <c r="A26">
        <v>9999</v>
      </c>
      <c r="B26" t="str">
        <f>_xlfn.CONCAT(Tabel1[[#This Row],[personeelsnr]]," ",C26," ",D26)</f>
        <v>9999 - -</v>
      </c>
      <c r="C26" t="s">
        <v>3388</v>
      </c>
      <c r="D26" t="s">
        <v>3388</v>
      </c>
      <c r="E26" t="s">
        <v>1165</v>
      </c>
      <c r="F26" s="10"/>
      <c r="G26" s="7">
        <v>1</v>
      </c>
      <c r="H26" s="7"/>
      <c r="I26" s="7"/>
      <c r="S26" s="5">
        <f>SUM(Tabel1[[#This Row],[Januari]:[December]])</f>
        <v>1</v>
      </c>
      <c r="T26" s="9">
        <v>45311</v>
      </c>
      <c r="U26" s="8" t="s">
        <v>445</v>
      </c>
      <c r="V26" s="8">
        <v>1</v>
      </c>
      <c r="W26" s="8"/>
      <c r="X26" t="s">
        <v>206</v>
      </c>
      <c r="Y26" t="s">
        <v>215</v>
      </c>
    </row>
    <row r="27" spans="1:25" x14ac:dyDescent="0.3">
      <c r="A27">
        <v>5063</v>
      </c>
      <c r="B27" t="str">
        <f>_xlfn.CONCAT(Tabel1[[#This Row],[personeelsnr]]," ",C27," ",D27)</f>
        <v>5063 Merre Bart</v>
      </c>
      <c r="C27" t="str">
        <f>VLOOKUP(Tabel1[[#This Row],[personeelsnr]],'data hastus'!$A:$C,2,0)</f>
        <v>Merre</v>
      </c>
      <c r="D27" t="str">
        <f>VLOOKUP(Tabel1[[#This Row],[personeelsnr]],'data hastus'!$A:$C,3,0)</f>
        <v>Bart</v>
      </c>
      <c r="E27" t="str">
        <f>VLOOKUP(Tabel1[[#This Row],[personeelsnr]],'data hastus'!A:K,11,FALSE)</f>
        <v>Lucie Vande Velde</v>
      </c>
      <c r="F27" s="10"/>
      <c r="G27" s="7">
        <v>1</v>
      </c>
      <c r="H27" s="7"/>
      <c r="I27" s="7"/>
      <c r="S27" s="5">
        <f>SUM(Tabel1[[#This Row],[Januari]:[December]])</f>
        <v>1</v>
      </c>
      <c r="T27" s="9">
        <v>45312</v>
      </c>
      <c r="U27" s="8" t="s">
        <v>446</v>
      </c>
      <c r="V27" s="8"/>
      <c r="W27" s="8">
        <v>1</v>
      </c>
      <c r="X27" t="s">
        <v>207</v>
      </c>
      <c r="Y27" t="s">
        <v>262</v>
      </c>
    </row>
    <row r="28" spans="1:25" x14ac:dyDescent="0.3">
      <c r="A28">
        <v>9999</v>
      </c>
      <c r="B28" t="str">
        <f>_xlfn.CONCAT(Tabel1[[#This Row],[personeelsnr]]," ",C28," ",D28)</f>
        <v>9999 - -</v>
      </c>
      <c r="C28" t="s">
        <v>3388</v>
      </c>
      <c r="D28" t="s">
        <v>3388</v>
      </c>
      <c r="E28" t="s">
        <v>1165</v>
      </c>
      <c r="F28" s="10"/>
      <c r="G28" s="7">
        <v>1</v>
      </c>
      <c r="H28" s="7"/>
      <c r="I28" s="7"/>
      <c r="S28" s="5">
        <f>SUM(Tabel1[[#This Row],[Januari]:[December]])</f>
        <v>1</v>
      </c>
      <c r="T28" s="9">
        <v>45313</v>
      </c>
      <c r="U28" s="8" t="s">
        <v>447</v>
      </c>
      <c r="V28" s="8">
        <v>1</v>
      </c>
      <c r="W28" s="8"/>
      <c r="X28" t="s">
        <v>206</v>
      </c>
      <c r="Y28" t="s">
        <v>353</v>
      </c>
    </row>
    <row r="29" spans="1:25" x14ac:dyDescent="0.3">
      <c r="A29">
        <v>36626</v>
      </c>
      <c r="B29" t="str">
        <f>_xlfn.CONCAT(Tabel1[[#This Row],[personeelsnr]]," ",C29," ",D29)</f>
        <v>36626 Kartal Kadir</v>
      </c>
      <c r="C29" t="str">
        <f>VLOOKUP(Tabel1[[#This Row],[personeelsnr]],'data hastus'!$A:$C,2,0)</f>
        <v>Kartal</v>
      </c>
      <c r="D29" t="str">
        <f>VLOOKUP(Tabel1[[#This Row],[personeelsnr]],'data hastus'!$A:$C,3,0)</f>
        <v>Kadir</v>
      </c>
      <c r="E29" t="str">
        <f>VLOOKUP(Tabel1[[#This Row],[personeelsnr]],'data hastus'!A:K,11,FALSE)</f>
        <v>Els Dewulf</v>
      </c>
      <c r="F29" s="10"/>
      <c r="G29" s="7">
        <v>1</v>
      </c>
      <c r="H29" s="7"/>
      <c r="I29" s="7"/>
      <c r="S29" s="5">
        <f>SUM(Tabel1[[#This Row],[Januari]:[December]])</f>
        <v>1</v>
      </c>
      <c r="T29" s="9">
        <v>45314</v>
      </c>
      <c r="U29" s="8" t="s">
        <v>448</v>
      </c>
      <c r="V29" s="8">
        <v>1</v>
      </c>
      <c r="W29" s="8"/>
      <c r="X29" t="s">
        <v>206</v>
      </c>
      <c r="Y29" t="s">
        <v>167</v>
      </c>
    </row>
    <row r="30" spans="1:25" x14ac:dyDescent="0.3">
      <c r="A30">
        <v>34445</v>
      </c>
      <c r="B30" t="str">
        <f>_xlfn.CONCAT(Tabel1[[#This Row],[personeelsnr]]," ",C30," ",D30)</f>
        <v>34445 Wulleput Illya</v>
      </c>
      <c r="C30" t="str">
        <f>VLOOKUP(Tabel1[[#This Row],[personeelsnr]],'data hastus'!$A:$C,2,0)</f>
        <v>Wulleput</v>
      </c>
      <c r="D30" t="str">
        <f>VLOOKUP(Tabel1[[#This Row],[personeelsnr]],'data hastus'!$A:$C,3,0)</f>
        <v>Illya</v>
      </c>
      <c r="E30" t="str">
        <f>VLOOKUP(Tabel1[[#This Row],[personeelsnr]],'data hastus'!A:K,11,FALSE)</f>
        <v>Dominique De Clercq</v>
      </c>
      <c r="F30" s="10"/>
      <c r="G30" s="7">
        <v>1</v>
      </c>
      <c r="H30" s="7"/>
      <c r="I30" s="7"/>
      <c r="S30" s="5">
        <f>SUM(Tabel1[[#This Row],[Januari]:[December]])</f>
        <v>1</v>
      </c>
      <c r="T30" s="9">
        <v>45314</v>
      </c>
      <c r="U30" s="8" t="s">
        <v>449</v>
      </c>
      <c r="V30" s="8">
        <v>1</v>
      </c>
      <c r="W30" s="8"/>
      <c r="X30" t="s">
        <v>206</v>
      </c>
      <c r="Y30" t="s">
        <v>263</v>
      </c>
    </row>
    <row r="31" spans="1:25" x14ac:dyDescent="0.3">
      <c r="A31">
        <v>20404</v>
      </c>
      <c r="B31" t="str">
        <f>_xlfn.CONCAT(Tabel1[[#This Row],[personeelsnr]]," ",C31," ",D31)</f>
        <v>20404 Vranken Kenneth</v>
      </c>
      <c r="C31" t="str">
        <f>VLOOKUP(Tabel1[[#This Row],[personeelsnr]],'data hastus'!$A:$C,2,0)</f>
        <v>Vranken</v>
      </c>
      <c r="D31" t="str">
        <f>VLOOKUP(Tabel1[[#This Row],[personeelsnr]],'data hastus'!$A:$C,3,0)</f>
        <v>Kenneth</v>
      </c>
      <c r="E31" t="str">
        <f>VLOOKUP(Tabel1[[#This Row],[personeelsnr]],'data hastus'!A:K,11,FALSE)</f>
        <v>Christoff Rotty</v>
      </c>
      <c r="F31" s="10"/>
      <c r="G31" s="7">
        <v>1</v>
      </c>
      <c r="H31" s="7"/>
      <c r="I31" s="7"/>
      <c r="S31" s="5">
        <f>SUM(Tabel1[[#This Row],[Januari]:[December]])</f>
        <v>1</v>
      </c>
      <c r="T31" s="9">
        <v>45315</v>
      </c>
      <c r="U31" s="8" t="s">
        <v>450</v>
      </c>
      <c r="V31" s="8">
        <v>1</v>
      </c>
      <c r="W31" s="8"/>
      <c r="X31" t="s">
        <v>206</v>
      </c>
      <c r="Y31" t="s">
        <v>309</v>
      </c>
    </row>
    <row r="32" spans="1:25" x14ac:dyDescent="0.3">
      <c r="A32">
        <v>31731</v>
      </c>
      <c r="B32" t="str">
        <f>_xlfn.CONCAT(Tabel1[[#This Row],[personeelsnr]]," ",C32," ",D32)</f>
        <v>31731 Dedapper Marijke</v>
      </c>
      <c r="C32" t="str">
        <f>VLOOKUP(Tabel1[[#This Row],[personeelsnr]],'data hastus'!$A:$C,2,0)</f>
        <v>Dedapper</v>
      </c>
      <c r="D32" t="str">
        <f>VLOOKUP(Tabel1[[#This Row],[personeelsnr]],'data hastus'!$A:$C,3,0)</f>
        <v>Marijke</v>
      </c>
      <c r="E32" t="str">
        <f>VLOOKUP(Tabel1[[#This Row],[personeelsnr]],'data hastus'!A:K,11,FALSE)</f>
        <v>Els Vanhoe</v>
      </c>
      <c r="F32" s="10"/>
      <c r="G32" s="7">
        <v>1</v>
      </c>
      <c r="H32" s="7"/>
      <c r="I32" s="7"/>
      <c r="S32" s="5">
        <f>SUM(Tabel1[[#This Row],[Januari]:[December]])</f>
        <v>1</v>
      </c>
      <c r="T32" s="9">
        <v>45316</v>
      </c>
      <c r="U32" s="8" t="s">
        <v>451</v>
      </c>
      <c r="V32" s="8">
        <v>1</v>
      </c>
      <c r="W32" s="8"/>
      <c r="X32" t="s">
        <v>206</v>
      </c>
      <c r="Y32" t="s">
        <v>198</v>
      </c>
    </row>
    <row r="33" spans="1:25" x14ac:dyDescent="0.3">
      <c r="A33">
        <v>37543</v>
      </c>
      <c r="B33" t="str">
        <f>_xlfn.CONCAT(Tabel1[[#This Row],[personeelsnr]]," ",C33," ",D33)</f>
        <v>37543 Öztürk Bilgehan</v>
      </c>
      <c r="C33" t="str">
        <f>VLOOKUP(Tabel1[[#This Row],[personeelsnr]],'data hastus'!$A:$C,2,0)</f>
        <v>Öztürk</v>
      </c>
      <c r="D33" t="str">
        <f>VLOOKUP(Tabel1[[#This Row],[personeelsnr]],'data hastus'!$A:$C,3,0)</f>
        <v>Bilgehan</v>
      </c>
      <c r="E33" t="str">
        <f>VLOOKUP(Tabel1[[#This Row],[personeelsnr]],'data hastus'!A:K,11,FALSE)</f>
        <v>Kenneth De Rick</v>
      </c>
      <c r="F33" s="10"/>
      <c r="G33" s="7">
        <v>1</v>
      </c>
      <c r="H33" s="7"/>
      <c r="I33" s="7"/>
      <c r="S33" s="5">
        <f>SUM(Tabel1[[#This Row],[Januari]:[December]])</f>
        <v>1</v>
      </c>
      <c r="T33" s="9">
        <v>45316</v>
      </c>
      <c r="U33" s="8" t="s">
        <v>452</v>
      </c>
      <c r="V33" s="8">
        <v>1</v>
      </c>
      <c r="W33" s="8"/>
      <c r="X33" t="s">
        <v>206</v>
      </c>
      <c r="Y33" t="s">
        <v>255</v>
      </c>
    </row>
    <row r="34" spans="1:25" x14ac:dyDescent="0.3">
      <c r="A34">
        <v>15628</v>
      </c>
      <c r="B34" t="str">
        <f>_xlfn.CONCAT(Tabel1[[#This Row],[personeelsnr]]," ",C34," ",D34)</f>
        <v>15628 Wulfranck Dominique</v>
      </c>
      <c r="C34" t="str">
        <f>VLOOKUP(Tabel1[[#This Row],[personeelsnr]],'data hastus'!$A:$C,2,0)</f>
        <v>Wulfranck</v>
      </c>
      <c r="D34" t="str">
        <f>VLOOKUP(Tabel1[[#This Row],[personeelsnr]],'data hastus'!$A:$C,3,0)</f>
        <v>Dominique</v>
      </c>
      <c r="E34" t="str">
        <f>VLOOKUP(Tabel1[[#This Row],[personeelsnr]],'data hastus'!A:K,11,FALSE)</f>
        <v>Kenneth De Rick</v>
      </c>
      <c r="F34" s="10"/>
      <c r="G34" s="7">
        <v>1</v>
      </c>
      <c r="H34" s="7"/>
      <c r="I34" s="7"/>
      <c r="S34" s="5">
        <f>SUM(Tabel1[[#This Row],[Januari]:[December]])</f>
        <v>1</v>
      </c>
      <c r="T34" s="9">
        <v>45317</v>
      </c>
      <c r="U34" s="8" t="s">
        <v>453</v>
      </c>
      <c r="V34" s="8">
        <v>1</v>
      </c>
      <c r="W34" s="8"/>
      <c r="X34" t="s">
        <v>206</v>
      </c>
      <c r="Y34" t="s">
        <v>179</v>
      </c>
    </row>
    <row r="35" spans="1:25" x14ac:dyDescent="0.3">
      <c r="A35">
        <v>31733</v>
      </c>
      <c r="B35" t="str">
        <f>_xlfn.CONCAT(Tabel1[[#This Row],[personeelsnr]]," ",C35," ",D35)</f>
        <v>31733 Sonck Kristof</v>
      </c>
      <c r="C35" t="str">
        <f>VLOOKUP(Tabel1[[#This Row],[personeelsnr]],'data hastus'!$A:$C,2,0)</f>
        <v>Sonck</v>
      </c>
      <c r="D35" t="str">
        <f>VLOOKUP(Tabel1[[#This Row],[personeelsnr]],'data hastus'!$A:$C,3,0)</f>
        <v>Kristof</v>
      </c>
      <c r="E35" t="str">
        <f>VLOOKUP(Tabel1[[#This Row],[personeelsnr]],'data hastus'!A:K,11,FALSE)</f>
        <v>Dominique De Clercq</v>
      </c>
      <c r="F35" s="10"/>
      <c r="G35" s="7">
        <v>1</v>
      </c>
      <c r="H35" s="7"/>
      <c r="I35" s="7"/>
      <c r="S35" s="5">
        <f>SUM(Tabel1[[#This Row],[Januari]:[December]])</f>
        <v>1</v>
      </c>
      <c r="T35" s="9">
        <v>45319</v>
      </c>
      <c r="U35" s="8" t="s">
        <v>454</v>
      </c>
      <c r="V35" s="8">
        <v>1</v>
      </c>
      <c r="W35" s="8"/>
      <c r="X35" t="s">
        <v>206</v>
      </c>
      <c r="Y35" t="s">
        <v>167</v>
      </c>
    </row>
    <row r="36" spans="1:25" x14ac:dyDescent="0.3">
      <c r="A36">
        <v>30121</v>
      </c>
      <c r="B36" t="str">
        <f>_xlfn.CONCAT(Tabel1[[#This Row],[personeelsnr]]," ",C36," ",D36)</f>
        <v>30121 Simons Andreas</v>
      </c>
      <c r="C36" t="str">
        <f>VLOOKUP(Tabel1[[#This Row],[personeelsnr]],'data hastus'!$A:$C,2,0)</f>
        <v>Simons</v>
      </c>
      <c r="D36" t="str">
        <f>VLOOKUP(Tabel1[[#This Row],[personeelsnr]],'data hastus'!$A:$C,3,0)</f>
        <v>Andreas</v>
      </c>
      <c r="E36" t="str">
        <f>VLOOKUP(Tabel1[[#This Row],[personeelsnr]],'data hastus'!A:K,11,FALSE)</f>
        <v>Christoff Rotty</v>
      </c>
      <c r="F36" s="10"/>
      <c r="G36" s="7">
        <v>1</v>
      </c>
      <c r="H36" s="7"/>
      <c r="I36" s="7"/>
      <c r="S36" s="5">
        <f>SUM(Tabel1[[#This Row],[Januari]:[December]])</f>
        <v>1</v>
      </c>
      <c r="T36" s="9">
        <v>45320</v>
      </c>
      <c r="U36" s="8" t="s">
        <v>455</v>
      </c>
      <c r="V36" s="8">
        <v>1</v>
      </c>
      <c r="W36" s="8"/>
      <c r="X36" t="s">
        <v>206</v>
      </c>
      <c r="Y36" t="s">
        <v>202</v>
      </c>
    </row>
    <row r="37" spans="1:25" x14ac:dyDescent="0.3">
      <c r="A37">
        <v>38938</v>
      </c>
      <c r="B37" t="str">
        <f>_xlfn.CONCAT(Tabel1[[#This Row],[personeelsnr]]," ",C37," ",D37)</f>
        <v>38938 Sedighi Hamid</v>
      </c>
      <c r="C37" t="str">
        <f>VLOOKUP(Tabel1[[#This Row],[personeelsnr]],'data hastus'!$A:$C,2,0)</f>
        <v>Sedighi</v>
      </c>
      <c r="D37" t="str">
        <f>VLOOKUP(Tabel1[[#This Row],[personeelsnr]],'data hastus'!$A:$C,3,0)</f>
        <v>Hamid</v>
      </c>
      <c r="E37" t="str">
        <f>VLOOKUP(Tabel1[[#This Row],[personeelsnr]],'data hastus'!A:K,11,FALSE)</f>
        <v>Lucie Vande Velde</v>
      </c>
      <c r="F37" s="10"/>
      <c r="G37" s="7">
        <v>1</v>
      </c>
      <c r="H37" s="7"/>
      <c r="I37" s="7"/>
      <c r="S37" s="5">
        <f>SUM(Tabel1[[#This Row],[Januari]:[December]])</f>
        <v>1</v>
      </c>
      <c r="T37" s="9">
        <v>45321</v>
      </c>
      <c r="U37" s="8" t="s">
        <v>456</v>
      </c>
      <c r="V37" s="8">
        <v>1</v>
      </c>
      <c r="W37" s="8"/>
      <c r="X37" t="s">
        <v>206</v>
      </c>
      <c r="Y37" t="s">
        <v>172</v>
      </c>
    </row>
    <row r="38" spans="1:25" x14ac:dyDescent="0.3">
      <c r="A38">
        <v>31092</v>
      </c>
      <c r="B38" t="str">
        <f>_xlfn.CONCAT(Tabel1[[#This Row],[personeelsnr]]," ",C38," ",D38)</f>
        <v>31092 De Jaeger Kevin</v>
      </c>
      <c r="C38" t="str">
        <f>VLOOKUP(Tabel1[[#This Row],[personeelsnr]],'data hastus'!$A:$C,2,0)</f>
        <v>De Jaeger</v>
      </c>
      <c r="D38" t="str">
        <f>VLOOKUP(Tabel1[[#This Row],[personeelsnr]],'data hastus'!$A:$C,3,0)</f>
        <v>Kevin</v>
      </c>
      <c r="E38" t="str">
        <f>VLOOKUP(Tabel1[[#This Row],[personeelsnr]],'data hastus'!A:K,11,FALSE)</f>
        <v>Lucie Vande Velde</v>
      </c>
      <c r="F38" s="10"/>
      <c r="G38" s="7">
        <v>1</v>
      </c>
      <c r="H38" s="7"/>
      <c r="I38" s="7"/>
      <c r="S38" s="5">
        <f>SUM(Tabel1[[#This Row],[Januari]:[December]])</f>
        <v>1</v>
      </c>
      <c r="T38" s="9">
        <v>45322</v>
      </c>
      <c r="U38" s="8" t="s">
        <v>457</v>
      </c>
      <c r="V38" s="8">
        <v>1</v>
      </c>
      <c r="W38" s="8"/>
      <c r="X38" t="s">
        <v>206</v>
      </c>
      <c r="Y38" t="s">
        <v>192</v>
      </c>
    </row>
    <row r="39" spans="1:25" x14ac:dyDescent="0.3">
      <c r="A39">
        <v>38013</v>
      </c>
      <c r="B39" t="str">
        <f>_xlfn.CONCAT(Tabel1[[#This Row],[personeelsnr]]," ",C39," ",D39)</f>
        <v>38013 Mine Akin</v>
      </c>
      <c r="C39" t="str">
        <f>VLOOKUP(Tabel1[[#This Row],[personeelsnr]],'data hastus'!$A:$C,2,0)</f>
        <v>Mine</v>
      </c>
      <c r="D39" t="str">
        <f>VLOOKUP(Tabel1[[#This Row],[personeelsnr]],'data hastus'!$A:$C,3,0)</f>
        <v>Akin</v>
      </c>
      <c r="E39" t="str">
        <f>VLOOKUP(Tabel1[[#This Row],[personeelsnr]],'data hastus'!A:K,11,FALSE)</f>
        <v>Lucie Vande Velde</v>
      </c>
      <c r="F39" s="10"/>
      <c r="G39" s="7">
        <v>1</v>
      </c>
      <c r="H39" s="7"/>
      <c r="I39" s="7"/>
      <c r="S39" s="5">
        <f>SUM(Tabel1[[#This Row],[Januari]:[December]])</f>
        <v>1</v>
      </c>
      <c r="T39" s="9">
        <v>45322</v>
      </c>
      <c r="U39" s="8" t="s">
        <v>458</v>
      </c>
      <c r="V39" s="8">
        <v>1</v>
      </c>
      <c r="W39" s="8"/>
      <c r="X39" t="s">
        <v>206</v>
      </c>
      <c r="Y39" t="s">
        <v>167</v>
      </c>
    </row>
    <row r="40" spans="1:25" x14ac:dyDescent="0.3">
      <c r="A40">
        <v>27153</v>
      </c>
      <c r="B40" t="str">
        <f>_xlfn.CONCAT(Tabel1[[#This Row],[personeelsnr]]," ",C40," ",D40)</f>
        <v>27153 Oben Thibaud</v>
      </c>
      <c r="C40" t="str">
        <f>VLOOKUP(Tabel1[[#This Row],[personeelsnr]],'data hastus'!$A:$C,2,0)</f>
        <v>Oben</v>
      </c>
      <c r="D40" t="str">
        <f>VLOOKUP(Tabel1[[#This Row],[personeelsnr]],'data hastus'!$A:$C,3,0)</f>
        <v>Thibaud</v>
      </c>
      <c r="E40" t="str">
        <f>VLOOKUP(Tabel1[[#This Row],[personeelsnr]],'data hastus'!A:K,11,FALSE)</f>
        <v>Christoff Rotty</v>
      </c>
      <c r="F40" s="10"/>
      <c r="G40" s="7">
        <v>1</v>
      </c>
      <c r="H40" s="7"/>
      <c r="I40" s="7"/>
      <c r="S40" s="5">
        <f>SUM(Tabel1[[#This Row],[Januari]:[December]])</f>
        <v>1</v>
      </c>
      <c r="T40" s="9">
        <v>45322</v>
      </c>
      <c r="U40" s="8" t="s">
        <v>459</v>
      </c>
      <c r="V40" s="8">
        <v>1</v>
      </c>
      <c r="W40" s="8"/>
      <c r="X40" t="s">
        <v>206</v>
      </c>
      <c r="Y40" t="s">
        <v>167</v>
      </c>
    </row>
    <row r="41" spans="1:25" x14ac:dyDescent="0.3">
      <c r="A41">
        <v>26384</v>
      </c>
      <c r="B41" t="str">
        <f>_xlfn.CONCAT(Tabel1[[#This Row],[personeelsnr]]," ",C41," ",D41)</f>
        <v>26384 Van Cauwenberg Steven</v>
      </c>
      <c r="C41" t="str">
        <f>VLOOKUP(Tabel1[[#This Row],[personeelsnr]],'data hastus'!$A:$C,2,0)</f>
        <v>Van Cauwenberg</v>
      </c>
      <c r="D41" t="str">
        <f>VLOOKUP(Tabel1[[#This Row],[personeelsnr]],'data hastus'!$A:$C,3,0)</f>
        <v>Steven</v>
      </c>
      <c r="E41" t="str">
        <f>VLOOKUP(Tabel1[[#This Row],[personeelsnr]],'data hastus'!A:K,11,FALSE)</f>
        <v>Els Dewulf</v>
      </c>
      <c r="F41" s="10"/>
      <c r="G41" s="7">
        <v>1</v>
      </c>
      <c r="H41" s="7"/>
      <c r="I41" s="7"/>
      <c r="S41" s="5">
        <f>SUM(Tabel1[[#This Row],[Januari]:[December]])</f>
        <v>1</v>
      </c>
      <c r="T41" s="9">
        <v>45322</v>
      </c>
      <c r="U41" s="8" t="s">
        <v>460</v>
      </c>
      <c r="V41" s="8">
        <v>1</v>
      </c>
      <c r="W41" s="8"/>
      <c r="X41" t="s">
        <v>206</v>
      </c>
      <c r="Y41" t="s">
        <v>167</v>
      </c>
    </row>
    <row r="42" spans="1:25" x14ac:dyDescent="0.3">
      <c r="A42">
        <v>19219</v>
      </c>
      <c r="B42" t="str">
        <f>_xlfn.CONCAT(Tabel1[[#This Row],[personeelsnr]]," ",C42," ",D42)</f>
        <v>19219 Aspeslagh Geert</v>
      </c>
      <c r="C42" t="str">
        <f>VLOOKUP(Tabel1[[#This Row],[personeelsnr]],'data hastus'!$A:$C,2,0)</f>
        <v>Aspeslagh</v>
      </c>
      <c r="D42" t="str">
        <f>VLOOKUP(Tabel1[[#This Row],[personeelsnr]],'data hastus'!$A:$C,3,0)</f>
        <v>Geert</v>
      </c>
      <c r="E42" t="str">
        <f>VLOOKUP(Tabel1[[#This Row],[personeelsnr]],'data hastus'!A:K,11,FALSE)</f>
        <v>Lucie Vande Velde</v>
      </c>
      <c r="F42" s="10"/>
      <c r="G42" s="7"/>
      <c r="H42" s="7">
        <v>1</v>
      </c>
      <c r="I42" s="7"/>
      <c r="S42" s="5">
        <f>SUM(Tabel1[[#This Row],[Januari]:[December]])</f>
        <v>1</v>
      </c>
      <c r="T42" s="9">
        <v>45323</v>
      </c>
      <c r="U42" s="8" t="s">
        <v>461</v>
      </c>
      <c r="V42" s="8">
        <v>1</v>
      </c>
      <c r="W42" s="8"/>
      <c r="X42" t="s">
        <v>206</v>
      </c>
      <c r="Y42" t="s">
        <v>271</v>
      </c>
    </row>
    <row r="43" spans="1:25" x14ac:dyDescent="0.3">
      <c r="A43">
        <v>39146</v>
      </c>
      <c r="B43" t="str">
        <f>_xlfn.CONCAT(Tabel1[[#This Row],[personeelsnr]]," ",C43," ",D43)</f>
        <v>39146 Burrick Alex</v>
      </c>
      <c r="C43" t="str">
        <f>VLOOKUP(Tabel1[[#This Row],[personeelsnr]],'data hastus'!$A:$C,2,0)</f>
        <v>Burrick</v>
      </c>
      <c r="D43" t="str">
        <f>VLOOKUP(Tabel1[[#This Row],[personeelsnr]],'data hastus'!$A:$C,3,0)</f>
        <v>Alex</v>
      </c>
      <c r="E43" t="str">
        <f>VLOOKUP(Tabel1[[#This Row],[personeelsnr]],'data hastus'!A:K,11,FALSE)</f>
        <v>Els Dewulf</v>
      </c>
      <c r="F43" s="10"/>
      <c r="G43" s="7"/>
      <c r="H43" s="7">
        <v>1</v>
      </c>
      <c r="I43" s="7"/>
      <c r="S43" s="5">
        <f>SUM(Tabel1[[#This Row],[Januari]:[December]])</f>
        <v>1</v>
      </c>
      <c r="T43" s="9">
        <v>45324</v>
      </c>
      <c r="U43" s="8" t="s">
        <v>462</v>
      </c>
      <c r="V43" s="8">
        <v>1</v>
      </c>
      <c r="W43" s="8"/>
      <c r="X43" t="s">
        <v>206</v>
      </c>
      <c r="Y43" t="s">
        <v>172</v>
      </c>
    </row>
    <row r="44" spans="1:25" x14ac:dyDescent="0.3">
      <c r="A44">
        <v>39146</v>
      </c>
      <c r="B44" t="str">
        <f>_xlfn.CONCAT(Tabel1[[#This Row],[personeelsnr]]," ",C44," ",D44)</f>
        <v>39146 Burrick Alex</v>
      </c>
      <c r="C44" t="str">
        <f>VLOOKUP(Tabel1[[#This Row],[personeelsnr]],'data hastus'!$A:$C,2,0)</f>
        <v>Burrick</v>
      </c>
      <c r="D44" t="str">
        <f>VLOOKUP(Tabel1[[#This Row],[personeelsnr]],'data hastus'!$A:$C,3,0)</f>
        <v>Alex</v>
      </c>
      <c r="E44" t="str">
        <f>VLOOKUP(Tabel1[[#This Row],[personeelsnr]],'data hastus'!A:K,11,FALSE)</f>
        <v>Els Dewulf</v>
      </c>
      <c r="F44" s="10"/>
      <c r="G44" s="7"/>
      <c r="H44" s="7">
        <v>1</v>
      </c>
      <c r="I44" s="7"/>
      <c r="S44" s="5">
        <f>SUM(Tabel1[[#This Row],[Januari]:[December]])</f>
        <v>1</v>
      </c>
      <c r="T44" s="9">
        <v>45324</v>
      </c>
      <c r="U44" s="8" t="s">
        <v>463</v>
      </c>
      <c r="V44" s="8">
        <v>1</v>
      </c>
      <c r="W44" s="8"/>
      <c r="X44" t="s">
        <v>206</v>
      </c>
      <c r="Y44" t="s">
        <v>172</v>
      </c>
    </row>
    <row r="45" spans="1:25" x14ac:dyDescent="0.3">
      <c r="A45">
        <v>35463</v>
      </c>
      <c r="B45" t="str">
        <f>_xlfn.CONCAT(Tabel1[[#This Row],[personeelsnr]]," ",C45," ",D45)</f>
        <v>35463 Vandaele Tom</v>
      </c>
      <c r="C45" t="str">
        <f>VLOOKUP(Tabel1[[#This Row],[personeelsnr]],'data hastus'!$A:$C,2,0)</f>
        <v>Vandaele</v>
      </c>
      <c r="D45" t="str">
        <f>VLOOKUP(Tabel1[[#This Row],[personeelsnr]],'data hastus'!$A:$C,3,0)</f>
        <v>Tom</v>
      </c>
      <c r="E45" t="str">
        <f>VLOOKUP(Tabel1[[#This Row],[personeelsnr]],'data hastus'!A:K,11,FALSE)</f>
        <v>Dominique De Clercq</v>
      </c>
      <c r="F45" s="10"/>
      <c r="G45" s="7"/>
      <c r="H45" s="7">
        <v>1</v>
      </c>
      <c r="I45" s="7"/>
      <c r="S45" s="5">
        <f>SUM(Tabel1[[#This Row],[Januari]:[December]])</f>
        <v>1</v>
      </c>
      <c r="T45" s="9">
        <v>45325</v>
      </c>
      <c r="U45" s="8" t="s">
        <v>464</v>
      </c>
      <c r="V45" s="8">
        <v>1</v>
      </c>
      <c r="W45" s="8"/>
      <c r="X45" t="s">
        <v>206</v>
      </c>
      <c r="Y45" t="s">
        <v>169</v>
      </c>
    </row>
    <row r="46" spans="1:25" x14ac:dyDescent="0.3">
      <c r="A46">
        <v>38808</v>
      </c>
      <c r="B46" t="str">
        <f>_xlfn.CONCAT(Tabel1[[#This Row],[personeelsnr]]," ",C46," ",D46)</f>
        <v>38808 Wasen Jens</v>
      </c>
      <c r="C46" t="str">
        <f>VLOOKUP(Tabel1[[#This Row],[personeelsnr]],'data hastus'!$A:$C,2,0)</f>
        <v>Wasen</v>
      </c>
      <c r="D46" t="str">
        <f>VLOOKUP(Tabel1[[#This Row],[personeelsnr]],'data hastus'!$A:$C,3,0)</f>
        <v>Jens</v>
      </c>
      <c r="E46" t="str">
        <f>VLOOKUP(Tabel1[[#This Row],[personeelsnr]],'data hastus'!A:K,11,FALSE)</f>
        <v>Els Dewulf</v>
      </c>
      <c r="F46" s="10"/>
      <c r="G46" s="7"/>
      <c r="H46" s="7">
        <v>1</v>
      </c>
      <c r="I46" s="7"/>
      <c r="S46" s="5">
        <f>SUM(Tabel1[[#This Row],[Januari]:[December]])</f>
        <v>1</v>
      </c>
      <c r="T46" s="9">
        <v>45325</v>
      </c>
      <c r="U46" s="8" t="s">
        <v>465</v>
      </c>
      <c r="V46" s="8">
        <v>1</v>
      </c>
      <c r="W46" s="8"/>
      <c r="X46" t="s">
        <v>206</v>
      </c>
      <c r="Y46" t="s">
        <v>229</v>
      </c>
    </row>
    <row r="47" spans="1:25" x14ac:dyDescent="0.3">
      <c r="A47">
        <v>38529</v>
      </c>
      <c r="B47" t="str">
        <f>_xlfn.CONCAT(Tabel1[[#This Row],[personeelsnr]]," ",C47," ",D47)</f>
        <v>38529 Huyghe Jan</v>
      </c>
      <c r="C47" t="str">
        <f>VLOOKUP(Tabel1[[#This Row],[personeelsnr]],'data hastus'!$A:$C,2,0)</f>
        <v>Huyghe</v>
      </c>
      <c r="D47" t="str">
        <f>VLOOKUP(Tabel1[[#This Row],[personeelsnr]],'data hastus'!$A:$C,3,0)</f>
        <v>Jan</v>
      </c>
      <c r="E47" t="str">
        <f>VLOOKUP(Tabel1[[#This Row],[personeelsnr]],'data hastus'!A:K,11,FALSE)</f>
        <v>Els Dewulf</v>
      </c>
      <c r="F47" s="10"/>
      <c r="G47" s="7"/>
      <c r="H47" s="7">
        <v>1</v>
      </c>
      <c r="I47" s="7"/>
      <c r="S47" s="5">
        <f>SUM(Tabel1[[#This Row],[Januari]:[December]])</f>
        <v>1</v>
      </c>
      <c r="T47" s="9">
        <v>45326</v>
      </c>
      <c r="U47" s="8" t="s">
        <v>466</v>
      </c>
      <c r="V47" s="8">
        <v>1</v>
      </c>
      <c r="W47" s="8"/>
      <c r="X47" t="s">
        <v>206</v>
      </c>
      <c r="Y47" t="s">
        <v>180</v>
      </c>
    </row>
    <row r="48" spans="1:25" x14ac:dyDescent="0.3">
      <c r="A48">
        <v>37564</v>
      </c>
      <c r="B48" t="str">
        <f>_xlfn.CONCAT(Tabel1[[#This Row],[personeelsnr]]," ",C48," ",D48)</f>
        <v>37564 Damlakhi Nawras</v>
      </c>
      <c r="C48" t="str">
        <f>VLOOKUP(Tabel1[[#This Row],[personeelsnr]],'data hastus'!$A:$C,2,0)</f>
        <v>Damlakhi</v>
      </c>
      <c r="D48" t="str">
        <f>VLOOKUP(Tabel1[[#This Row],[personeelsnr]],'data hastus'!$A:$C,3,0)</f>
        <v>Nawras</v>
      </c>
      <c r="E48" t="str">
        <f>VLOOKUP(Tabel1[[#This Row],[personeelsnr]],'data hastus'!A:K,11,FALSE)</f>
        <v>Els Vanhoe</v>
      </c>
      <c r="F48" s="10"/>
      <c r="G48" s="7"/>
      <c r="H48" s="7">
        <v>1</v>
      </c>
      <c r="I48" s="7"/>
      <c r="S48" s="5">
        <f>SUM(Tabel1[[#This Row],[Januari]:[December]])</f>
        <v>1</v>
      </c>
      <c r="T48" s="9">
        <v>45326</v>
      </c>
      <c r="U48" s="8" t="s">
        <v>467</v>
      </c>
      <c r="V48" s="8">
        <v>1</v>
      </c>
      <c r="W48" s="8"/>
      <c r="X48" t="s">
        <v>206</v>
      </c>
      <c r="Y48" t="s">
        <v>171</v>
      </c>
    </row>
    <row r="49" spans="1:25" x14ac:dyDescent="0.3">
      <c r="A49">
        <v>38529</v>
      </c>
      <c r="B49" t="str">
        <f>_xlfn.CONCAT(Tabel1[[#This Row],[personeelsnr]]," ",C49," ",D49)</f>
        <v>38529 Huyghe Jan</v>
      </c>
      <c r="C49" t="str">
        <f>VLOOKUP(Tabel1[[#This Row],[personeelsnr]],'data hastus'!$A:$C,2,0)</f>
        <v>Huyghe</v>
      </c>
      <c r="D49" t="str">
        <f>VLOOKUP(Tabel1[[#This Row],[personeelsnr]],'data hastus'!$A:$C,3,0)</f>
        <v>Jan</v>
      </c>
      <c r="E49" t="str">
        <f>VLOOKUP(Tabel1[[#This Row],[personeelsnr]],'data hastus'!A:K,11,FALSE)</f>
        <v>Els Dewulf</v>
      </c>
      <c r="F49" s="10"/>
      <c r="G49" s="7"/>
      <c r="H49" s="7">
        <v>1</v>
      </c>
      <c r="I49" s="7"/>
      <c r="S49" s="5">
        <f>SUM(Tabel1[[#This Row],[Januari]:[December]])</f>
        <v>1</v>
      </c>
      <c r="T49" s="9">
        <v>45326</v>
      </c>
      <c r="U49" s="8" t="s">
        <v>468</v>
      </c>
      <c r="V49" s="8">
        <v>1</v>
      </c>
      <c r="W49" s="8"/>
      <c r="X49" t="s">
        <v>206</v>
      </c>
      <c r="Y49" t="s">
        <v>361</v>
      </c>
    </row>
    <row r="50" spans="1:25" x14ac:dyDescent="0.3">
      <c r="A50">
        <v>27209</v>
      </c>
      <c r="B50" t="str">
        <f>_xlfn.CONCAT(Tabel1[[#This Row],[personeelsnr]]," ",C50," ",D50)</f>
        <v>27209 Meyvaert Steven</v>
      </c>
      <c r="C50" t="str">
        <f>VLOOKUP(Tabel1[[#This Row],[personeelsnr]],'data hastus'!$A:$C,2,0)</f>
        <v>Meyvaert</v>
      </c>
      <c r="D50" t="str">
        <f>VLOOKUP(Tabel1[[#This Row],[personeelsnr]],'data hastus'!$A:$C,3,0)</f>
        <v>Steven</v>
      </c>
      <c r="E50" t="str">
        <f>VLOOKUP(Tabel1[[#This Row],[personeelsnr]],'data hastus'!A:K,11,FALSE)</f>
        <v>Els Dewulf</v>
      </c>
      <c r="F50" s="10"/>
      <c r="G50" s="7"/>
      <c r="H50" s="7">
        <v>1</v>
      </c>
      <c r="I50" s="7"/>
      <c r="S50" s="5">
        <f>SUM(Tabel1[[#This Row],[Januari]:[December]])</f>
        <v>1</v>
      </c>
      <c r="T50" s="9">
        <v>45326</v>
      </c>
      <c r="U50" s="8" t="s">
        <v>469</v>
      </c>
      <c r="V50" s="8"/>
      <c r="W50" s="8">
        <v>1</v>
      </c>
      <c r="X50" t="s">
        <v>207</v>
      </c>
      <c r="Y50" t="s">
        <v>180</v>
      </c>
    </row>
    <row r="51" spans="1:25" x14ac:dyDescent="0.3">
      <c r="A51">
        <v>39358</v>
      </c>
      <c r="B51" t="str">
        <f>_xlfn.CONCAT(Tabel1[[#This Row],[personeelsnr]]," ",C51," ",D51)</f>
        <v>39358 Weeks Aracena Jimmy Alexander</v>
      </c>
      <c r="C51" t="str">
        <f>VLOOKUP(Tabel1[[#This Row],[personeelsnr]],'data hastus'!$A:$C,2,0)</f>
        <v>Weeks Aracena</v>
      </c>
      <c r="D51" t="str">
        <f>VLOOKUP(Tabel1[[#This Row],[personeelsnr]],'data hastus'!$A:$C,3,0)</f>
        <v>Jimmy Alexander</v>
      </c>
      <c r="E51" t="str">
        <f>VLOOKUP(Tabel1[[#This Row],[personeelsnr]],'data hastus'!A:K,11,FALSE)</f>
        <v>Christoff Rotty</v>
      </c>
      <c r="F51" s="10"/>
      <c r="G51" s="7"/>
      <c r="H51" s="7">
        <v>1</v>
      </c>
      <c r="I51" s="7"/>
      <c r="S51" s="5">
        <f>SUM(Tabel1[[#This Row],[Januari]:[December]])</f>
        <v>1</v>
      </c>
      <c r="T51" s="9">
        <v>45327</v>
      </c>
      <c r="U51" s="8" t="s">
        <v>470</v>
      </c>
      <c r="V51" s="8">
        <v>1</v>
      </c>
      <c r="W51" s="8"/>
      <c r="X51" t="s">
        <v>206</v>
      </c>
      <c r="Y51" t="s">
        <v>210</v>
      </c>
    </row>
    <row r="52" spans="1:25" x14ac:dyDescent="0.3">
      <c r="A52">
        <v>34198</v>
      </c>
      <c r="B52" t="str">
        <f>_xlfn.CONCAT(Tabel1[[#This Row],[personeelsnr]]," ",C52," ",D52)</f>
        <v>34198 Pelfrene Toby</v>
      </c>
      <c r="C52" t="str">
        <f>VLOOKUP(Tabel1[[#This Row],[personeelsnr]],'data hastus'!$A:$C,2,0)</f>
        <v>Pelfrene</v>
      </c>
      <c r="D52" t="str">
        <f>VLOOKUP(Tabel1[[#This Row],[personeelsnr]],'data hastus'!$A:$C,3,0)</f>
        <v>Toby</v>
      </c>
      <c r="E52" t="str">
        <f>VLOOKUP(Tabel1[[#This Row],[personeelsnr]],'data hastus'!A:K,11,FALSE)</f>
        <v>Els Vanhoe</v>
      </c>
      <c r="F52" s="10"/>
      <c r="G52" s="7"/>
      <c r="H52" s="7">
        <v>1</v>
      </c>
      <c r="I52" s="7"/>
      <c r="S52" s="5">
        <f>SUM(Tabel1[[#This Row],[Januari]:[December]])</f>
        <v>1</v>
      </c>
      <c r="T52" s="9">
        <v>45328</v>
      </c>
      <c r="U52" s="8" t="s">
        <v>471</v>
      </c>
      <c r="V52" s="8">
        <v>1</v>
      </c>
      <c r="W52" s="8"/>
      <c r="X52" t="s">
        <v>206</v>
      </c>
      <c r="Y52" t="s">
        <v>167</v>
      </c>
    </row>
    <row r="53" spans="1:25" x14ac:dyDescent="0.3">
      <c r="A53">
        <v>18987</v>
      </c>
      <c r="B53" t="str">
        <f>_xlfn.CONCAT(Tabel1[[#This Row],[personeelsnr]]," ",C53," ",D53)</f>
        <v>18987 De Geyter Dolly</v>
      </c>
      <c r="C53" t="str">
        <f>VLOOKUP(Tabel1[[#This Row],[personeelsnr]],'data hastus'!$A:$C,2,0)</f>
        <v>De Geyter</v>
      </c>
      <c r="D53" t="str">
        <f>VLOOKUP(Tabel1[[#This Row],[personeelsnr]],'data hastus'!$A:$C,3,0)</f>
        <v>Dolly</v>
      </c>
      <c r="E53" t="str">
        <f>VLOOKUP(Tabel1[[#This Row],[personeelsnr]],'data hastus'!A:K,11,FALSE)</f>
        <v>Steven Storm</v>
      </c>
      <c r="F53" s="10"/>
      <c r="G53" s="7"/>
      <c r="H53" s="7">
        <v>1</v>
      </c>
      <c r="I53" s="7"/>
      <c r="S53" s="5">
        <f>SUM(Tabel1[[#This Row],[Januari]:[December]])</f>
        <v>1</v>
      </c>
      <c r="T53" s="9">
        <v>45329</v>
      </c>
      <c r="U53" s="8" t="s">
        <v>472</v>
      </c>
      <c r="V53" s="8">
        <v>1</v>
      </c>
      <c r="W53" s="8"/>
      <c r="X53" t="s">
        <v>206</v>
      </c>
      <c r="Y53" t="s">
        <v>291</v>
      </c>
    </row>
    <row r="54" spans="1:25" x14ac:dyDescent="0.3">
      <c r="A54">
        <v>5813</v>
      </c>
      <c r="B54" t="str">
        <f>_xlfn.CONCAT(Tabel1[[#This Row],[personeelsnr]]," ",C54," ",D54)</f>
        <v>5813 Binard Sabine</v>
      </c>
      <c r="C54" t="str">
        <f>VLOOKUP(Tabel1[[#This Row],[personeelsnr]],'data hastus'!$A:$C,2,0)</f>
        <v>Binard</v>
      </c>
      <c r="D54" t="str">
        <f>VLOOKUP(Tabel1[[#This Row],[personeelsnr]],'data hastus'!$A:$C,3,0)</f>
        <v>Sabine</v>
      </c>
      <c r="E54" t="str">
        <f>VLOOKUP(Tabel1[[#This Row],[personeelsnr]],'data hastus'!A:K,11,FALSE)</f>
        <v>Lucie Vande Velde</v>
      </c>
      <c r="F54" s="10"/>
      <c r="G54" s="7"/>
      <c r="H54" s="7">
        <v>1</v>
      </c>
      <c r="I54" s="7"/>
      <c r="S54" s="5">
        <f>SUM(Tabel1[[#This Row],[Januari]:[December]])</f>
        <v>1</v>
      </c>
      <c r="T54" s="9">
        <v>45329</v>
      </c>
      <c r="U54" s="8" t="s">
        <v>473</v>
      </c>
      <c r="V54" s="8"/>
      <c r="W54" s="8">
        <v>1</v>
      </c>
      <c r="X54" t="s">
        <v>207</v>
      </c>
      <c r="Y54" t="s">
        <v>225</v>
      </c>
    </row>
    <row r="55" spans="1:25" x14ac:dyDescent="0.3">
      <c r="A55">
        <v>38529</v>
      </c>
      <c r="B55" t="str">
        <f>_xlfn.CONCAT(Tabel1[[#This Row],[personeelsnr]]," ",C55," ",D55)</f>
        <v>38529 Huyghe Jan</v>
      </c>
      <c r="C55" t="str">
        <f>VLOOKUP(Tabel1[[#This Row],[personeelsnr]],'data hastus'!$A:$C,2,0)</f>
        <v>Huyghe</v>
      </c>
      <c r="D55" t="str">
        <f>VLOOKUP(Tabel1[[#This Row],[personeelsnr]],'data hastus'!$A:$C,3,0)</f>
        <v>Jan</v>
      </c>
      <c r="E55" t="str">
        <f>VLOOKUP(Tabel1[[#This Row],[personeelsnr]],'data hastus'!A:K,11,FALSE)</f>
        <v>Els Dewulf</v>
      </c>
      <c r="F55" s="10"/>
      <c r="G55" s="7"/>
      <c r="H55" s="7">
        <v>1</v>
      </c>
      <c r="I55" s="7"/>
      <c r="S55" s="5">
        <f>SUM(Tabel1[[#This Row],[Januari]:[December]])</f>
        <v>1</v>
      </c>
      <c r="T55" s="9">
        <v>45330</v>
      </c>
      <c r="U55" s="8" t="s">
        <v>474</v>
      </c>
      <c r="V55" s="8">
        <v>1</v>
      </c>
      <c r="W55" s="8"/>
      <c r="X55" t="s">
        <v>206</v>
      </c>
      <c r="Y55" t="s">
        <v>167</v>
      </c>
    </row>
    <row r="56" spans="1:25" x14ac:dyDescent="0.3">
      <c r="A56">
        <v>10324</v>
      </c>
      <c r="B56" t="str">
        <f>_xlfn.CONCAT(Tabel1[[#This Row],[personeelsnr]]," ",C56," ",D56)</f>
        <v>10324 Eggermont Wim</v>
      </c>
      <c r="C56" t="str">
        <f>VLOOKUP(Tabel1[[#This Row],[personeelsnr]],'data hastus'!$A:$C,2,0)</f>
        <v>Eggermont</v>
      </c>
      <c r="D56" t="str">
        <f>VLOOKUP(Tabel1[[#This Row],[personeelsnr]],'data hastus'!$A:$C,3,0)</f>
        <v>Wim</v>
      </c>
      <c r="E56" t="str">
        <f>VLOOKUP(Tabel1[[#This Row],[personeelsnr]],'data hastus'!A:K,11,FALSE)</f>
        <v>Bart Van Der Beken</v>
      </c>
      <c r="F56" s="10"/>
      <c r="G56" s="7"/>
      <c r="H56" s="7">
        <v>1</v>
      </c>
      <c r="I56" s="7"/>
      <c r="S56" s="5">
        <f>SUM(Tabel1[[#This Row],[Januari]:[December]])</f>
        <v>1</v>
      </c>
      <c r="T56" s="9">
        <v>45330</v>
      </c>
      <c r="U56" s="8" t="s">
        <v>475</v>
      </c>
      <c r="V56" s="8"/>
      <c r="W56" s="8">
        <v>1</v>
      </c>
      <c r="X56" t="s">
        <v>207</v>
      </c>
      <c r="Y56" t="s">
        <v>167</v>
      </c>
    </row>
    <row r="57" spans="1:25" x14ac:dyDescent="0.3">
      <c r="A57">
        <v>36289</v>
      </c>
      <c r="B57" t="str">
        <f>_xlfn.CONCAT(Tabel1[[#This Row],[personeelsnr]]," ",C57," ",D57)</f>
        <v>36289 Van Rentergem Steve</v>
      </c>
      <c r="C57" t="str">
        <f>VLOOKUP(Tabel1[[#This Row],[personeelsnr]],'data hastus'!$A:$C,2,0)</f>
        <v>Van Rentergem</v>
      </c>
      <c r="D57" t="str">
        <f>VLOOKUP(Tabel1[[#This Row],[personeelsnr]],'data hastus'!$A:$C,3,0)</f>
        <v>Steve</v>
      </c>
      <c r="E57" t="str">
        <f>VLOOKUP(Tabel1[[#This Row],[personeelsnr]],'data hastus'!A:K,11,FALSE)</f>
        <v>Els Vanhoe</v>
      </c>
      <c r="F57" s="10"/>
      <c r="G57" s="7"/>
      <c r="H57" s="7">
        <v>1</v>
      </c>
      <c r="I57" s="7"/>
      <c r="S57" s="5">
        <f>SUM(Tabel1[[#This Row],[Januari]:[December]])</f>
        <v>1</v>
      </c>
      <c r="T57" s="9">
        <v>45331</v>
      </c>
      <c r="U57" s="8" t="s">
        <v>476</v>
      </c>
      <c r="V57" s="8">
        <v>1</v>
      </c>
      <c r="W57" s="8"/>
      <c r="X57" t="s">
        <v>206</v>
      </c>
      <c r="Y57" t="s">
        <v>178</v>
      </c>
    </row>
    <row r="58" spans="1:25" x14ac:dyDescent="0.3">
      <c r="A58">
        <v>39779</v>
      </c>
      <c r="B58" t="str">
        <f>_xlfn.CONCAT(Tabel1[[#This Row],[personeelsnr]]," ",C58," ",D58)</f>
        <v>39779 Avci Muhammet Abdullah</v>
      </c>
      <c r="C58" t="str">
        <f>VLOOKUP(Tabel1[[#This Row],[personeelsnr]],'data hastus'!$A:$C,2,0)</f>
        <v>Avci</v>
      </c>
      <c r="D58" t="str">
        <f>VLOOKUP(Tabel1[[#This Row],[personeelsnr]],'data hastus'!$A:$C,3,0)</f>
        <v>Muhammet Abdullah</v>
      </c>
      <c r="E58" t="str">
        <f>VLOOKUP(Tabel1[[#This Row],[personeelsnr]],'data hastus'!A:K,11,FALSE)</f>
        <v>Bart Van Der Beken</v>
      </c>
      <c r="F58" s="10"/>
      <c r="G58" s="7"/>
      <c r="H58" s="7">
        <v>1</v>
      </c>
      <c r="I58" s="7"/>
      <c r="S58" s="5">
        <f>SUM(Tabel1[[#This Row],[Januari]:[December]])</f>
        <v>1</v>
      </c>
      <c r="T58" s="9">
        <v>45335</v>
      </c>
      <c r="U58" s="8" t="s">
        <v>477</v>
      </c>
      <c r="V58" s="8">
        <v>1</v>
      </c>
      <c r="W58" s="8"/>
      <c r="X58" t="s">
        <v>206</v>
      </c>
      <c r="Y58" t="s">
        <v>167</v>
      </c>
    </row>
    <row r="59" spans="1:25" x14ac:dyDescent="0.3">
      <c r="A59">
        <v>9999</v>
      </c>
      <c r="B59" t="str">
        <f>_xlfn.CONCAT(Tabel1[[#This Row],[personeelsnr]]," ",C59," ",D59)</f>
        <v>9999 - -</v>
      </c>
      <c r="C59" t="s">
        <v>3388</v>
      </c>
      <c r="D59" t="s">
        <v>3388</v>
      </c>
      <c r="E59" t="s">
        <v>1165</v>
      </c>
      <c r="F59" s="10"/>
      <c r="G59" s="7"/>
      <c r="H59" s="7">
        <v>1</v>
      </c>
      <c r="I59" s="7"/>
      <c r="S59" s="5">
        <f>SUM(Tabel1[[#This Row],[Januari]:[December]])</f>
        <v>1</v>
      </c>
      <c r="T59" s="9">
        <v>45336</v>
      </c>
      <c r="U59" s="8" t="s">
        <v>478</v>
      </c>
      <c r="V59" s="8">
        <v>1</v>
      </c>
      <c r="W59" s="8"/>
      <c r="X59" t="s">
        <v>206</v>
      </c>
      <c r="Y59" t="s">
        <v>268</v>
      </c>
    </row>
    <row r="60" spans="1:25" x14ac:dyDescent="0.3">
      <c r="A60">
        <v>36635</v>
      </c>
      <c r="B60" t="str">
        <f>_xlfn.CONCAT(Tabel1[[#This Row],[personeelsnr]]," ",C60," ",D60)</f>
        <v>36635 Fadel Husam</v>
      </c>
      <c r="C60" t="str">
        <f>VLOOKUP(Tabel1[[#This Row],[personeelsnr]],'data hastus'!$A:$C,2,0)</f>
        <v>Fadel</v>
      </c>
      <c r="D60" t="str">
        <f>VLOOKUP(Tabel1[[#This Row],[personeelsnr]],'data hastus'!$A:$C,3,0)</f>
        <v>Husam</v>
      </c>
      <c r="E60" t="str">
        <f>VLOOKUP(Tabel1[[#This Row],[personeelsnr]],'data hastus'!A:K,11,FALSE)</f>
        <v>Kenneth De Rick</v>
      </c>
      <c r="F60" s="10"/>
      <c r="G60" s="7"/>
      <c r="H60" s="7">
        <v>1</v>
      </c>
      <c r="I60" s="7"/>
      <c r="S60" s="5">
        <f>SUM(Tabel1[[#This Row],[Januari]:[December]])</f>
        <v>1</v>
      </c>
      <c r="T60" s="9">
        <v>45337</v>
      </c>
      <c r="U60" s="8" t="s">
        <v>479</v>
      </c>
      <c r="V60" s="8">
        <v>1</v>
      </c>
      <c r="W60" s="8"/>
      <c r="X60" t="s">
        <v>206</v>
      </c>
      <c r="Y60" t="s">
        <v>204</v>
      </c>
    </row>
    <row r="61" spans="1:25" x14ac:dyDescent="0.3">
      <c r="A61">
        <v>35055</v>
      </c>
      <c r="B61" t="str">
        <f>_xlfn.CONCAT(Tabel1[[#This Row],[personeelsnr]]," ",C61," ",D61)</f>
        <v>35055 Kocabas Abdülkadir</v>
      </c>
      <c r="C61" t="str">
        <f>VLOOKUP(Tabel1[[#This Row],[personeelsnr]],'data hastus'!$A:$C,2,0)</f>
        <v>Kocabas</v>
      </c>
      <c r="D61" t="str">
        <f>VLOOKUP(Tabel1[[#This Row],[personeelsnr]],'data hastus'!$A:$C,3,0)</f>
        <v>Abdülkadir</v>
      </c>
      <c r="E61" t="str">
        <f>VLOOKUP(Tabel1[[#This Row],[personeelsnr]],'data hastus'!A:K,11,FALSE)</f>
        <v>Els Vanhoe</v>
      </c>
      <c r="F61" s="10"/>
      <c r="G61" s="7"/>
      <c r="H61" s="7">
        <v>1</v>
      </c>
      <c r="I61" s="7"/>
      <c r="S61" s="5">
        <f>SUM(Tabel1[[#This Row],[Januari]:[December]])</f>
        <v>1</v>
      </c>
      <c r="T61" s="9">
        <v>45337</v>
      </c>
      <c r="U61" s="8" t="s">
        <v>480</v>
      </c>
      <c r="V61" s="8">
        <v>1</v>
      </c>
      <c r="W61" s="8"/>
      <c r="X61" t="s">
        <v>206</v>
      </c>
      <c r="Y61" t="s">
        <v>184</v>
      </c>
    </row>
    <row r="62" spans="1:25" x14ac:dyDescent="0.3">
      <c r="A62">
        <v>31668</v>
      </c>
      <c r="B62" t="str">
        <f>_xlfn.CONCAT(Tabel1[[#This Row],[personeelsnr]]," ",C62," ",D62)</f>
        <v>31668 Weemhof Maurice</v>
      </c>
      <c r="C62" t="str">
        <f>VLOOKUP(Tabel1[[#This Row],[personeelsnr]],'data hastus'!$A:$C,2,0)</f>
        <v>Weemhof</v>
      </c>
      <c r="D62" t="str">
        <f>VLOOKUP(Tabel1[[#This Row],[personeelsnr]],'data hastus'!$A:$C,3,0)</f>
        <v>Maurice</v>
      </c>
      <c r="E62" t="str">
        <f>VLOOKUP(Tabel1[[#This Row],[personeelsnr]],'data hastus'!A:K,11,FALSE)</f>
        <v>Dominique De Clercq</v>
      </c>
      <c r="F62" s="10"/>
      <c r="G62" s="7"/>
      <c r="H62" s="7">
        <v>1</v>
      </c>
      <c r="I62" s="7"/>
      <c r="S62" s="5">
        <f>SUM(Tabel1[[#This Row],[Januari]:[December]])</f>
        <v>1</v>
      </c>
      <c r="T62" s="9">
        <v>45338</v>
      </c>
      <c r="U62" s="8" t="s">
        <v>481</v>
      </c>
      <c r="V62" s="8">
        <v>1</v>
      </c>
      <c r="W62" s="8"/>
      <c r="X62" t="s">
        <v>206</v>
      </c>
      <c r="Y62" t="s">
        <v>167</v>
      </c>
    </row>
    <row r="63" spans="1:25" x14ac:dyDescent="0.3">
      <c r="A63">
        <v>36275</v>
      </c>
      <c r="B63" t="str">
        <f>_xlfn.CONCAT(Tabel1[[#This Row],[personeelsnr]]," ",C63," ",D63)</f>
        <v>36275 Acosta Salinas Benigna</v>
      </c>
      <c r="C63" t="str">
        <f>VLOOKUP(Tabel1[[#This Row],[personeelsnr]],'data hastus'!$A:$C,2,0)</f>
        <v>Acosta Salinas</v>
      </c>
      <c r="D63" t="str">
        <f>VLOOKUP(Tabel1[[#This Row],[personeelsnr]],'data hastus'!$A:$C,3,0)</f>
        <v>Benigna</v>
      </c>
      <c r="E63" t="str">
        <f>VLOOKUP(Tabel1[[#This Row],[personeelsnr]],'data hastus'!A:K,11,FALSE)</f>
        <v>Dominique De Clercq</v>
      </c>
      <c r="F63" s="10"/>
      <c r="G63" s="7"/>
      <c r="H63" s="7">
        <v>1</v>
      </c>
      <c r="I63" s="7"/>
      <c r="S63" s="5">
        <f>SUM(Tabel1[[#This Row],[Januari]:[December]])</f>
        <v>1</v>
      </c>
      <c r="T63" s="9">
        <v>45339</v>
      </c>
      <c r="U63" s="8" t="s">
        <v>482</v>
      </c>
      <c r="V63" s="8">
        <v>1</v>
      </c>
      <c r="W63" s="8"/>
      <c r="X63" t="s">
        <v>206</v>
      </c>
      <c r="Y63" t="s">
        <v>248</v>
      </c>
    </row>
    <row r="64" spans="1:25" x14ac:dyDescent="0.3">
      <c r="A64">
        <v>37261</v>
      </c>
      <c r="B64" t="str">
        <f>_xlfn.CONCAT(Tabel1[[#This Row],[personeelsnr]]," ",C64," ",D64)</f>
        <v>37261 Van Wayenbergh Yordi</v>
      </c>
      <c r="C64" t="str">
        <f>VLOOKUP(Tabel1[[#This Row],[personeelsnr]],'data hastus'!$A:$C,2,0)</f>
        <v>Van Wayenbergh</v>
      </c>
      <c r="D64" t="str">
        <f>VLOOKUP(Tabel1[[#This Row],[personeelsnr]],'data hastus'!$A:$C,3,0)</f>
        <v>Yordi</v>
      </c>
      <c r="E64" t="str">
        <f>VLOOKUP(Tabel1[[#This Row],[personeelsnr]],'data hastus'!A:K,11,FALSE)</f>
        <v>Dominique De Clercq</v>
      </c>
      <c r="F64" s="10"/>
      <c r="G64" s="7"/>
      <c r="H64" s="7">
        <v>1</v>
      </c>
      <c r="I64" s="7"/>
      <c r="S64" s="5">
        <f>SUM(Tabel1[[#This Row],[Januari]:[December]])</f>
        <v>1</v>
      </c>
      <c r="T64" s="9">
        <v>45339</v>
      </c>
      <c r="U64" s="8" t="s">
        <v>483</v>
      </c>
      <c r="V64" s="8">
        <v>1</v>
      </c>
      <c r="W64" s="8"/>
      <c r="X64" t="s">
        <v>206</v>
      </c>
      <c r="Y64" t="s">
        <v>376</v>
      </c>
    </row>
    <row r="65" spans="1:25" x14ac:dyDescent="0.3">
      <c r="A65">
        <v>39358</v>
      </c>
      <c r="B65" t="str">
        <f>_xlfn.CONCAT(Tabel1[[#This Row],[personeelsnr]]," ",C65," ",D65)</f>
        <v>39358 Weeks Aracena Jimmy Alexander</v>
      </c>
      <c r="C65" t="str">
        <f>VLOOKUP(Tabel1[[#This Row],[personeelsnr]],'data hastus'!$A:$C,2,0)</f>
        <v>Weeks Aracena</v>
      </c>
      <c r="D65" t="str">
        <f>VLOOKUP(Tabel1[[#This Row],[personeelsnr]],'data hastus'!$A:$C,3,0)</f>
        <v>Jimmy Alexander</v>
      </c>
      <c r="E65" t="str">
        <f>VLOOKUP(Tabel1[[#This Row],[personeelsnr]],'data hastus'!A:K,11,FALSE)</f>
        <v>Christoff Rotty</v>
      </c>
      <c r="F65" s="10"/>
      <c r="G65" s="7"/>
      <c r="H65" s="7">
        <v>1</v>
      </c>
      <c r="I65" s="7"/>
      <c r="S65" s="5">
        <f>SUM(Tabel1[[#This Row],[Januari]:[December]])</f>
        <v>1</v>
      </c>
      <c r="T65" s="9">
        <v>45339</v>
      </c>
      <c r="U65" s="8" t="s">
        <v>484</v>
      </c>
      <c r="V65" s="8">
        <v>1</v>
      </c>
      <c r="W65" s="8"/>
      <c r="X65" t="s">
        <v>206</v>
      </c>
      <c r="Y65" t="s">
        <v>241</v>
      </c>
    </row>
    <row r="66" spans="1:25" x14ac:dyDescent="0.3">
      <c r="A66">
        <v>21582</v>
      </c>
      <c r="B66" t="str">
        <f>_xlfn.CONCAT(Tabel1[[#This Row],[personeelsnr]]," ",C66," ",D66)</f>
        <v>21582 De Grom Patrick</v>
      </c>
      <c r="C66" t="str">
        <f>VLOOKUP(Tabel1[[#This Row],[personeelsnr]],'data hastus'!$A:$C,2,0)</f>
        <v>De Grom</v>
      </c>
      <c r="D66" t="str">
        <f>VLOOKUP(Tabel1[[#This Row],[personeelsnr]],'data hastus'!$A:$C,3,0)</f>
        <v>Patrick</v>
      </c>
      <c r="E66" t="str">
        <f>VLOOKUP(Tabel1[[#This Row],[personeelsnr]],'data hastus'!A:K,11,FALSE)</f>
        <v>Steven Storm</v>
      </c>
      <c r="F66" s="10"/>
      <c r="G66" s="7"/>
      <c r="H66" s="7">
        <v>1</v>
      </c>
      <c r="I66" s="7"/>
      <c r="S66" s="5">
        <f>SUM(Tabel1[[#This Row],[Januari]:[December]])</f>
        <v>1</v>
      </c>
      <c r="T66" s="9">
        <v>45341</v>
      </c>
      <c r="U66" s="8" t="s">
        <v>485</v>
      </c>
      <c r="V66" s="8"/>
      <c r="W66" s="8">
        <v>1</v>
      </c>
      <c r="X66" t="s">
        <v>207</v>
      </c>
      <c r="Y66" t="s">
        <v>217</v>
      </c>
    </row>
    <row r="67" spans="1:25" x14ac:dyDescent="0.3">
      <c r="A67">
        <v>34325</v>
      </c>
      <c r="B67" t="str">
        <f>_xlfn.CONCAT(Tabel1[[#This Row],[personeelsnr]]," ",C67," ",D67)</f>
        <v>34325 Eid Mathyn</v>
      </c>
      <c r="C67" t="str">
        <f>VLOOKUP(Tabel1[[#This Row],[personeelsnr]],'data hastus'!$A:$C,2,0)</f>
        <v>Eid</v>
      </c>
      <c r="D67" t="str">
        <f>VLOOKUP(Tabel1[[#This Row],[personeelsnr]],'data hastus'!$A:$C,3,0)</f>
        <v>Mathyn</v>
      </c>
      <c r="E67" t="str">
        <f>VLOOKUP(Tabel1[[#This Row],[personeelsnr]],'data hastus'!A:K,11,FALSE)</f>
        <v>Steven Storm</v>
      </c>
      <c r="F67" s="10"/>
      <c r="G67" s="7"/>
      <c r="H67" s="7">
        <v>1</v>
      </c>
      <c r="I67" s="7"/>
      <c r="S67" s="5">
        <f>SUM(Tabel1[[#This Row],[Januari]:[December]])</f>
        <v>1</v>
      </c>
      <c r="T67" s="9">
        <v>45341</v>
      </c>
      <c r="U67" s="8" t="s">
        <v>486</v>
      </c>
      <c r="V67" s="8"/>
      <c r="W67" s="8">
        <v>1</v>
      </c>
      <c r="X67" t="s">
        <v>207</v>
      </c>
      <c r="Y67" t="s">
        <v>317</v>
      </c>
    </row>
    <row r="68" spans="1:25" x14ac:dyDescent="0.3">
      <c r="A68">
        <v>13345</v>
      </c>
      <c r="B68" t="str">
        <f>_xlfn.CONCAT(Tabel1[[#This Row],[personeelsnr]]," ",C68," ",D68)</f>
        <v>13345 Schijvens Ronny</v>
      </c>
      <c r="C68" t="str">
        <f>VLOOKUP(Tabel1[[#This Row],[personeelsnr]],'data hastus'!$A:$C,2,0)</f>
        <v>Schijvens</v>
      </c>
      <c r="D68" t="str">
        <f>VLOOKUP(Tabel1[[#This Row],[personeelsnr]],'data hastus'!$A:$C,3,0)</f>
        <v>Ronny</v>
      </c>
      <c r="E68" t="str">
        <f>VLOOKUP(Tabel1[[#This Row],[personeelsnr]],'data hastus'!A:K,11,FALSE)</f>
        <v>Kenneth De Rick</v>
      </c>
      <c r="F68" s="10"/>
      <c r="G68" s="7"/>
      <c r="H68" s="7">
        <v>1</v>
      </c>
      <c r="I68" s="7"/>
      <c r="S68" s="5">
        <f>SUM(Tabel1[[#This Row],[Januari]:[December]])</f>
        <v>1</v>
      </c>
      <c r="T68" s="9">
        <v>45342</v>
      </c>
      <c r="U68" s="8" t="s">
        <v>487</v>
      </c>
      <c r="V68" s="8">
        <v>1</v>
      </c>
      <c r="W68" s="8"/>
      <c r="X68" t="s">
        <v>206</v>
      </c>
      <c r="Y68" t="s">
        <v>188</v>
      </c>
    </row>
    <row r="69" spans="1:25" x14ac:dyDescent="0.3">
      <c r="A69">
        <v>39779</v>
      </c>
      <c r="B69" t="str">
        <f>_xlfn.CONCAT(Tabel1[[#This Row],[personeelsnr]]," ",C69," ",D69)</f>
        <v>39779 Avci Muhammet Abdullah</v>
      </c>
      <c r="C69" t="str">
        <f>VLOOKUP(Tabel1[[#This Row],[personeelsnr]],'data hastus'!$A:$C,2,0)</f>
        <v>Avci</v>
      </c>
      <c r="D69" t="str">
        <f>VLOOKUP(Tabel1[[#This Row],[personeelsnr]],'data hastus'!$A:$C,3,0)</f>
        <v>Muhammet Abdullah</v>
      </c>
      <c r="E69" t="str">
        <f>VLOOKUP(Tabel1[[#This Row],[personeelsnr]],'data hastus'!A:K,11,FALSE)</f>
        <v>Bart Van Der Beken</v>
      </c>
      <c r="F69" s="10"/>
      <c r="G69" s="7"/>
      <c r="H69" s="7">
        <v>1</v>
      </c>
      <c r="I69" s="7"/>
      <c r="S69" s="5">
        <f>SUM(Tabel1[[#This Row],[Januari]:[December]])</f>
        <v>1</v>
      </c>
      <c r="T69" s="9">
        <v>45342</v>
      </c>
      <c r="U69" s="8" t="s">
        <v>488</v>
      </c>
      <c r="V69" s="8">
        <v>1</v>
      </c>
      <c r="W69" s="8"/>
      <c r="X69" t="s">
        <v>206</v>
      </c>
      <c r="Y69" t="s">
        <v>190</v>
      </c>
    </row>
    <row r="70" spans="1:25" x14ac:dyDescent="0.3">
      <c r="A70">
        <v>25994</v>
      </c>
      <c r="B70" t="str">
        <f>_xlfn.CONCAT(Tabel1[[#This Row],[personeelsnr]]," ",C70," ",D70)</f>
        <v>25994 Peers Mario</v>
      </c>
      <c r="C70" t="str">
        <f>VLOOKUP(Tabel1[[#This Row],[personeelsnr]],'data hastus'!$A:$C,2,0)</f>
        <v>Peers</v>
      </c>
      <c r="D70" t="str">
        <f>VLOOKUP(Tabel1[[#This Row],[personeelsnr]],'data hastus'!$A:$C,3,0)</f>
        <v>Mario</v>
      </c>
      <c r="E70" t="str">
        <f>VLOOKUP(Tabel1[[#This Row],[personeelsnr]],'data hastus'!A:K,11,FALSE)</f>
        <v>Els Dewulf</v>
      </c>
      <c r="F70" s="10"/>
      <c r="G70" s="7"/>
      <c r="H70" s="7">
        <v>1</v>
      </c>
      <c r="I70" s="7"/>
      <c r="S70" s="5">
        <f>SUM(Tabel1[[#This Row],[Januari]:[December]])</f>
        <v>1</v>
      </c>
      <c r="T70" s="9">
        <v>45343</v>
      </c>
      <c r="U70" s="8" t="s">
        <v>489</v>
      </c>
      <c r="V70" s="8">
        <v>1</v>
      </c>
      <c r="W70" s="8"/>
      <c r="X70" t="s">
        <v>206</v>
      </c>
      <c r="Y70" t="s">
        <v>268</v>
      </c>
    </row>
    <row r="71" spans="1:25" x14ac:dyDescent="0.3">
      <c r="A71">
        <v>36569</v>
      </c>
      <c r="B71" t="str">
        <f>_xlfn.CONCAT(Tabel1[[#This Row],[personeelsnr]]," ",C71," ",D71)</f>
        <v>36569 Stroobandt Jonas</v>
      </c>
      <c r="C71" t="str">
        <f>VLOOKUP(Tabel1[[#This Row],[personeelsnr]],'data hastus'!$A:$C,2,0)</f>
        <v>Stroobandt</v>
      </c>
      <c r="D71" t="str">
        <f>VLOOKUP(Tabel1[[#This Row],[personeelsnr]],'data hastus'!$A:$C,3,0)</f>
        <v>Jonas</v>
      </c>
      <c r="E71" t="str">
        <f>VLOOKUP(Tabel1[[#This Row],[personeelsnr]],'data hastus'!A:K,11,FALSE)</f>
        <v>Els Vanhoe</v>
      </c>
      <c r="F71" s="10"/>
      <c r="G71" s="7"/>
      <c r="H71" s="7">
        <v>1</v>
      </c>
      <c r="I71" s="7"/>
      <c r="S71" s="5">
        <f>SUM(Tabel1[[#This Row],[Januari]:[December]])</f>
        <v>1</v>
      </c>
      <c r="T71" s="9">
        <v>45344</v>
      </c>
      <c r="U71" s="8" t="s">
        <v>490</v>
      </c>
      <c r="V71" s="8">
        <v>1</v>
      </c>
      <c r="W71" s="8"/>
      <c r="X71" t="s">
        <v>206</v>
      </c>
      <c r="Y71" t="s">
        <v>180</v>
      </c>
    </row>
    <row r="72" spans="1:25" x14ac:dyDescent="0.3">
      <c r="A72">
        <v>32369</v>
      </c>
      <c r="B72" t="str">
        <f>_xlfn.CONCAT(Tabel1[[#This Row],[personeelsnr]]," ",C72," ",D72)</f>
        <v>32369 Vandenborre Patrick</v>
      </c>
      <c r="C72" t="str">
        <f>VLOOKUP(Tabel1[[#This Row],[personeelsnr]],'data hastus'!$A:$C,2,0)</f>
        <v>Vandenborre</v>
      </c>
      <c r="D72" t="str">
        <f>VLOOKUP(Tabel1[[#This Row],[personeelsnr]],'data hastus'!$A:$C,3,0)</f>
        <v>Patrick</v>
      </c>
      <c r="E72" t="str">
        <f>VLOOKUP(Tabel1[[#This Row],[personeelsnr]],'data hastus'!A:K,11,FALSE)</f>
        <v>Els Vanhoe</v>
      </c>
      <c r="F72" s="10"/>
      <c r="G72" s="7"/>
      <c r="H72" s="7">
        <v>1</v>
      </c>
      <c r="I72" s="7"/>
      <c r="S72" s="5">
        <f>SUM(Tabel1[[#This Row],[Januari]:[December]])</f>
        <v>1</v>
      </c>
      <c r="T72" s="9">
        <v>45344</v>
      </c>
      <c r="U72" s="8" t="s">
        <v>491</v>
      </c>
      <c r="V72" s="8">
        <v>1</v>
      </c>
      <c r="W72" s="8"/>
      <c r="X72" t="s">
        <v>206</v>
      </c>
      <c r="Y72" t="s">
        <v>170</v>
      </c>
    </row>
    <row r="73" spans="1:25" x14ac:dyDescent="0.3">
      <c r="A73">
        <v>27713</v>
      </c>
      <c r="B73" t="str">
        <f>_xlfn.CONCAT(Tabel1[[#This Row],[personeelsnr]]," ",C73," ",D73)</f>
        <v>27713 Parmentier Bart</v>
      </c>
      <c r="C73" t="str">
        <f>VLOOKUP(Tabel1[[#This Row],[personeelsnr]],'data hastus'!$A:$C,2,0)</f>
        <v>Parmentier</v>
      </c>
      <c r="D73" t="str">
        <f>VLOOKUP(Tabel1[[#This Row],[personeelsnr]],'data hastus'!$A:$C,3,0)</f>
        <v>Bart</v>
      </c>
      <c r="E73" t="str">
        <f>VLOOKUP(Tabel1[[#This Row],[personeelsnr]],'data hastus'!A:K,11,FALSE)</f>
        <v>Els Dewulf</v>
      </c>
      <c r="F73" s="10"/>
      <c r="G73" s="7"/>
      <c r="H73" s="7">
        <v>1</v>
      </c>
      <c r="I73" s="7"/>
      <c r="S73" s="5">
        <f>SUM(Tabel1[[#This Row],[Januari]:[December]])</f>
        <v>1</v>
      </c>
      <c r="T73" s="9">
        <v>45344</v>
      </c>
      <c r="U73" s="8" t="s">
        <v>492</v>
      </c>
      <c r="V73" s="8"/>
      <c r="W73" s="8">
        <v>1</v>
      </c>
      <c r="X73" t="s">
        <v>207</v>
      </c>
      <c r="Y73" t="s">
        <v>186</v>
      </c>
    </row>
    <row r="74" spans="1:25" x14ac:dyDescent="0.3">
      <c r="A74">
        <v>38475</v>
      </c>
      <c r="B74" t="str">
        <f>_xlfn.CONCAT(Tabel1[[#This Row],[personeelsnr]]," ",C74," ",D74)</f>
        <v>38475 Verschraegen Katleen</v>
      </c>
      <c r="C74" t="str">
        <f>VLOOKUP(Tabel1[[#This Row],[personeelsnr]],'data hastus'!$A:$C,2,0)</f>
        <v>Verschraegen</v>
      </c>
      <c r="D74" t="str">
        <f>VLOOKUP(Tabel1[[#This Row],[personeelsnr]],'data hastus'!$A:$C,3,0)</f>
        <v>Katleen</v>
      </c>
      <c r="E74" t="str">
        <f>VLOOKUP(Tabel1[[#This Row],[personeelsnr]],'data hastus'!A:K,11,FALSE)</f>
        <v>Els Dewulf</v>
      </c>
      <c r="F74" s="10"/>
      <c r="G74" s="7"/>
      <c r="H74" s="7">
        <v>1</v>
      </c>
      <c r="I74" s="7"/>
      <c r="S74" s="5">
        <f>SUM(Tabel1[[#This Row],[Januari]:[December]])</f>
        <v>1</v>
      </c>
      <c r="T74" s="9">
        <v>45345</v>
      </c>
      <c r="U74" s="8" t="s">
        <v>493</v>
      </c>
      <c r="V74" s="8">
        <v>1</v>
      </c>
      <c r="W74" s="8"/>
      <c r="X74" t="s">
        <v>206</v>
      </c>
      <c r="Y74" t="s">
        <v>172</v>
      </c>
    </row>
    <row r="75" spans="1:25" x14ac:dyDescent="0.3">
      <c r="A75">
        <v>35120</v>
      </c>
      <c r="B75" t="str">
        <f>_xlfn.CONCAT(Tabel1[[#This Row],[personeelsnr]]," ",C75," ",D75)</f>
        <v>35120 Delcourt Daniel</v>
      </c>
      <c r="C75" t="str">
        <f>VLOOKUP(Tabel1[[#This Row],[personeelsnr]],'data hastus'!$A:$C,2,0)</f>
        <v>Delcourt</v>
      </c>
      <c r="D75" t="str">
        <f>VLOOKUP(Tabel1[[#This Row],[personeelsnr]],'data hastus'!$A:$C,3,0)</f>
        <v>Daniel</v>
      </c>
      <c r="E75" t="str">
        <f>VLOOKUP(Tabel1[[#This Row],[personeelsnr]],'data hastus'!A:K,11,FALSE)</f>
        <v>Els Dewulf</v>
      </c>
      <c r="F75" s="10"/>
      <c r="G75" s="7"/>
      <c r="H75" s="7">
        <v>1</v>
      </c>
      <c r="I75" s="7"/>
      <c r="S75" s="5">
        <f>SUM(Tabel1[[#This Row],[Januari]:[December]])</f>
        <v>1</v>
      </c>
      <c r="T75" s="9">
        <v>45349</v>
      </c>
      <c r="U75" s="8" t="s">
        <v>494</v>
      </c>
      <c r="V75" s="8">
        <v>1</v>
      </c>
      <c r="W75" s="8"/>
      <c r="X75" t="s">
        <v>206</v>
      </c>
      <c r="Y75" t="s">
        <v>167</v>
      </c>
    </row>
    <row r="76" spans="1:25" x14ac:dyDescent="0.3">
      <c r="A76">
        <v>9999</v>
      </c>
      <c r="B76" t="str">
        <f>_xlfn.CONCAT(Tabel1[[#This Row],[personeelsnr]]," ",C76," ",D76)</f>
        <v>9999 - -</v>
      </c>
      <c r="C76" t="s">
        <v>3388</v>
      </c>
      <c r="D76" t="s">
        <v>3388</v>
      </c>
      <c r="E76" t="s">
        <v>1165</v>
      </c>
      <c r="F76" s="10"/>
      <c r="G76" s="7"/>
      <c r="H76" s="7">
        <v>1</v>
      </c>
      <c r="I76" s="7"/>
      <c r="S76" s="5">
        <f>SUM(Tabel1[[#This Row],[Januari]:[December]])</f>
        <v>1</v>
      </c>
      <c r="T76" s="9">
        <v>45350</v>
      </c>
      <c r="U76" s="8" t="s">
        <v>495</v>
      </c>
      <c r="V76" s="8">
        <v>1</v>
      </c>
      <c r="W76" s="8"/>
      <c r="X76" t="s">
        <v>206</v>
      </c>
      <c r="Y76" t="s">
        <v>354</v>
      </c>
    </row>
    <row r="77" spans="1:25" x14ac:dyDescent="0.3">
      <c r="A77">
        <v>39184</v>
      </c>
      <c r="B77" t="str">
        <f>_xlfn.CONCAT(Tabel1[[#This Row],[personeelsnr]]," ",C77," ",D77)</f>
        <v>39184 Shinwari Yasin</v>
      </c>
      <c r="C77" t="str">
        <f>VLOOKUP(Tabel1[[#This Row],[personeelsnr]],'data hastus'!$A:$C,2,0)</f>
        <v>Shinwari</v>
      </c>
      <c r="D77" t="str">
        <f>VLOOKUP(Tabel1[[#This Row],[personeelsnr]],'data hastus'!$A:$C,3,0)</f>
        <v>Yasin</v>
      </c>
      <c r="E77" t="str">
        <f>VLOOKUP(Tabel1[[#This Row],[personeelsnr]],'data hastus'!A:K,11,FALSE)</f>
        <v>Christoff Rotty</v>
      </c>
      <c r="F77" s="10"/>
      <c r="G77" s="7"/>
      <c r="H77" s="7">
        <v>1</v>
      </c>
      <c r="I77" s="7"/>
      <c r="S77" s="5">
        <f>SUM(Tabel1[[#This Row],[Januari]:[December]])</f>
        <v>1</v>
      </c>
      <c r="T77" s="9">
        <v>45350</v>
      </c>
      <c r="U77" s="8" t="s">
        <v>496</v>
      </c>
      <c r="V77" s="8">
        <v>1</v>
      </c>
      <c r="W77" s="8"/>
      <c r="X77" t="s">
        <v>206</v>
      </c>
      <c r="Y77" t="s">
        <v>198</v>
      </c>
    </row>
    <row r="78" spans="1:25" x14ac:dyDescent="0.3">
      <c r="A78">
        <v>24367</v>
      </c>
      <c r="B78" t="str">
        <f>_xlfn.CONCAT(Tabel1[[#This Row],[personeelsnr]]," ",C78," ",D78)</f>
        <v>24367 Tayefeh Arbab Ali</v>
      </c>
      <c r="C78" t="str">
        <f>VLOOKUP(Tabel1[[#This Row],[personeelsnr]],'data hastus'!$A:$C,2,0)</f>
        <v>Tayefeh Arbab</v>
      </c>
      <c r="D78" t="str">
        <f>VLOOKUP(Tabel1[[#This Row],[personeelsnr]],'data hastus'!$A:$C,3,0)</f>
        <v>Ali</v>
      </c>
      <c r="E78" t="str">
        <f>VLOOKUP(Tabel1[[#This Row],[personeelsnr]],'data hastus'!A:K,11,FALSE)</f>
        <v>Bart Van Der Beken</v>
      </c>
      <c r="F78" s="10"/>
      <c r="G78" s="7"/>
      <c r="H78" s="7">
        <v>1</v>
      </c>
      <c r="I78" s="7"/>
      <c r="S78" s="5">
        <f>SUM(Tabel1[[#This Row],[Januari]:[December]])</f>
        <v>1</v>
      </c>
      <c r="T78" s="9">
        <v>45350</v>
      </c>
      <c r="U78" s="8" t="s">
        <v>497</v>
      </c>
      <c r="V78" s="8">
        <v>1</v>
      </c>
      <c r="W78" s="8"/>
      <c r="X78" t="s">
        <v>206</v>
      </c>
      <c r="Y78" t="s">
        <v>173</v>
      </c>
    </row>
    <row r="79" spans="1:25" x14ac:dyDescent="0.3">
      <c r="A79">
        <v>11236</v>
      </c>
      <c r="B79" t="str">
        <f>_xlfn.CONCAT(Tabel1[[#This Row],[personeelsnr]]," ",C79," ",D79)</f>
        <v>11236 Baert Freddy</v>
      </c>
      <c r="C79" t="str">
        <f>VLOOKUP(Tabel1[[#This Row],[personeelsnr]],'data hastus'!$A:$C,2,0)</f>
        <v>Baert</v>
      </c>
      <c r="D79" t="str">
        <f>VLOOKUP(Tabel1[[#This Row],[personeelsnr]],'data hastus'!$A:$C,3,0)</f>
        <v>Freddy</v>
      </c>
      <c r="E79" t="str">
        <f>VLOOKUP(Tabel1[[#This Row],[personeelsnr]],'data hastus'!A:K,11,FALSE)</f>
        <v>Bart Van Der Beken</v>
      </c>
      <c r="F79" s="10"/>
      <c r="G79" s="7"/>
      <c r="H79" s="7">
        <v>1</v>
      </c>
      <c r="I79" s="7"/>
      <c r="S79" s="5">
        <f>SUM(Tabel1[[#This Row],[Januari]:[December]])</f>
        <v>1</v>
      </c>
      <c r="T79" s="9">
        <v>45351</v>
      </c>
      <c r="U79" s="8" t="s">
        <v>498</v>
      </c>
      <c r="V79" s="8">
        <v>1</v>
      </c>
      <c r="W79" s="8"/>
      <c r="X79" t="s">
        <v>206</v>
      </c>
      <c r="Y79" t="s">
        <v>234</v>
      </c>
    </row>
    <row r="80" spans="1:25" x14ac:dyDescent="0.3">
      <c r="A80">
        <v>38475</v>
      </c>
      <c r="B80" t="str">
        <f>_xlfn.CONCAT(Tabel1[[#This Row],[personeelsnr]]," ",C80," ",D80)</f>
        <v>38475 Verschraegen Katleen</v>
      </c>
      <c r="C80" t="str">
        <f>VLOOKUP(Tabel1[[#This Row],[personeelsnr]],'data hastus'!$A:$C,2,0)</f>
        <v>Verschraegen</v>
      </c>
      <c r="D80" t="str">
        <f>VLOOKUP(Tabel1[[#This Row],[personeelsnr]],'data hastus'!$A:$C,3,0)</f>
        <v>Katleen</v>
      </c>
      <c r="E80" t="str">
        <f>VLOOKUP(Tabel1[[#This Row],[personeelsnr]],'data hastus'!A:K,11,FALSE)</f>
        <v>Els Dewulf</v>
      </c>
      <c r="F80" s="10"/>
      <c r="G80" s="7"/>
      <c r="H80" s="7">
        <v>1</v>
      </c>
      <c r="I80" s="7"/>
      <c r="S80" s="5">
        <f>SUM(Tabel1[[#This Row],[Januari]:[December]])</f>
        <v>1</v>
      </c>
      <c r="T80" s="9">
        <v>45351</v>
      </c>
      <c r="U80" s="8" t="s">
        <v>499</v>
      </c>
      <c r="V80" s="8">
        <v>1</v>
      </c>
      <c r="W80" s="8"/>
      <c r="X80" t="s">
        <v>206</v>
      </c>
      <c r="Y80" t="s">
        <v>247</v>
      </c>
    </row>
    <row r="81" spans="1:25" x14ac:dyDescent="0.3">
      <c r="A81">
        <v>35709</v>
      </c>
      <c r="B81" t="str">
        <f>_xlfn.CONCAT(Tabel1[[#This Row],[personeelsnr]]," ",C81," ",D81)</f>
        <v>35709 El Gasmi Sami</v>
      </c>
      <c r="C81" t="str">
        <f>VLOOKUP(Tabel1[[#This Row],[personeelsnr]],'data hastus'!$A:$C,2,0)</f>
        <v>El Gasmi</v>
      </c>
      <c r="D81" t="str">
        <f>VLOOKUP(Tabel1[[#This Row],[personeelsnr]],'data hastus'!$A:$C,3,0)</f>
        <v>Sami</v>
      </c>
      <c r="E81" t="str">
        <f>VLOOKUP(Tabel1[[#This Row],[personeelsnr]],'data hastus'!A:K,11,FALSE)</f>
        <v>Els Vanhoe</v>
      </c>
      <c r="F81" s="10"/>
      <c r="G81" s="7"/>
      <c r="H81" s="7">
        <v>1</v>
      </c>
      <c r="I81" s="7"/>
      <c r="S81" s="5">
        <f>SUM(Tabel1[[#This Row],[Januari]:[December]])</f>
        <v>1</v>
      </c>
      <c r="T81" s="9">
        <v>45351</v>
      </c>
      <c r="U81" s="8" t="s">
        <v>500</v>
      </c>
      <c r="V81" s="8">
        <v>1</v>
      </c>
      <c r="W81" s="8"/>
      <c r="X81" t="s">
        <v>206</v>
      </c>
      <c r="Y81" t="s">
        <v>386</v>
      </c>
    </row>
    <row r="82" spans="1:25" x14ac:dyDescent="0.3">
      <c r="A82">
        <v>21509</v>
      </c>
      <c r="B82" t="str">
        <f>_xlfn.CONCAT(Tabel1[[#This Row],[personeelsnr]]," ",C82," ",D82)</f>
        <v>21509 De Craemer Kris</v>
      </c>
      <c r="C82" t="str">
        <f>VLOOKUP(Tabel1[[#This Row],[personeelsnr]],'data hastus'!$A:$C,2,0)</f>
        <v>De Craemer</v>
      </c>
      <c r="D82" t="str">
        <f>VLOOKUP(Tabel1[[#This Row],[personeelsnr]],'data hastus'!$A:$C,3,0)</f>
        <v>Kris</v>
      </c>
      <c r="E82" t="str">
        <f>VLOOKUP(Tabel1[[#This Row],[personeelsnr]],'data hastus'!A:K,11,FALSE)</f>
        <v>Dominique De Clercq</v>
      </c>
      <c r="F82" s="10"/>
      <c r="G82" s="7"/>
      <c r="H82" s="7">
        <v>1</v>
      </c>
      <c r="I82" s="7"/>
      <c r="S82" s="5">
        <f>SUM(Tabel1[[#This Row],[Januari]:[December]])</f>
        <v>1</v>
      </c>
      <c r="T82" s="9">
        <v>45351</v>
      </c>
      <c r="U82" s="8" t="s">
        <v>501</v>
      </c>
      <c r="V82" s="8"/>
      <c r="W82" s="8">
        <v>1</v>
      </c>
      <c r="X82" t="s">
        <v>207</v>
      </c>
      <c r="Y82" t="s">
        <v>182</v>
      </c>
    </row>
    <row r="83" spans="1:25" x14ac:dyDescent="0.3">
      <c r="A83">
        <v>36626</v>
      </c>
      <c r="B83" t="str">
        <f>_xlfn.CONCAT(Tabel1[[#This Row],[personeelsnr]]," ",C83," ",D83)</f>
        <v>36626 Kartal Kadir</v>
      </c>
      <c r="C83" t="str">
        <f>VLOOKUP(Tabel1[[#This Row],[personeelsnr]],'data hastus'!$A:$C,2,0)</f>
        <v>Kartal</v>
      </c>
      <c r="D83" t="str">
        <f>VLOOKUP(Tabel1[[#This Row],[personeelsnr]],'data hastus'!$A:$C,3,0)</f>
        <v>Kadir</v>
      </c>
      <c r="E83" t="str">
        <f>VLOOKUP(Tabel1[[#This Row],[personeelsnr]],'data hastus'!A:K,11,FALSE)</f>
        <v>Els Dewulf</v>
      </c>
      <c r="F83" s="10"/>
      <c r="G83" s="7"/>
      <c r="H83" s="7"/>
      <c r="I83" s="7">
        <v>1</v>
      </c>
      <c r="S83" s="5">
        <f>SUM(Tabel1[[#This Row],[Januari]:[December]])</f>
        <v>1</v>
      </c>
      <c r="T83" s="9">
        <v>45352</v>
      </c>
      <c r="U83" s="8" t="s">
        <v>502</v>
      </c>
      <c r="V83" s="8">
        <v>1</v>
      </c>
      <c r="W83" s="8"/>
      <c r="X83" t="s">
        <v>206</v>
      </c>
      <c r="Y83" t="s">
        <v>172</v>
      </c>
    </row>
    <row r="84" spans="1:25" x14ac:dyDescent="0.3">
      <c r="A84">
        <v>36627</v>
      </c>
      <c r="B84" t="str">
        <f>_xlfn.CONCAT(Tabel1[[#This Row],[personeelsnr]]," ",C84," ",D84)</f>
        <v>36627 Dobbelaere David</v>
      </c>
      <c r="C84" t="str">
        <f>VLOOKUP(Tabel1[[#This Row],[personeelsnr]],'data hastus'!$A:$C,2,0)</f>
        <v>Dobbelaere</v>
      </c>
      <c r="D84" t="str">
        <f>VLOOKUP(Tabel1[[#This Row],[personeelsnr]],'data hastus'!$A:$C,3,0)</f>
        <v>David</v>
      </c>
      <c r="E84" t="str">
        <f>VLOOKUP(Tabel1[[#This Row],[personeelsnr]],'data hastus'!A:K,11,FALSE)</f>
        <v>Els Dewulf</v>
      </c>
      <c r="F84" s="10"/>
      <c r="G84" s="7"/>
      <c r="H84" s="7"/>
      <c r="I84" s="7">
        <v>1</v>
      </c>
      <c r="S84" s="5">
        <f>SUM(Tabel1[[#This Row],[Januari]:[December]])</f>
        <v>1</v>
      </c>
      <c r="T84" s="9">
        <v>45352</v>
      </c>
      <c r="U84" s="8" t="s">
        <v>503</v>
      </c>
      <c r="V84" s="8">
        <v>1</v>
      </c>
      <c r="W84" s="8"/>
      <c r="X84" t="s">
        <v>206</v>
      </c>
      <c r="Y84" t="s">
        <v>213</v>
      </c>
    </row>
    <row r="85" spans="1:25" x14ac:dyDescent="0.3">
      <c r="A85">
        <v>36275</v>
      </c>
      <c r="B85" t="str">
        <f>_xlfn.CONCAT(Tabel1[[#This Row],[personeelsnr]]," ",C85," ",D85)</f>
        <v>36275 Acosta Salinas Benigna</v>
      </c>
      <c r="C85" t="str">
        <f>VLOOKUP(Tabel1[[#This Row],[personeelsnr]],'data hastus'!$A:$C,2,0)</f>
        <v>Acosta Salinas</v>
      </c>
      <c r="D85" t="str">
        <f>VLOOKUP(Tabel1[[#This Row],[personeelsnr]],'data hastus'!$A:$C,3,0)</f>
        <v>Benigna</v>
      </c>
      <c r="E85" t="str">
        <f>VLOOKUP(Tabel1[[#This Row],[personeelsnr]],'data hastus'!A:K,11,FALSE)</f>
        <v>Dominique De Clercq</v>
      </c>
      <c r="F85" s="10"/>
      <c r="G85" s="7"/>
      <c r="H85" s="7"/>
      <c r="I85" s="7">
        <v>1</v>
      </c>
      <c r="S85" s="5">
        <f>SUM(Tabel1[[#This Row],[Januari]:[December]])</f>
        <v>1</v>
      </c>
      <c r="T85" s="9">
        <v>45352</v>
      </c>
      <c r="U85" s="8" t="s">
        <v>504</v>
      </c>
      <c r="V85" s="8">
        <v>1</v>
      </c>
      <c r="W85" s="8"/>
      <c r="X85" t="s">
        <v>206</v>
      </c>
      <c r="Y85" t="s">
        <v>167</v>
      </c>
    </row>
    <row r="86" spans="1:25" x14ac:dyDescent="0.3">
      <c r="A86">
        <v>39013</v>
      </c>
      <c r="B86" t="str">
        <f>_xlfn.CONCAT(Tabel1[[#This Row],[personeelsnr]]," ",C86," ",D86)</f>
        <v>39013 Asrih Habib</v>
      </c>
      <c r="C86" t="str">
        <f>VLOOKUP(Tabel1[[#This Row],[personeelsnr]],'data hastus'!$A:$C,2,0)</f>
        <v>Asrih</v>
      </c>
      <c r="D86" t="str">
        <f>VLOOKUP(Tabel1[[#This Row],[personeelsnr]],'data hastus'!$A:$C,3,0)</f>
        <v>Habib</v>
      </c>
      <c r="E86" t="str">
        <f>VLOOKUP(Tabel1[[#This Row],[personeelsnr]],'data hastus'!A:K,11,FALSE)</f>
        <v>Els Dewulf</v>
      </c>
      <c r="F86" s="10"/>
      <c r="G86" s="7"/>
      <c r="H86" s="7"/>
      <c r="I86" s="7">
        <v>1</v>
      </c>
      <c r="S86" s="5">
        <f>SUM(Tabel1[[#This Row],[Januari]:[December]])</f>
        <v>1</v>
      </c>
      <c r="T86" s="9">
        <v>45352</v>
      </c>
      <c r="U86" s="8" t="s">
        <v>505</v>
      </c>
      <c r="V86" s="8">
        <v>1</v>
      </c>
      <c r="W86" s="8"/>
      <c r="X86" t="s">
        <v>206</v>
      </c>
      <c r="Y86" t="s">
        <v>247</v>
      </c>
    </row>
    <row r="87" spans="1:25" x14ac:dyDescent="0.3">
      <c r="A87">
        <v>20653</v>
      </c>
      <c r="B87" t="str">
        <f>_xlfn.CONCAT(Tabel1[[#This Row],[personeelsnr]]," ",C87," ",D87)</f>
        <v>20653 Mestdag Marius</v>
      </c>
      <c r="C87" t="str">
        <f>VLOOKUP(Tabel1[[#This Row],[personeelsnr]],'data hastus'!$A:$C,2,0)</f>
        <v>Mestdag</v>
      </c>
      <c r="D87" t="str">
        <f>VLOOKUP(Tabel1[[#This Row],[personeelsnr]],'data hastus'!$A:$C,3,0)</f>
        <v>Marius</v>
      </c>
      <c r="E87" t="str">
        <f>VLOOKUP(Tabel1[[#This Row],[personeelsnr]],'data hastus'!A:K,11,FALSE)</f>
        <v>Bart Van Der Beken</v>
      </c>
      <c r="F87" s="10"/>
      <c r="G87" s="7"/>
      <c r="H87" s="7"/>
      <c r="I87" s="7">
        <v>1</v>
      </c>
      <c r="S87" s="5">
        <f>SUM(Tabel1[[#This Row],[Januari]:[December]])</f>
        <v>1</v>
      </c>
      <c r="T87" s="9">
        <v>45352</v>
      </c>
      <c r="U87" s="8" t="s">
        <v>506</v>
      </c>
      <c r="V87" s="8">
        <v>1</v>
      </c>
      <c r="W87" s="8"/>
      <c r="X87" t="s">
        <v>206</v>
      </c>
      <c r="Y87" t="s">
        <v>270</v>
      </c>
    </row>
    <row r="88" spans="1:25" x14ac:dyDescent="0.3">
      <c r="A88">
        <v>39014</v>
      </c>
      <c r="B88" t="str">
        <f>_xlfn.CONCAT(Tabel1[[#This Row],[personeelsnr]]," ",C88," ",D88)</f>
        <v>39014 Genbrugge Kyllian</v>
      </c>
      <c r="C88" t="str">
        <f>VLOOKUP(Tabel1[[#This Row],[personeelsnr]],'data hastus'!$A:$C,2,0)</f>
        <v>Genbrugge</v>
      </c>
      <c r="D88" t="str">
        <f>VLOOKUP(Tabel1[[#This Row],[personeelsnr]],'data hastus'!$A:$C,3,0)</f>
        <v>Kyllian</v>
      </c>
      <c r="E88" t="str">
        <f>VLOOKUP(Tabel1[[#This Row],[personeelsnr]],'data hastus'!A:K,11,FALSE)</f>
        <v>Bart Van Der Beken</v>
      </c>
      <c r="F88" s="10"/>
      <c r="G88" s="7"/>
      <c r="H88" s="7"/>
      <c r="I88" s="7">
        <v>1</v>
      </c>
      <c r="S88" s="5">
        <f>SUM(Tabel1[[#This Row],[Januari]:[December]])</f>
        <v>1</v>
      </c>
      <c r="T88" s="9">
        <v>45353</v>
      </c>
      <c r="U88" s="8" t="s">
        <v>507</v>
      </c>
      <c r="V88" s="8">
        <v>1</v>
      </c>
      <c r="W88" s="8"/>
      <c r="X88" t="s">
        <v>206</v>
      </c>
      <c r="Y88" t="s">
        <v>229</v>
      </c>
    </row>
    <row r="89" spans="1:25" x14ac:dyDescent="0.3">
      <c r="A89">
        <v>39929</v>
      </c>
      <c r="B89" t="str">
        <f>_xlfn.CONCAT(Tabel1[[#This Row],[personeelsnr]]," ",C89," ",D89)</f>
        <v>39929 Staneva Mariyana</v>
      </c>
      <c r="C89" t="str">
        <f>VLOOKUP(Tabel1[[#This Row],[personeelsnr]],'data hastus'!$A:$C,2,0)</f>
        <v>Staneva</v>
      </c>
      <c r="D89" t="str">
        <f>VLOOKUP(Tabel1[[#This Row],[personeelsnr]],'data hastus'!$A:$C,3,0)</f>
        <v>Mariyana</v>
      </c>
      <c r="E89" t="str">
        <f>VLOOKUP(Tabel1[[#This Row],[personeelsnr]],'data hastus'!A:K,11,FALSE)</f>
        <v>Christoff Rotty</v>
      </c>
      <c r="F89" s="10"/>
      <c r="G89" s="7"/>
      <c r="H89" s="7"/>
      <c r="I89" s="7">
        <v>1</v>
      </c>
      <c r="S89" s="5">
        <f>SUM(Tabel1[[#This Row],[Januari]:[December]])</f>
        <v>1</v>
      </c>
      <c r="T89" s="9">
        <v>45353</v>
      </c>
      <c r="U89" s="8" t="s">
        <v>508</v>
      </c>
      <c r="V89" s="8">
        <v>1</v>
      </c>
      <c r="W89" s="8"/>
      <c r="X89" t="s">
        <v>206</v>
      </c>
      <c r="Y89" t="s">
        <v>167</v>
      </c>
    </row>
    <row r="90" spans="1:25" x14ac:dyDescent="0.3">
      <c r="A90">
        <v>27186</v>
      </c>
      <c r="B90" t="str">
        <f>_xlfn.CONCAT(Tabel1[[#This Row],[personeelsnr]]," ",C90," ",D90)</f>
        <v>27186 Neghli Farid</v>
      </c>
      <c r="C90" t="str">
        <f>VLOOKUP(Tabel1[[#This Row],[personeelsnr]],'data hastus'!$A:$C,2,0)</f>
        <v>Neghli</v>
      </c>
      <c r="D90" t="str">
        <f>VLOOKUP(Tabel1[[#This Row],[personeelsnr]],'data hastus'!$A:$C,3,0)</f>
        <v>Farid</v>
      </c>
      <c r="E90" t="str">
        <f>VLOOKUP(Tabel1[[#This Row],[personeelsnr]],'data hastus'!A:K,11,FALSE)</f>
        <v>Christoff Rotty</v>
      </c>
      <c r="F90" s="10"/>
      <c r="G90" s="7"/>
      <c r="H90" s="7"/>
      <c r="I90" s="7">
        <v>1</v>
      </c>
      <c r="S90" s="5">
        <f>SUM(Tabel1[[#This Row],[Januari]:[December]])</f>
        <v>1</v>
      </c>
      <c r="T90" s="9">
        <v>45356</v>
      </c>
      <c r="U90" s="8" t="s">
        <v>509</v>
      </c>
      <c r="V90" s="8">
        <v>1</v>
      </c>
      <c r="W90" s="8"/>
      <c r="X90" t="s">
        <v>206</v>
      </c>
      <c r="Y90" t="s">
        <v>229</v>
      </c>
    </row>
    <row r="91" spans="1:25" x14ac:dyDescent="0.3">
      <c r="A91">
        <v>39633</v>
      </c>
      <c r="B91" t="str">
        <f>_xlfn.CONCAT(Tabel1[[#This Row],[personeelsnr]]," ",C91," ",D91)</f>
        <v>39633 Duyck Kimberly</v>
      </c>
      <c r="C91" t="str">
        <f>VLOOKUP(Tabel1[[#This Row],[personeelsnr]],'data hastus'!$A:$C,2,0)</f>
        <v>Duyck</v>
      </c>
      <c r="D91" t="str">
        <f>VLOOKUP(Tabel1[[#This Row],[personeelsnr]],'data hastus'!$A:$C,3,0)</f>
        <v>Kimberly</v>
      </c>
      <c r="E91" t="str">
        <f>VLOOKUP(Tabel1[[#This Row],[personeelsnr]],'data hastus'!A:K,11,FALSE)</f>
        <v>Lucie Vande Velde</v>
      </c>
      <c r="F91" s="10"/>
      <c r="G91" s="7"/>
      <c r="H91" s="7"/>
      <c r="I91" s="7">
        <v>1</v>
      </c>
      <c r="S91" s="5">
        <f>SUM(Tabel1[[#This Row],[Januari]:[December]])</f>
        <v>1</v>
      </c>
      <c r="T91" s="9">
        <v>45356</v>
      </c>
      <c r="U91" s="8" t="s">
        <v>510</v>
      </c>
      <c r="V91" s="8">
        <v>1</v>
      </c>
      <c r="W91" s="8"/>
      <c r="X91" t="s">
        <v>206</v>
      </c>
      <c r="Y91" t="s">
        <v>186</v>
      </c>
    </row>
    <row r="92" spans="1:25" x14ac:dyDescent="0.3">
      <c r="A92">
        <v>38648</v>
      </c>
      <c r="B92" t="str">
        <f>_xlfn.CONCAT(Tabel1[[#This Row],[personeelsnr]]," ",C92," ",D92)</f>
        <v>38648 Uckuyulu Muhammet Emin</v>
      </c>
      <c r="C92" t="str">
        <f>VLOOKUP(Tabel1[[#This Row],[personeelsnr]],'data hastus'!$A:$C,2,0)</f>
        <v>Uckuyulu</v>
      </c>
      <c r="D92" t="str">
        <f>VLOOKUP(Tabel1[[#This Row],[personeelsnr]],'data hastus'!$A:$C,3,0)</f>
        <v>Muhammet Emin</v>
      </c>
      <c r="E92" t="str">
        <f>VLOOKUP(Tabel1[[#This Row],[personeelsnr]],'data hastus'!A:K,11,FALSE)</f>
        <v>Lucie Vande Velde</v>
      </c>
      <c r="F92" s="10"/>
      <c r="G92" s="7"/>
      <c r="H92" s="7"/>
      <c r="I92" s="7">
        <v>1</v>
      </c>
      <c r="S92" s="5">
        <f>SUM(Tabel1[[#This Row],[Januari]:[December]])</f>
        <v>1</v>
      </c>
      <c r="T92" s="9">
        <v>45356</v>
      </c>
      <c r="U92" s="8" t="s">
        <v>511</v>
      </c>
      <c r="V92" s="8">
        <v>1</v>
      </c>
      <c r="W92" s="8"/>
      <c r="X92" t="s">
        <v>206</v>
      </c>
      <c r="Y92" t="s">
        <v>173</v>
      </c>
    </row>
    <row r="93" spans="1:25" x14ac:dyDescent="0.3">
      <c r="A93">
        <v>33965</v>
      </c>
      <c r="B93" t="str">
        <f>_xlfn.CONCAT(Tabel1[[#This Row],[personeelsnr]]," ",C93," ",D93)</f>
        <v>33965 Van de Gehuchte Gilles</v>
      </c>
      <c r="C93" t="str">
        <f>VLOOKUP(Tabel1[[#This Row],[personeelsnr]],'data hastus'!$A:$C,2,0)</f>
        <v>Van de Gehuchte</v>
      </c>
      <c r="D93" t="str">
        <f>VLOOKUP(Tabel1[[#This Row],[personeelsnr]],'data hastus'!$A:$C,3,0)</f>
        <v>Gilles</v>
      </c>
      <c r="E93" t="str">
        <f>VLOOKUP(Tabel1[[#This Row],[personeelsnr]],'data hastus'!A:K,11,FALSE)</f>
        <v>Kenneth De Rick</v>
      </c>
      <c r="F93" s="10"/>
      <c r="G93" s="7"/>
      <c r="H93" s="7"/>
      <c r="I93" s="7">
        <v>1</v>
      </c>
      <c r="S93" s="5">
        <f>SUM(Tabel1[[#This Row],[Januari]:[December]])</f>
        <v>1</v>
      </c>
      <c r="T93" s="9">
        <v>45356</v>
      </c>
      <c r="U93" s="8" t="s">
        <v>512</v>
      </c>
      <c r="V93" s="8">
        <v>1</v>
      </c>
      <c r="W93" s="8"/>
      <c r="X93" t="s">
        <v>206</v>
      </c>
      <c r="Y93" t="s">
        <v>183</v>
      </c>
    </row>
    <row r="94" spans="1:25" x14ac:dyDescent="0.3">
      <c r="A94">
        <v>37543</v>
      </c>
      <c r="B94" t="str">
        <f>_xlfn.CONCAT(Tabel1[[#This Row],[personeelsnr]]," ",C94," ",D94)</f>
        <v>37543 Öztürk Bilgehan</v>
      </c>
      <c r="C94" t="str">
        <f>VLOOKUP(Tabel1[[#This Row],[personeelsnr]],'data hastus'!$A:$C,2,0)</f>
        <v>Öztürk</v>
      </c>
      <c r="D94" t="str">
        <f>VLOOKUP(Tabel1[[#This Row],[personeelsnr]],'data hastus'!$A:$C,3,0)</f>
        <v>Bilgehan</v>
      </c>
      <c r="E94" t="str">
        <f>VLOOKUP(Tabel1[[#This Row],[personeelsnr]],'data hastus'!A:K,11,FALSE)</f>
        <v>Kenneth De Rick</v>
      </c>
      <c r="F94" s="10"/>
      <c r="G94" s="7"/>
      <c r="H94" s="7"/>
      <c r="I94" s="7">
        <v>1</v>
      </c>
      <c r="S94" s="5">
        <f>SUM(Tabel1[[#This Row],[Januari]:[December]])</f>
        <v>1</v>
      </c>
      <c r="T94" s="9">
        <v>45356</v>
      </c>
      <c r="U94" s="8" t="s">
        <v>513</v>
      </c>
      <c r="V94" s="8">
        <v>1</v>
      </c>
      <c r="W94" s="8"/>
      <c r="X94" t="s">
        <v>206</v>
      </c>
      <c r="Y94" t="s">
        <v>192</v>
      </c>
    </row>
    <row r="95" spans="1:25" x14ac:dyDescent="0.3">
      <c r="A95">
        <v>39712</v>
      </c>
      <c r="B95" t="str">
        <f>_xlfn.CONCAT(Tabel1[[#This Row],[personeelsnr]]," ",C95," ",D95)</f>
        <v>39712 Repaj Ramazan</v>
      </c>
      <c r="C95" t="str">
        <f>VLOOKUP(Tabel1[[#This Row],[personeelsnr]],'data hastus'!$A:$C,2,0)</f>
        <v>Repaj</v>
      </c>
      <c r="D95" t="str">
        <f>VLOOKUP(Tabel1[[#This Row],[personeelsnr]],'data hastus'!$A:$C,3,0)</f>
        <v>Ramazan</v>
      </c>
      <c r="E95" t="str">
        <f>VLOOKUP(Tabel1[[#This Row],[personeelsnr]],'data hastus'!A:K,11,FALSE)</f>
        <v>Bart Van Der Beken</v>
      </c>
      <c r="F95" s="10"/>
      <c r="G95" s="7"/>
      <c r="H95" s="7"/>
      <c r="I95" s="7">
        <v>1</v>
      </c>
      <c r="S95" s="5">
        <f>SUM(Tabel1[[#This Row],[Januari]:[December]])</f>
        <v>1</v>
      </c>
      <c r="T95" s="9">
        <v>45356</v>
      </c>
      <c r="U95" s="8" t="s">
        <v>514</v>
      </c>
      <c r="V95" s="8">
        <v>1</v>
      </c>
      <c r="W95" s="8"/>
      <c r="X95" t="s">
        <v>206</v>
      </c>
      <c r="Y95" t="s">
        <v>313</v>
      </c>
    </row>
    <row r="96" spans="1:25" x14ac:dyDescent="0.3">
      <c r="A96">
        <v>35463</v>
      </c>
      <c r="B96" t="str">
        <f>_xlfn.CONCAT(Tabel1[[#This Row],[personeelsnr]]," ",C96," ",D96)</f>
        <v>35463 Vandaele Tom</v>
      </c>
      <c r="C96" t="str">
        <f>VLOOKUP(Tabel1[[#This Row],[personeelsnr]],'data hastus'!$A:$C,2,0)</f>
        <v>Vandaele</v>
      </c>
      <c r="D96" t="str">
        <f>VLOOKUP(Tabel1[[#This Row],[personeelsnr]],'data hastus'!$A:$C,3,0)</f>
        <v>Tom</v>
      </c>
      <c r="E96" t="str">
        <f>VLOOKUP(Tabel1[[#This Row],[personeelsnr]],'data hastus'!A:K,11,FALSE)</f>
        <v>Dominique De Clercq</v>
      </c>
      <c r="F96" s="10"/>
      <c r="G96" s="7"/>
      <c r="H96" s="7"/>
      <c r="I96" s="7">
        <v>1</v>
      </c>
      <c r="S96" s="5">
        <f>SUM(Tabel1[[#This Row],[Januari]:[December]])</f>
        <v>1</v>
      </c>
      <c r="T96" s="9">
        <v>45357</v>
      </c>
      <c r="U96" s="8" t="s">
        <v>515</v>
      </c>
      <c r="V96" s="8"/>
      <c r="W96" s="8">
        <v>1</v>
      </c>
      <c r="X96" t="s">
        <v>207</v>
      </c>
      <c r="Y96" t="s">
        <v>176</v>
      </c>
    </row>
    <row r="97" spans="1:25" x14ac:dyDescent="0.3">
      <c r="A97">
        <v>9999</v>
      </c>
      <c r="B97" t="str">
        <f>_xlfn.CONCAT(Tabel1[[#This Row],[personeelsnr]]," ",C97," ",D97)</f>
        <v>9999 - -</v>
      </c>
      <c r="C97" t="s">
        <v>3388</v>
      </c>
      <c r="D97" t="s">
        <v>3388</v>
      </c>
      <c r="E97" t="s">
        <v>1165</v>
      </c>
      <c r="F97" s="10"/>
      <c r="G97" s="7"/>
      <c r="H97" s="7"/>
      <c r="I97" s="7">
        <v>1</v>
      </c>
      <c r="S97" s="5">
        <f>SUM(Tabel1[[#This Row],[Januari]:[December]])</f>
        <v>1</v>
      </c>
      <c r="T97" s="9">
        <v>45357</v>
      </c>
      <c r="U97" s="8" t="s">
        <v>516</v>
      </c>
      <c r="V97" s="8"/>
      <c r="W97" s="8">
        <v>1</v>
      </c>
      <c r="X97" t="s">
        <v>207</v>
      </c>
      <c r="Y97" t="s">
        <v>176</v>
      </c>
    </row>
    <row r="98" spans="1:25" x14ac:dyDescent="0.3">
      <c r="A98">
        <v>37543</v>
      </c>
      <c r="B98" t="str">
        <f>_xlfn.CONCAT(Tabel1[[#This Row],[personeelsnr]]," ",C98," ",D98)</f>
        <v>37543 Öztürk Bilgehan</v>
      </c>
      <c r="C98" t="str">
        <f>VLOOKUP(Tabel1[[#This Row],[personeelsnr]],'data hastus'!$A:$C,2,0)</f>
        <v>Öztürk</v>
      </c>
      <c r="D98" t="str">
        <f>VLOOKUP(Tabel1[[#This Row],[personeelsnr]],'data hastus'!$A:$C,3,0)</f>
        <v>Bilgehan</v>
      </c>
      <c r="E98" t="str">
        <f>VLOOKUP(Tabel1[[#This Row],[personeelsnr]],'data hastus'!A:K,11,FALSE)</f>
        <v>Kenneth De Rick</v>
      </c>
      <c r="F98" s="10"/>
      <c r="G98" s="7"/>
      <c r="H98" s="7"/>
      <c r="I98" s="7">
        <v>1</v>
      </c>
      <c r="S98" s="5">
        <f>SUM(Tabel1[[#This Row],[Januari]:[December]])</f>
        <v>1</v>
      </c>
      <c r="T98" s="9">
        <v>45359</v>
      </c>
      <c r="U98" s="8" t="s">
        <v>517</v>
      </c>
      <c r="V98" s="8">
        <v>1</v>
      </c>
      <c r="W98" s="8"/>
      <c r="X98" t="s">
        <v>206</v>
      </c>
      <c r="Y98" t="s">
        <v>340</v>
      </c>
    </row>
    <row r="99" spans="1:25" x14ac:dyDescent="0.3">
      <c r="A99">
        <v>39929</v>
      </c>
      <c r="B99" t="str">
        <f>_xlfn.CONCAT(Tabel1[[#This Row],[personeelsnr]]," ",C99," ",D99)</f>
        <v>39929 Staneva Mariyana</v>
      </c>
      <c r="C99" t="str">
        <f>VLOOKUP(Tabel1[[#This Row],[personeelsnr]],'data hastus'!$A:$C,2,0)</f>
        <v>Staneva</v>
      </c>
      <c r="D99" t="str">
        <f>VLOOKUP(Tabel1[[#This Row],[personeelsnr]],'data hastus'!$A:$C,3,0)</f>
        <v>Mariyana</v>
      </c>
      <c r="E99" t="str">
        <f>VLOOKUP(Tabel1[[#This Row],[personeelsnr]],'data hastus'!A:K,11,FALSE)</f>
        <v>Christoff Rotty</v>
      </c>
      <c r="F99" s="10"/>
      <c r="G99" s="7"/>
      <c r="H99" s="7"/>
      <c r="I99" s="7">
        <v>1</v>
      </c>
      <c r="S99" s="5">
        <f>SUM(Tabel1[[#This Row],[Januari]:[December]])</f>
        <v>1</v>
      </c>
      <c r="T99" s="9">
        <v>45359</v>
      </c>
      <c r="U99" s="8" t="s">
        <v>518</v>
      </c>
      <c r="V99" s="8">
        <v>1</v>
      </c>
      <c r="W99" s="8"/>
      <c r="X99" t="s">
        <v>206</v>
      </c>
      <c r="Y99" t="s">
        <v>285</v>
      </c>
    </row>
    <row r="100" spans="1:25" x14ac:dyDescent="0.3">
      <c r="A100">
        <v>32951</v>
      </c>
      <c r="B100" t="str">
        <f>_xlfn.CONCAT(Tabel1[[#This Row],[personeelsnr]]," ",C100," ",D100)</f>
        <v>32951 De Bruyne Sonia</v>
      </c>
      <c r="C100" t="str">
        <f>VLOOKUP(Tabel1[[#This Row],[personeelsnr]],'data hastus'!$A:$C,2,0)</f>
        <v>De Bruyne</v>
      </c>
      <c r="D100" t="str">
        <f>VLOOKUP(Tabel1[[#This Row],[personeelsnr]],'data hastus'!$A:$C,3,0)</f>
        <v>Sonia</v>
      </c>
      <c r="E100" t="str">
        <f>VLOOKUP(Tabel1[[#This Row],[personeelsnr]],'data hastus'!A:K,11,FALSE)</f>
        <v>Lucie Vande Velde</v>
      </c>
      <c r="F100" s="10"/>
      <c r="G100" s="7"/>
      <c r="H100" s="7"/>
      <c r="I100" s="7">
        <v>1</v>
      </c>
      <c r="S100" s="5">
        <f>SUM(Tabel1[[#This Row],[Januari]:[December]])</f>
        <v>1</v>
      </c>
      <c r="T100" s="9">
        <v>45359</v>
      </c>
      <c r="U100" s="8" t="s">
        <v>519</v>
      </c>
      <c r="V100" s="8">
        <v>1</v>
      </c>
      <c r="W100" s="8"/>
      <c r="X100" t="s">
        <v>206</v>
      </c>
      <c r="Y100" t="s">
        <v>177</v>
      </c>
    </row>
    <row r="101" spans="1:25" x14ac:dyDescent="0.3">
      <c r="A101">
        <v>8394</v>
      </c>
      <c r="B101" t="str">
        <f>_xlfn.CONCAT(Tabel1[[#This Row],[personeelsnr]]," ",C101," ",D101)</f>
        <v>8394 Smet Antoon</v>
      </c>
      <c r="C101" t="str">
        <f>VLOOKUP(Tabel1[[#This Row],[personeelsnr]],'data hastus'!$A:$C,2,0)</f>
        <v>Smet</v>
      </c>
      <c r="D101" t="str">
        <f>VLOOKUP(Tabel1[[#This Row],[personeelsnr]],'data hastus'!$A:$C,3,0)</f>
        <v>Antoon</v>
      </c>
      <c r="E101" t="str">
        <f>VLOOKUP(Tabel1[[#This Row],[personeelsnr]],'data hastus'!A:K,11,FALSE)</f>
        <v>Lucie Vande Velde</v>
      </c>
      <c r="F101" s="10"/>
      <c r="G101" s="7"/>
      <c r="H101" s="7"/>
      <c r="I101" s="7">
        <v>1</v>
      </c>
      <c r="S101" s="5">
        <f>SUM(Tabel1[[#This Row],[Januari]:[December]])</f>
        <v>1</v>
      </c>
      <c r="T101" s="9">
        <v>45360</v>
      </c>
      <c r="U101" s="8" t="s">
        <v>520</v>
      </c>
      <c r="V101" s="8">
        <v>1</v>
      </c>
      <c r="W101" s="8"/>
      <c r="X101" t="s">
        <v>206</v>
      </c>
      <c r="Y101" t="s">
        <v>243</v>
      </c>
    </row>
    <row r="102" spans="1:25" x14ac:dyDescent="0.3">
      <c r="A102">
        <v>15628</v>
      </c>
      <c r="B102" t="str">
        <f>_xlfn.CONCAT(Tabel1[[#This Row],[personeelsnr]]," ",C102," ",D102)</f>
        <v>15628 Wulfranck Dominique</v>
      </c>
      <c r="C102" t="str">
        <f>VLOOKUP(Tabel1[[#This Row],[personeelsnr]],'data hastus'!$A:$C,2,0)</f>
        <v>Wulfranck</v>
      </c>
      <c r="D102" t="str">
        <f>VLOOKUP(Tabel1[[#This Row],[personeelsnr]],'data hastus'!$A:$C,3,0)</f>
        <v>Dominique</v>
      </c>
      <c r="E102" t="str">
        <f>VLOOKUP(Tabel1[[#This Row],[personeelsnr]],'data hastus'!A:K,11,FALSE)</f>
        <v>Kenneth De Rick</v>
      </c>
      <c r="F102" s="10"/>
      <c r="G102" s="7"/>
      <c r="H102" s="7"/>
      <c r="I102" s="7">
        <v>1</v>
      </c>
      <c r="S102" s="5">
        <f>SUM(Tabel1[[#This Row],[Januari]:[December]])</f>
        <v>1</v>
      </c>
      <c r="T102" s="9">
        <v>45363</v>
      </c>
      <c r="U102" s="8" t="s">
        <v>521</v>
      </c>
      <c r="V102" s="8">
        <v>1</v>
      </c>
      <c r="W102" s="8"/>
      <c r="X102" t="s">
        <v>206</v>
      </c>
      <c r="Y102" t="s">
        <v>522</v>
      </c>
    </row>
    <row r="103" spans="1:25" x14ac:dyDescent="0.3">
      <c r="A103">
        <v>9999</v>
      </c>
      <c r="B103" t="str">
        <f>_xlfn.CONCAT(Tabel1[[#This Row],[personeelsnr]]," ",C103," ",D103)</f>
        <v>9999 - -</v>
      </c>
      <c r="C103" t="s">
        <v>3388</v>
      </c>
      <c r="D103" t="s">
        <v>3388</v>
      </c>
      <c r="E103" t="s">
        <v>1165</v>
      </c>
      <c r="F103" s="10"/>
      <c r="G103" s="7"/>
      <c r="H103" s="7"/>
      <c r="I103" s="7">
        <v>1</v>
      </c>
      <c r="S103" s="5">
        <f>SUM(Tabel1[[#This Row],[Januari]:[December]])</f>
        <v>1</v>
      </c>
      <c r="T103" s="9">
        <v>45363</v>
      </c>
      <c r="U103" s="8" t="s">
        <v>523</v>
      </c>
      <c r="V103" s="8">
        <v>1</v>
      </c>
      <c r="W103" s="8"/>
      <c r="X103" t="s">
        <v>206</v>
      </c>
      <c r="Y103" t="s">
        <v>390</v>
      </c>
    </row>
    <row r="104" spans="1:25" x14ac:dyDescent="0.3">
      <c r="A104">
        <v>39558</v>
      </c>
      <c r="B104" t="str">
        <f>_xlfn.CONCAT(Tabel1[[#This Row],[personeelsnr]]," ",C104," ",D104)</f>
        <v>39558 De Groote Cedric</v>
      </c>
      <c r="C104" t="str">
        <f>VLOOKUP(Tabel1[[#This Row],[personeelsnr]],'data hastus'!$A:$C,2,0)</f>
        <v>De Groote</v>
      </c>
      <c r="D104" t="str">
        <f>VLOOKUP(Tabel1[[#This Row],[personeelsnr]],'data hastus'!$A:$C,3,0)</f>
        <v>Cedric</v>
      </c>
      <c r="E104" t="str">
        <f>VLOOKUP(Tabel1[[#This Row],[personeelsnr]],'data hastus'!A:K,11,FALSE)</f>
        <v>Steven Storm</v>
      </c>
      <c r="F104" s="10"/>
      <c r="G104" s="7"/>
      <c r="H104" s="7"/>
      <c r="I104" s="7">
        <v>1</v>
      </c>
      <c r="S104" s="5">
        <f>SUM(Tabel1[[#This Row],[Januari]:[December]])</f>
        <v>1</v>
      </c>
      <c r="T104" s="9">
        <v>45364</v>
      </c>
      <c r="U104" s="8" t="s">
        <v>524</v>
      </c>
      <c r="V104" s="8">
        <v>1</v>
      </c>
      <c r="W104" s="8"/>
      <c r="X104" t="s">
        <v>206</v>
      </c>
      <c r="Y104" t="s">
        <v>169</v>
      </c>
    </row>
    <row r="105" spans="1:25" x14ac:dyDescent="0.3">
      <c r="A105">
        <v>39660</v>
      </c>
      <c r="B105" t="str">
        <f>_xlfn.CONCAT(Tabel1[[#This Row],[personeelsnr]]," ",C105," ",D105)</f>
        <v>39660 Lloyd Glenn</v>
      </c>
      <c r="C105" t="str">
        <f>VLOOKUP(Tabel1[[#This Row],[personeelsnr]],'data hastus'!$A:$C,2,0)</f>
        <v>Lloyd</v>
      </c>
      <c r="D105" t="str">
        <f>VLOOKUP(Tabel1[[#This Row],[personeelsnr]],'data hastus'!$A:$C,3,0)</f>
        <v>Glenn</v>
      </c>
      <c r="E105" t="str">
        <f>VLOOKUP(Tabel1[[#This Row],[personeelsnr]],'data hastus'!A:K,11,FALSE)</f>
        <v>Bart Van Der Beken</v>
      </c>
      <c r="F105" s="10"/>
      <c r="G105" s="7"/>
      <c r="H105" s="7"/>
      <c r="I105" s="7">
        <v>1</v>
      </c>
      <c r="S105" s="5">
        <f>SUM(Tabel1[[#This Row],[Januari]:[December]])</f>
        <v>1</v>
      </c>
      <c r="T105" s="9">
        <v>45364</v>
      </c>
      <c r="U105" s="8" t="s">
        <v>525</v>
      </c>
      <c r="V105" s="8">
        <v>1</v>
      </c>
      <c r="W105" s="8"/>
      <c r="X105" t="s">
        <v>206</v>
      </c>
      <c r="Y105" t="s">
        <v>231</v>
      </c>
    </row>
    <row r="106" spans="1:25" x14ac:dyDescent="0.3">
      <c r="A106">
        <v>36626</v>
      </c>
      <c r="B106" t="str">
        <f>_xlfn.CONCAT(Tabel1[[#This Row],[personeelsnr]]," ",C106," ",D106)</f>
        <v>36626 Kartal Kadir</v>
      </c>
      <c r="C106" t="str">
        <f>VLOOKUP(Tabel1[[#This Row],[personeelsnr]],'data hastus'!$A:$C,2,0)</f>
        <v>Kartal</v>
      </c>
      <c r="D106" t="str">
        <f>VLOOKUP(Tabel1[[#This Row],[personeelsnr]],'data hastus'!$A:$C,3,0)</f>
        <v>Kadir</v>
      </c>
      <c r="E106" t="str">
        <f>VLOOKUP(Tabel1[[#This Row],[personeelsnr]],'data hastus'!A:K,11,FALSE)</f>
        <v>Els Dewulf</v>
      </c>
      <c r="F106" s="10"/>
      <c r="G106" s="7"/>
      <c r="H106" s="7"/>
      <c r="I106" s="7">
        <v>1</v>
      </c>
      <c r="S106" s="5">
        <f>SUM(Tabel1[[#This Row],[Januari]:[December]])</f>
        <v>1</v>
      </c>
      <c r="T106" s="9">
        <v>45364</v>
      </c>
      <c r="U106" s="8" t="s">
        <v>526</v>
      </c>
      <c r="V106" s="8"/>
      <c r="W106" s="8">
        <v>1</v>
      </c>
      <c r="X106" t="s">
        <v>207</v>
      </c>
      <c r="Y106" t="s">
        <v>180</v>
      </c>
    </row>
    <row r="107" spans="1:25" x14ac:dyDescent="0.3">
      <c r="A107">
        <v>22240</v>
      </c>
      <c r="B107" t="str">
        <f>_xlfn.CONCAT(Tabel1[[#This Row],[personeelsnr]]," ",C107," ",D107)</f>
        <v>22240 Delahaye Karina</v>
      </c>
      <c r="C107" t="str">
        <f>VLOOKUP(Tabel1[[#This Row],[personeelsnr]],'data hastus'!$A:$C,2,0)</f>
        <v>Delahaye</v>
      </c>
      <c r="D107" t="str">
        <f>VLOOKUP(Tabel1[[#This Row],[personeelsnr]],'data hastus'!$A:$C,3,0)</f>
        <v>Karina</v>
      </c>
      <c r="E107" t="str">
        <f>VLOOKUP(Tabel1[[#This Row],[personeelsnr]],'data hastus'!A:K,11,FALSE)</f>
        <v>Els Dewulf</v>
      </c>
      <c r="F107" s="10"/>
      <c r="G107" s="7"/>
      <c r="H107" s="7"/>
      <c r="I107" s="7">
        <v>1</v>
      </c>
      <c r="S107" s="5">
        <f>SUM(Tabel1[[#This Row],[Januari]:[December]])</f>
        <v>1</v>
      </c>
      <c r="T107" s="9">
        <v>45364</v>
      </c>
      <c r="U107" s="8" t="s">
        <v>527</v>
      </c>
      <c r="V107" s="8"/>
      <c r="W107" s="8">
        <v>1</v>
      </c>
      <c r="X107" t="s">
        <v>207</v>
      </c>
      <c r="Y107" t="s">
        <v>168</v>
      </c>
    </row>
    <row r="108" spans="1:25" x14ac:dyDescent="0.3">
      <c r="A108">
        <v>40200</v>
      </c>
      <c r="B108" t="str">
        <f>_xlfn.CONCAT(Tabel1[[#This Row],[personeelsnr]]," ",C108," ",D108)</f>
        <v>40200 Shahriyari Khalil</v>
      </c>
      <c r="C108" t="str">
        <f>VLOOKUP(Tabel1[[#This Row],[personeelsnr]],'data hastus'!$A:$C,2,0)</f>
        <v>Shahriyari</v>
      </c>
      <c r="D108" t="str">
        <f>VLOOKUP(Tabel1[[#This Row],[personeelsnr]],'data hastus'!$A:$C,3,0)</f>
        <v>Khalil</v>
      </c>
      <c r="E108" t="str">
        <f>VLOOKUP(Tabel1[[#This Row],[personeelsnr]],'data hastus'!A:K,11,FALSE)</f>
        <v>Dominique De Clercq</v>
      </c>
      <c r="F108" s="10"/>
      <c r="G108" s="7"/>
      <c r="H108" s="7"/>
      <c r="I108" s="7">
        <v>1</v>
      </c>
      <c r="S108" s="5">
        <f>SUM(Tabel1[[#This Row],[Januari]:[December]])</f>
        <v>1</v>
      </c>
      <c r="T108" s="9">
        <v>45364</v>
      </c>
      <c r="U108" s="8" t="s">
        <v>528</v>
      </c>
      <c r="V108" s="8">
        <v>1</v>
      </c>
      <c r="W108" s="8"/>
      <c r="X108" t="s">
        <v>206</v>
      </c>
      <c r="Y108" t="s">
        <v>287</v>
      </c>
    </row>
    <row r="109" spans="1:25" x14ac:dyDescent="0.3">
      <c r="A109">
        <v>26198</v>
      </c>
      <c r="B109" t="str">
        <f>_xlfn.CONCAT(Tabel1[[#This Row],[personeelsnr]]," ",C109," ",D109)</f>
        <v>26198 Justé Steven</v>
      </c>
      <c r="C109" t="str">
        <f>VLOOKUP(Tabel1[[#This Row],[personeelsnr]],'data hastus'!$A:$C,2,0)</f>
        <v>Justé</v>
      </c>
      <c r="D109" t="str">
        <f>VLOOKUP(Tabel1[[#This Row],[personeelsnr]],'data hastus'!$A:$C,3,0)</f>
        <v>Steven</v>
      </c>
      <c r="E109" t="str">
        <f>VLOOKUP(Tabel1[[#This Row],[personeelsnr]],'data hastus'!A:K,11,FALSE)</f>
        <v>Kenneth De Rick</v>
      </c>
      <c r="F109" s="10"/>
      <c r="G109" s="7"/>
      <c r="H109" s="7"/>
      <c r="I109" s="7">
        <v>1</v>
      </c>
      <c r="S109" s="5">
        <f>SUM(Tabel1[[#This Row],[Januari]:[December]])</f>
        <v>1</v>
      </c>
      <c r="T109" s="9">
        <v>45365</v>
      </c>
      <c r="U109" s="8" t="s">
        <v>529</v>
      </c>
      <c r="V109" s="8">
        <v>1</v>
      </c>
      <c r="W109" s="8"/>
      <c r="X109" t="s">
        <v>206</v>
      </c>
      <c r="Y109" t="s">
        <v>345</v>
      </c>
    </row>
    <row r="110" spans="1:25" x14ac:dyDescent="0.3">
      <c r="A110">
        <v>39146</v>
      </c>
      <c r="B110" t="str">
        <f>_xlfn.CONCAT(Tabel1[[#This Row],[personeelsnr]]," ",C110," ",D110)</f>
        <v>39146 Burrick Alex</v>
      </c>
      <c r="C110" t="str">
        <f>VLOOKUP(Tabel1[[#This Row],[personeelsnr]],'data hastus'!$A:$C,2,0)</f>
        <v>Burrick</v>
      </c>
      <c r="D110" t="str">
        <f>VLOOKUP(Tabel1[[#This Row],[personeelsnr]],'data hastus'!$A:$C,3,0)</f>
        <v>Alex</v>
      </c>
      <c r="E110" t="str">
        <f>VLOOKUP(Tabel1[[#This Row],[personeelsnr]],'data hastus'!A:K,11,FALSE)</f>
        <v>Els Dewulf</v>
      </c>
      <c r="F110" s="10"/>
      <c r="G110" s="7"/>
      <c r="H110" s="7"/>
      <c r="I110" s="7">
        <v>1</v>
      </c>
      <c r="S110" s="5">
        <f>SUM(Tabel1[[#This Row],[Januari]:[December]])</f>
        <v>1</v>
      </c>
      <c r="T110" s="9">
        <v>45367</v>
      </c>
      <c r="U110" s="8" t="s">
        <v>530</v>
      </c>
      <c r="V110" s="8">
        <v>1</v>
      </c>
      <c r="W110" s="8"/>
      <c r="X110" t="s">
        <v>206</v>
      </c>
      <c r="Y110" t="s">
        <v>170</v>
      </c>
    </row>
    <row r="111" spans="1:25" x14ac:dyDescent="0.3">
      <c r="A111">
        <v>19088</v>
      </c>
      <c r="B111" t="str">
        <f>_xlfn.CONCAT(Tabel1[[#This Row],[personeelsnr]]," ",C111," ",D111)</f>
        <v>19088 Remmery David</v>
      </c>
      <c r="C111" t="str">
        <f>VLOOKUP(Tabel1[[#This Row],[personeelsnr]],'data hastus'!$A:$C,2,0)</f>
        <v>Remmery</v>
      </c>
      <c r="D111" t="str">
        <f>VLOOKUP(Tabel1[[#This Row],[personeelsnr]],'data hastus'!$A:$C,3,0)</f>
        <v>David</v>
      </c>
      <c r="E111" t="str">
        <f>VLOOKUP(Tabel1[[#This Row],[personeelsnr]],'data hastus'!A:K,11,FALSE)</f>
        <v>Kenneth De Rick</v>
      </c>
      <c r="F111" s="10"/>
      <c r="G111" s="7"/>
      <c r="H111" s="7"/>
      <c r="I111" s="7">
        <v>1</v>
      </c>
      <c r="S111" s="5">
        <f>SUM(Tabel1[[#This Row],[Januari]:[December]])</f>
        <v>1</v>
      </c>
      <c r="T111" s="9">
        <v>45369</v>
      </c>
      <c r="U111" s="8" t="s">
        <v>531</v>
      </c>
      <c r="V111" s="8">
        <v>1</v>
      </c>
      <c r="W111" s="8"/>
      <c r="X111" t="s">
        <v>206</v>
      </c>
      <c r="Y111" t="s">
        <v>175</v>
      </c>
    </row>
    <row r="112" spans="1:25" x14ac:dyDescent="0.3">
      <c r="A112">
        <v>39779</v>
      </c>
      <c r="B112" t="str">
        <f>_xlfn.CONCAT(Tabel1[[#This Row],[personeelsnr]]," ",C112," ",D112)</f>
        <v>39779 Avci Muhammet Abdullah</v>
      </c>
      <c r="C112" t="str">
        <f>VLOOKUP(Tabel1[[#This Row],[personeelsnr]],'data hastus'!$A:$C,2,0)</f>
        <v>Avci</v>
      </c>
      <c r="D112" t="str">
        <f>VLOOKUP(Tabel1[[#This Row],[personeelsnr]],'data hastus'!$A:$C,3,0)</f>
        <v>Muhammet Abdullah</v>
      </c>
      <c r="E112" t="str">
        <f>VLOOKUP(Tabel1[[#This Row],[personeelsnr]],'data hastus'!A:K,11,FALSE)</f>
        <v>Bart Van Der Beken</v>
      </c>
      <c r="F112" s="10"/>
      <c r="G112" s="7"/>
      <c r="H112" s="7"/>
      <c r="I112" s="7">
        <v>1</v>
      </c>
      <c r="S112" s="5">
        <f>SUM(Tabel1[[#This Row],[Januari]:[December]])</f>
        <v>1</v>
      </c>
      <c r="T112" s="9">
        <v>45369</v>
      </c>
      <c r="U112" s="8" t="s">
        <v>532</v>
      </c>
      <c r="V112" s="8">
        <v>1</v>
      </c>
      <c r="W112" s="8"/>
      <c r="X112" t="s">
        <v>206</v>
      </c>
      <c r="Y112" t="s">
        <v>167</v>
      </c>
    </row>
    <row r="113" spans="1:25" x14ac:dyDescent="0.3">
      <c r="A113">
        <v>32528</v>
      </c>
      <c r="B113" t="str">
        <f>_xlfn.CONCAT(Tabel1[[#This Row],[personeelsnr]]," ",C113," ",D113)</f>
        <v>32528 Benjilali Abdelhak</v>
      </c>
      <c r="C113" t="str">
        <f>VLOOKUP(Tabel1[[#This Row],[personeelsnr]],'data hastus'!$A:$C,2,0)</f>
        <v>Benjilali</v>
      </c>
      <c r="D113" t="str">
        <f>VLOOKUP(Tabel1[[#This Row],[personeelsnr]],'data hastus'!$A:$C,3,0)</f>
        <v>Abdelhak</v>
      </c>
      <c r="E113" t="str">
        <f>VLOOKUP(Tabel1[[#This Row],[personeelsnr]],'data hastus'!A:K,11,FALSE)</f>
        <v>Steven Storm</v>
      </c>
      <c r="F113" s="10"/>
      <c r="G113" s="7"/>
      <c r="H113" s="7"/>
      <c r="I113" s="7">
        <v>1</v>
      </c>
      <c r="S113" s="5">
        <f>SUM(Tabel1[[#This Row],[Januari]:[December]])</f>
        <v>1</v>
      </c>
      <c r="T113" s="9">
        <v>45370</v>
      </c>
      <c r="U113" s="8" t="s">
        <v>533</v>
      </c>
      <c r="V113" s="8">
        <v>1</v>
      </c>
      <c r="W113" s="8"/>
      <c r="X113" t="s">
        <v>206</v>
      </c>
      <c r="Y113" t="s">
        <v>184</v>
      </c>
    </row>
    <row r="114" spans="1:25" x14ac:dyDescent="0.3">
      <c r="A114">
        <v>25993</v>
      </c>
      <c r="B114" t="str">
        <f>_xlfn.CONCAT(Tabel1[[#This Row],[personeelsnr]]," ",C114," ",D114)</f>
        <v>25993 De Wit Bruno</v>
      </c>
      <c r="C114" t="str">
        <f>VLOOKUP(Tabel1[[#This Row],[personeelsnr]],'data hastus'!$A:$C,2,0)</f>
        <v>De Wit</v>
      </c>
      <c r="D114" t="str">
        <f>VLOOKUP(Tabel1[[#This Row],[personeelsnr]],'data hastus'!$A:$C,3,0)</f>
        <v>Bruno</v>
      </c>
      <c r="E114" t="str">
        <f>VLOOKUP(Tabel1[[#This Row],[personeelsnr]],'data hastus'!A:K,11,FALSE)</f>
        <v>Christoff Rotty</v>
      </c>
      <c r="F114" s="10"/>
      <c r="G114" s="7"/>
      <c r="H114" s="7"/>
      <c r="I114" s="7">
        <v>1</v>
      </c>
      <c r="S114" s="5">
        <f>SUM(Tabel1[[#This Row],[Januari]:[December]])</f>
        <v>1</v>
      </c>
      <c r="T114" s="9">
        <v>45370</v>
      </c>
      <c r="U114" s="8" t="s">
        <v>534</v>
      </c>
      <c r="V114" s="8"/>
      <c r="W114" s="8">
        <v>1</v>
      </c>
      <c r="X114" t="s">
        <v>207</v>
      </c>
      <c r="Y114" t="s">
        <v>182</v>
      </c>
    </row>
    <row r="115" spans="1:25" x14ac:dyDescent="0.3">
      <c r="A115">
        <v>38648</v>
      </c>
      <c r="B115" t="str">
        <f>_xlfn.CONCAT(Tabel1[[#This Row],[personeelsnr]]," ",C115," ",D115)</f>
        <v>38648 Uckuyulu Muhammet Emin</v>
      </c>
      <c r="C115" t="str">
        <f>VLOOKUP(Tabel1[[#This Row],[personeelsnr]],'data hastus'!$A:$C,2,0)</f>
        <v>Uckuyulu</v>
      </c>
      <c r="D115" t="str">
        <f>VLOOKUP(Tabel1[[#This Row],[personeelsnr]],'data hastus'!$A:$C,3,0)</f>
        <v>Muhammet Emin</v>
      </c>
      <c r="E115" t="str">
        <f>VLOOKUP(Tabel1[[#This Row],[personeelsnr]],'data hastus'!A:K,11,FALSE)</f>
        <v>Lucie Vande Velde</v>
      </c>
      <c r="F115" s="10"/>
      <c r="G115" s="7"/>
      <c r="H115" s="7"/>
      <c r="I115" s="7">
        <v>1</v>
      </c>
      <c r="S115" s="5">
        <f>SUM(Tabel1[[#This Row],[Januari]:[December]])</f>
        <v>1</v>
      </c>
      <c r="T115" s="9">
        <v>45371</v>
      </c>
      <c r="U115" s="8" t="s">
        <v>535</v>
      </c>
      <c r="V115" s="8">
        <v>1</v>
      </c>
      <c r="W115" s="8"/>
      <c r="X115" t="s">
        <v>206</v>
      </c>
      <c r="Y115" t="s">
        <v>338</v>
      </c>
    </row>
    <row r="116" spans="1:25" x14ac:dyDescent="0.3">
      <c r="A116">
        <v>21809</v>
      </c>
      <c r="B116" t="str">
        <f>_xlfn.CONCAT(Tabel1[[#This Row],[personeelsnr]]," ",C116," ",D116)</f>
        <v>21809 Dejonghe Elisa</v>
      </c>
      <c r="C116" t="str">
        <f>VLOOKUP(Tabel1[[#This Row],[personeelsnr]],'data hastus'!$A:$C,2,0)</f>
        <v>Dejonghe</v>
      </c>
      <c r="D116" t="str">
        <f>VLOOKUP(Tabel1[[#This Row],[personeelsnr]],'data hastus'!$A:$C,3,0)</f>
        <v>Elisa</v>
      </c>
      <c r="E116" t="str">
        <f>VLOOKUP(Tabel1[[#This Row],[personeelsnr]],'data hastus'!A:K,11,FALSE)</f>
        <v>Els Dewulf</v>
      </c>
      <c r="F116" s="10"/>
      <c r="G116" s="7"/>
      <c r="H116" s="7"/>
      <c r="I116" s="7">
        <v>1</v>
      </c>
      <c r="S116" s="5">
        <f>SUM(Tabel1[[#This Row],[Januari]:[December]])</f>
        <v>1</v>
      </c>
      <c r="T116" s="9">
        <v>45371</v>
      </c>
      <c r="U116" s="8" t="s">
        <v>536</v>
      </c>
      <c r="V116" s="8"/>
      <c r="W116" s="8">
        <v>1</v>
      </c>
      <c r="X116" t="s">
        <v>207</v>
      </c>
      <c r="Y116" t="s">
        <v>227</v>
      </c>
    </row>
    <row r="117" spans="1:25" x14ac:dyDescent="0.3">
      <c r="A117">
        <v>23880</v>
      </c>
      <c r="B117" t="str">
        <f>_xlfn.CONCAT(Tabel1[[#This Row],[personeelsnr]]," ",C117," ",D117)</f>
        <v>23880 Wyffels Jean-Pierre</v>
      </c>
      <c r="C117" t="str">
        <f>VLOOKUP(Tabel1[[#This Row],[personeelsnr]],'data hastus'!$A:$C,2,0)</f>
        <v>Wyffels</v>
      </c>
      <c r="D117" t="str">
        <f>VLOOKUP(Tabel1[[#This Row],[personeelsnr]],'data hastus'!$A:$C,3,0)</f>
        <v>Jean-Pierre</v>
      </c>
      <c r="E117" t="str">
        <f>VLOOKUP(Tabel1[[#This Row],[personeelsnr]],'data hastus'!A:K,11,FALSE)</f>
        <v>Dominique De Clercq</v>
      </c>
      <c r="F117" s="10"/>
      <c r="G117" s="7"/>
      <c r="H117" s="7"/>
      <c r="I117" s="7">
        <v>1</v>
      </c>
      <c r="S117" s="5">
        <f>SUM(Tabel1[[#This Row],[Januari]:[December]])</f>
        <v>1</v>
      </c>
      <c r="T117" s="9">
        <v>45371</v>
      </c>
      <c r="U117" s="8" t="s">
        <v>537</v>
      </c>
      <c r="V117" s="8"/>
      <c r="W117" s="8">
        <v>1</v>
      </c>
      <c r="X117" t="s">
        <v>207</v>
      </c>
      <c r="Y117" t="s">
        <v>315</v>
      </c>
    </row>
    <row r="118" spans="1:25" x14ac:dyDescent="0.3">
      <c r="A118">
        <v>26331</v>
      </c>
      <c r="B118" t="str">
        <f>_xlfn.CONCAT(Tabel1[[#This Row],[personeelsnr]]," ",C118," ",D118)</f>
        <v>26331 Van Semmertier Pascal</v>
      </c>
      <c r="C118" t="str">
        <f>VLOOKUP(Tabel1[[#This Row],[personeelsnr]],'data hastus'!$A:$C,2,0)</f>
        <v>Van Semmertier</v>
      </c>
      <c r="D118" t="str">
        <f>VLOOKUP(Tabel1[[#This Row],[personeelsnr]],'data hastus'!$A:$C,3,0)</f>
        <v>Pascal</v>
      </c>
      <c r="E118" t="str">
        <f>VLOOKUP(Tabel1[[#This Row],[personeelsnr]],'data hastus'!A:K,11,FALSE)</f>
        <v>Bart Van Der Beken</v>
      </c>
      <c r="F118" s="10"/>
      <c r="G118" s="7"/>
      <c r="H118" s="7"/>
      <c r="I118" s="7">
        <v>1</v>
      </c>
      <c r="S118" s="5">
        <f>SUM(Tabel1[[#This Row],[Januari]:[December]])</f>
        <v>1</v>
      </c>
      <c r="T118" s="9">
        <v>45371</v>
      </c>
      <c r="U118" s="8" t="s">
        <v>538</v>
      </c>
      <c r="V118" s="8">
        <v>1</v>
      </c>
      <c r="W118" s="8"/>
      <c r="X118" t="s">
        <v>206</v>
      </c>
      <c r="Y118" t="s">
        <v>539</v>
      </c>
    </row>
    <row r="119" spans="1:25" x14ac:dyDescent="0.3">
      <c r="A119">
        <v>15320</v>
      </c>
      <c r="B119" t="str">
        <f>_xlfn.CONCAT(Tabel1[[#This Row],[personeelsnr]]," ",C119," ",D119)</f>
        <v>15320 Vandenberghe Filip</v>
      </c>
      <c r="C119" t="str">
        <f>VLOOKUP(Tabel1[[#This Row],[personeelsnr]],'data hastus'!$A:$C,2,0)</f>
        <v>Vandenberghe</v>
      </c>
      <c r="D119" t="str">
        <f>VLOOKUP(Tabel1[[#This Row],[personeelsnr]],'data hastus'!$A:$C,3,0)</f>
        <v>Filip</v>
      </c>
      <c r="E119" t="str">
        <f>VLOOKUP(Tabel1[[#This Row],[personeelsnr]],'data hastus'!A:K,11,FALSE)</f>
        <v>Els Vanhoe</v>
      </c>
      <c r="F119" s="10"/>
      <c r="G119" s="7"/>
      <c r="H119" s="7"/>
      <c r="I119" s="7">
        <v>1</v>
      </c>
      <c r="S119" s="5">
        <f>SUM(Tabel1[[#This Row],[Januari]:[December]])</f>
        <v>1</v>
      </c>
      <c r="T119" s="9">
        <v>45372</v>
      </c>
      <c r="U119" s="8" t="s">
        <v>540</v>
      </c>
      <c r="V119" s="8">
        <v>1</v>
      </c>
      <c r="W119" s="8"/>
      <c r="X119" t="s">
        <v>206</v>
      </c>
      <c r="Y119" t="s">
        <v>180</v>
      </c>
    </row>
    <row r="120" spans="1:25" x14ac:dyDescent="0.3">
      <c r="A120">
        <v>34445</v>
      </c>
      <c r="B120" t="str">
        <f>_xlfn.CONCAT(Tabel1[[#This Row],[personeelsnr]]," ",C120," ",D120)</f>
        <v>34445 Wulleput Illya</v>
      </c>
      <c r="C120" t="str">
        <f>VLOOKUP(Tabel1[[#This Row],[personeelsnr]],'data hastus'!$A:$C,2,0)</f>
        <v>Wulleput</v>
      </c>
      <c r="D120" t="str">
        <f>VLOOKUP(Tabel1[[#This Row],[personeelsnr]],'data hastus'!$A:$C,3,0)</f>
        <v>Illya</v>
      </c>
      <c r="E120" t="str">
        <f>VLOOKUP(Tabel1[[#This Row],[personeelsnr]],'data hastus'!A:K,11,FALSE)</f>
        <v>Dominique De Clercq</v>
      </c>
      <c r="F120" s="10"/>
      <c r="G120" s="7"/>
      <c r="H120" s="7"/>
      <c r="I120" s="7">
        <v>1</v>
      </c>
      <c r="S120" s="5">
        <f>SUM(Tabel1[[#This Row],[Januari]:[December]])</f>
        <v>1</v>
      </c>
      <c r="T120" s="9">
        <v>45373</v>
      </c>
      <c r="U120" s="8" t="s">
        <v>541</v>
      </c>
      <c r="V120" s="8">
        <v>1</v>
      </c>
      <c r="W120" s="8"/>
      <c r="X120" t="s">
        <v>206</v>
      </c>
      <c r="Y120" t="s">
        <v>184</v>
      </c>
    </row>
    <row r="121" spans="1:25" x14ac:dyDescent="0.3">
      <c r="A121">
        <v>38931</v>
      </c>
      <c r="B121" t="str">
        <f>_xlfn.CONCAT(Tabel1[[#This Row],[personeelsnr]]," ",C121," ",D121)</f>
        <v>38931 Sancak Eyuphan</v>
      </c>
      <c r="C121" t="str">
        <f>VLOOKUP(Tabel1[[#This Row],[personeelsnr]],'data hastus'!$A:$C,2,0)</f>
        <v>Sancak</v>
      </c>
      <c r="D121" t="str">
        <f>VLOOKUP(Tabel1[[#This Row],[personeelsnr]],'data hastus'!$A:$C,3,0)</f>
        <v>Eyuphan</v>
      </c>
      <c r="E121" t="str">
        <f>VLOOKUP(Tabel1[[#This Row],[personeelsnr]],'data hastus'!A:K,11,FALSE)</f>
        <v>Bart Van Der Beken</v>
      </c>
      <c r="F121" s="10"/>
      <c r="G121" s="7"/>
      <c r="H121" s="7"/>
      <c r="I121" s="7">
        <v>1</v>
      </c>
      <c r="S121" s="5">
        <f>SUM(Tabel1[[#This Row],[Januari]:[December]])</f>
        <v>1</v>
      </c>
      <c r="T121" s="9">
        <v>45373</v>
      </c>
      <c r="U121" s="8" t="s">
        <v>542</v>
      </c>
      <c r="V121" s="8">
        <v>1</v>
      </c>
      <c r="W121" s="8"/>
      <c r="X121" t="s">
        <v>206</v>
      </c>
      <c r="Y121" t="s">
        <v>175</v>
      </c>
    </row>
    <row r="122" spans="1:25" x14ac:dyDescent="0.3">
      <c r="A122">
        <v>31231</v>
      </c>
      <c r="B122" t="str">
        <f>_xlfn.CONCAT(Tabel1[[#This Row],[personeelsnr]]," ",C122," ",D122)</f>
        <v>31231 Colaes Dylan</v>
      </c>
      <c r="C122" t="str">
        <f>VLOOKUP(Tabel1[[#This Row],[personeelsnr]],'data hastus'!$A:$C,2,0)</f>
        <v>Colaes</v>
      </c>
      <c r="D122" t="str">
        <f>VLOOKUP(Tabel1[[#This Row],[personeelsnr]],'data hastus'!$A:$C,3,0)</f>
        <v>Dylan</v>
      </c>
      <c r="E122" t="str">
        <f>VLOOKUP(Tabel1[[#This Row],[personeelsnr]],'data hastus'!A:K,11,FALSE)</f>
        <v>Els Vanhoe</v>
      </c>
      <c r="F122" s="10"/>
      <c r="G122" s="7"/>
      <c r="H122" s="7"/>
      <c r="I122" s="7">
        <v>1</v>
      </c>
      <c r="S122" s="5">
        <f>SUM(Tabel1[[#This Row],[Januari]:[December]])</f>
        <v>1</v>
      </c>
      <c r="T122" s="9">
        <v>45373</v>
      </c>
      <c r="U122" s="8" t="s">
        <v>543</v>
      </c>
      <c r="V122" s="8"/>
      <c r="W122" s="8">
        <v>1</v>
      </c>
      <c r="X122" t="s">
        <v>207</v>
      </c>
      <c r="Y122" t="s">
        <v>232</v>
      </c>
    </row>
    <row r="123" spans="1:25" x14ac:dyDescent="0.3">
      <c r="A123">
        <v>36626</v>
      </c>
      <c r="B123" t="str">
        <f>_xlfn.CONCAT(Tabel1[[#This Row],[personeelsnr]]," ",C123," ",D123)</f>
        <v>36626 Kartal Kadir</v>
      </c>
      <c r="C123" t="str">
        <f>VLOOKUP(Tabel1[[#This Row],[personeelsnr]],'data hastus'!$A:$C,2,0)</f>
        <v>Kartal</v>
      </c>
      <c r="D123" t="str">
        <f>VLOOKUP(Tabel1[[#This Row],[personeelsnr]],'data hastus'!$A:$C,3,0)</f>
        <v>Kadir</v>
      </c>
      <c r="E123" t="str">
        <f>VLOOKUP(Tabel1[[#This Row],[personeelsnr]],'data hastus'!A:K,11,FALSE)</f>
        <v>Els Dewulf</v>
      </c>
      <c r="F123" s="10"/>
      <c r="G123" s="7"/>
      <c r="H123" s="7"/>
      <c r="I123" s="7">
        <v>1</v>
      </c>
      <c r="S123" s="5">
        <f>SUM(Tabel1[[#This Row],[Januari]:[December]])</f>
        <v>1</v>
      </c>
      <c r="T123" s="9">
        <v>45373</v>
      </c>
      <c r="U123" s="8" t="s">
        <v>544</v>
      </c>
      <c r="V123" s="8"/>
      <c r="W123" s="8">
        <v>1</v>
      </c>
      <c r="X123" t="s">
        <v>207</v>
      </c>
      <c r="Y123" t="s">
        <v>167</v>
      </c>
    </row>
    <row r="124" spans="1:25" x14ac:dyDescent="0.3">
      <c r="A124">
        <v>40223</v>
      </c>
      <c r="B124" t="str">
        <f>_xlfn.CONCAT(Tabel1[[#This Row],[personeelsnr]]," ",C124," ",D124)</f>
        <v>40223 Teetaert Billy</v>
      </c>
      <c r="C124" t="str">
        <f>VLOOKUP(Tabel1[[#This Row],[personeelsnr]],'data hastus'!$A:$C,2,0)</f>
        <v>Teetaert</v>
      </c>
      <c r="D124" t="str">
        <f>VLOOKUP(Tabel1[[#This Row],[personeelsnr]],'data hastus'!$A:$C,3,0)</f>
        <v>Billy</v>
      </c>
      <c r="E124" t="str">
        <f>VLOOKUP(Tabel1[[#This Row],[personeelsnr]],'data hastus'!A:K,11,FALSE)</f>
        <v>Dominique De Clercq</v>
      </c>
      <c r="F124" s="10"/>
      <c r="G124" s="7"/>
      <c r="H124" s="7"/>
      <c r="I124" s="7">
        <v>1</v>
      </c>
      <c r="S124" s="5">
        <f>SUM(Tabel1[[#This Row],[Januari]:[December]])</f>
        <v>1</v>
      </c>
      <c r="T124" s="9">
        <v>45373</v>
      </c>
      <c r="U124" s="8" t="s">
        <v>545</v>
      </c>
      <c r="V124" s="8">
        <v>1</v>
      </c>
      <c r="W124" s="8"/>
      <c r="X124" t="s">
        <v>206</v>
      </c>
      <c r="Y124" t="s">
        <v>175</v>
      </c>
    </row>
    <row r="125" spans="1:25" x14ac:dyDescent="0.3">
      <c r="A125">
        <v>9999</v>
      </c>
      <c r="B125" t="str">
        <f>_xlfn.CONCAT(Tabel1[[#This Row],[personeelsnr]]," ",C125," ",D125)</f>
        <v>9999 - -</v>
      </c>
      <c r="C125" t="s">
        <v>3388</v>
      </c>
      <c r="D125" t="s">
        <v>3388</v>
      </c>
      <c r="E125" t="s">
        <v>1165</v>
      </c>
      <c r="F125" s="10"/>
      <c r="G125" s="7"/>
      <c r="H125" s="7"/>
      <c r="I125" s="7">
        <v>1</v>
      </c>
      <c r="S125" s="5">
        <f>SUM(Tabel1[[#This Row],[Januari]:[December]])</f>
        <v>1</v>
      </c>
      <c r="T125" s="9">
        <v>45373</v>
      </c>
      <c r="U125" s="8" t="s">
        <v>546</v>
      </c>
      <c r="V125" s="8"/>
      <c r="W125" s="8">
        <v>1</v>
      </c>
      <c r="X125" t="s">
        <v>207</v>
      </c>
      <c r="Y125" t="s">
        <v>174</v>
      </c>
    </row>
    <row r="126" spans="1:25" x14ac:dyDescent="0.3">
      <c r="A126">
        <v>35107</v>
      </c>
      <c r="B126" t="str">
        <f>_xlfn.CONCAT(Tabel1[[#This Row],[personeelsnr]]," ",C126," ",D126)</f>
        <v>35107 Rotsaert Dominique</v>
      </c>
      <c r="C126" t="str">
        <f>VLOOKUP(Tabel1[[#This Row],[personeelsnr]],'data hastus'!$A:$C,2,0)</f>
        <v>Rotsaert</v>
      </c>
      <c r="D126" t="str">
        <f>VLOOKUP(Tabel1[[#This Row],[personeelsnr]],'data hastus'!$A:$C,3,0)</f>
        <v>Dominique</v>
      </c>
      <c r="E126" t="str">
        <f>VLOOKUP(Tabel1[[#This Row],[personeelsnr]],'data hastus'!A:K,11,FALSE)</f>
        <v>Bart Van Der Beken</v>
      </c>
      <c r="F126" s="10"/>
      <c r="G126" s="7"/>
      <c r="H126" s="7"/>
      <c r="I126" s="7">
        <v>1</v>
      </c>
      <c r="S126" s="5">
        <f>SUM(Tabel1[[#This Row],[Januari]:[December]])</f>
        <v>1</v>
      </c>
      <c r="T126" s="9">
        <v>45373</v>
      </c>
      <c r="U126" s="8" t="s">
        <v>547</v>
      </c>
      <c r="V126" s="8">
        <v>1</v>
      </c>
      <c r="W126" s="8"/>
      <c r="X126" t="s">
        <v>206</v>
      </c>
      <c r="Y126" t="s">
        <v>194</v>
      </c>
    </row>
    <row r="127" spans="1:25" x14ac:dyDescent="0.3">
      <c r="A127">
        <v>5559</v>
      </c>
      <c r="B127" t="str">
        <f>_xlfn.CONCAT(Tabel1[[#This Row],[personeelsnr]]," ",C127," ",D127)</f>
        <v>5559 Hoste Tania</v>
      </c>
      <c r="C127" t="str">
        <f>VLOOKUP(Tabel1[[#This Row],[personeelsnr]],'data hastus'!$A:$C,2,0)</f>
        <v>Hoste</v>
      </c>
      <c r="D127" t="str">
        <f>VLOOKUP(Tabel1[[#This Row],[personeelsnr]],'data hastus'!$A:$C,3,0)</f>
        <v>Tania</v>
      </c>
      <c r="E127" t="str">
        <f>VLOOKUP(Tabel1[[#This Row],[personeelsnr]],'data hastus'!A:K,11,FALSE)</f>
        <v>Steven Storm</v>
      </c>
      <c r="F127" s="10"/>
      <c r="G127" s="7"/>
      <c r="H127" s="7"/>
      <c r="I127" s="7">
        <v>1</v>
      </c>
      <c r="S127" s="5">
        <f>SUM(Tabel1[[#This Row],[Januari]:[December]])</f>
        <v>1</v>
      </c>
      <c r="T127" s="9">
        <v>45374</v>
      </c>
      <c r="U127" s="8" t="s">
        <v>548</v>
      </c>
      <c r="V127" s="8"/>
      <c r="W127" s="8">
        <v>1</v>
      </c>
      <c r="X127" t="s">
        <v>207</v>
      </c>
      <c r="Y127" t="s">
        <v>256</v>
      </c>
    </row>
    <row r="128" spans="1:25" x14ac:dyDescent="0.3">
      <c r="A128">
        <v>26960</v>
      </c>
      <c r="B128" t="str">
        <f>_xlfn.CONCAT(Tabel1[[#This Row],[personeelsnr]]," ",C128," ",D128)</f>
        <v>26960 Toubadie Mossa</v>
      </c>
      <c r="C128" t="str">
        <f>VLOOKUP(Tabel1[[#This Row],[personeelsnr]],'data hastus'!$A:$C,2,0)</f>
        <v>Toubadie</v>
      </c>
      <c r="D128" t="str">
        <f>VLOOKUP(Tabel1[[#This Row],[personeelsnr]],'data hastus'!$A:$C,3,0)</f>
        <v>Mossa</v>
      </c>
      <c r="E128" t="str">
        <f>VLOOKUP(Tabel1[[#This Row],[personeelsnr]],'data hastus'!A:K,11,FALSE)</f>
        <v>Els Vanhoe</v>
      </c>
      <c r="F128" s="10"/>
      <c r="G128" s="7"/>
      <c r="H128" s="7"/>
      <c r="I128" s="7">
        <v>1</v>
      </c>
      <c r="S128" s="5">
        <f>SUM(Tabel1[[#This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206</v>
      </c>
      <c r="Y128" t="s">
        <v>223</v>
      </c>
    </row>
    <row r="129" spans="1:25" x14ac:dyDescent="0.3">
      <c r="A129">
        <v>33450</v>
      </c>
      <c r="B129" t="str">
        <f>_xlfn.CONCAT(Tabel1[[#This Row],[personeelsnr]]," ",C129," ",D129)</f>
        <v>33450 Verroeye Chris</v>
      </c>
      <c r="C129" t="str">
        <f>VLOOKUP(Tabel1[[#This Row],[personeelsnr]],'data hastus'!$A:$C,2,0)</f>
        <v>Verroeye</v>
      </c>
      <c r="D129" t="str">
        <f>VLOOKUP(Tabel1[[#This Row],[personeelsnr]],'data hastus'!$A:$C,3,0)</f>
        <v>Chris</v>
      </c>
      <c r="E129" t="str">
        <f>VLOOKUP(Tabel1[[#This Row],[personeelsnr]],'data hastus'!A:K,11,FALSE)</f>
        <v>Kenneth De Rick</v>
      </c>
      <c r="F129" s="10"/>
      <c r="G129" s="7"/>
      <c r="H129" s="7"/>
      <c r="I129" s="7">
        <v>1</v>
      </c>
      <c r="S129" s="5">
        <f>SUM(Tabel1[[#This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207</v>
      </c>
      <c r="Y129" t="s">
        <v>167</v>
      </c>
    </row>
    <row r="130" spans="1:25" x14ac:dyDescent="0.3">
      <c r="A130">
        <v>32951</v>
      </c>
      <c r="B130" t="str">
        <f>_xlfn.CONCAT(Tabel1[[#This Row],[personeelsnr]]," ",C130," ",D130)</f>
        <v>32951 De Bruyne Sonia</v>
      </c>
      <c r="C130" t="str">
        <f>VLOOKUP(Tabel1[[#This Row],[personeelsnr]],'data hastus'!$A:$C,2,0)</f>
        <v>De Bruyne</v>
      </c>
      <c r="D130" t="str">
        <f>VLOOKUP(Tabel1[[#This Row],[personeelsnr]],'data hastus'!$A:$C,3,0)</f>
        <v>Sonia</v>
      </c>
      <c r="E130" t="str">
        <f>VLOOKUP(Tabel1[[#This Row],[personeelsnr]],'data hastus'!A:K,11,FALSE)</f>
        <v>Lucie Vande Velde</v>
      </c>
      <c r="F130" s="10"/>
      <c r="G130" s="7"/>
      <c r="H130" s="7"/>
      <c r="I130" s="7">
        <v>1</v>
      </c>
      <c r="S130" s="5">
        <f>SUM(Tabel1[[#This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206</v>
      </c>
      <c r="Y130" t="s">
        <v>170</v>
      </c>
    </row>
    <row r="131" spans="1:25" x14ac:dyDescent="0.3">
      <c r="A131">
        <v>21382</v>
      </c>
      <c r="B131" t="str">
        <f>_xlfn.CONCAT(Tabel1[[#This Row],[personeelsnr]]," ",C131," ",D131)</f>
        <v>21382 De Volder Marc</v>
      </c>
      <c r="C131" t="str">
        <f>VLOOKUP(Tabel1[[#This Row],[personeelsnr]],'data hastus'!$A:$C,2,0)</f>
        <v>De Volder</v>
      </c>
      <c r="D131" t="str">
        <f>VLOOKUP(Tabel1[[#This Row],[personeelsnr]],'data hastus'!$A:$C,3,0)</f>
        <v>Marc</v>
      </c>
      <c r="E131" t="str">
        <f>VLOOKUP(Tabel1[[#This Row],[personeelsnr]],'data hastus'!A:K,11,FALSE)</f>
        <v>Els Dewulf</v>
      </c>
      <c r="F131" s="10"/>
      <c r="G131" s="7"/>
      <c r="H131" s="7"/>
      <c r="I131" s="7">
        <v>1</v>
      </c>
      <c r="S131" s="5">
        <f>SUM(Tabel1[[#This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207</v>
      </c>
      <c r="Y131" t="s">
        <v>183</v>
      </c>
    </row>
    <row r="132" spans="1:25" x14ac:dyDescent="0.3">
      <c r="A132">
        <v>34286</v>
      </c>
      <c r="B132" t="str">
        <f>_xlfn.CONCAT(Tabel1[[#This Row],[personeelsnr]]," ",C132," ",D132)</f>
        <v>34286 Ghani Mozamil</v>
      </c>
      <c r="C132" t="str">
        <f>VLOOKUP(Tabel1[[#This Row],[personeelsnr]],'data hastus'!$A:$C,2,0)</f>
        <v>Ghani</v>
      </c>
      <c r="D132" t="str">
        <f>VLOOKUP(Tabel1[[#This Row],[personeelsnr]],'data hastus'!$A:$C,3,0)</f>
        <v>Mozamil</v>
      </c>
      <c r="E132" t="str">
        <f>VLOOKUP(Tabel1[[#This Row],[personeelsnr]],'data hastus'!A:K,11,FALSE)</f>
        <v>Steven Storm</v>
      </c>
      <c r="F132" s="10"/>
      <c r="G132" s="7"/>
      <c r="H132" s="7"/>
      <c r="I132" s="7">
        <v>1</v>
      </c>
      <c r="S132" s="5">
        <f>SUM(Tabel1[[#This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207</v>
      </c>
      <c r="Y132" t="s">
        <v>168</v>
      </c>
    </row>
    <row r="133" spans="1:25" x14ac:dyDescent="0.3">
      <c r="A133">
        <v>16282</v>
      </c>
      <c r="B133" t="str">
        <f>_xlfn.CONCAT(Tabel1[[#This Row],[personeelsnr]]," ",C133," ",D133)</f>
        <v>16282 Vandecasteele Ruth</v>
      </c>
      <c r="C133" t="str">
        <f>VLOOKUP(Tabel1[[#This Row],[personeelsnr]],'data hastus'!$A:$C,2,0)</f>
        <v>Vandecasteele</v>
      </c>
      <c r="D133" t="str">
        <f>VLOOKUP(Tabel1[[#This Row],[personeelsnr]],'data hastus'!$A:$C,3,0)</f>
        <v>Ruth</v>
      </c>
      <c r="E133" t="str">
        <f>VLOOKUP(Tabel1[[#This Row],[personeelsnr]],'data hastus'!A:K,11,FALSE)</f>
        <v>Kenneth De Rick</v>
      </c>
      <c r="F133" s="10"/>
      <c r="G133" s="7"/>
      <c r="H133" s="7"/>
      <c r="I133" s="7">
        <v>1</v>
      </c>
      <c r="S133" s="5">
        <f>SUM(Tabel1[[#This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207</v>
      </c>
      <c r="Y133" t="s">
        <v>215</v>
      </c>
    </row>
    <row r="134" spans="1:25" x14ac:dyDescent="0.3">
      <c r="A134">
        <v>9999</v>
      </c>
      <c r="B134" t="str">
        <f>_xlfn.CONCAT(Tabel1[[#This Row],[personeelsnr]]," ",C134," ",D134)</f>
        <v>9999 - -</v>
      </c>
      <c r="C134" t="s">
        <v>3388</v>
      </c>
      <c r="D134" t="s">
        <v>3388</v>
      </c>
      <c r="E134" t="s">
        <v>1165</v>
      </c>
      <c r="F134" s="10"/>
      <c r="G134" s="7"/>
      <c r="H134" s="7"/>
      <c r="I134" s="7">
        <v>1</v>
      </c>
      <c r="S134" s="5">
        <f>SUM(Tabel1[[#This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207</v>
      </c>
      <c r="Y134" t="s">
        <v>209</v>
      </c>
    </row>
    <row r="135" spans="1:25" x14ac:dyDescent="0.3">
      <c r="A135">
        <v>39654</v>
      </c>
      <c r="B135" t="str">
        <f>_xlfn.CONCAT(Tabel1[[#This Row],[personeelsnr]]," ",C135," ",D135)</f>
        <v>39654 Camacho Encarnacion Lisandro Javier</v>
      </c>
      <c r="C135" t="str">
        <f>VLOOKUP(Tabel1[[#This Row],[personeelsnr]],'data hastus'!$A:$C,2,0)</f>
        <v>Camacho Encarnacion</v>
      </c>
      <c r="D135" t="str">
        <f>VLOOKUP(Tabel1[[#This Row],[personeelsnr]],'data hastus'!$A:$C,3,0)</f>
        <v>Lisandro Javier</v>
      </c>
      <c r="E135" t="str">
        <f>VLOOKUP(Tabel1[[#This Row],[personeelsnr]],'data hastus'!A:K,11,FALSE)</f>
        <v>Kenneth De Rick</v>
      </c>
      <c r="F135" s="10"/>
      <c r="G135" s="7"/>
      <c r="H135" s="7"/>
      <c r="I135" s="7">
        <v>1</v>
      </c>
      <c r="S135" s="5">
        <f>SUM(Tabel1[[#This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206</v>
      </c>
      <c r="Y135" t="s">
        <v>175</v>
      </c>
    </row>
    <row r="136" spans="1:25" x14ac:dyDescent="0.3">
      <c r="A136">
        <v>33400</v>
      </c>
      <c r="B136" t="str">
        <f>_xlfn.CONCAT(Tabel1[[#This Row],[personeelsnr]]," ",C136," ",D136)</f>
        <v>33400 Petit Cynthia</v>
      </c>
      <c r="C136" t="str">
        <f>VLOOKUP(Tabel1[[#This Row],[personeelsnr]],'data hastus'!$A:$C,2,0)</f>
        <v>Petit</v>
      </c>
      <c r="D136" t="str">
        <f>VLOOKUP(Tabel1[[#This Row],[personeelsnr]],'data hastus'!$A:$C,3,0)</f>
        <v>Cynthia</v>
      </c>
      <c r="E136" t="str">
        <f>VLOOKUP(Tabel1[[#This Row],[personeelsnr]],'data hastus'!A:K,11,FALSE)</f>
        <v>Christoff Rotty</v>
      </c>
      <c r="F136" s="10"/>
      <c r="G136" s="7"/>
      <c r="H136" s="7"/>
      <c r="I136" s="7">
        <v>1</v>
      </c>
      <c r="S136" s="5">
        <f>SUM(Tabel1[[#This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206</v>
      </c>
      <c r="Y136" t="s">
        <v>230</v>
      </c>
    </row>
    <row r="137" spans="1:25" x14ac:dyDescent="0.3">
      <c r="A137">
        <v>12124</v>
      </c>
      <c r="B137" t="str">
        <f>_xlfn.CONCAT(Tabel1[[#This Row],[personeelsnr]]," ",C137," ",D137)</f>
        <v>12124 Van Vliet Tom</v>
      </c>
      <c r="C137" t="str">
        <f>VLOOKUP(Tabel1[[#This Row],[personeelsnr]],'data hastus'!$A:$C,2,0)</f>
        <v>Van Vliet</v>
      </c>
      <c r="D137" t="str">
        <f>VLOOKUP(Tabel1[[#This Row],[personeelsnr]],'data hastus'!$A:$C,3,0)</f>
        <v>Tom</v>
      </c>
      <c r="E137" t="str">
        <f>VLOOKUP(Tabel1[[#This Row],[personeelsnr]],'data hastus'!A:K,11,FALSE)</f>
        <v>Steven Storm</v>
      </c>
      <c r="F137" s="10"/>
      <c r="G137" s="7"/>
      <c r="H137" s="7"/>
      <c r="I137" s="7">
        <v>1</v>
      </c>
      <c r="S137" s="5">
        <f>SUM(Tabel1[[#This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207</v>
      </c>
      <c r="Y137" t="s">
        <v>232</v>
      </c>
    </row>
    <row r="138" spans="1:25" x14ac:dyDescent="0.3">
      <c r="A138">
        <v>37439</v>
      </c>
      <c r="B138" t="str">
        <f>_xlfn.CONCAT(Tabel1[[#This Row],[personeelsnr]]," ",C138," ",D138)</f>
        <v>37439 Demirkazik Mustafa</v>
      </c>
      <c r="C138" t="str">
        <f>VLOOKUP(Tabel1[[#This Row],[personeelsnr]],'data hastus'!$A:$C,2,0)</f>
        <v>Demirkazik</v>
      </c>
      <c r="D138" t="str">
        <f>VLOOKUP(Tabel1[[#This Row],[personeelsnr]],'data hastus'!$A:$C,3,0)</f>
        <v>Mustafa</v>
      </c>
      <c r="E138" t="str">
        <f>VLOOKUP(Tabel1[[#This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SUM(Tabel1[[#This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206</v>
      </c>
      <c r="Y138" t="s">
        <v>239</v>
      </c>
    </row>
    <row r="139" spans="1:25" x14ac:dyDescent="0.3">
      <c r="A139">
        <v>31600</v>
      </c>
      <c r="B139" t="str">
        <f>_xlfn.CONCAT(Tabel1[[#This Row],[personeelsnr]]," ",C139," ",D139)</f>
        <v>31600 Mertens Tom</v>
      </c>
      <c r="C139" t="str">
        <f>VLOOKUP(Tabel1[[#This Row],[personeelsnr]],'data hastus'!$A:$C,2,0)</f>
        <v>Mertens</v>
      </c>
      <c r="D139" t="str">
        <f>VLOOKUP(Tabel1[[#This Row],[personeelsnr]],'data hastus'!$A:$C,3,0)</f>
        <v>Tom</v>
      </c>
      <c r="E139" t="str">
        <f>VLOOKUP(Tabel1[[#This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SUM(Tabel1[[#This Row],[Januari]:[December]])</f>
        <v>1</v>
      </c>
      <c r="T139" s="9">
        <v>45386</v>
      </c>
      <c r="U139" s="8" t="s">
        <v>560</v>
      </c>
      <c r="V139" s="8">
        <v>1</v>
      </c>
      <c r="W139" s="8"/>
      <c r="X139" t="s">
        <v>206</v>
      </c>
      <c r="Y139" t="s">
        <v>334</v>
      </c>
    </row>
    <row r="140" spans="1:25" x14ac:dyDescent="0.3">
      <c r="A140">
        <v>19848</v>
      </c>
      <c r="B140" t="str">
        <f>_xlfn.CONCAT(Tabel1[[#This Row],[personeelsnr]]," ",C140," ",D140)</f>
        <v>19848 Gevaert Patrick</v>
      </c>
      <c r="C140" t="str">
        <f>VLOOKUP(Tabel1[[#This Row],[personeelsnr]],'data hastus'!$A:$C,2,0)</f>
        <v>Gevaert</v>
      </c>
      <c r="D140" t="str">
        <f>VLOOKUP(Tabel1[[#This Row],[personeelsnr]],'data hastus'!$A:$C,3,0)</f>
        <v>Patrick</v>
      </c>
      <c r="E140" t="str">
        <f>VLOOKUP(Tabel1[[#This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SUM(Tabel1[[#This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207</v>
      </c>
      <c r="Y140" t="s">
        <v>227</v>
      </c>
    </row>
    <row r="141" spans="1:25" x14ac:dyDescent="0.3">
      <c r="A141">
        <v>9999</v>
      </c>
      <c r="B141" t="str">
        <f>_xlfn.CONCAT(Tabel1[[#This Row],[personeelsnr]]," ",C141," ",D141)</f>
        <v>9999 - -</v>
      </c>
      <c r="C141" t="s">
        <v>3388</v>
      </c>
      <c r="D141" t="s">
        <v>3388</v>
      </c>
      <c r="E141" t="s">
        <v>1165</v>
      </c>
      <c r="F141" s="10"/>
      <c r="G141" s="7"/>
      <c r="H141" s="7"/>
      <c r="I141" s="7"/>
      <c r="J141" s="5">
        <v>1</v>
      </c>
      <c r="S141" s="5">
        <f>SUM(Tabel1[[#This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206</v>
      </c>
      <c r="Y141" t="s">
        <v>196</v>
      </c>
    </row>
    <row r="142" spans="1:25" x14ac:dyDescent="0.3">
      <c r="A142">
        <v>38481</v>
      </c>
      <c r="B142" t="str">
        <f>_xlfn.CONCAT(Tabel1[[#This Row],[personeelsnr]]," ",C142," ",D142)</f>
        <v>38481 Sari Devrim</v>
      </c>
      <c r="C142" t="str">
        <f>VLOOKUP(Tabel1[[#This Row],[personeelsnr]],'data hastus'!$A:$C,2,0)</f>
        <v>Sari</v>
      </c>
      <c r="D142" t="str">
        <f>VLOOKUP(Tabel1[[#This Row],[personeelsnr]],'data hastus'!$A:$C,3,0)</f>
        <v>Devrim</v>
      </c>
      <c r="E142" t="str">
        <f>VLOOKUP(Tabel1[[#This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SUM(Tabel1[[#This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206</v>
      </c>
      <c r="Y142" t="s">
        <v>204</v>
      </c>
    </row>
    <row r="143" spans="1:25" x14ac:dyDescent="0.3">
      <c r="A143">
        <v>37216</v>
      </c>
      <c r="B143" t="str">
        <f>_xlfn.CONCAT(Tabel1[[#This Row],[personeelsnr]]," ",C143," ",D143)</f>
        <v>37216 Antoniewicz Stephan</v>
      </c>
      <c r="C143" t="str">
        <f>VLOOKUP(Tabel1[[#This Row],[personeelsnr]],'data hastus'!$A:$C,2,0)</f>
        <v>Antoniewicz</v>
      </c>
      <c r="D143" t="str">
        <f>VLOOKUP(Tabel1[[#This Row],[personeelsnr]],'data hastus'!$A:$C,3,0)</f>
        <v>Stephan</v>
      </c>
      <c r="E143" t="str">
        <f>VLOOKUP(Tabel1[[#This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SUM(Tabel1[[#This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206</v>
      </c>
      <c r="Y143" t="s">
        <v>171</v>
      </c>
    </row>
    <row r="144" spans="1:25" x14ac:dyDescent="0.3">
      <c r="A144">
        <v>9999</v>
      </c>
      <c r="B144" t="str">
        <f>_xlfn.CONCAT(Tabel1[[#This Row],[personeelsnr]]," ",C144," ",D144)</f>
        <v>9999 - -</v>
      </c>
      <c r="C144" t="s">
        <v>3388</v>
      </c>
      <c r="D144" t="s">
        <v>3388</v>
      </c>
      <c r="E144" t="s">
        <v>1165</v>
      </c>
      <c r="F144" s="10"/>
      <c r="G144" s="7"/>
      <c r="H144" s="7"/>
      <c r="I144" s="7"/>
      <c r="J144" s="5">
        <v>1</v>
      </c>
      <c r="S144" s="5">
        <f>SUM(Tabel1[[#This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206</v>
      </c>
      <c r="Y144" t="s">
        <v>168</v>
      </c>
    </row>
    <row r="145" spans="1:25" x14ac:dyDescent="0.3">
      <c r="A145">
        <v>29179</v>
      </c>
      <c r="B145" t="str">
        <f>_xlfn.CONCAT(Tabel1[[#This Row],[personeelsnr]]," ",C145," ",D145)</f>
        <v>29179 Verwee Dries</v>
      </c>
      <c r="C145" t="str">
        <f>VLOOKUP(Tabel1[[#This Row],[personeelsnr]],'data hastus'!$A:$C,2,0)</f>
        <v>Verwee</v>
      </c>
      <c r="D145" t="str">
        <f>VLOOKUP(Tabel1[[#This Row],[personeelsnr]],'data hastus'!$A:$C,3,0)</f>
        <v>Dries</v>
      </c>
      <c r="E145" t="str">
        <f>VLOOKUP(Tabel1[[#This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SUM(Tabel1[[#This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206</v>
      </c>
      <c r="Y145" t="s">
        <v>172</v>
      </c>
    </row>
    <row r="146" spans="1:25" x14ac:dyDescent="0.3">
      <c r="A146">
        <v>34385</v>
      </c>
      <c r="B146" t="str">
        <f>_xlfn.CONCAT(Tabel1[[#This Row],[personeelsnr]]," ",C146," ",D146)</f>
        <v>34385 Goosens Wesley</v>
      </c>
      <c r="C146" t="s">
        <v>567</v>
      </c>
      <c r="D146" t="s">
        <v>568</v>
      </c>
      <c r="E146" t="s">
        <v>397</v>
      </c>
      <c r="F146" s="10"/>
      <c r="G146" s="7"/>
      <c r="H146" s="7"/>
      <c r="I146" s="7"/>
      <c r="J146" s="5">
        <v>1</v>
      </c>
      <c r="S146" s="5">
        <f>SUM(Tabel1[[#This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206</v>
      </c>
      <c r="Y146" t="s">
        <v>170</v>
      </c>
    </row>
    <row r="147" spans="1:25" x14ac:dyDescent="0.3">
      <c r="A147">
        <v>32620</v>
      </c>
      <c r="B147" t="str">
        <f>_xlfn.CONCAT(Tabel1[[#This Row],[personeelsnr]]," ",C147," ",D147)</f>
        <v>32620 Saey Elias</v>
      </c>
      <c r="C147" t="str">
        <f>VLOOKUP(Tabel1[[#This Row],[personeelsnr]],'data hastus'!$A:$C,2,0)</f>
        <v>Saey</v>
      </c>
      <c r="D147" t="str">
        <f>VLOOKUP(Tabel1[[#This Row],[personeelsnr]],'data hastus'!$A:$C,3,0)</f>
        <v>Elias</v>
      </c>
      <c r="E147" t="str">
        <f>VLOOKUP(Tabel1[[#This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SUM(Tabel1[[#This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206</v>
      </c>
      <c r="Y147" t="s">
        <v>167</v>
      </c>
    </row>
    <row r="148" spans="1:25" x14ac:dyDescent="0.3">
      <c r="A148">
        <v>9999</v>
      </c>
      <c r="B148" t="str">
        <f>_xlfn.CONCAT(Tabel1[[#This Row],[personeelsnr]]," ",C148," ",D148)</f>
        <v>9999 - -</v>
      </c>
      <c r="C148" t="s">
        <v>3388</v>
      </c>
      <c r="D148" t="s">
        <v>3388</v>
      </c>
      <c r="E148" t="s">
        <v>1165</v>
      </c>
      <c r="F148" s="10"/>
      <c r="G148" s="7"/>
      <c r="H148" s="7"/>
      <c r="I148" s="7"/>
      <c r="J148" s="5">
        <v>1</v>
      </c>
      <c r="S148" s="5">
        <f>SUM(Tabel1[[#This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207</v>
      </c>
      <c r="Y148" t="s">
        <v>219</v>
      </c>
    </row>
    <row r="149" spans="1:25" x14ac:dyDescent="0.3">
      <c r="A149">
        <v>8708</v>
      </c>
      <c r="B149" t="str">
        <f>_xlfn.CONCAT(Tabel1[[#This Row],[personeelsnr]]," ",C149," ",D149)</f>
        <v>8708 Middernacht Andy</v>
      </c>
      <c r="C149" t="str">
        <f>VLOOKUP(Tabel1[[#This Row],[personeelsnr]],'data hastus'!$A:$C,2,0)</f>
        <v>Middernacht</v>
      </c>
      <c r="D149" t="str">
        <f>VLOOKUP(Tabel1[[#This Row],[personeelsnr]],'data hastus'!$A:$C,3,0)</f>
        <v>Andy</v>
      </c>
      <c r="E149" t="str">
        <f>VLOOKUP(Tabel1[[#This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SUM(Tabel1[[#This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206</v>
      </c>
      <c r="Y149" t="s">
        <v>259</v>
      </c>
    </row>
    <row r="150" spans="1:25" x14ac:dyDescent="0.3">
      <c r="A150">
        <v>9999</v>
      </c>
      <c r="B150" t="str">
        <f>_xlfn.CONCAT(Tabel1[[#This Row],[personeelsnr]]," ",C150," ",D150)</f>
        <v>9999 - -</v>
      </c>
      <c r="C150" t="s">
        <v>3388</v>
      </c>
      <c r="D150" t="s">
        <v>3388</v>
      </c>
      <c r="E150" t="s">
        <v>1165</v>
      </c>
      <c r="F150" s="10"/>
      <c r="G150" s="7"/>
      <c r="H150" s="7"/>
      <c r="I150" s="7"/>
      <c r="J150" s="5">
        <v>1</v>
      </c>
      <c r="S150" s="5">
        <f>SUM(Tabel1[[#This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207</v>
      </c>
      <c r="Y150" t="s">
        <v>219</v>
      </c>
    </row>
    <row r="151" spans="1:25" x14ac:dyDescent="0.3">
      <c r="A151">
        <v>38807</v>
      </c>
      <c r="B151" t="str">
        <f>_xlfn.CONCAT(Tabel1[[#This Row],[personeelsnr]]," ",C151," ",D151)</f>
        <v>38807 Dossche Caroline</v>
      </c>
      <c r="C151" t="str">
        <f>VLOOKUP(Tabel1[[#This Row],[personeelsnr]],'data hastus'!$A:$C,2,0)</f>
        <v>Dossche</v>
      </c>
      <c r="D151" t="str">
        <f>VLOOKUP(Tabel1[[#This Row],[personeelsnr]],'data hastus'!$A:$C,3,0)</f>
        <v>Caroline</v>
      </c>
      <c r="E151" t="str">
        <f>VLOOKUP(Tabel1[[#This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SUM(Tabel1[[#This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206</v>
      </c>
      <c r="Y151" t="s">
        <v>258</v>
      </c>
    </row>
    <row r="152" spans="1:25" x14ac:dyDescent="0.3">
      <c r="A152">
        <v>28717</v>
      </c>
      <c r="B152" t="str">
        <f>_xlfn.CONCAT(Tabel1[[#This Row],[personeelsnr]]," ",C152," ",D152)</f>
        <v>28717 Dejonckheere Els</v>
      </c>
      <c r="C152" t="str">
        <f>VLOOKUP(Tabel1[[#This Row],[personeelsnr]],'data hastus'!$A:$C,2,0)</f>
        <v>Dejonckheere</v>
      </c>
      <c r="D152" t="str">
        <f>VLOOKUP(Tabel1[[#This Row],[personeelsnr]],'data hastus'!$A:$C,3,0)</f>
        <v>Els</v>
      </c>
      <c r="E152" t="str">
        <f>VLOOKUP(Tabel1[[#This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SUM(Tabel1[[#This Row],[Januari]:[December]])</f>
        <v>1</v>
      </c>
      <c r="T152" s="9">
        <v>45394</v>
      </c>
      <c r="U152" s="8" t="s">
        <v>575</v>
      </c>
      <c r="V152" s="8">
        <v>1</v>
      </c>
      <c r="W152" s="8"/>
      <c r="X152" t="s">
        <v>206</v>
      </c>
      <c r="Y152" t="s">
        <v>167</v>
      </c>
    </row>
    <row r="153" spans="1:25" x14ac:dyDescent="0.3">
      <c r="A153">
        <v>39930</v>
      </c>
      <c r="B153" t="str">
        <f>_xlfn.CONCAT(Tabel1[[#This Row],[personeelsnr]]," ",C153," ",D153)</f>
        <v>39930 Mirazai Rahmatullah</v>
      </c>
      <c r="C153" t="str">
        <f>VLOOKUP(Tabel1[[#This Row],[personeelsnr]],'data hastus'!$A:$C,2,0)</f>
        <v>Mirazai</v>
      </c>
      <c r="D153" t="str">
        <f>VLOOKUP(Tabel1[[#This Row],[personeelsnr]],'data hastus'!$A:$C,3,0)</f>
        <v>Rahmatullah</v>
      </c>
      <c r="E153" t="str">
        <f>VLOOKUP(Tabel1[[#This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SUM(Tabel1[[#This Row],[Januari]:[December]])</f>
        <v>1</v>
      </c>
      <c r="T153" s="9">
        <v>45395</v>
      </c>
      <c r="U153" s="8" t="s">
        <v>576</v>
      </c>
      <c r="V153" s="8">
        <v>1</v>
      </c>
      <c r="W153" s="8"/>
      <c r="X153" t="s">
        <v>206</v>
      </c>
      <c r="Y153" t="s">
        <v>275</v>
      </c>
    </row>
    <row r="154" spans="1:25" x14ac:dyDescent="0.3">
      <c r="A154">
        <v>36429</v>
      </c>
      <c r="B154" t="str">
        <f>_xlfn.CONCAT(Tabel1[[#This Row],[personeelsnr]]," ",C154," ",D154)</f>
        <v>36429 Ahlaloum Khalid</v>
      </c>
      <c r="C154" t="str">
        <f>VLOOKUP(Tabel1[[#This Row],[personeelsnr]],'data hastus'!$A:$C,2,0)</f>
        <v>Ahlaloum</v>
      </c>
      <c r="D154" t="str">
        <f>VLOOKUP(Tabel1[[#This Row],[personeelsnr]],'data hastus'!$A:$C,3,0)</f>
        <v>Khalid</v>
      </c>
      <c r="E154" t="str">
        <f>VLOOKUP(Tabel1[[#This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SUM(Tabel1[[#This Row],[Januari]:[December]])</f>
        <v>1</v>
      </c>
      <c r="T154" s="9">
        <v>45396</v>
      </c>
      <c r="U154" s="8" t="s">
        <v>577</v>
      </c>
      <c r="V154" s="8">
        <v>1</v>
      </c>
      <c r="W154" s="8"/>
      <c r="X154" t="s">
        <v>206</v>
      </c>
      <c r="Y154" t="s">
        <v>171</v>
      </c>
    </row>
    <row r="155" spans="1:25" x14ac:dyDescent="0.3">
      <c r="A155">
        <v>38634</v>
      </c>
      <c r="B155" t="str">
        <f>_xlfn.CONCAT(Tabel1[[#This Row],[personeelsnr]]," ",C155," ",D155)</f>
        <v>38634 Asskale Zouhir</v>
      </c>
      <c r="C155" t="str">
        <f>VLOOKUP(Tabel1[[#This Row],[personeelsnr]],'data hastus'!$A:$C,2,0)</f>
        <v>Asskale</v>
      </c>
      <c r="D155" t="str">
        <f>VLOOKUP(Tabel1[[#This Row],[personeelsnr]],'data hastus'!$A:$C,3,0)</f>
        <v>Zouhir</v>
      </c>
      <c r="E155" t="str">
        <f>VLOOKUP(Tabel1[[#This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SUM(Tabel1[[#This Row],[Januari]:[December]])</f>
        <v>1</v>
      </c>
      <c r="T155" s="9">
        <v>45397</v>
      </c>
      <c r="U155" s="8" t="s">
        <v>578</v>
      </c>
      <c r="V155" s="8">
        <v>1</v>
      </c>
      <c r="W155" s="8"/>
      <c r="X155" t="s">
        <v>206</v>
      </c>
      <c r="Y155" t="s">
        <v>247</v>
      </c>
    </row>
    <row r="156" spans="1:25" x14ac:dyDescent="0.3">
      <c r="A156">
        <v>31733</v>
      </c>
      <c r="B156" t="str">
        <f>_xlfn.CONCAT(Tabel1[[#This Row],[personeelsnr]]," ",C156," ",D156)</f>
        <v>31733 Sonck Kristof</v>
      </c>
      <c r="C156" t="str">
        <f>VLOOKUP(Tabel1[[#This Row],[personeelsnr]],'data hastus'!$A:$C,2,0)</f>
        <v>Sonck</v>
      </c>
      <c r="D156" t="str">
        <f>VLOOKUP(Tabel1[[#This Row],[personeelsnr]],'data hastus'!$A:$C,3,0)</f>
        <v>Kristof</v>
      </c>
      <c r="E156" t="str">
        <f>VLOOKUP(Tabel1[[#This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SUM(Tabel1[[#This Row],[Januari]:[December]])</f>
        <v>1</v>
      </c>
      <c r="T156" s="9">
        <v>45399</v>
      </c>
      <c r="U156" s="8" t="s">
        <v>579</v>
      </c>
      <c r="V156" s="8">
        <v>1</v>
      </c>
      <c r="W156" s="8"/>
      <c r="X156" t="s">
        <v>206</v>
      </c>
      <c r="Y156" t="s">
        <v>167</v>
      </c>
    </row>
    <row r="157" spans="1:25" x14ac:dyDescent="0.3">
      <c r="A157">
        <v>39829</v>
      </c>
      <c r="B157" t="str">
        <f>_xlfn.CONCAT(Tabel1[[#This Row],[personeelsnr]]," ",C157," ",D157)</f>
        <v>39829 Demirkaya Serkan</v>
      </c>
      <c r="C157" t="str">
        <f>VLOOKUP(Tabel1[[#This Row],[personeelsnr]],'data hastus'!$A:$C,2,0)</f>
        <v>Demirkaya</v>
      </c>
      <c r="D157" t="str">
        <f>VLOOKUP(Tabel1[[#This Row],[personeelsnr]],'data hastus'!$A:$C,3,0)</f>
        <v>Serkan</v>
      </c>
      <c r="E157" t="str">
        <f>VLOOKUP(Tabel1[[#This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SUM(Tabel1[[#This Row],[Januari]:[December]])</f>
        <v>1</v>
      </c>
      <c r="T157" s="9">
        <v>45399</v>
      </c>
      <c r="U157" s="8" t="s">
        <v>580</v>
      </c>
      <c r="V157" s="8">
        <v>1</v>
      </c>
      <c r="W157" s="8"/>
      <c r="X157" t="s">
        <v>206</v>
      </c>
      <c r="Y157" t="s">
        <v>242</v>
      </c>
    </row>
    <row r="158" spans="1:25" x14ac:dyDescent="0.3">
      <c r="A158">
        <v>40223</v>
      </c>
      <c r="B158" t="str">
        <f>_xlfn.CONCAT(Tabel1[[#This Row],[personeelsnr]]," ",C158," ",D158)</f>
        <v>40223 Teetaert Billy</v>
      </c>
      <c r="C158" t="str">
        <f>VLOOKUP(Tabel1[[#This Row],[personeelsnr]],'data hastus'!$A:$C,2,0)</f>
        <v>Teetaert</v>
      </c>
      <c r="D158" t="str">
        <f>VLOOKUP(Tabel1[[#This Row],[personeelsnr]],'data hastus'!$A:$C,3,0)</f>
        <v>Billy</v>
      </c>
      <c r="E158" t="str">
        <f>VLOOKUP(Tabel1[[#This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SUM(Tabel1[[#This Row],[Januari]:[December]])</f>
        <v>1</v>
      </c>
      <c r="T158" s="9">
        <v>45399</v>
      </c>
      <c r="U158" s="8" t="s">
        <v>581</v>
      </c>
      <c r="V158" s="8">
        <v>1</v>
      </c>
      <c r="W158" s="8"/>
      <c r="X158" t="s">
        <v>206</v>
      </c>
      <c r="Y158" t="s">
        <v>186</v>
      </c>
    </row>
    <row r="159" spans="1:25" x14ac:dyDescent="0.3">
      <c r="A159">
        <v>5599</v>
      </c>
      <c r="B159" t="str">
        <f>_xlfn.CONCAT(Tabel1[[#This Row],[personeelsnr]]," ",C159," ",D159)</f>
        <v>5599 Pretel Philippe</v>
      </c>
      <c r="C159" t="str">
        <f>VLOOKUP(Tabel1[[#This Row],[personeelsnr]],'data hastus'!$A:$C,2,0)</f>
        <v>Pretel</v>
      </c>
      <c r="D159" t="str">
        <f>VLOOKUP(Tabel1[[#This Row],[personeelsnr]],'data hastus'!$A:$C,3,0)</f>
        <v>Philippe</v>
      </c>
      <c r="E159" t="str">
        <f>VLOOKUP(Tabel1[[#This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SUM(Tabel1[[#This Row],[Januari]:[December]])</f>
        <v>1</v>
      </c>
      <c r="T159" s="9">
        <v>45399</v>
      </c>
      <c r="U159" s="8" t="s">
        <v>582</v>
      </c>
      <c r="V159" s="8"/>
      <c r="W159" s="8">
        <v>1</v>
      </c>
      <c r="X159" t="s">
        <v>207</v>
      </c>
      <c r="Y159" t="s">
        <v>168</v>
      </c>
    </row>
    <row r="160" spans="1:25" x14ac:dyDescent="0.3">
      <c r="A160">
        <v>38481</v>
      </c>
      <c r="B160" t="str">
        <f>_xlfn.CONCAT(Tabel1[[#This Row],[personeelsnr]]," ",C160," ",D160)</f>
        <v>38481 Sari Devrim</v>
      </c>
      <c r="C160" t="str">
        <f>VLOOKUP(Tabel1[[#This Row],[personeelsnr]],'data hastus'!$A:$C,2,0)</f>
        <v>Sari</v>
      </c>
      <c r="D160" t="str">
        <f>VLOOKUP(Tabel1[[#This Row],[personeelsnr]],'data hastus'!$A:$C,3,0)</f>
        <v>Devrim</v>
      </c>
      <c r="E160" t="str">
        <f>VLOOKUP(Tabel1[[#This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SUM(Tabel1[[#This Row],[Januari]:[December]])</f>
        <v>1</v>
      </c>
      <c r="T160" s="9">
        <v>45400</v>
      </c>
      <c r="U160" s="8" t="s">
        <v>583</v>
      </c>
      <c r="V160" s="8">
        <v>1</v>
      </c>
      <c r="W160" s="8"/>
      <c r="X160" t="s">
        <v>206</v>
      </c>
      <c r="Y160" t="s">
        <v>182</v>
      </c>
    </row>
    <row r="161" spans="1:27" x14ac:dyDescent="0.3">
      <c r="A161">
        <v>35450</v>
      </c>
      <c r="B161" t="str">
        <f>_xlfn.CONCAT(Tabel1[[#This Row],[personeelsnr]]," ",C161," ",D161)</f>
        <v>35450 Roos Hugo</v>
      </c>
      <c r="C161" t="str">
        <f>VLOOKUP(Tabel1[[#This Row],[personeelsnr]],'data hastus'!$A:$C,2,0)</f>
        <v>Roos</v>
      </c>
      <c r="D161" t="str">
        <f>VLOOKUP(Tabel1[[#This Row],[personeelsnr]],'data hastus'!$A:$C,3,0)</f>
        <v>Hugo</v>
      </c>
      <c r="E161" t="str">
        <f>VLOOKUP(Tabel1[[#This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SUM(Tabel1[[#This Row],[Januari]:[December]])</f>
        <v>1</v>
      </c>
      <c r="T161" s="9">
        <v>45400</v>
      </c>
      <c r="U161" s="8" t="s">
        <v>584</v>
      </c>
      <c r="V161" s="8">
        <v>1</v>
      </c>
      <c r="W161" s="8"/>
      <c r="X161" t="s">
        <v>206</v>
      </c>
      <c r="Y161" t="s">
        <v>167</v>
      </c>
    </row>
    <row r="162" spans="1:27" x14ac:dyDescent="0.3">
      <c r="A162">
        <v>34351</v>
      </c>
      <c r="B162" t="str">
        <f>_xlfn.CONCAT(Tabel1[[#This Row],[personeelsnr]]," ",C162," ",D162)</f>
        <v>34351 Callant Dieter</v>
      </c>
      <c r="C162" t="str">
        <f>VLOOKUP(Tabel1[[#This Row],[personeelsnr]],'data hastus'!$A:$C,2,0)</f>
        <v>Callant</v>
      </c>
      <c r="D162" t="str">
        <f>VLOOKUP(Tabel1[[#This Row],[personeelsnr]],'data hastus'!$A:$C,3,0)</f>
        <v>Dieter</v>
      </c>
      <c r="E162" t="str">
        <f>VLOOKUP(Tabel1[[#This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SUM(Tabel1[[#This Row],[Januari]:[December]])</f>
        <v>1</v>
      </c>
      <c r="T162" s="9">
        <v>45401</v>
      </c>
      <c r="U162" s="8" t="s">
        <v>585</v>
      </c>
      <c r="V162" s="8">
        <v>1</v>
      </c>
      <c r="W162" s="8"/>
      <c r="X162" t="s">
        <v>206</v>
      </c>
      <c r="Y162" t="s">
        <v>364</v>
      </c>
      <c r="AA162" s="8"/>
    </row>
    <row r="163" spans="1:27" x14ac:dyDescent="0.3">
      <c r="A163">
        <v>39183</v>
      </c>
      <c r="B163" t="str">
        <f>_xlfn.CONCAT(Tabel1[[#This Row],[personeelsnr]]," ",C163," ",D163)</f>
        <v>39183 Al Masri Anas</v>
      </c>
      <c r="C163" t="str">
        <f>VLOOKUP(Tabel1[[#This Row],[personeelsnr]],'data hastus'!$A:$C,2,0)</f>
        <v>Al Masri</v>
      </c>
      <c r="D163" t="str">
        <f>VLOOKUP(Tabel1[[#This Row],[personeelsnr]],'data hastus'!$A:$C,3,0)</f>
        <v>Anas</v>
      </c>
      <c r="E163" t="str">
        <f>VLOOKUP(Tabel1[[#This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SUM(Tabel1[[#This Row],[Januari]:[December]])</f>
        <v>1</v>
      </c>
      <c r="T163" s="9">
        <v>45401</v>
      </c>
      <c r="U163" s="8" t="s">
        <v>586</v>
      </c>
      <c r="V163" s="8">
        <v>1</v>
      </c>
      <c r="W163" s="8"/>
      <c r="X163" t="s">
        <v>206</v>
      </c>
      <c r="Y163" t="s">
        <v>239</v>
      </c>
    </row>
    <row r="164" spans="1:27" x14ac:dyDescent="0.3">
      <c r="A164">
        <v>21509</v>
      </c>
      <c r="B164" t="str">
        <f>_xlfn.CONCAT(Tabel1[[#This Row],[personeelsnr]]," ",C164," ",D164)</f>
        <v>21509 De Craemer Kris</v>
      </c>
      <c r="C164" t="str">
        <f>VLOOKUP(Tabel1[[#This Row],[personeelsnr]],'data hastus'!$A:$C,2,0)</f>
        <v>De Craemer</v>
      </c>
      <c r="D164" t="str">
        <f>VLOOKUP(Tabel1[[#This Row],[personeelsnr]],'data hastus'!$A:$C,3,0)</f>
        <v>Kris</v>
      </c>
      <c r="E164" t="str">
        <f>VLOOKUP(Tabel1[[#This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SUM(Tabel1[[#This Row],[Januari]:[December]])</f>
        <v>1</v>
      </c>
      <c r="T164" s="9">
        <v>45401</v>
      </c>
      <c r="U164" s="8" t="s">
        <v>587</v>
      </c>
      <c r="V164" s="8"/>
      <c r="W164" s="8">
        <v>1</v>
      </c>
      <c r="X164" t="s">
        <v>207</v>
      </c>
      <c r="Y164" t="s">
        <v>256</v>
      </c>
    </row>
    <row r="165" spans="1:27" x14ac:dyDescent="0.3">
      <c r="A165">
        <v>34044</v>
      </c>
      <c r="B165" t="str">
        <f>_xlfn.CONCAT(Tabel1[[#This Row],[personeelsnr]]," ",C165," ",D165)</f>
        <v>34044 Wieme Kevin</v>
      </c>
      <c r="C165" t="str">
        <f>VLOOKUP(Tabel1[[#This Row],[personeelsnr]],'data hastus'!$A:$C,2,0)</f>
        <v>Wieme</v>
      </c>
      <c r="D165" t="str">
        <f>VLOOKUP(Tabel1[[#This Row],[personeelsnr]],'data hastus'!$A:$C,3,0)</f>
        <v>Kevin</v>
      </c>
      <c r="E165" t="str">
        <f>VLOOKUP(Tabel1[[#This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SUM(Tabel1[[#This Row],[Januari]:[December]])</f>
        <v>1</v>
      </c>
      <c r="T165" s="9">
        <v>45401</v>
      </c>
      <c r="U165" s="8" t="s">
        <v>588</v>
      </c>
      <c r="V165" s="8"/>
      <c r="W165" s="8">
        <v>1</v>
      </c>
      <c r="X165" t="s">
        <v>207</v>
      </c>
      <c r="Y165" t="s">
        <v>174</v>
      </c>
    </row>
    <row r="166" spans="1:27" x14ac:dyDescent="0.3">
      <c r="A166">
        <v>11866</v>
      </c>
      <c r="B166" t="str">
        <f>_xlfn.CONCAT(Tabel1[[#This Row],[personeelsnr]]," ",C166," ",D166)</f>
        <v>11866 Bolle Pascal</v>
      </c>
      <c r="C166" t="str">
        <f>VLOOKUP(Tabel1[[#This Row],[personeelsnr]],'data hastus'!$A:$C,2,0)</f>
        <v>Bolle</v>
      </c>
      <c r="D166" t="str">
        <f>VLOOKUP(Tabel1[[#This Row],[personeelsnr]],'data hastus'!$A:$C,3,0)</f>
        <v>Pascal</v>
      </c>
      <c r="E166" t="str">
        <f>VLOOKUP(Tabel1[[#This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SUM(Tabel1[[#This Row],[Januari]:[December]])</f>
        <v>1</v>
      </c>
      <c r="T166" s="9">
        <v>45402</v>
      </c>
      <c r="U166" s="8" t="s">
        <v>589</v>
      </c>
      <c r="V166" s="8"/>
      <c r="W166" s="8">
        <v>1</v>
      </c>
      <c r="X166" t="s">
        <v>207</v>
      </c>
      <c r="Y166" t="s">
        <v>167</v>
      </c>
    </row>
    <row r="167" spans="1:27" x14ac:dyDescent="0.3">
      <c r="A167">
        <v>9999</v>
      </c>
      <c r="B167" t="str">
        <f>_xlfn.CONCAT(Tabel1[[#This Row],[personeelsnr]]," ",C167," ",D167)</f>
        <v>9999 - -</v>
      </c>
      <c r="C167" t="s">
        <v>3388</v>
      </c>
      <c r="D167" t="s">
        <v>3388</v>
      </c>
      <c r="E167" t="s">
        <v>1165</v>
      </c>
      <c r="F167" s="10"/>
      <c r="G167" s="7"/>
      <c r="H167" s="7"/>
      <c r="I167" s="7"/>
      <c r="J167" s="5">
        <v>1</v>
      </c>
      <c r="S167" s="5">
        <f>SUM(Tabel1[[#This Row],[Januari]:[December]])</f>
        <v>1</v>
      </c>
      <c r="T167" s="9">
        <v>45403</v>
      </c>
      <c r="U167" s="8" t="s">
        <v>590</v>
      </c>
      <c r="V167" s="8">
        <v>1</v>
      </c>
      <c r="W167" s="8"/>
      <c r="X167" t="s">
        <v>206</v>
      </c>
      <c r="Y167" t="s">
        <v>178</v>
      </c>
    </row>
    <row r="168" spans="1:27" x14ac:dyDescent="0.3">
      <c r="A168">
        <v>21124</v>
      </c>
      <c r="B168" t="str">
        <f>_xlfn.CONCAT(Tabel1[[#This Row],[personeelsnr]]," ",C168," ",D168)</f>
        <v>21124 De Ridder Danny</v>
      </c>
      <c r="C168" t="str">
        <f>VLOOKUP(Tabel1[[#This Row],[personeelsnr]],'data hastus'!$A:$C,2,0)</f>
        <v>De Ridder</v>
      </c>
      <c r="D168" t="str">
        <f>VLOOKUP(Tabel1[[#This Row],[personeelsnr]],'data hastus'!$A:$C,3,0)</f>
        <v>Danny</v>
      </c>
      <c r="E168" t="str">
        <f>VLOOKUP(Tabel1[[#This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SUM(Tabel1[[#This Row],[Januari]:[December]])</f>
        <v>1</v>
      </c>
      <c r="T168" s="9">
        <v>45404</v>
      </c>
      <c r="U168" s="8" t="s">
        <v>591</v>
      </c>
      <c r="V168" s="8">
        <v>1</v>
      </c>
      <c r="W168" s="8"/>
      <c r="X168" t="s">
        <v>206</v>
      </c>
      <c r="Y168" t="s">
        <v>173</v>
      </c>
    </row>
    <row r="169" spans="1:27" x14ac:dyDescent="0.3">
      <c r="A169">
        <v>22625</v>
      </c>
      <c r="B169" t="str">
        <f>_xlfn.CONCAT(Tabel1[[#This Row],[personeelsnr]]," ",C169," ",D169)</f>
        <v>22625 Callebert Pieter Jan</v>
      </c>
      <c r="C169" t="str">
        <f>VLOOKUP(Tabel1[[#This Row],[personeelsnr]],'data hastus'!$A:$C,2,0)</f>
        <v>Callebert</v>
      </c>
      <c r="D169" t="str">
        <f>VLOOKUP(Tabel1[[#This Row],[personeelsnr]],'data hastus'!$A:$C,3,0)</f>
        <v>Pieter Jan</v>
      </c>
      <c r="E169" t="str">
        <f>VLOOKUP(Tabel1[[#This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SUM(Tabel1[[#This Row],[Januari]:[December]])</f>
        <v>1</v>
      </c>
      <c r="T169" s="9">
        <v>45404</v>
      </c>
      <c r="U169" s="8" t="s">
        <v>592</v>
      </c>
      <c r="V169" s="8">
        <v>1</v>
      </c>
      <c r="W169" s="8"/>
      <c r="X169" t="s">
        <v>206</v>
      </c>
      <c r="Y169" t="s">
        <v>167</v>
      </c>
    </row>
    <row r="170" spans="1:27" x14ac:dyDescent="0.3">
      <c r="A170">
        <v>36626</v>
      </c>
      <c r="B170" t="str">
        <f>_xlfn.CONCAT(Tabel1[[#This Row],[personeelsnr]]," ",C170," ",D170)</f>
        <v>36626 Kartal Kadir</v>
      </c>
      <c r="C170" t="str">
        <f>VLOOKUP(Tabel1[[#This Row],[personeelsnr]],'data hastus'!$A:$C,2,0)</f>
        <v>Kartal</v>
      </c>
      <c r="D170" t="str">
        <f>VLOOKUP(Tabel1[[#This Row],[personeelsnr]],'data hastus'!$A:$C,3,0)</f>
        <v>Kadir</v>
      </c>
      <c r="E170" t="str">
        <f>VLOOKUP(Tabel1[[#This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SUM(Tabel1[[#This Row],[Januari]:[December]])</f>
        <v>1</v>
      </c>
      <c r="T170" s="9">
        <v>45405</v>
      </c>
      <c r="U170" s="8" t="s">
        <v>593</v>
      </c>
      <c r="V170" s="8">
        <v>1</v>
      </c>
      <c r="W170" s="8"/>
      <c r="X170" t="s">
        <v>206</v>
      </c>
      <c r="Y170" t="s">
        <v>184</v>
      </c>
    </row>
    <row r="171" spans="1:27" x14ac:dyDescent="0.3">
      <c r="A171">
        <v>39927</v>
      </c>
      <c r="B171" t="str">
        <f>_xlfn.CONCAT(Tabel1[[#This Row],[personeelsnr]]," ",C171," ",D171)</f>
        <v>39927 De Wilde Jordy</v>
      </c>
      <c r="C171" t="str">
        <f>VLOOKUP(Tabel1[[#This Row],[personeelsnr]],'data hastus'!$A:$C,2,0)</f>
        <v>De Wilde</v>
      </c>
      <c r="D171" t="str">
        <f>VLOOKUP(Tabel1[[#This Row],[personeelsnr]],'data hastus'!$A:$C,3,0)</f>
        <v>Jordy</v>
      </c>
      <c r="E171" t="str">
        <f>VLOOKUP(Tabel1[[#This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SUM(Tabel1[[#This Row],[Januari]:[December]])</f>
        <v>1</v>
      </c>
      <c r="T171" s="9">
        <v>45405</v>
      </c>
      <c r="U171" s="8" t="s">
        <v>594</v>
      </c>
      <c r="V171" s="8">
        <v>1</v>
      </c>
      <c r="W171" s="8"/>
      <c r="X171" t="s">
        <v>206</v>
      </c>
      <c r="Y171" t="s">
        <v>167</v>
      </c>
    </row>
    <row r="172" spans="1:27" x14ac:dyDescent="0.3">
      <c r="A172">
        <v>39899</v>
      </c>
      <c r="B172" t="str">
        <f>_xlfn.CONCAT(Tabel1[[#This Row],[personeelsnr]]," ",C172," ",D172)</f>
        <v>39899 Calinalti Abdil</v>
      </c>
      <c r="C172" t="str">
        <f>VLOOKUP(Tabel1[[#This Row],[personeelsnr]],'data hastus'!$A:$C,2,0)</f>
        <v>Calinalti</v>
      </c>
      <c r="D172" t="str">
        <f>VLOOKUP(Tabel1[[#This Row],[personeelsnr]],'data hastus'!$A:$C,3,0)</f>
        <v>Abdil</v>
      </c>
      <c r="E172" t="str">
        <f>VLOOKUP(Tabel1[[#This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SUM(Tabel1[[#This Row],[Januari]:[December]])</f>
        <v>1</v>
      </c>
      <c r="T172" s="9">
        <v>45405</v>
      </c>
      <c r="U172" s="8" t="s">
        <v>595</v>
      </c>
      <c r="V172" s="8">
        <v>1</v>
      </c>
      <c r="W172" s="8"/>
      <c r="X172" t="s">
        <v>206</v>
      </c>
      <c r="Y172" t="s">
        <v>285</v>
      </c>
    </row>
    <row r="173" spans="1:27" x14ac:dyDescent="0.3">
      <c r="A173">
        <v>37951</v>
      </c>
      <c r="B173" t="str">
        <f>_xlfn.CONCAT(Tabel1[[#This Row],[personeelsnr]]," ",C173," ",D173)</f>
        <v>37951 Van De Voorde Cindy</v>
      </c>
      <c r="C173" t="str">
        <f>VLOOKUP(Tabel1[[#This Row],[personeelsnr]],'data hastus'!$A:$C,2,0)</f>
        <v>Van De Voorde</v>
      </c>
      <c r="D173" t="str">
        <f>VLOOKUP(Tabel1[[#This Row],[personeelsnr]],'data hastus'!$A:$C,3,0)</f>
        <v>Cindy</v>
      </c>
      <c r="E173" t="str">
        <f>VLOOKUP(Tabel1[[#This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SUM(Tabel1[[#This Row],[Januari]:[December]])</f>
        <v>1</v>
      </c>
      <c r="T173" s="9">
        <v>45406</v>
      </c>
      <c r="U173" s="8" t="s">
        <v>596</v>
      </c>
      <c r="V173" s="8">
        <v>1</v>
      </c>
      <c r="W173" s="8"/>
      <c r="X173" t="s">
        <v>206</v>
      </c>
      <c r="Y173" t="s">
        <v>274</v>
      </c>
    </row>
    <row r="174" spans="1:27" x14ac:dyDescent="0.3">
      <c r="A174">
        <v>9999</v>
      </c>
      <c r="B174" t="str">
        <f>_xlfn.CONCAT(Tabel1[[#This Row],[personeelsnr]]," ",C174," ",D174)</f>
        <v>9999 - -</v>
      </c>
      <c r="C174" t="s">
        <v>3388</v>
      </c>
      <c r="D174" t="s">
        <v>3388</v>
      </c>
      <c r="E174" t="s">
        <v>1165</v>
      </c>
      <c r="F174" s="10"/>
      <c r="G174" s="7"/>
      <c r="H174" s="7"/>
      <c r="I174" s="7"/>
      <c r="J174" s="5">
        <v>1</v>
      </c>
      <c r="S174" s="5">
        <f>SUM(Tabel1[[#This Row],[Januari]:[December]])</f>
        <v>1</v>
      </c>
      <c r="T174" s="9">
        <v>45409</v>
      </c>
      <c r="U174" s="8" t="s">
        <v>597</v>
      </c>
      <c r="V174" s="8">
        <v>1</v>
      </c>
      <c r="W174" s="8"/>
      <c r="X174" t="s">
        <v>206</v>
      </c>
      <c r="Y174" t="s">
        <v>171</v>
      </c>
    </row>
    <row r="175" spans="1:27" x14ac:dyDescent="0.3">
      <c r="A175">
        <v>9999</v>
      </c>
      <c r="B175" t="str">
        <f>_xlfn.CONCAT(Tabel1[[#This Row],[personeelsnr]]," ",C175," ",D175)</f>
        <v>9999 - -</v>
      </c>
      <c r="C175" t="s">
        <v>3388</v>
      </c>
      <c r="D175" t="s">
        <v>3388</v>
      </c>
      <c r="E175" t="s">
        <v>1165</v>
      </c>
      <c r="F175" s="10"/>
      <c r="G175" s="7"/>
      <c r="H175" s="7"/>
      <c r="I175" s="7"/>
      <c r="J175" s="5">
        <v>1</v>
      </c>
      <c r="S175" s="5">
        <f>SUM(Tabel1[[#This Row],[Januari]:[December]])</f>
        <v>1</v>
      </c>
      <c r="T175" s="9">
        <v>45410</v>
      </c>
      <c r="U175" s="8" t="s">
        <v>598</v>
      </c>
      <c r="V175" s="8"/>
      <c r="W175" s="8">
        <v>1</v>
      </c>
      <c r="X175" t="s">
        <v>207</v>
      </c>
      <c r="Y175" t="s">
        <v>168</v>
      </c>
    </row>
    <row r="176" spans="1:27" x14ac:dyDescent="0.3">
      <c r="A176">
        <v>30901</v>
      </c>
      <c r="B176" t="str">
        <f>_xlfn.CONCAT(Tabel1[[#This Row],[personeelsnr]]," ",C176," ",D176)</f>
        <v>30901 vanden Bulcke Johan</v>
      </c>
      <c r="C176" t="str">
        <f>VLOOKUP(Tabel1[[#This Row],[personeelsnr]],'data hastus'!$A:$C,2,0)</f>
        <v>vanden Bulcke</v>
      </c>
      <c r="D176" t="str">
        <f>VLOOKUP(Tabel1[[#This Row],[personeelsnr]],'data hastus'!$A:$C,3,0)</f>
        <v>Johan</v>
      </c>
      <c r="E176" t="str">
        <f>VLOOKUP(Tabel1[[#This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SUM(Tabel1[[#This Row],[Januari]:[December]])</f>
        <v>1</v>
      </c>
      <c r="T176" s="9">
        <v>45411</v>
      </c>
      <c r="U176" s="8" t="s">
        <v>599</v>
      </c>
      <c r="V176" s="8">
        <v>1</v>
      </c>
      <c r="W176" s="8"/>
      <c r="X176" t="s">
        <v>206</v>
      </c>
      <c r="Y176" t="s">
        <v>172</v>
      </c>
    </row>
    <row r="177" spans="1:25" x14ac:dyDescent="0.3">
      <c r="A177">
        <v>30321</v>
      </c>
      <c r="B177" t="str">
        <f>_xlfn.CONCAT(Tabel1[[#This Row],[personeelsnr]]," ",C177," ",D177)</f>
        <v>30321 Unver Ismaïl</v>
      </c>
      <c r="C177" t="str">
        <f>VLOOKUP(Tabel1[[#This Row],[personeelsnr]],'data hastus'!$A:$C,2,0)</f>
        <v>Unver</v>
      </c>
      <c r="D177" t="str">
        <f>VLOOKUP(Tabel1[[#This Row],[personeelsnr]],'data hastus'!$A:$C,3,0)</f>
        <v>Ismaïl</v>
      </c>
      <c r="E177" t="str">
        <f>VLOOKUP(Tabel1[[#This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SUM(Tabel1[[#This Row],[Januari]:[December]])</f>
        <v>1</v>
      </c>
      <c r="T177" s="9">
        <v>45411</v>
      </c>
      <c r="U177" s="8" t="s">
        <v>600</v>
      </c>
      <c r="V177" s="8">
        <v>1</v>
      </c>
      <c r="W177" s="8"/>
      <c r="X177" t="s">
        <v>206</v>
      </c>
      <c r="Y177" t="s">
        <v>274</v>
      </c>
    </row>
    <row r="178" spans="1:25" x14ac:dyDescent="0.3">
      <c r="A178">
        <v>33551</v>
      </c>
      <c r="B178" t="str">
        <f>_xlfn.CONCAT(Tabel1[[#This Row],[personeelsnr]]," ",C178," ",D178)</f>
        <v>33551 Dekens Andy</v>
      </c>
      <c r="C178" t="str">
        <f>VLOOKUP(Tabel1[[#This Row],[personeelsnr]],'data hastus'!$A:$C,2,0)</f>
        <v>Dekens</v>
      </c>
      <c r="D178" t="str">
        <f>VLOOKUP(Tabel1[[#This Row],[personeelsnr]],'data hastus'!$A:$C,3,0)</f>
        <v>Andy</v>
      </c>
      <c r="E178" t="str">
        <f>VLOOKUP(Tabel1[[#This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SUM(Tabel1[[#This Row],[Januari]:[December]])</f>
        <v>1</v>
      </c>
      <c r="T178" s="9">
        <v>45411</v>
      </c>
      <c r="U178" s="8" t="s">
        <v>601</v>
      </c>
      <c r="V178" s="8"/>
      <c r="W178" s="8">
        <v>1</v>
      </c>
      <c r="X178" t="s">
        <v>207</v>
      </c>
      <c r="Y178" t="s">
        <v>375</v>
      </c>
    </row>
    <row r="179" spans="1:25" x14ac:dyDescent="0.3">
      <c r="A179">
        <v>9999</v>
      </c>
      <c r="B179" t="str">
        <f>_xlfn.CONCAT(Tabel1[[#This Row],[personeelsnr]]," ",C179," ",D179)</f>
        <v>9999 - -</v>
      </c>
      <c r="C179" t="s">
        <v>3388</v>
      </c>
      <c r="D179" t="s">
        <v>3388</v>
      </c>
      <c r="E179" t="s">
        <v>1165</v>
      </c>
      <c r="F179" s="10"/>
      <c r="G179" s="7"/>
      <c r="H179" s="7"/>
      <c r="I179" s="7"/>
      <c r="J179" s="5">
        <v>1</v>
      </c>
      <c r="S179" s="5">
        <f>SUM(Tabel1[[#This Row],[Januari]:[December]])</f>
        <v>1</v>
      </c>
      <c r="T179" s="9">
        <v>45411</v>
      </c>
      <c r="U179" s="8" t="s">
        <v>602</v>
      </c>
      <c r="V179" s="8">
        <v>1</v>
      </c>
      <c r="W179" s="8"/>
      <c r="X179" t="s">
        <v>206</v>
      </c>
      <c r="Y179" t="s">
        <v>250</v>
      </c>
    </row>
    <row r="180" spans="1:25" x14ac:dyDescent="0.3">
      <c r="A180">
        <v>21582</v>
      </c>
      <c r="B180" t="str">
        <f>_xlfn.CONCAT(Tabel1[[#This Row],[personeelsnr]]," ",C180," ",D180)</f>
        <v>21582 De Grom Patrick</v>
      </c>
      <c r="C180" t="str">
        <f>VLOOKUP(Tabel1[[#This Row],[personeelsnr]],'data hastus'!$A:$C,2,0)</f>
        <v>De Grom</v>
      </c>
      <c r="D180" t="str">
        <f>VLOOKUP(Tabel1[[#This Row],[personeelsnr]],'data hastus'!$A:$C,3,0)</f>
        <v>Patrick</v>
      </c>
      <c r="E180" t="str">
        <f>VLOOKUP(Tabel1[[#This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SUM(Tabel1[[#This Row],[Januari]:[December]])</f>
        <v>1</v>
      </c>
      <c r="T180" s="9">
        <v>45412</v>
      </c>
      <c r="U180" s="8" t="s">
        <v>603</v>
      </c>
      <c r="V180" s="8"/>
      <c r="W180" s="8">
        <v>1</v>
      </c>
      <c r="X180" t="s">
        <v>207</v>
      </c>
      <c r="Y180" t="s">
        <v>168</v>
      </c>
    </row>
    <row r="181" spans="1:25" x14ac:dyDescent="0.3">
      <c r="A181">
        <v>9065</v>
      </c>
      <c r="B181" t="str">
        <f>_xlfn.CONCAT(Tabel1[[#This Row],[personeelsnr]]," ",C181," ",D181)</f>
        <v>9065 Dewispelaere Danny</v>
      </c>
      <c r="C181" t="str">
        <f>VLOOKUP(Tabel1[[#This Row],[personeelsnr]],'data hastus'!$A:$C,2,0)</f>
        <v>Dewispelaere</v>
      </c>
      <c r="D181" t="str">
        <f>VLOOKUP(Tabel1[[#This Row],[personeelsnr]],'data hastus'!$A:$C,3,0)</f>
        <v>Danny</v>
      </c>
      <c r="E181" t="str">
        <f>VLOOKUP(Tabel1[[#This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SUM(Tabel1[[#This Row],[Januari]:[December]])</f>
        <v>1</v>
      </c>
      <c r="T181" s="9">
        <v>45412</v>
      </c>
      <c r="U181" s="8" t="s">
        <v>604</v>
      </c>
      <c r="V181" s="8"/>
      <c r="W181" s="8">
        <v>1</v>
      </c>
      <c r="X181" t="s">
        <v>207</v>
      </c>
      <c r="Y181" t="s">
        <v>269</v>
      </c>
    </row>
    <row r="182" spans="1:25" x14ac:dyDescent="0.3">
      <c r="A182">
        <v>37609</v>
      </c>
      <c r="B182" t="str">
        <f>_xlfn.CONCAT(Tabel1[[#This Row],[personeelsnr]]," ",C182," ",D182)</f>
        <v>37609 De Groote Dylan</v>
      </c>
      <c r="C182" t="str">
        <f>VLOOKUP(Tabel1[[#This Row],[personeelsnr]],'data hastus'!$A:$C,2,0)</f>
        <v>De Groote</v>
      </c>
      <c r="D182" t="str">
        <f>VLOOKUP(Tabel1[[#This Row],[personeelsnr]],'data hastus'!$A:$C,3,0)</f>
        <v>Dylan</v>
      </c>
      <c r="E182" t="str">
        <f>VLOOKUP(Tabel1[[#This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SUM(Tabel1[[#This Row],[Januari]:[December]])</f>
        <v>1</v>
      </c>
      <c r="T182" s="9">
        <v>45412</v>
      </c>
      <c r="U182" s="8" t="s">
        <v>605</v>
      </c>
      <c r="V182" s="8">
        <v>1</v>
      </c>
      <c r="W182" s="8"/>
      <c r="X182" t="s">
        <v>206</v>
      </c>
      <c r="Y182" t="s">
        <v>182</v>
      </c>
    </row>
    <row r="183" spans="1:25" x14ac:dyDescent="0.3">
      <c r="A183">
        <v>40110</v>
      </c>
      <c r="B183" t="str">
        <f>_xlfn.CONCAT(Tabel1[[#This Row],[personeelsnr]]," ",C183," ",D183)</f>
        <v>40110 Vanlerberghe Sandra</v>
      </c>
      <c r="C183" t="str">
        <f>VLOOKUP(Tabel1[[#This Row],[personeelsnr]],'data hastus'!$A:$C,2,0)</f>
        <v>Vanlerberghe</v>
      </c>
      <c r="D183" t="str">
        <f>VLOOKUP(Tabel1[[#This Row],[personeelsnr]],'data hastus'!$A:$C,3,0)</f>
        <v>Sandra</v>
      </c>
      <c r="E183" t="str">
        <f>VLOOKUP(Tabel1[[#This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SUM(Tabel1[[#This Row],[Januari]:[December]])</f>
        <v>1</v>
      </c>
      <c r="T183" s="9">
        <v>45413</v>
      </c>
      <c r="U183" s="8" t="s">
        <v>606</v>
      </c>
      <c r="V183" s="8">
        <v>1</v>
      </c>
      <c r="W183" s="8"/>
      <c r="X183" t="s">
        <v>206</v>
      </c>
      <c r="Y183" t="s">
        <v>357</v>
      </c>
    </row>
    <row r="184" spans="1:25" x14ac:dyDescent="0.3">
      <c r="A184">
        <v>38931</v>
      </c>
      <c r="B184" t="str">
        <f>_xlfn.CONCAT(Tabel1[[#This Row],[personeelsnr]]," ",C184," ",D184)</f>
        <v>38931 Sancak Eyuphan</v>
      </c>
      <c r="C184" t="str">
        <f>VLOOKUP(Tabel1[[#This Row],[personeelsnr]],'data hastus'!$A:$C,2,0)</f>
        <v>Sancak</v>
      </c>
      <c r="D184" t="str">
        <f>VLOOKUP(Tabel1[[#This Row],[personeelsnr]],'data hastus'!$A:$C,3,0)</f>
        <v>Eyuphan</v>
      </c>
      <c r="E184" t="str">
        <f>VLOOKUP(Tabel1[[#This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SUM(Tabel1[[#This Row],[Januari]:[December]])</f>
        <v>1</v>
      </c>
      <c r="T184" s="9">
        <v>45413</v>
      </c>
      <c r="U184" s="8" t="s">
        <v>607</v>
      </c>
      <c r="V184" s="8">
        <v>1</v>
      </c>
      <c r="W184" s="8"/>
      <c r="X184" t="s">
        <v>206</v>
      </c>
      <c r="Y184" t="s">
        <v>167</v>
      </c>
    </row>
    <row r="185" spans="1:25" x14ac:dyDescent="0.3">
      <c r="A185">
        <v>37439</v>
      </c>
      <c r="B185" t="str">
        <f>_xlfn.CONCAT(Tabel1[[#This Row],[personeelsnr]]," ",C185," ",D185)</f>
        <v>37439 Demirkazik Mustafa</v>
      </c>
      <c r="C185" t="str">
        <f>VLOOKUP(Tabel1[[#This Row],[personeelsnr]],'data hastus'!$A:$C,2,0)</f>
        <v>Demirkazik</v>
      </c>
      <c r="D185" t="str">
        <f>VLOOKUP(Tabel1[[#This Row],[personeelsnr]],'data hastus'!$A:$C,3,0)</f>
        <v>Mustafa</v>
      </c>
      <c r="E185" t="str">
        <f>VLOOKUP(Tabel1[[#This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SUM(Tabel1[[#This Row],[Januari]:[December]])</f>
        <v>1</v>
      </c>
      <c r="T185" s="9">
        <v>45414</v>
      </c>
      <c r="U185" s="8" t="s">
        <v>608</v>
      </c>
      <c r="V185" s="8"/>
      <c r="W185" s="8">
        <v>1</v>
      </c>
      <c r="X185" t="s">
        <v>207</v>
      </c>
      <c r="Y185" t="s">
        <v>167</v>
      </c>
    </row>
    <row r="186" spans="1:25" x14ac:dyDescent="0.3">
      <c r="A186">
        <v>15852</v>
      </c>
      <c r="B186" t="str">
        <f>_xlfn.CONCAT(Tabel1[[#This Row],[personeelsnr]]," ",C186," ",D186)</f>
        <v>15852 Petereyns Vanessa</v>
      </c>
      <c r="C186" t="str">
        <f>VLOOKUP(Tabel1[[#This Row],[personeelsnr]],'data hastus'!$A:$C,2,0)</f>
        <v>Petereyns</v>
      </c>
      <c r="D186" t="str">
        <f>VLOOKUP(Tabel1[[#This Row],[personeelsnr]],'data hastus'!$A:$C,3,0)</f>
        <v>Vanessa</v>
      </c>
      <c r="E186" t="str">
        <f>VLOOKUP(Tabel1[[#This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SUM(Tabel1[[#This Row],[Januari]:[December]])</f>
        <v>1</v>
      </c>
      <c r="T186" s="9">
        <v>45415</v>
      </c>
      <c r="U186" s="8" t="s">
        <v>609</v>
      </c>
      <c r="V186" s="8"/>
      <c r="W186" s="8">
        <v>1</v>
      </c>
      <c r="X186" t="s">
        <v>207</v>
      </c>
      <c r="Y186" t="s">
        <v>167</v>
      </c>
    </row>
    <row r="187" spans="1:25" x14ac:dyDescent="0.3">
      <c r="A187">
        <v>15088</v>
      </c>
      <c r="B187" t="str">
        <f>_xlfn.CONCAT(Tabel1[[#This Row],[personeelsnr]]," ",C187," ",D187)</f>
        <v>15088 Laute Dirk</v>
      </c>
      <c r="C187" t="str">
        <f>VLOOKUP(Tabel1[[#This Row],[personeelsnr]],'data hastus'!$A:$C,2,0)</f>
        <v>Laute</v>
      </c>
      <c r="D187" t="str">
        <f>VLOOKUP(Tabel1[[#This Row],[personeelsnr]],'data hastus'!$A:$C,3,0)</f>
        <v>Dirk</v>
      </c>
      <c r="E187" t="str">
        <f>VLOOKUP(Tabel1[[#This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SUM(Tabel1[[#This Row],[Januari]:[December]])</f>
        <v>1</v>
      </c>
      <c r="T187" s="9">
        <v>45416</v>
      </c>
      <c r="U187" s="8" t="s">
        <v>610</v>
      </c>
      <c r="V187" s="8">
        <v>1</v>
      </c>
      <c r="W187" s="8"/>
      <c r="X187" t="s">
        <v>206</v>
      </c>
      <c r="Y187" t="s">
        <v>172</v>
      </c>
    </row>
    <row r="188" spans="1:25" x14ac:dyDescent="0.3">
      <c r="A188">
        <v>37950</v>
      </c>
      <c r="B188" t="str">
        <f>_xlfn.CONCAT(Tabel1[[#This Row],[personeelsnr]]," ",C188," ",D188)</f>
        <v>37950 De Naegel Bruno</v>
      </c>
      <c r="C188" t="str">
        <f>VLOOKUP(Tabel1[[#This Row],[personeelsnr]],'data hastus'!$A:$C,2,0)</f>
        <v>De Naegel</v>
      </c>
      <c r="D188" t="str">
        <f>VLOOKUP(Tabel1[[#This Row],[personeelsnr]],'data hastus'!$A:$C,3,0)</f>
        <v>Bruno</v>
      </c>
      <c r="E188" t="str">
        <f>VLOOKUP(Tabel1[[#This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SUM(Tabel1[[#This Row],[Januari]:[December]])</f>
        <v>1</v>
      </c>
      <c r="T188" s="9">
        <v>45416</v>
      </c>
      <c r="U188" s="8" t="s">
        <v>611</v>
      </c>
      <c r="V188" s="8">
        <v>1</v>
      </c>
      <c r="W188" s="8"/>
      <c r="X188" t="s">
        <v>206</v>
      </c>
      <c r="Y188" t="s">
        <v>172</v>
      </c>
    </row>
    <row r="189" spans="1:25" x14ac:dyDescent="0.3">
      <c r="A189">
        <v>37950</v>
      </c>
      <c r="B189" t="str">
        <f>_xlfn.CONCAT(Tabel1[[#This Row],[personeelsnr]]," ",C189," ",D189)</f>
        <v>37950 De Naegel Bruno</v>
      </c>
      <c r="C189" t="str">
        <f>VLOOKUP(Tabel1[[#This Row],[personeelsnr]],'data hastus'!$A:$C,2,0)</f>
        <v>De Naegel</v>
      </c>
      <c r="D189" t="str">
        <f>VLOOKUP(Tabel1[[#This Row],[personeelsnr]],'data hastus'!$A:$C,3,0)</f>
        <v>Bruno</v>
      </c>
      <c r="E189" t="str">
        <f>VLOOKUP(Tabel1[[#This Row],[personeelsnr]],'data hastus'!A:K,11,FALSE)</f>
        <v>Dominique De Clercq</v>
      </c>
      <c r="F189" s="10"/>
      <c r="G189" s="7"/>
      <c r="H189" s="7"/>
      <c r="I189" s="7"/>
      <c r="K189" s="5">
        <v>1</v>
      </c>
      <c r="S189" s="5">
        <f>SUM(Tabel1[[#This Row],[Januari]:[December]])</f>
        <v>1</v>
      </c>
      <c r="T189" s="9">
        <v>45416</v>
      </c>
      <c r="U189" s="8" t="s">
        <v>612</v>
      </c>
      <c r="V189" s="8">
        <v>1</v>
      </c>
      <c r="W189" s="8"/>
      <c r="X189" t="s">
        <v>206</v>
      </c>
      <c r="Y189" t="s">
        <v>172</v>
      </c>
    </row>
    <row r="190" spans="1:25" x14ac:dyDescent="0.3">
      <c r="A190">
        <v>33965</v>
      </c>
      <c r="B190" t="str">
        <f>_xlfn.CONCAT(Tabel1[[#This Row],[personeelsnr]]," ",C190," ",D190)</f>
        <v>33965 Van de Gehuchte Gilles</v>
      </c>
      <c r="C190" t="str">
        <f>VLOOKUP(Tabel1[[#This Row],[personeelsnr]],'data hastus'!$A:$C,2,0)</f>
        <v>Van de Gehuchte</v>
      </c>
      <c r="D190" t="str">
        <f>VLOOKUP(Tabel1[[#This Row],[personeelsnr]],'data hastus'!$A:$C,3,0)</f>
        <v>Gilles</v>
      </c>
      <c r="E190" t="str">
        <f>VLOOKUP(Tabel1[[#This Row],[personeelsnr]],'data hastus'!A:K,11,FALSE)</f>
        <v>Kenneth De Rick</v>
      </c>
      <c r="F190" s="10"/>
      <c r="G190" s="7"/>
      <c r="H190" s="7"/>
      <c r="I190" s="7"/>
      <c r="K190" s="5">
        <v>1</v>
      </c>
      <c r="S190" s="5">
        <f>SUM(Tabel1[[#This Row],[Januari]:[December]])</f>
        <v>1</v>
      </c>
      <c r="T190" s="9">
        <v>45416</v>
      </c>
      <c r="U190" s="8" t="s">
        <v>613</v>
      </c>
      <c r="V190" s="8"/>
      <c r="W190" s="8">
        <v>1</v>
      </c>
      <c r="X190" t="s">
        <v>207</v>
      </c>
      <c r="Y190" t="s">
        <v>201</v>
      </c>
    </row>
    <row r="191" spans="1:25" x14ac:dyDescent="0.3">
      <c r="A191">
        <v>40058</v>
      </c>
      <c r="B191" t="str">
        <f>_xlfn.CONCAT(Tabel1[[#This Row],[personeelsnr]]," ",C191," ",D191)</f>
        <v>40058 Sögüt Can</v>
      </c>
      <c r="C191" t="str">
        <f>VLOOKUP(Tabel1[[#This Row],[personeelsnr]],'data hastus'!$A:$C,2,0)</f>
        <v>Sögüt</v>
      </c>
      <c r="D191" t="str">
        <f>VLOOKUP(Tabel1[[#This Row],[personeelsnr]],'data hastus'!$A:$C,3,0)</f>
        <v>Can</v>
      </c>
      <c r="E191" t="str">
        <f>VLOOKUP(Tabel1[[#This Row],[personeelsnr]],'data hastus'!A:K,11,FALSE)</f>
        <v>Christoff Rotty</v>
      </c>
      <c r="F191" s="10"/>
      <c r="G191" s="7"/>
      <c r="H191" s="7"/>
      <c r="I191" s="7"/>
      <c r="K191" s="5">
        <v>1</v>
      </c>
      <c r="S191" s="5">
        <f>SUM(Tabel1[[#This Row],[Januari]:[December]])</f>
        <v>1</v>
      </c>
      <c r="T191" s="9">
        <v>45417</v>
      </c>
      <c r="U191" s="8" t="s">
        <v>614</v>
      </c>
      <c r="V191" s="8">
        <v>1</v>
      </c>
      <c r="W191" s="8"/>
      <c r="X191" t="s">
        <v>206</v>
      </c>
      <c r="Y191" t="s">
        <v>539</v>
      </c>
    </row>
    <row r="192" spans="1:25" x14ac:dyDescent="0.3">
      <c r="A192">
        <v>13088</v>
      </c>
      <c r="B192" t="str">
        <f>_xlfn.CONCAT(Tabel1[[#This Row],[personeelsnr]]," ",C192," ",D192)</f>
        <v>13088 De Geyter Claudine</v>
      </c>
      <c r="C192" t="str">
        <f>VLOOKUP(Tabel1[[#This Row],[personeelsnr]],'data hastus'!$A:$C,2,0)</f>
        <v>De Geyter</v>
      </c>
      <c r="D192" t="str">
        <f>VLOOKUP(Tabel1[[#This Row],[personeelsnr]],'data hastus'!$A:$C,3,0)</f>
        <v>Claudine</v>
      </c>
      <c r="E192" t="str">
        <f>VLOOKUP(Tabel1[[#This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SUM(Tabel1[[#This Row],[Januari]:[December]])</f>
        <v>1</v>
      </c>
      <c r="T192" s="9">
        <v>45417</v>
      </c>
      <c r="U192" s="8" t="s">
        <v>615</v>
      </c>
      <c r="V192" s="8"/>
      <c r="W192" s="8">
        <v>1</v>
      </c>
      <c r="X192" t="s">
        <v>207</v>
      </c>
      <c r="Y192" t="s">
        <v>286</v>
      </c>
    </row>
    <row r="193" spans="1:25" x14ac:dyDescent="0.3">
      <c r="A193">
        <v>40222</v>
      </c>
      <c r="B193" t="str">
        <f>_xlfn.CONCAT(Tabel1[[#This Row],[personeelsnr]]," ",C193," ",D193)</f>
        <v>40222 Van Iterson Sharon</v>
      </c>
      <c r="C193" t="str">
        <f>VLOOKUP(Tabel1[[#This Row],[personeelsnr]],'data hastus'!$A:$C,2,0)</f>
        <v>Van Iterson</v>
      </c>
      <c r="D193" t="str">
        <f>VLOOKUP(Tabel1[[#This Row],[personeelsnr]],'data hastus'!$A:$C,3,0)</f>
        <v>Sharon</v>
      </c>
      <c r="E193" t="str">
        <f>VLOOKUP(Tabel1[[#This Row],[personeelsnr]],'data hastus'!A:K,11,FALSE)</f>
        <v>Dominique De Clercq</v>
      </c>
      <c r="F193" s="10"/>
      <c r="G193" s="7"/>
      <c r="H193" s="7"/>
      <c r="I193" s="7"/>
      <c r="K193" s="5">
        <v>1</v>
      </c>
      <c r="S193" s="5">
        <f>SUM(Tabel1[[#This Row],[Januari]:[December]])</f>
        <v>1</v>
      </c>
      <c r="T193" s="9">
        <v>45418</v>
      </c>
      <c r="U193" s="8" t="s">
        <v>616</v>
      </c>
      <c r="V193" s="8">
        <v>1</v>
      </c>
      <c r="W193" s="8"/>
      <c r="X193" t="s">
        <v>206</v>
      </c>
      <c r="Y193" t="s">
        <v>355</v>
      </c>
    </row>
    <row r="194" spans="1:25" x14ac:dyDescent="0.3">
      <c r="A194">
        <v>25487</v>
      </c>
      <c r="B194" t="str">
        <f>_xlfn.CONCAT(Tabel1[[#This Row],[personeelsnr]]," ",C194," ",D194)</f>
        <v>25487 Devos Stefaan</v>
      </c>
      <c r="C194" t="str">
        <f>VLOOKUP(Tabel1[[#This Row],[personeelsnr]],'data hastus'!$A:$C,2,0)</f>
        <v>Devos</v>
      </c>
      <c r="D194" t="str">
        <f>VLOOKUP(Tabel1[[#This Row],[personeelsnr]],'data hastus'!$A:$C,3,0)</f>
        <v>Stefaan</v>
      </c>
      <c r="E194" t="str">
        <f>VLOOKUP(Tabel1[[#This Row],[personeelsnr]],'data hastus'!A:K,11,FALSE)</f>
        <v>Steven Storm</v>
      </c>
      <c r="F194" s="10"/>
      <c r="G194" s="7"/>
      <c r="H194" s="7"/>
      <c r="I194" s="7"/>
      <c r="K194" s="5">
        <v>1</v>
      </c>
      <c r="S194" s="5">
        <f>SUM(Tabel1[[#This Row],[Januari]:[December]])</f>
        <v>1</v>
      </c>
      <c r="T194" s="9">
        <v>45418</v>
      </c>
      <c r="U194" s="8" t="s">
        <v>617</v>
      </c>
      <c r="V194" s="8">
        <v>1</v>
      </c>
      <c r="W194" s="8"/>
      <c r="X194" t="s">
        <v>206</v>
      </c>
      <c r="Y194" t="s">
        <v>190</v>
      </c>
    </row>
    <row r="195" spans="1:25" x14ac:dyDescent="0.3">
      <c r="A195">
        <v>9999</v>
      </c>
      <c r="B195" t="str">
        <f>_xlfn.CONCAT(Tabel1[[#This Row],[personeelsnr]]," ",C195," ",D195)</f>
        <v>9999 - -</v>
      </c>
      <c r="C195" t="s">
        <v>3388</v>
      </c>
      <c r="D195" t="s">
        <v>3388</v>
      </c>
      <c r="E195" t="s">
        <v>1165</v>
      </c>
      <c r="F195" s="10"/>
      <c r="G195" s="7"/>
      <c r="H195" s="7"/>
      <c r="I195" s="7"/>
      <c r="K195" s="5">
        <v>1</v>
      </c>
      <c r="S195" s="5">
        <f>SUM(Tabel1[[#This Row],[Januari]:[December]])</f>
        <v>1</v>
      </c>
      <c r="T195" s="9">
        <v>45419</v>
      </c>
      <c r="U195" s="8" t="s">
        <v>618</v>
      </c>
      <c r="V195" s="8">
        <v>1</v>
      </c>
      <c r="W195" s="8"/>
      <c r="X195" t="s">
        <v>206</v>
      </c>
      <c r="Y195" t="s">
        <v>184</v>
      </c>
    </row>
    <row r="196" spans="1:25" x14ac:dyDescent="0.3">
      <c r="A196">
        <v>39019</v>
      </c>
      <c r="B196" t="str">
        <f>_xlfn.CONCAT(Tabel1[[#This Row],[personeelsnr]]," ",C196," ",D196)</f>
        <v>39019 De taeye Kelly</v>
      </c>
      <c r="C196" t="str">
        <f>VLOOKUP(Tabel1[[#This Row],[personeelsnr]],'data hastus'!$A:$C,2,0)</f>
        <v>De taeye</v>
      </c>
      <c r="D196" t="str">
        <f>VLOOKUP(Tabel1[[#This Row],[personeelsnr]],'data hastus'!$A:$C,3,0)</f>
        <v>Kelly</v>
      </c>
      <c r="E196" t="str">
        <f>VLOOKUP(Tabel1[[#This Row],[personeelsnr]],'data hastus'!A:K,11,FALSE)</f>
        <v>Lucie Vande Velde</v>
      </c>
      <c r="F196" s="10"/>
      <c r="G196" s="7"/>
      <c r="H196" s="7"/>
      <c r="I196" s="7"/>
      <c r="K196" s="5">
        <v>1</v>
      </c>
      <c r="S196" s="5">
        <f>SUM(Tabel1[[#This Row],[Januari]:[December]])</f>
        <v>1</v>
      </c>
      <c r="T196" s="9">
        <v>45419</v>
      </c>
      <c r="U196" s="8" t="s">
        <v>619</v>
      </c>
      <c r="V196" s="8">
        <v>1</v>
      </c>
      <c r="W196" s="8"/>
      <c r="X196" t="s">
        <v>206</v>
      </c>
      <c r="Y196" t="s">
        <v>366</v>
      </c>
    </row>
    <row r="197" spans="1:25" x14ac:dyDescent="0.3">
      <c r="A197">
        <v>38688</v>
      </c>
      <c r="B197" t="str">
        <f>_xlfn.CONCAT(Tabel1[[#This Row],[personeelsnr]]," ",C197," ",D197)</f>
        <v>38688 Basgurboga Selahattin</v>
      </c>
      <c r="C197" t="str">
        <f>VLOOKUP(Tabel1[[#This Row],[personeelsnr]],'data hastus'!$A:$C,2,0)</f>
        <v>Basgurboga</v>
      </c>
      <c r="D197" t="str">
        <f>VLOOKUP(Tabel1[[#This Row],[personeelsnr]],'data hastus'!$A:$C,3,0)</f>
        <v>Selahattin</v>
      </c>
      <c r="E197" t="str">
        <f>VLOOKUP(Tabel1[[#This Row],[personeelsnr]],'data hastus'!A:K,11,FALSE)</f>
        <v>Els Dewulf</v>
      </c>
      <c r="F197" s="10"/>
      <c r="G197" s="7"/>
      <c r="H197" s="7"/>
      <c r="I197" s="7"/>
      <c r="K197" s="5">
        <v>1</v>
      </c>
      <c r="S197" s="5">
        <f>SUM(Tabel1[[#This Row],[Januari]:[December]])</f>
        <v>1</v>
      </c>
      <c r="T197" s="9">
        <v>45420</v>
      </c>
      <c r="U197" s="8" t="s">
        <v>620</v>
      </c>
      <c r="V197" s="8">
        <v>1</v>
      </c>
      <c r="W197" s="8"/>
      <c r="X197" t="s">
        <v>206</v>
      </c>
      <c r="Y197" t="s">
        <v>184</v>
      </c>
    </row>
    <row r="198" spans="1:25" x14ac:dyDescent="0.3">
      <c r="A198">
        <v>35246</v>
      </c>
      <c r="B198" t="str">
        <f>_xlfn.CONCAT(Tabel1[[#This Row],[personeelsnr]]," ",C198," ",D198)</f>
        <v>35246 De Meyer Karel</v>
      </c>
      <c r="C198" t="str">
        <f>VLOOKUP(Tabel1[[#This Row],[personeelsnr]],'data hastus'!$A:$C,2,0)</f>
        <v>De Meyer</v>
      </c>
      <c r="D198" t="str">
        <f>VLOOKUP(Tabel1[[#This Row],[personeelsnr]],'data hastus'!$A:$C,3,0)</f>
        <v>Karel</v>
      </c>
      <c r="E198" t="str">
        <f>VLOOKUP(Tabel1[[#This Row],[personeelsnr]],'data hastus'!A:K,11,FALSE)</f>
        <v>Els Vanhoe</v>
      </c>
      <c r="F198" s="10"/>
      <c r="G198" s="7"/>
      <c r="H198" s="7"/>
      <c r="I198" s="7"/>
      <c r="K198" s="5">
        <v>1</v>
      </c>
      <c r="S198" s="5">
        <f>SUM(Tabel1[[#This Row],[Januari]:[December]])</f>
        <v>1</v>
      </c>
      <c r="T198" s="9">
        <v>45423</v>
      </c>
      <c r="U198" s="8" t="s">
        <v>621</v>
      </c>
      <c r="V198" s="8">
        <v>1</v>
      </c>
      <c r="W198" s="8"/>
      <c r="X198" t="s">
        <v>206</v>
      </c>
      <c r="Y198" t="s">
        <v>169</v>
      </c>
    </row>
    <row r="199" spans="1:25" x14ac:dyDescent="0.3">
      <c r="A199">
        <v>10150</v>
      </c>
      <c r="B199" t="str">
        <f>_xlfn.CONCAT(Tabel1[[#This Row],[personeelsnr]]," ",C199," ",D199)</f>
        <v>10150 Vandenbogaerde Tony</v>
      </c>
      <c r="C199" t="str">
        <f>VLOOKUP(Tabel1[[#This Row],[personeelsnr]],'data hastus'!$A:$C,2,0)</f>
        <v>Vandenbogaerde</v>
      </c>
      <c r="D199" t="str">
        <f>VLOOKUP(Tabel1[[#This Row],[personeelsnr]],'data hastus'!$A:$C,3,0)</f>
        <v>Tony</v>
      </c>
      <c r="E199" t="str">
        <f>VLOOKUP(Tabel1[[#This Row],[personeelsnr]],'data hastus'!A:K,11,FALSE)</f>
        <v>Steven Storm</v>
      </c>
      <c r="F199" s="10"/>
      <c r="G199" s="7"/>
      <c r="H199" s="7"/>
      <c r="I199" s="7"/>
      <c r="K199" s="5">
        <v>1</v>
      </c>
      <c r="S199" s="5">
        <f>SUM(Tabel1[[#This Row],[Januari]:[December]])</f>
        <v>1</v>
      </c>
      <c r="T199" s="9">
        <v>45423</v>
      </c>
      <c r="U199" s="8" t="s">
        <v>622</v>
      </c>
      <c r="V199" s="8"/>
      <c r="W199" s="8">
        <v>1</v>
      </c>
      <c r="X199" t="s">
        <v>207</v>
      </c>
      <c r="Y199" t="s">
        <v>168</v>
      </c>
    </row>
    <row r="200" spans="1:25" x14ac:dyDescent="0.3">
      <c r="A200">
        <v>9999</v>
      </c>
      <c r="B200" t="str">
        <f>_xlfn.CONCAT(Tabel1[[#This Row],[personeelsnr]]," ",C200," ",D200)</f>
        <v>9999 - -</v>
      </c>
      <c r="C200" t="s">
        <v>3388</v>
      </c>
      <c r="D200" t="s">
        <v>3388</v>
      </c>
      <c r="E200" t="s">
        <v>1165</v>
      </c>
      <c r="F200" s="10"/>
      <c r="G200" s="7"/>
      <c r="H200" s="7"/>
      <c r="I200" s="7"/>
      <c r="K200" s="5">
        <v>1</v>
      </c>
      <c r="S200" s="5">
        <f>SUM(Tabel1[[#This Row],[Januari]:[December]])</f>
        <v>1</v>
      </c>
      <c r="T200" s="9">
        <v>45424</v>
      </c>
      <c r="U200" s="8" t="s">
        <v>623</v>
      </c>
      <c r="V200" s="8">
        <v>1</v>
      </c>
      <c r="W200" s="8"/>
      <c r="X200" t="s">
        <v>206</v>
      </c>
      <c r="Y200" t="s">
        <v>178</v>
      </c>
    </row>
    <row r="201" spans="1:25" x14ac:dyDescent="0.3">
      <c r="A201">
        <v>6310</v>
      </c>
      <c r="B201" t="str">
        <f>_xlfn.CONCAT(Tabel1[[#This Row],[personeelsnr]]," ",C201," ",D201)</f>
        <v>6310 De Craene Peter</v>
      </c>
      <c r="C201" t="str">
        <f>VLOOKUP(Tabel1[[#This Row],[personeelsnr]],'data hastus'!$A:$C,2,0)</f>
        <v>De Craene</v>
      </c>
      <c r="D201" t="str">
        <f>VLOOKUP(Tabel1[[#This Row],[personeelsnr]],'data hastus'!$A:$C,3,0)</f>
        <v>Peter</v>
      </c>
      <c r="E201" t="str">
        <f>VLOOKUP(Tabel1[[#This Row],[personeelsnr]],'data hastus'!A:K,11,FALSE)</f>
        <v>Els Dewulf</v>
      </c>
      <c r="F201" s="10"/>
      <c r="G201" s="7"/>
      <c r="H201" s="7"/>
      <c r="I201" s="7"/>
      <c r="K201" s="5">
        <v>1</v>
      </c>
      <c r="S201" s="5">
        <f>SUM(Tabel1[[#This Row],[Januari]:[December]])</f>
        <v>1</v>
      </c>
      <c r="T201" s="9">
        <v>45424</v>
      </c>
      <c r="U201" s="8" t="s">
        <v>624</v>
      </c>
      <c r="V201" s="8"/>
      <c r="W201" s="8">
        <v>1</v>
      </c>
      <c r="X201" t="s">
        <v>207</v>
      </c>
      <c r="Y201" t="s">
        <v>167</v>
      </c>
    </row>
    <row r="202" spans="1:25" x14ac:dyDescent="0.3">
      <c r="A202">
        <v>37345</v>
      </c>
      <c r="B202" t="str">
        <f>_xlfn.CONCAT(Tabel1[[#This Row],[personeelsnr]]," ",C202," ",D202)</f>
        <v>37345 Walleyn Renaat</v>
      </c>
      <c r="C202" t="str">
        <f>VLOOKUP(Tabel1[[#This Row],[personeelsnr]],'data hastus'!$A:$C,2,0)</f>
        <v>Walleyn</v>
      </c>
      <c r="D202" t="str">
        <f>VLOOKUP(Tabel1[[#This Row],[personeelsnr]],'data hastus'!$A:$C,3,0)</f>
        <v>Renaat</v>
      </c>
      <c r="E202" t="str">
        <f>VLOOKUP(Tabel1[[#This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SUM(Tabel1[[#This Row],[Januari]:[December]])</f>
        <v>1</v>
      </c>
      <c r="T202" s="9">
        <v>45425</v>
      </c>
      <c r="U202" s="8" t="s">
        <v>625</v>
      </c>
      <c r="V202" s="8">
        <v>1</v>
      </c>
      <c r="W202" s="8"/>
      <c r="X202" t="s">
        <v>206</v>
      </c>
      <c r="Y202" t="s">
        <v>167</v>
      </c>
    </row>
    <row r="203" spans="1:25" x14ac:dyDescent="0.3">
      <c r="A203">
        <v>11508</v>
      </c>
      <c r="B203" t="str">
        <f>_xlfn.CONCAT(Tabel1[[#This Row],[personeelsnr]]," ",C203," ",D203)</f>
        <v>11508 Beeckman Nico</v>
      </c>
      <c r="C203" t="str">
        <f>VLOOKUP(Tabel1[[#This Row],[personeelsnr]],'data hastus'!$A:$C,2,0)</f>
        <v>Beeckman</v>
      </c>
      <c r="D203" t="str">
        <f>VLOOKUP(Tabel1[[#This Row],[personeelsnr]],'data hastus'!$A:$C,3,0)</f>
        <v>Nico</v>
      </c>
      <c r="E203" t="str">
        <f>VLOOKUP(Tabel1[[#This Row],[personeelsnr]],'data hastus'!A:K,11,FALSE)</f>
        <v>Lucie Vande Velde</v>
      </c>
      <c r="F203" s="10"/>
      <c r="G203" s="7"/>
      <c r="H203" s="7"/>
      <c r="I203" s="7"/>
      <c r="K203" s="5">
        <v>1</v>
      </c>
      <c r="S203" s="5">
        <f>SUM(Tabel1[[#This Row],[Januari]:[December]])</f>
        <v>1</v>
      </c>
      <c r="T203" s="9">
        <v>45425</v>
      </c>
      <c r="U203" s="8" t="s">
        <v>626</v>
      </c>
      <c r="V203" s="8">
        <v>1</v>
      </c>
      <c r="W203" s="8"/>
      <c r="X203" t="s">
        <v>206</v>
      </c>
      <c r="Y203" t="s">
        <v>167</v>
      </c>
    </row>
    <row r="204" spans="1:25" x14ac:dyDescent="0.3">
      <c r="A204">
        <v>19917</v>
      </c>
      <c r="B204" t="str">
        <f>_xlfn.CONCAT(Tabel1[[#This Row],[personeelsnr]]," ",C204," ",D204)</f>
        <v>19917 Vandevyvere Frank</v>
      </c>
      <c r="C204" t="str">
        <f>VLOOKUP(Tabel1[[#This Row],[personeelsnr]],'data hastus'!$A:$C,2,0)</f>
        <v>Vandevyvere</v>
      </c>
      <c r="D204" t="str">
        <f>VLOOKUP(Tabel1[[#This Row],[personeelsnr]],'data hastus'!$A:$C,3,0)</f>
        <v>Frank</v>
      </c>
      <c r="E204" t="str">
        <f>VLOOKUP(Tabel1[[#This Row],[personeelsnr]],'data hastus'!A:K,11,FALSE)</f>
        <v>Bart Van Der Beken</v>
      </c>
      <c r="F204" s="10"/>
      <c r="G204" s="7"/>
      <c r="H204" s="7"/>
      <c r="I204" s="7"/>
      <c r="K204" s="5">
        <v>1</v>
      </c>
      <c r="S204" s="5">
        <f>SUM(Tabel1[[#This Row],[Januari]:[December]])</f>
        <v>1</v>
      </c>
      <c r="T204" s="9">
        <v>45427</v>
      </c>
      <c r="U204" s="8" t="s">
        <v>627</v>
      </c>
      <c r="V204" s="8">
        <v>1</v>
      </c>
      <c r="W204" s="8"/>
      <c r="X204" t="s">
        <v>206</v>
      </c>
      <c r="Y204" t="s">
        <v>173</v>
      </c>
    </row>
    <row r="205" spans="1:25" x14ac:dyDescent="0.3">
      <c r="A205">
        <v>38808</v>
      </c>
      <c r="B205" t="str">
        <f>_xlfn.CONCAT(Tabel1[[#This Row],[personeelsnr]]," ",C205," ",D205)</f>
        <v>38808 Wasen Jens</v>
      </c>
      <c r="C205" t="str">
        <f>VLOOKUP(Tabel1[[#This Row],[personeelsnr]],'data hastus'!$A:$C,2,0)</f>
        <v>Wasen</v>
      </c>
      <c r="D205" t="str">
        <f>VLOOKUP(Tabel1[[#This Row],[personeelsnr]],'data hastus'!$A:$C,3,0)</f>
        <v>Jens</v>
      </c>
      <c r="E205" t="str">
        <f>VLOOKUP(Tabel1[[#This Row],[personeelsnr]],'data hastus'!A:K,11,FALSE)</f>
        <v>Els Dewulf</v>
      </c>
      <c r="F205" s="10"/>
      <c r="G205" s="7"/>
      <c r="H205" s="7"/>
      <c r="I205" s="7"/>
      <c r="K205" s="5">
        <v>1</v>
      </c>
      <c r="S205" s="5">
        <f>SUM(Tabel1[[#This Row],[Januari]:[December]])</f>
        <v>1</v>
      </c>
      <c r="T205" s="9">
        <v>45428</v>
      </c>
      <c r="U205" s="8" t="s">
        <v>628</v>
      </c>
      <c r="V205" s="8">
        <v>1</v>
      </c>
      <c r="W205" s="8"/>
      <c r="X205" t="s">
        <v>206</v>
      </c>
      <c r="Y205" t="s">
        <v>221</v>
      </c>
    </row>
    <row r="206" spans="1:25" x14ac:dyDescent="0.3">
      <c r="A206">
        <v>34351</v>
      </c>
      <c r="B206" t="str">
        <f>_xlfn.CONCAT(Tabel1[[#This Row],[personeelsnr]]," ",C206," ",D206)</f>
        <v>34351 Callant Dieter</v>
      </c>
      <c r="C206" t="str">
        <f>VLOOKUP(Tabel1[[#This Row],[personeelsnr]],'data hastus'!$A:$C,2,0)</f>
        <v>Callant</v>
      </c>
      <c r="D206" t="str">
        <f>VLOOKUP(Tabel1[[#This Row],[personeelsnr]],'data hastus'!$A:$C,3,0)</f>
        <v>Dieter</v>
      </c>
      <c r="E206" t="str">
        <f>VLOOKUP(Tabel1[[#This Row],[personeelsnr]],'data hastus'!A:K,11,FALSE)</f>
        <v>Els Vanhoe</v>
      </c>
      <c r="F206" s="10"/>
      <c r="G206" s="7"/>
      <c r="H206" s="7"/>
      <c r="I206" s="7"/>
      <c r="K206" s="5">
        <v>1</v>
      </c>
      <c r="S206" s="5">
        <f>SUM(Tabel1[[#This Row],[Januari]:[December]])</f>
        <v>1</v>
      </c>
      <c r="T206" s="9">
        <v>45428</v>
      </c>
      <c r="U206" s="8" t="s">
        <v>629</v>
      </c>
      <c r="V206" s="8">
        <v>1</v>
      </c>
      <c r="W206" s="8"/>
      <c r="X206" t="s">
        <v>206</v>
      </c>
      <c r="Y206" t="s">
        <v>377</v>
      </c>
    </row>
    <row r="207" spans="1:25" x14ac:dyDescent="0.3">
      <c r="A207">
        <v>36503</v>
      </c>
      <c r="B207" t="str">
        <f>_xlfn.CONCAT(Tabel1[[#This Row],[personeelsnr]]," ",C207," ",D207)</f>
        <v>36503 Callens Dimitri</v>
      </c>
      <c r="C207" t="str">
        <f>VLOOKUP(Tabel1[[#This Row],[personeelsnr]],'data hastus'!$A:$C,2,0)</f>
        <v>Callens</v>
      </c>
      <c r="D207" t="str">
        <f>VLOOKUP(Tabel1[[#This Row],[personeelsnr]],'data hastus'!$A:$C,3,0)</f>
        <v>Dimitri</v>
      </c>
      <c r="E207" t="str">
        <f>VLOOKUP(Tabel1[[#This Row],[personeelsnr]],'data hastus'!A:K,11,FALSE)</f>
        <v>Christoff Rotty</v>
      </c>
      <c r="F207" s="10"/>
      <c r="G207" s="7"/>
      <c r="H207" s="7"/>
      <c r="I207" s="7"/>
      <c r="K207" s="5">
        <v>1</v>
      </c>
      <c r="S207" s="5">
        <f>SUM(Tabel1[[#This Row],[Januari]:[December]])</f>
        <v>1</v>
      </c>
      <c r="T207" s="9">
        <v>45429</v>
      </c>
      <c r="U207" s="8" t="s">
        <v>630</v>
      </c>
      <c r="V207" s="8">
        <v>1</v>
      </c>
      <c r="W207" s="8"/>
      <c r="X207" t="s">
        <v>206</v>
      </c>
      <c r="Y207" t="s">
        <v>180</v>
      </c>
    </row>
    <row r="208" spans="1:25" x14ac:dyDescent="0.3">
      <c r="A208">
        <v>37439</v>
      </c>
      <c r="B208" t="str">
        <f>_xlfn.CONCAT(Tabel1[[#This Row],[personeelsnr]]," ",C208," ",D208)</f>
        <v>37439 Demirkazik Mustafa</v>
      </c>
      <c r="C208" t="str">
        <f>VLOOKUP(Tabel1[[#This Row],[personeelsnr]],'data hastus'!$A:$C,2,0)</f>
        <v>Demirkazik</v>
      </c>
      <c r="D208" t="str">
        <f>VLOOKUP(Tabel1[[#This Row],[personeelsnr]],'data hastus'!$A:$C,3,0)</f>
        <v>Mustafa</v>
      </c>
      <c r="E208" t="str">
        <f>VLOOKUP(Tabel1[[#This Row],[personeelsnr]],'data hastus'!A:K,11,FALSE)</f>
        <v>Kenneth De Rick</v>
      </c>
      <c r="F208" s="10"/>
      <c r="G208" s="7"/>
      <c r="H208" s="7"/>
      <c r="I208" s="7"/>
      <c r="K208" s="5">
        <v>1</v>
      </c>
      <c r="S208" s="5">
        <f>SUM(Tabel1[[#This Row],[Januari]:[December]])</f>
        <v>1</v>
      </c>
      <c r="T208" s="9">
        <v>45433</v>
      </c>
      <c r="U208" s="8" t="s">
        <v>631</v>
      </c>
      <c r="V208" s="8">
        <v>1</v>
      </c>
      <c r="W208" s="8"/>
      <c r="X208" t="s">
        <v>206</v>
      </c>
      <c r="Y208" t="s">
        <v>184</v>
      </c>
    </row>
    <row r="209" spans="1:25" x14ac:dyDescent="0.3">
      <c r="A209">
        <v>38688</v>
      </c>
      <c r="B209" t="str">
        <f>_xlfn.CONCAT(Tabel1[[#This Row],[personeelsnr]]," ",C209," ",D209)</f>
        <v>38688 Basgurboga Selahattin</v>
      </c>
      <c r="C209" t="str">
        <f>VLOOKUP(Tabel1[[#This Row],[personeelsnr]],'data hastus'!$A:$C,2,0)</f>
        <v>Basgurboga</v>
      </c>
      <c r="D209" t="str">
        <f>VLOOKUP(Tabel1[[#This Row],[personeelsnr]],'data hastus'!$A:$C,3,0)</f>
        <v>Selahattin</v>
      </c>
      <c r="E209" t="str">
        <f>VLOOKUP(Tabel1[[#This Row],[personeelsnr]],'data hastus'!A:K,11,FALSE)</f>
        <v>Els Dewulf</v>
      </c>
      <c r="F209" s="10"/>
      <c r="G209" s="7"/>
      <c r="H209" s="7"/>
      <c r="I209" s="7"/>
      <c r="K209" s="5">
        <v>1</v>
      </c>
      <c r="S209" s="5">
        <f>SUM(Tabel1[[#This Row],[Januari]:[December]])</f>
        <v>1</v>
      </c>
      <c r="T209" s="9">
        <v>45433</v>
      </c>
      <c r="U209" s="8" t="s">
        <v>632</v>
      </c>
      <c r="V209" s="8">
        <v>1</v>
      </c>
      <c r="W209" s="8"/>
      <c r="X209" t="s">
        <v>206</v>
      </c>
      <c r="Y209" t="s">
        <v>167</v>
      </c>
    </row>
    <row r="210" spans="1:25" x14ac:dyDescent="0.3">
      <c r="A210">
        <v>40223</v>
      </c>
      <c r="B210" t="str">
        <f>_xlfn.CONCAT(Tabel1[[#This Row],[personeelsnr]]," ",C210," ",D210)</f>
        <v>40223 Teetaert Billy</v>
      </c>
      <c r="C210" t="str">
        <f>VLOOKUP(Tabel1[[#This Row],[personeelsnr]],'data hastus'!$A:$C,2,0)</f>
        <v>Teetaert</v>
      </c>
      <c r="D210" t="str">
        <f>VLOOKUP(Tabel1[[#This Row],[personeelsnr]],'data hastus'!$A:$C,3,0)</f>
        <v>Billy</v>
      </c>
      <c r="E210" t="str">
        <f>VLOOKUP(Tabel1[[#This Row],[personeelsnr]],'data hastus'!A:K,11,FALSE)</f>
        <v>Dominique De Clercq</v>
      </c>
      <c r="F210" s="10"/>
      <c r="G210" s="7"/>
      <c r="H210" s="7"/>
      <c r="I210" s="7"/>
      <c r="K210" s="5">
        <v>1</v>
      </c>
      <c r="S210" s="5">
        <f>SUM(Tabel1[[#This Row],[Januari]:[December]])</f>
        <v>1</v>
      </c>
      <c r="T210" s="9">
        <v>45433</v>
      </c>
      <c r="U210" s="8" t="s">
        <v>633</v>
      </c>
      <c r="V210" s="8">
        <v>1</v>
      </c>
      <c r="W210" s="8"/>
      <c r="X210" t="s">
        <v>206</v>
      </c>
      <c r="Y210" t="s">
        <v>235</v>
      </c>
    </row>
    <row r="211" spans="1:25" x14ac:dyDescent="0.3">
      <c r="A211">
        <v>35187</v>
      </c>
      <c r="B211" t="str">
        <f>_xlfn.CONCAT(Tabel1[[#This Row],[personeelsnr]]," ",C211," ",D211)</f>
        <v>35187 Bastiaen Eric</v>
      </c>
      <c r="C211" t="str">
        <f>VLOOKUP(Tabel1[[#This Row],[personeelsnr]],'data hastus'!$A:$C,2,0)</f>
        <v>Bastiaen</v>
      </c>
      <c r="D211" t="str">
        <f>VLOOKUP(Tabel1[[#This Row],[personeelsnr]],'data hastus'!$A:$C,3,0)</f>
        <v>Eric</v>
      </c>
      <c r="E211" t="str">
        <f>VLOOKUP(Tabel1[[#This Row],[personeelsnr]],'data hastus'!A:K,11,FALSE)</f>
        <v>Lucie Vande Velde</v>
      </c>
      <c r="F211" s="10"/>
      <c r="G211" s="7"/>
      <c r="H211" s="7"/>
      <c r="I211" s="7"/>
      <c r="K211" s="5">
        <v>1</v>
      </c>
      <c r="S211" s="5">
        <f>SUM(Tabel1[[#This Row],[Januari]:[December]])</f>
        <v>1</v>
      </c>
      <c r="T211" s="9">
        <v>45434</v>
      </c>
      <c r="U211" s="8" t="s">
        <v>634</v>
      </c>
      <c r="V211" s="8"/>
      <c r="W211" s="8">
        <v>1</v>
      </c>
      <c r="X211" t="s">
        <v>207</v>
      </c>
      <c r="Y211" t="s">
        <v>168</v>
      </c>
    </row>
    <row r="212" spans="1:25" x14ac:dyDescent="0.3">
      <c r="A212">
        <v>39528</v>
      </c>
      <c r="B212" t="str">
        <f>_xlfn.CONCAT(Tabel1[[#This Row],[personeelsnr]]," ",C212," ",D212)</f>
        <v>39528 Mihaylov Plamen</v>
      </c>
      <c r="C212" t="str">
        <f>VLOOKUP(Tabel1[[#This Row],[personeelsnr]],'data hastus'!$A:$C,2,0)</f>
        <v>Mihaylov</v>
      </c>
      <c r="D212" t="str">
        <f>VLOOKUP(Tabel1[[#This Row],[personeelsnr]],'data hastus'!$A:$C,3,0)</f>
        <v>Plamen</v>
      </c>
      <c r="E212" t="str">
        <f>VLOOKUP(Tabel1[[#This Row],[personeelsnr]],'data hastus'!A:K,11,FALSE)</f>
        <v>Christoff Rotty</v>
      </c>
      <c r="F212" s="10"/>
      <c r="G212" s="7"/>
      <c r="H212" s="7"/>
      <c r="I212" s="7"/>
      <c r="K212" s="5">
        <v>1</v>
      </c>
      <c r="S212" s="5">
        <f>SUM(Tabel1[[#This Row],[Januari]:[December]])</f>
        <v>1</v>
      </c>
      <c r="T212" s="9">
        <v>45434</v>
      </c>
      <c r="U212" s="8" t="s">
        <v>635</v>
      </c>
      <c r="V212" s="8">
        <v>1</v>
      </c>
      <c r="W212" s="8"/>
      <c r="X212" t="s">
        <v>206</v>
      </c>
      <c r="Y212" t="s">
        <v>171</v>
      </c>
    </row>
    <row r="213" spans="1:25" x14ac:dyDescent="0.3">
      <c r="A213">
        <v>19087</v>
      </c>
      <c r="B213" t="str">
        <f>_xlfn.CONCAT(Tabel1[[#This Row],[personeelsnr]]," ",C213," ",D213)</f>
        <v>19087 Deschepper Peter</v>
      </c>
      <c r="C213" t="str">
        <f>VLOOKUP(Tabel1[[#This Row],[personeelsnr]],'data hastus'!$A:$C,2,0)</f>
        <v>Deschepper</v>
      </c>
      <c r="D213" t="str">
        <f>VLOOKUP(Tabel1[[#This Row],[personeelsnr]],'data hastus'!$A:$C,3,0)</f>
        <v>Peter</v>
      </c>
      <c r="E213" t="str">
        <f>VLOOKUP(Tabel1[[#This Row],[personeelsnr]],'data hastus'!A:K,11,FALSE)</f>
        <v>Els Vanhoe</v>
      </c>
      <c r="F213" s="10"/>
      <c r="G213" s="7"/>
      <c r="H213" s="7"/>
      <c r="I213" s="7"/>
      <c r="K213" s="5">
        <v>1</v>
      </c>
      <c r="S213" s="5">
        <f>SUM(Tabel1[[#This Row],[Januari]:[December]])</f>
        <v>1</v>
      </c>
      <c r="T213" s="9">
        <v>45435</v>
      </c>
      <c r="U213" s="8" t="s">
        <v>636</v>
      </c>
      <c r="V213" s="8">
        <v>1</v>
      </c>
      <c r="W213" s="8"/>
      <c r="X213" t="s">
        <v>206</v>
      </c>
      <c r="Y213" t="s">
        <v>305</v>
      </c>
    </row>
    <row r="214" spans="1:25" x14ac:dyDescent="0.3">
      <c r="A214">
        <v>39712</v>
      </c>
      <c r="B214" t="str">
        <f>_xlfn.CONCAT(Tabel1[[#This Row],[personeelsnr]]," ",C214," ",D214)</f>
        <v>39712 Repaj Ramazan</v>
      </c>
      <c r="C214" t="str">
        <f>VLOOKUP(Tabel1[[#This Row],[personeelsnr]],'data hastus'!$A:$C,2,0)</f>
        <v>Repaj</v>
      </c>
      <c r="D214" t="str">
        <f>VLOOKUP(Tabel1[[#This Row],[personeelsnr]],'data hastus'!$A:$C,3,0)</f>
        <v>Ramazan</v>
      </c>
      <c r="E214" t="str">
        <f>VLOOKUP(Tabel1[[#This Row],[personeelsnr]],'data hastus'!A:K,11,FALSE)</f>
        <v>Bart Van Der Beken</v>
      </c>
      <c r="F214" s="10"/>
      <c r="G214" s="7"/>
      <c r="H214" s="7"/>
      <c r="I214" s="7"/>
      <c r="K214" s="5">
        <v>1</v>
      </c>
      <c r="S214" s="5">
        <f>SUM(Tabel1[[#This Row],[Januari]:[December]])</f>
        <v>1</v>
      </c>
      <c r="T214" s="9">
        <v>45435</v>
      </c>
      <c r="U214" s="8" t="s">
        <v>637</v>
      </c>
      <c r="V214" s="8">
        <v>1</v>
      </c>
      <c r="W214" s="8"/>
      <c r="X214" t="s">
        <v>206</v>
      </c>
      <c r="Y214" t="s">
        <v>171</v>
      </c>
    </row>
    <row r="215" spans="1:25" x14ac:dyDescent="0.3">
      <c r="A215">
        <v>31092</v>
      </c>
      <c r="B215" t="str">
        <f>_xlfn.CONCAT(Tabel1[[#This Row],[personeelsnr]]," ",C215," ",D215)</f>
        <v>31092 De Jaeger Kevin</v>
      </c>
      <c r="C215" t="str">
        <f>VLOOKUP(Tabel1[[#This Row],[personeelsnr]],'data hastus'!$A:$C,2,0)</f>
        <v>De Jaeger</v>
      </c>
      <c r="D215" t="str">
        <f>VLOOKUP(Tabel1[[#This Row],[personeelsnr]],'data hastus'!$A:$C,3,0)</f>
        <v>Kevin</v>
      </c>
      <c r="E215" t="str">
        <f>VLOOKUP(Tabel1[[#This Row],[personeelsnr]],'data hastus'!A:K,11,FALSE)</f>
        <v>Lucie Vande Velde</v>
      </c>
      <c r="F215" s="10"/>
      <c r="G215" s="7"/>
      <c r="H215" s="7"/>
      <c r="I215" s="7"/>
      <c r="K215" s="5">
        <v>1</v>
      </c>
      <c r="S215" s="5">
        <f>SUM(Tabel1[[#This Row],[Januari]:[December]])</f>
        <v>1</v>
      </c>
      <c r="T215" s="9">
        <v>45436</v>
      </c>
      <c r="U215" s="8" t="s">
        <v>638</v>
      </c>
      <c r="V215" s="8">
        <v>1</v>
      </c>
      <c r="W215" s="8"/>
      <c r="X215" t="s">
        <v>206</v>
      </c>
      <c r="Y215" t="s">
        <v>344</v>
      </c>
    </row>
    <row r="216" spans="1:25" x14ac:dyDescent="0.3">
      <c r="A216">
        <v>37261</v>
      </c>
      <c r="B216" t="str">
        <f>_xlfn.CONCAT(Tabel1[[#This Row],[personeelsnr]]," ",C216," ",D216)</f>
        <v>37261 Van Wayenbergh Yordi</v>
      </c>
      <c r="C216" t="str">
        <f>VLOOKUP(Tabel1[[#This Row],[personeelsnr]],'data hastus'!$A:$C,2,0)</f>
        <v>Van Wayenbergh</v>
      </c>
      <c r="D216" t="str">
        <f>VLOOKUP(Tabel1[[#This Row],[personeelsnr]],'data hastus'!$A:$C,3,0)</f>
        <v>Yordi</v>
      </c>
      <c r="E216" t="str">
        <f>VLOOKUP(Tabel1[[#This Row],[personeelsnr]],'data hastus'!A:K,11,FALSE)</f>
        <v>Dominique De Clercq</v>
      </c>
      <c r="F216" s="10"/>
      <c r="G216" s="7"/>
      <c r="H216" s="7"/>
      <c r="I216" s="7"/>
      <c r="K216" s="5">
        <v>1</v>
      </c>
      <c r="S216" s="5">
        <f>SUM(Tabel1[[#This Row],[Januari]:[December]])</f>
        <v>1</v>
      </c>
      <c r="T216" s="9">
        <v>45436</v>
      </c>
      <c r="U216" s="8" t="s">
        <v>639</v>
      </c>
      <c r="V216" s="8">
        <v>1</v>
      </c>
      <c r="W216" s="8"/>
      <c r="X216" t="s">
        <v>206</v>
      </c>
      <c r="Y216" t="s">
        <v>234</v>
      </c>
    </row>
    <row r="217" spans="1:25" x14ac:dyDescent="0.3">
      <c r="A217">
        <v>9999</v>
      </c>
      <c r="B217" t="str">
        <f>_xlfn.CONCAT(Tabel1[[#This Row],[personeelsnr]]," ",C217," ",D217)</f>
        <v>9999 - -</v>
      </c>
      <c r="C217" t="s">
        <v>3388</v>
      </c>
      <c r="D217" t="s">
        <v>3388</v>
      </c>
      <c r="E217" t="s">
        <v>1165</v>
      </c>
      <c r="F217" s="10"/>
      <c r="G217" s="7"/>
      <c r="H217" s="7"/>
      <c r="I217" s="7"/>
      <c r="K217" s="5">
        <v>1</v>
      </c>
      <c r="S217" s="5">
        <f>SUM(Tabel1[[#This Row],[Januari]:[December]])</f>
        <v>1</v>
      </c>
      <c r="T217" s="9">
        <v>45436</v>
      </c>
      <c r="U217" s="8" t="s">
        <v>640</v>
      </c>
      <c r="V217" s="8">
        <v>1</v>
      </c>
      <c r="W217" s="8"/>
      <c r="X217" t="s">
        <v>206</v>
      </c>
      <c r="Y217" t="s">
        <v>208</v>
      </c>
    </row>
    <row r="218" spans="1:25" x14ac:dyDescent="0.3">
      <c r="A218">
        <v>33551</v>
      </c>
      <c r="B218" t="str">
        <f>_xlfn.CONCAT(Tabel1[[#This Row],[personeelsnr]]," ",C218," ",D218)</f>
        <v>33551 Dekens Andy</v>
      </c>
      <c r="C218" t="str">
        <f>VLOOKUP(Tabel1[[#This Row],[personeelsnr]],'data hastus'!$A:$C,2,0)</f>
        <v>Dekens</v>
      </c>
      <c r="D218" t="str">
        <f>VLOOKUP(Tabel1[[#This Row],[personeelsnr]],'data hastus'!$A:$C,3,0)</f>
        <v>Andy</v>
      </c>
      <c r="E218" t="str">
        <f>VLOOKUP(Tabel1[[#This Row],[personeelsnr]],'data hastus'!A:K,11,FALSE)</f>
        <v>Els Vanhoe</v>
      </c>
      <c r="F218" s="10"/>
      <c r="G218" s="7"/>
      <c r="H218" s="7"/>
      <c r="I218" s="7"/>
      <c r="K218" s="5">
        <v>1</v>
      </c>
      <c r="S218" s="5">
        <f>SUM(Tabel1[[#This Row],[Januari]:[December]])</f>
        <v>1</v>
      </c>
      <c r="T218" s="9">
        <v>45439</v>
      </c>
      <c r="U218" s="8" t="s">
        <v>641</v>
      </c>
      <c r="V218" s="8"/>
      <c r="W218" s="8">
        <v>1</v>
      </c>
      <c r="X218" t="s">
        <v>207</v>
      </c>
      <c r="Y218" t="s">
        <v>176</v>
      </c>
    </row>
    <row r="219" spans="1:25" x14ac:dyDescent="0.3">
      <c r="A219">
        <v>9999</v>
      </c>
      <c r="B219" t="str">
        <f>_xlfn.CONCAT(Tabel1[[#This Row],[personeelsnr]]," ",C219," ",D219)</f>
        <v>9999 - -</v>
      </c>
      <c r="C219" t="s">
        <v>3388</v>
      </c>
      <c r="D219" t="s">
        <v>3388</v>
      </c>
      <c r="E219" t="s">
        <v>1165</v>
      </c>
      <c r="F219" s="10"/>
      <c r="G219" s="7"/>
      <c r="H219" s="7"/>
      <c r="I219" s="7"/>
      <c r="K219" s="5">
        <v>1</v>
      </c>
      <c r="S219" s="5">
        <f>SUM(Tabel1[[#This Row],[Januari]:[December]])</f>
        <v>1</v>
      </c>
      <c r="T219" s="9">
        <v>45440</v>
      </c>
      <c r="U219" s="8" t="s">
        <v>642</v>
      </c>
      <c r="V219" s="8">
        <v>1</v>
      </c>
      <c r="W219" s="8"/>
      <c r="X219" t="s">
        <v>206</v>
      </c>
      <c r="Y219" t="s">
        <v>204</v>
      </c>
    </row>
    <row r="220" spans="1:25" x14ac:dyDescent="0.3">
      <c r="A220">
        <v>9999</v>
      </c>
      <c r="B220" t="str">
        <f>_xlfn.CONCAT(Tabel1[[#This Row],[personeelsnr]]," ",C220," ",D220)</f>
        <v>9999 - -</v>
      </c>
      <c r="C220" t="s">
        <v>3388</v>
      </c>
      <c r="D220" t="s">
        <v>3388</v>
      </c>
      <c r="E220" t="s">
        <v>1165</v>
      </c>
      <c r="F220" s="10"/>
      <c r="G220" s="7"/>
      <c r="H220" s="7"/>
      <c r="I220" s="7"/>
      <c r="K220" s="5">
        <v>1</v>
      </c>
      <c r="S220" s="5">
        <f>SUM(Tabel1[[#This Row],[Januari]:[December]])</f>
        <v>1</v>
      </c>
      <c r="T220" s="9">
        <v>45440</v>
      </c>
      <c r="U220" s="8" t="s">
        <v>643</v>
      </c>
      <c r="V220" s="8"/>
      <c r="W220" s="8">
        <v>1</v>
      </c>
      <c r="X220" t="s">
        <v>207</v>
      </c>
      <c r="Y220" t="s">
        <v>227</v>
      </c>
    </row>
    <row r="221" spans="1:25" x14ac:dyDescent="0.3">
      <c r="A221">
        <v>17931</v>
      </c>
      <c r="B221" t="str">
        <f>_xlfn.CONCAT(Tabel1[[#This Row],[personeelsnr]]," ",C221," ",D221)</f>
        <v>17931 Idrisi Hasana</v>
      </c>
      <c r="C221" t="str">
        <f>VLOOKUP(Tabel1[[#This Row],[personeelsnr]],'data hastus'!$A:$C,2,0)</f>
        <v>Idrisi</v>
      </c>
      <c r="D221" t="str">
        <f>VLOOKUP(Tabel1[[#This Row],[personeelsnr]],'data hastus'!$A:$C,3,0)</f>
        <v>Hasana</v>
      </c>
      <c r="E221" t="str">
        <f>VLOOKUP(Tabel1[[#This Row],[personeelsnr]],'data hastus'!A:K,11,FALSE)</f>
        <v>Els Dewulf</v>
      </c>
      <c r="F221" s="10"/>
      <c r="G221" s="7"/>
      <c r="H221" s="7"/>
      <c r="I221" s="7"/>
      <c r="K221" s="5">
        <v>1</v>
      </c>
      <c r="S221" s="5">
        <f>SUM(Tabel1[[#This Row],[Januari]:[December]])</f>
        <v>1</v>
      </c>
      <c r="T221" s="9">
        <v>45440</v>
      </c>
      <c r="U221" s="8" t="s">
        <v>644</v>
      </c>
      <c r="V221" s="8"/>
      <c r="W221" s="8">
        <v>1</v>
      </c>
      <c r="X221" t="s">
        <v>207</v>
      </c>
      <c r="Y221" t="s">
        <v>180</v>
      </c>
    </row>
    <row r="222" spans="1:25" x14ac:dyDescent="0.3">
      <c r="A222">
        <v>23700</v>
      </c>
      <c r="B222" t="str">
        <f>_xlfn.CONCAT(Tabel1[[#This Row],[personeelsnr]]," ",C222," ",D222)</f>
        <v>23700 Byosière Christof</v>
      </c>
      <c r="C222" t="str">
        <f>VLOOKUP(Tabel1[[#This Row],[personeelsnr]],'data hastus'!$A:$C,2,0)</f>
        <v>Byosière</v>
      </c>
      <c r="D222" t="str">
        <f>VLOOKUP(Tabel1[[#This Row],[personeelsnr]],'data hastus'!$A:$C,3,0)</f>
        <v>Christof</v>
      </c>
      <c r="E222" t="str">
        <f>VLOOKUP(Tabel1[[#This Row],[personeelsnr]],'data hastus'!A:K,11,FALSE)</f>
        <v>Dominique De Clercq</v>
      </c>
      <c r="F222" s="10"/>
      <c r="G222" s="7"/>
      <c r="H222" s="7"/>
      <c r="I222" s="7"/>
      <c r="K222" s="5">
        <v>1</v>
      </c>
      <c r="S222" s="5">
        <f>SUM(Tabel1[[#This Row],[Januari]:[December]])</f>
        <v>1</v>
      </c>
      <c r="T222" s="9">
        <v>45441</v>
      </c>
      <c r="U222" s="8" t="s">
        <v>645</v>
      </c>
      <c r="V222" s="8">
        <v>1</v>
      </c>
      <c r="W222" s="8"/>
      <c r="X222" t="s">
        <v>206</v>
      </c>
      <c r="Y222" t="s">
        <v>178</v>
      </c>
    </row>
    <row r="223" spans="1:25" x14ac:dyDescent="0.3">
      <c r="A223">
        <v>9999</v>
      </c>
      <c r="B223" t="str">
        <f>_xlfn.CONCAT(Tabel1[[#This Row],[personeelsnr]]," ",C223," ",D223)</f>
        <v>9999 - -</v>
      </c>
      <c r="C223" t="s">
        <v>3388</v>
      </c>
      <c r="D223" t="s">
        <v>3388</v>
      </c>
      <c r="E223" t="s">
        <v>1165</v>
      </c>
      <c r="F223" s="10"/>
      <c r="G223" s="7"/>
      <c r="H223" s="7"/>
      <c r="I223" s="7"/>
      <c r="K223" s="5">
        <v>1</v>
      </c>
      <c r="S223" s="5">
        <f>SUM(Tabel1[[#This Row],[Januari]:[December]])</f>
        <v>1</v>
      </c>
      <c r="T223" s="9">
        <v>45441</v>
      </c>
      <c r="U223" s="8" t="s">
        <v>646</v>
      </c>
      <c r="V223" s="8"/>
      <c r="W223" s="8">
        <v>1</v>
      </c>
      <c r="X223" t="s">
        <v>207</v>
      </c>
      <c r="Y223" t="s">
        <v>168</v>
      </c>
    </row>
    <row r="224" spans="1:25" x14ac:dyDescent="0.3">
      <c r="A224">
        <v>19917</v>
      </c>
      <c r="B224" t="str">
        <f>_xlfn.CONCAT(Tabel1[[#This Row],[personeelsnr]]," ",C224," ",D224)</f>
        <v>19917 Vandevyvere Frank</v>
      </c>
      <c r="C224" t="str">
        <f>VLOOKUP(Tabel1[[#This Row],[personeelsnr]],'data hastus'!$A:$C,2,0)</f>
        <v>Vandevyvere</v>
      </c>
      <c r="D224" t="str">
        <f>VLOOKUP(Tabel1[[#This Row],[personeelsnr]],'data hastus'!$A:$C,3,0)</f>
        <v>Frank</v>
      </c>
      <c r="E224" t="str">
        <f>VLOOKUP(Tabel1[[#This Row],[personeelsnr]],'data hastus'!A:K,11,FALSE)</f>
        <v>Bart Van Der Beken</v>
      </c>
      <c r="F224" s="10"/>
      <c r="G224" s="7"/>
      <c r="H224" s="7"/>
      <c r="I224" s="7"/>
      <c r="K224" s="5">
        <v>1</v>
      </c>
      <c r="S224" s="5">
        <f>SUM(Tabel1[[#This Row],[Januari]:[December]])</f>
        <v>1</v>
      </c>
      <c r="T224" s="9">
        <v>45442</v>
      </c>
      <c r="U224" s="8" t="s">
        <v>647</v>
      </c>
      <c r="V224" s="8">
        <v>1</v>
      </c>
      <c r="W224" s="8"/>
      <c r="X224" t="s">
        <v>206</v>
      </c>
      <c r="Y224" t="s">
        <v>173</v>
      </c>
    </row>
    <row r="225" spans="1:25" x14ac:dyDescent="0.3">
      <c r="A225">
        <v>39907</v>
      </c>
      <c r="B225" t="str">
        <f>_xlfn.CONCAT(Tabel1[[#This Row],[personeelsnr]]," ",C225," ",D225)</f>
        <v>39907 Marian Birsanuc</v>
      </c>
      <c r="C225" t="str">
        <f>VLOOKUP(Tabel1[[#This Row],[personeelsnr]],'data hastus'!$A:$C,2,0)</f>
        <v>Marian</v>
      </c>
      <c r="D225" t="str">
        <f>VLOOKUP(Tabel1[[#This Row],[personeelsnr]],'data hastus'!$A:$C,3,0)</f>
        <v>Birsanuc</v>
      </c>
      <c r="E225" t="str">
        <f>VLOOKUP(Tabel1[[#This Row],[personeelsnr]],'data hastus'!A:K,11,FALSE)</f>
        <v>Kenneth De Rick</v>
      </c>
      <c r="F225" s="10"/>
      <c r="G225" s="7"/>
      <c r="H225" s="7"/>
      <c r="I225" s="7"/>
      <c r="K225" s="5">
        <v>1</v>
      </c>
      <c r="S225" s="5">
        <f>SUM(Tabel1[[#This Row],[Januari]:[December]])</f>
        <v>1</v>
      </c>
      <c r="T225" s="9">
        <v>45442</v>
      </c>
      <c r="U225" s="8" t="s">
        <v>648</v>
      </c>
      <c r="V225" s="8">
        <v>1</v>
      </c>
      <c r="W225" s="8"/>
      <c r="X225" t="s">
        <v>206</v>
      </c>
      <c r="Y225" t="s">
        <v>167</v>
      </c>
    </row>
    <row r="226" spans="1:25" x14ac:dyDescent="0.3">
      <c r="A226">
        <v>36624</v>
      </c>
      <c r="B226" t="str">
        <f>_xlfn.CONCAT(Tabel1[[#This Row],[personeelsnr]]," ",C226," ",D226)</f>
        <v>36624 De Meulenaere Kurt</v>
      </c>
      <c r="C226" t="str">
        <f>VLOOKUP(Tabel1[[#This Row],[personeelsnr]],'data hastus'!$A:$C,2,0)</f>
        <v>De Meulenaere</v>
      </c>
      <c r="D226" t="str">
        <f>VLOOKUP(Tabel1[[#This Row],[personeelsnr]],'data hastus'!$A:$C,3,0)</f>
        <v>Kurt</v>
      </c>
      <c r="E226" t="str">
        <f>VLOOKUP(Tabel1[[#This Row],[personeelsnr]],'data hastus'!A:K,11,FALSE)</f>
        <v>Dominique De Clercq</v>
      </c>
      <c r="F226" s="10"/>
      <c r="G226" s="7"/>
      <c r="H226" s="7"/>
      <c r="I226" s="7"/>
      <c r="S226" s="5">
        <f>SUM(Tabel1[[#This Row],[Januari]:[December]])</f>
        <v>0</v>
      </c>
      <c r="T226" s="9">
        <v>45445</v>
      </c>
      <c r="U226" s="8" t="s">
        <v>649</v>
      </c>
      <c r="V226" s="8">
        <v>1</v>
      </c>
      <c r="W226" s="8"/>
      <c r="X226" t="s">
        <v>206</v>
      </c>
      <c r="Y226" t="s">
        <v>281</v>
      </c>
    </row>
    <row r="227" spans="1:25" x14ac:dyDescent="0.3">
      <c r="A227">
        <v>9999</v>
      </c>
      <c r="B227" t="str">
        <f>_xlfn.CONCAT(Tabel1[[#This Row],[personeelsnr]]," ",C227," ",D227)</f>
        <v>9999 - -</v>
      </c>
      <c r="C227" t="s">
        <v>3388</v>
      </c>
      <c r="D227" t="s">
        <v>3388</v>
      </c>
      <c r="E227" t="s">
        <v>1165</v>
      </c>
      <c r="F227" s="10"/>
      <c r="G227" s="7"/>
      <c r="H227" s="7"/>
      <c r="I227" s="7"/>
      <c r="S227" s="5">
        <f>SUM(Tabel1[[#This Row],[Januari]:[December]])</f>
        <v>0</v>
      </c>
      <c r="T227" s="9">
        <v>45445</v>
      </c>
      <c r="U227" s="8" t="s">
        <v>650</v>
      </c>
      <c r="V227" s="8">
        <v>1</v>
      </c>
      <c r="W227" s="8"/>
      <c r="X227" t="s">
        <v>206</v>
      </c>
      <c r="Y227" t="s">
        <v>370</v>
      </c>
    </row>
    <row r="228" spans="1:25" x14ac:dyDescent="0.3">
      <c r="A228">
        <v>34325</v>
      </c>
      <c r="B228" t="str">
        <f>_xlfn.CONCAT(Tabel1[[#This Row],[personeelsnr]]," ",C228," ",D228)</f>
        <v>34325 Eid Mathyn</v>
      </c>
      <c r="C228" t="str">
        <f>VLOOKUP(Tabel1[[#This Row],[personeelsnr]],'data hastus'!$A:$C,2,0)</f>
        <v>Eid</v>
      </c>
      <c r="D228" t="str">
        <f>VLOOKUP(Tabel1[[#This Row],[personeelsnr]],'data hastus'!$A:$C,3,0)</f>
        <v>Mathyn</v>
      </c>
      <c r="E228" t="str">
        <f>VLOOKUP(Tabel1[[#This Row],[personeelsnr]],'data hastus'!A:K,11,FALSE)</f>
        <v>Steven Storm</v>
      </c>
      <c r="F228" s="10"/>
      <c r="G228" s="7"/>
      <c r="H228" s="7"/>
      <c r="I228" s="7"/>
      <c r="S228" s="5">
        <f>SUM(Tabel1[[#This Row],[Januari]:[December]])</f>
        <v>0</v>
      </c>
      <c r="T228" s="9">
        <v>45447</v>
      </c>
      <c r="U228" s="8" t="s">
        <v>651</v>
      </c>
      <c r="V228" s="8"/>
      <c r="W228" s="8">
        <v>1</v>
      </c>
      <c r="X228" t="s">
        <v>207</v>
      </c>
      <c r="Y228" t="s">
        <v>225</v>
      </c>
    </row>
    <row r="229" spans="1:25" x14ac:dyDescent="0.3">
      <c r="A229">
        <v>19249</v>
      </c>
      <c r="B229" t="str">
        <f>_xlfn.CONCAT(Tabel1[[#This Row],[personeelsnr]]," ",C229," ",D229)</f>
        <v>19249 Odaci Kadir</v>
      </c>
      <c r="C229" t="str">
        <f>VLOOKUP(Tabel1[[#This Row],[personeelsnr]],'data hastus'!$A:$C,2,0)</f>
        <v>Odaci</v>
      </c>
      <c r="D229" t="str">
        <f>VLOOKUP(Tabel1[[#This Row],[personeelsnr]],'data hastus'!$A:$C,3,0)</f>
        <v>Kadir</v>
      </c>
      <c r="E229" t="str">
        <f>VLOOKUP(Tabel1[[#This Row],[personeelsnr]],'data hastus'!A:K,11,FALSE)</f>
        <v>Lucie Vande Velde</v>
      </c>
      <c r="F229" s="10"/>
      <c r="G229" s="7"/>
      <c r="H229" s="7"/>
      <c r="I229" s="7"/>
      <c r="S229" s="5">
        <f>SUM(Tabel1[[#This Row],[Januari]:[December]])</f>
        <v>0</v>
      </c>
      <c r="T229" s="9">
        <v>45447</v>
      </c>
      <c r="U229" s="8" t="s">
        <v>652</v>
      </c>
      <c r="V229" s="8"/>
      <c r="W229" s="8">
        <v>1</v>
      </c>
      <c r="X229" t="s">
        <v>207</v>
      </c>
      <c r="Y229" t="s">
        <v>276</v>
      </c>
    </row>
    <row r="230" spans="1:25" x14ac:dyDescent="0.3">
      <c r="A230">
        <v>34325</v>
      </c>
      <c r="B230" t="str">
        <f>_xlfn.CONCAT(Tabel1[[#This Row],[personeelsnr]]," ",C230," ",D230)</f>
        <v>34325 Eid Mathyn</v>
      </c>
      <c r="C230" t="str">
        <f>VLOOKUP(Tabel1[[#This Row],[personeelsnr]],'data hastus'!$A:$C,2,0)</f>
        <v>Eid</v>
      </c>
      <c r="D230" t="str">
        <f>VLOOKUP(Tabel1[[#This Row],[personeelsnr]],'data hastus'!$A:$C,3,0)</f>
        <v>Mathyn</v>
      </c>
      <c r="E230" t="str">
        <f>VLOOKUP(Tabel1[[#This Row],[personeelsnr]],'data hastus'!A:K,11,FALSE)</f>
        <v>Steven Storm</v>
      </c>
      <c r="F230" s="10"/>
      <c r="G230" s="7"/>
      <c r="H230" s="7"/>
      <c r="I230" s="7"/>
      <c r="S230" s="5">
        <f>SUM(Tabel1[[#This Row],[Januari]:[December]])</f>
        <v>0</v>
      </c>
      <c r="T230" s="9">
        <v>45447</v>
      </c>
      <c r="U230" s="8" t="s">
        <v>653</v>
      </c>
      <c r="V230" s="8"/>
      <c r="W230" s="8">
        <v>1</v>
      </c>
      <c r="X230" t="s">
        <v>207</v>
      </c>
      <c r="Y230" t="s">
        <v>225</v>
      </c>
    </row>
    <row r="231" spans="1:25" x14ac:dyDescent="0.3">
      <c r="A231">
        <v>31731</v>
      </c>
      <c r="B231" t="str">
        <f>_xlfn.CONCAT(Tabel1[[#This Row],[personeelsnr]]," ",C231," ",D231)</f>
        <v>31731 Dedapper Marijke</v>
      </c>
      <c r="C231" t="str">
        <f>VLOOKUP(Tabel1[[#This Row],[personeelsnr]],'data hastus'!$A:$C,2,0)</f>
        <v>Dedapper</v>
      </c>
      <c r="D231" t="str">
        <f>VLOOKUP(Tabel1[[#This Row],[personeelsnr]],'data hastus'!$A:$C,3,0)</f>
        <v>Marijke</v>
      </c>
      <c r="E231" t="str">
        <f>VLOOKUP(Tabel1[[#This Row],[personeelsnr]],'data hastus'!A:K,11,FALSE)</f>
        <v>Els Vanhoe</v>
      </c>
      <c r="F231" s="10"/>
      <c r="G231" s="7"/>
      <c r="H231" s="7"/>
      <c r="I231" s="7"/>
      <c r="S231" s="5">
        <f>SUM(Tabel1[[#This Row],[Januari]:[December]])</f>
        <v>0</v>
      </c>
      <c r="T231" s="9">
        <v>45448</v>
      </c>
      <c r="U231" s="8" t="s">
        <v>654</v>
      </c>
      <c r="V231" s="8">
        <v>1</v>
      </c>
      <c r="W231" s="8"/>
      <c r="X231" t="s">
        <v>206</v>
      </c>
      <c r="Y231" t="s">
        <v>233</v>
      </c>
    </row>
    <row r="232" spans="1:25" x14ac:dyDescent="0.3">
      <c r="A232">
        <v>39712</v>
      </c>
      <c r="B232" t="str">
        <f>_xlfn.CONCAT(Tabel1[[#This Row],[personeelsnr]]," ",C232," ",D232)</f>
        <v>39712 Repaj Ramazan</v>
      </c>
      <c r="C232" t="str">
        <f>VLOOKUP(Tabel1[[#This Row],[personeelsnr]],'data hastus'!$A:$C,2,0)</f>
        <v>Repaj</v>
      </c>
      <c r="D232" t="str">
        <f>VLOOKUP(Tabel1[[#This Row],[personeelsnr]],'data hastus'!$A:$C,3,0)</f>
        <v>Ramazan</v>
      </c>
      <c r="E232" t="str">
        <f>VLOOKUP(Tabel1[[#This Row],[personeelsnr]],'data hastus'!A:K,11,FALSE)</f>
        <v>Bart Van Der Beken</v>
      </c>
      <c r="F232" s="10"/>
      <c r="G232" s="7"/>
      <c r="H232" s="7"/>
      <c r="I232" s="7"/>
      <c r="S232" s="5">
        <f>SUM(Tabel1[[#This Row],[Januari]:[December]])</f>
        <v>0</v>
      </c>
      <c r="T232" s="9">
        <v>45448</v>
      </c>
      <c r="U232" s="8" t="s">
        <v>655</v>
      </c>
      <c r="V232" s="8">
        <v>1</v>
      </c>
      <c r="W232" s="8"/>
      <c r="X232" t="s">
        <v>206</v>
      </c>
      <c r="Y232" t="s">
        <v>248</v>
      </c>
    </row>
    <row r="233" spans="1:25" x14ac:dyDescent="0.3">
      <c r="A233">
        <v>29179</v>
      </c>
      <c r="B233" t="str">
        <f>_xlfn.CONCAT(Tabel1[[#This Row],[personeelsnr]]," ",C233," ",D233)</f>
        <v>29179 Verwee Dries</v>
      </c>
      <c r="C233" t="str">
        <f>VLOOKUP(Tabel1[[#This Row],[personeelsnr]],'data hastus'!$A:$C,2,0)</f>
        <v>Verwee</v>
      </c>
      <c r="D233" t="str">
        <f>VLOOKUP(Tabel1[[#This Row],[personeelsnr]],'data hastus'!$A:$C,3,0)</f>
        <v>Dries</v>
      </c>
      <c r="E233" t="str">
        <f>VLOOKUP(Tabel1[[#This Row],[personeelsnr]],'data hastus'!A:K,11,FALSE)</f>
        <v>Els Dewulf</v>
      </c>
      <c r="F233" s="10"/>
      <c r="G233" s="7"/>
      <c r="H233" s="7"/>
      <c r="I233" s="7"/>
      <c r="S233" s="5">
        <f>SUM(Tabel1[[#This Row],[Januari]:[December]])</f>
        <v>0</v>
      </c>
      <c r="T233" s="9">
        <v>45448</v>
      </c>
      <c r="U233" s="8" t="s">
        <v>656</v>
      </c>
      <c r="V233" s="8"/>
      <c r="W233" s="8">
        <v>1</v>
      </c>
      <c r="X233" t="s">
        <v>207</v>
      </c>
      <c r="Y233" t="s">
        <v>267</v>
      </c>
    </row>
    <row r="234" spans="1:25" x14ac:dyDescent="0.3">
      <c r="A234">
        <v>39183</v>
      </c>
      <c r="B234" t="str">
        <f>_xlfn.CONCAT(Tabel1[[#This Row],[personeelsnr]]," ",C234," ",D234)</f>
        <v>39183 Al Masri Anas</v>
      </c>
      <c r="C234" t="str">
        <f>VLOOKUP(Tabel1[[#This Row],[personeelsnr]],'data hastus'!$A:$C,2,0)</f>
        <v>Al Masri</v>
      </c>
      <c r="D234" t="str">
        <f>VLOOKUP(Tabel1[[#This Row],[personeelsnr]],'data hastus'!$A:$C,3,0)</f>
        <v>Anas</v>
      </c>
      <c r="E234" t="str">
        <f>VLOOKUP(Tabel1[[#This Row],[personeelsnr]],'data hastus'!A:K,11,FALSE)</f>
        <v>Christoff Rotty</v>
      </c>
      <c r="F234" s="10"/>
      <c r="G234" s="7"/>
      <c r="H234" s="7"/>
      <c r="I234" s="7"/>
      <c r="S234" s="5">
        <f>SUM(Tabel1[[#This Row],[Januari]:[December]])</f>
        <v>0</v>
      </c>
      <c r="T234" s="9">
        <v>45449</v>
      </c>
      <c r="U234" s="8" t="s">
        <v>657</v>
      </c>
      <c r="V234" s="8">
        <v>1</v>
      </c>
      <c r="W234" s="8"/>
      <c r="X234" t="s">
        <v>206</v>
      </c>
      <c r="Y234" t="s">
        <v>173</v>
      </c>
    </row>
    <row r="235" spans="1:25" x14ac:dyDescent="0.3">
      <c r="A235">
        <v>9999</v>
      </c>
      <c r="B235" t="str">
        <f>_xlfn.CONCAT(Tabel1[[#This Row],[personeelsnr]]," ",C235," ",D235)</f>
        <v>9999 - -</v>
      </c>
      <c r="C235" t="s">
        <v>3388</v>
      </c>
      <c r="D235" t="s">
        <v>3388</v>
      </c>
      <c r="E235" t="s">
        <v>1165</v>
      </c>
      <c r="F235" s="10"/>
      <c r="G235" s="7"/>
      <c r="H235" s="7"/>
      <c r="I235" s="7"/>
      <c r="S235" s="5">
        <f>SUM(Tabel1[[#This Row],[Januari]:[December]])</f>
        <v>0</v>
      </c>
      <c r="T235" s="9">
        <v>45449</v>
      </c>
      <c r="U235" s="8" t="s">
        <v>658</v>
      </c>
      <c r="V235" s="8">
        <v>1</v>
      </c>
      <c r="W235" s="8"/>
      <c r="X235" t="s">
        <v>206</v>
      </c>
      <c r="Y235" t="s">
        <v>174</v>
      </c>
    </row>
    <row r="236" spans="1:25" x14ac:dyDescent="0.3">
      <c r="A236">
        <v>37936</v>
      </c>
      <c r="B236" t="str">
        <f>_xlfn.CONCAT(Tabel1[[#This Row],[personeelsnr]]," ",C236," ",D236)</f>
        <v>37936 Detaeye Alexander</v>
      </c>
      <c r="C236" t="str">
        <f>VLOOKUP(Tabel1[[#This Row],[personeelsnr]],'data hastus'!$A:$C,2,0)</f>
        <v>Detaeye</v>
      </c>
      <c r="D236" t="str">
        <f>VLOOKUP(Tabel1[[#This Row],[personeelsnr]],'data hastus'!$A:$C,3,0)</f>
        <v>Alexander</v>
      </c>
      <c r="E236" t="str">
        <f>VLOOKUP(Tabel1[[#This Row],[personeelsnr]],'data hastus'!A:K,11,FALSE)</f>
        <v>Steven Storm</v>
      </c>
      <c r="F236" s="10"/>
      <c r="G236" s="7"/>
      <c r="H236" s="7"/>
      <c r="I236" s="7"/>
      <c r="S236" s="5">
        <f>SUM(Tabel1[[#This Row],[Januari]:[December]])</f>
        <v>0</v>
      </c>
      <c r="T236" s="9">
        <v>45450</v>
      </c>
      <c r="U236" s="8" t="s">
        <v>659</v>
      </c>
      <c r="V236" s="8">
        <v>1</v>
      </c>
      <c r="W236" s="8"/>
      <c r="X236" t="s">
        <v>206</v>
      </c>
      <c r="Y236" t="s">
        <v>392</v>
      </c>
    </row>
    <row r="237" spans="1:25" x14ac:dyDescent="0.3">
      <c r="A237">
        <v>9999</v>
      </c>
      <c r="B237" t="str">
        <f>_xlfn.CONCAT(Tabel1[[#This Row],[personeelsnr]]," ",C237," ",D237)</f>
        <v>9999 - -</v>
      </c>
      <c r="C237" t="s">
        <v>3388</v>
      </c>
      <c r="D237" t="s">
        <v>3388</v>
      </c>
      <c r="E237" t="s">
        <v>1165</v>
      </c>
      <c r="F237" s="10"/>
      <c r="G237" s="7"/>
      <c r="H237" s="7"/>
      <c r="I237" s="7"/>
      <c r="S237" s="5">
        <f>SUM(Tabel1[[#This Row],[Januari]:[December]])</f>
        <v>0</v>
      </c>
      <c r="T237" s="9">
        <v>45453</v>
      </c>
      <c r="U237" s="8" t="s">
        <v>660</v>
      </c>
      <c r="V237" s="8">
        <v>1</v>
      </c>
      <c r="W237" s="8"/>
      <c r="X237" t="s">
        <v>206</v>
      </c>
      <c r="Y237" t="s">
        <v>171</v>
      </c>
    </row>
    <row r="238" spans="1:25" x14ac:dyDescent="0.3">
      <c r="A238">
        <v>27186</v>
      </c>
      <c r="B238" t="str">
        <f>_xlfn.CONCAT(Tabel1[[#This Row],[personeelsnr]]," ",C238," ",D238)</f>
        <v>27186 Neghli Farid</v>
      </c>
      <c r="C238" t="str">
        <f>VLOOKUP(Tabel1[[#This Row],[personeelsnr]],'data hastus'!$A:$C,2,0)</f>
        <v>Neghli</v>
      </c>
      <c r="D238" t="str">
        <f>VLOOKUP(Tabel1[[#This Row],[personeelsnr]],'data hastus'!$A:$C,3,0)</f>
        <v>Farid</v>
      </c>
      <c r="E238" t="str">
        <f>VLOOKUP(Tabel1[[#This Row],[personeelsnr]],'data hastus'!A:K,11,FALSE)</f>
        <v>Christoff Rotty</v>
      </c>
      <c r="F238" s="10"/>
      <c r="G238" s="7"/>
      <c r="H238" s="7"/>
      <c r="I238" s="7"/>
      <c r="S238" s="5">
        <f>SUM(Tabel1[[#This Row],[Januari]:[December]])</f>
        <v>0</v>
      </c>
      <c r="T238" s="9">
        <v>45453</v>
      </c>
      <c r="U238" s="8" t="s">
        <v>661</v>
      </c>
      <c r="V238" s="8">
        <v>1</v>
      </c>
      <c r="W238" s="8"/>
      <c r="X238" t="s">
        <v>206</v>
      </c>
      <c r="Y238" t="s">
        <v>167</v>
      </c>
    </row>
    <row r="239" spans="1:25" x14ac:dyDescent="0.3">
      <c r="A239">
        <v>39013</v>
      </c>
      <c r="B239" t="str">
        <f>_xlfn.CONCAT(Tabel1[[#This Row],[personeelsnr]]," ",C239," ",D239)</f>
        <v>39013 Asrih Habib</v>
      </c>
      <c r="C239" t="str">
        <f>VLOOKUP(Tabel1[[#This Row],[personeelsnr]],'data hastus'!$A:$C,2,0)</f>
        <v>Asrih</v>
      </c>
      <c r="D239" t="str">
        <f>VLOOKUP(Tabel1[[#This Row],[personeelsnr]],'data hastus'!$A:$C,3,0)</f>
        <v>Habib</v>
      </c>
      <c r="E239" t="str">
        <f>VLOOKUP(Tabel1[[#This Row],[personeelsnr]],'data hastus'!A:K,11,FALSE)</f>
        <v>Els Dewulf</v>
      </c>
      <c r="F239" s="10"/>
      <c r="G239" s="7"/>
      <c r="H239" s="7"/>
      <c r="I239" s="7"/>
      <c r="S239" s="5">
        <f>SUM(Tabel1[[#This Row],[Januari]:[December]])</f>
        <v>0</v>
      </c>
      <c r="T239" s="9">
        <v>45453</v>
      </c>
      <c r="U239" s="8" t="s">
        <v>662</v>
      </c>
      <c r="V239" s="8">
        <v>1</v>
      </c>
      <c r="W239" s="8"/>
      <c r="X239" t="s">
        <v>206</v>
      </c>
      <c r="Y239" t="s">
        <v>169</v>
      </c>
    </row>
    <row r="240" spans="1:25" x14ac:dyDescent="0.3">
      <c r="A240">
        <v>37131</v>
      </c>
      <c r="B240" t="str">
        <f>_xlfn.CONCAT(Tabel1[[#This Row],[personeelsnr]]," ",C240," ",D240)</f>
        <v>37131 Saritag Mehmed</v>
      </c>
      <c r="C240" t="str">
        <f>VLOOKUP(Tabel1[[#This Row],[personeelsnr]],'data hastus'!$A:$C,2,0)</f>
        <v>Saritag</v>
      </c>
      <c r="D240" t="str">
        <f>VLOOKUP(Tabel1[[#This Row],[personeelsnr]],'data hastus'!$A:$C,3,0)</f>
        <v>Mehmed</v>
      </c>
      <c r="E240" t="str">
        <f>VLOOKUP(Tabel1[[#This Row],[personeelsnr]],'data hastus'!A:K,11,FALSE)</f>
        <v>Kenneth De Rick</v>
      </c>
      <c r="F240" s="10"/>
      <c r="G240" s="7"/>
      <c r="H240" s="7"/>
      <c r="I240" s="7"/>
      <c r="S240" s="5">
        <f>SUM(Tabel1[[#This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206</v>
      </c>
      <c r="Y240" t="s">
        <v>388</v>
      </c>
    </row>
    <row r="241" spans="1:25" x14ac:dyDescent="0.3">
      <c r="A241">
        <v>38808</v>
      </c>
      <c r="B241" t="str">
        <f>_xlfn.CONCAT(Tabel1[[#This Row],[personeelsnr]]," ",C241," ",D241)</f>
        <v>38808 Wasen Jens</v>
      </c>
      <c r="C241" t="str">
        <f>VLOOKUP(Tabel1[[#This Row],[personeelsnr]],'data hastus'!$A:$C,2,0)</f>
        <v>Wasen</v>
      </c>
      <c r="D241" t="str">
        <f>VLOOKUP(Tabel1[[#This Row],[personeelsnr]],'data hastus'!$A:$C,3,0)</f>
        <v>Jens</v>
      </c>
      <c r="E241" t="str">
        <f>VLOOKUP(Tabel1[[#This Row],[personeelsnr]],'data hastus'!A:K,11,FALSE)</f>
        <v>Els Dewulf</v>
      </c>
      <c r="F241" s="10"/>
      <c r="G241" s="7"/>
      <c r="H241" s="7"/>
      <c r="I241" s="7"/>
      <c r="S241" s="5">
        <f>SUM(Tabel1[[#This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206</v>
      </c>
      <c r="Y241" t="s">
        <v>167</v>
      </c>
    </row>
    <row r="242" spans="1:25" x14ac:dyDescent="0.3">
      <c r="A242">
        <v>9999</v>
      </c>
      <c r="B242" t="str">
        <f>_xlfn.CONCAT(Tabel1[[#This Row],[personeelsnr]]," ",C242," ",D242)</f>
        <v>9999 - -</v>
      </c>
      <c r="C242" t="s">
        <v>3388</v>
      </c>
      <c r="D242" t="s">
        <v>3388</v>
      </c>
      <c r="E242" t="s">
        <v>1165</v>
      </c>
      <c r="F242" s="10"/>
      <c r="G242" s="7"/>
      <c r="H242" s="7"/>
      <c r="I242" s="7"/>
      <c r="S242" s="5">
        <f>SUM(Tabel1[[#This Row],[Januari]:[December]])</f>
        <v>0</v>
      </c>
      <c r="T242" s="9">
        <v>45453</v>
      </c>
      <c r="U242" s="8" t="s">
        <v>665</v>
      </c>
      <c r="V242" s="8">
        <v>1</v>
      </c>
      <c r="W242" s="8"/>
      <c r="X242" t="s">
        <v>206</v>
      </c>
      <c r="Y242" t="s">
        <v>171</v>
      </c>
    </row>
    <row r="243" spans="1:25" x14ac:dyDescent="0.3">
      <c r="A243">
        <v>29478</v>
      </c>
      <c r="B243" t="str">
        <f>_xlfn.CONCAT(Tabel1[[#This Row],[personeelsnr]]," ",C243," ",D243)</f>
        <v>29478 Priwall Heike</v>
      </c>
      <c r="C243" t="str">
        <f>VLOOKUP(Tabel1[[#This Row],[personeelsnr]],'data hastus'!$A:$C,2,0)</f>
        <v>Priwall</v>
      </c>
      <c r="D243" t="str">
        <f>VLOOKUP(Tabel1[[#This Row],[personeelsnr]],'data hastus'!$A:$C,3,0)</f>
        <v>Heike</v>
      </c>
      <c r="E243" t="str">
        <f>VLOOKUP(Tabel1[[#This Row],[personeelsnr]],'data hastus'!A:K,11,FALSE)</f>
        <v>Els Dewulf</v>
      </c>
      <c r="F243" s="10"/>
      <c r="G243" s="7"/>
      <c r="H243" s="7"/>
      <c r="I243" s="7"/>
      <c r="S243" s="5">
        <f>SUM(Tabel1[[#This Row],[Januari]:[December]])</f>
        <v>0</v>
      </c>
      <c r="T243" s="9">
        <v>45454</v>
      </c>
      <c r="U243" s="8" t="s">
        <v>666</v>
      </c>
      <c r="V243" s="8">
        <v>1</v>
      </c>
      <c r="W243" s="8"/>
      <c r="X243" t="s">
        <v>206</v>
      </c>
      <c r="Y243" t="s">
        <v>358</v>
      </c>
    </row>
    <row r="244" spans="1:25" x14ac:dyDescent="0.3">
      <c r="A244">
        <v>9999</v>
      </c>
      <c r="B244" t="str">
        <f>_xlfn.CONCAT(Tabel1[[#This Row],[personeelsnr]]," ",C244," ",D244)</f>
        <v>9999 - -</v>
      </c>
      <c r="C244" t="s">
        <v>3388</v>
      </c>
      <c r="D244" t="s">
        <v>3388</v>
      </c>
      <c r="E244" t="s">
        <v>1165</v>
      </c>
      <c r="F244" s="10"/>
      <c r="G244" s="7"/>
      <c r="H244" s="7"/>
      <c r="I244" s="7"/>
      <c r="S244" s="5">
        <f>SUM(Tabel1[[#This Row],[Januari]:[December]])</f>
        <v>0</v>
      </c>
      <c r="T244" s="9">
        <v>45454</v>
      </c>
      <c r="U244" s="8" t="s">
        <v>667</v>
      </c>
      <c r="V244" s="8">
        <v>1</v>
      </c>
      <c r="W244" s="8"/>
      <c r="X244" t="s">
        <v>206</v>
      </c>
      <c r="Y244" t="s">
        <v>387</v>
      </c>
    </row>
    <row r="245" spans="1:25" x14ac:dyDescent="0.3">
      <c r="A245">
        <v>39929</v>
      </c>
      <c r="B245" t="str">
        <f>_xlfn.CONCAT(Tabel1[[#This Row],[personeelsnr]]," ",C245," ",D245)</f>
        <v>39929 Staneva Mariyana</v>
      </c>
      <c r="C245" t="str">
        <f>VLOOKUP(Tabel1[[#This Row],[personeelsnr]],'data hastus'!$A:$C,2,0)</f>
        <v>Staneva</v>
      </c>
      <c r="D245" t="str">
        <f>VLOOKUP(Tabel1[[#This Row],[personeelsnr]],'data hastus'!$A:$C,3,0)</f>
        <v>Mariyana</v>
      </c>
      <c r="E245" t="str">
        <f>VLOOKUP(Tabel1[[#This Row],[personeelsnr]],'data hastus'!A:K,11,FALSE)</f>
        <v>Christoff Rotty</v>
      </c>
      <c r="F245" s="10"/>
      <c r="G245" s="7"/>
      <c r="H245" s="7"/>
      <c r="I245" s="7"/>
      <c r="S245" s="5">
        <f>SUM(Tabel1[[#This Row],[Januari]:[December]])</f>
        <v>0</v>
      </c>
      <c r="T245" s="9">
        <v>45455</v>
      </c>
      <c r="U245" s="8" t="s">
        <v>668</v>
      </c>
      <c r="V245" s="8">
        <v>1</v>
      </c>
      <c r="W245" s="8"/>
      <c r="X245" t="s">
        <v>206</v>
      </c>
      <c r="Y245" t="s">
        <v>167</v>
      </c>
    </row>
    <row r="246" spans="1:25" x14ac:dyDescent="0.3">
      <c r="A246">
        <v>40110</v>
      </c>
      <c r="B246" t="str">
        <f>_xlfn.CONCAT(Tabel1[[#This Row],[personeelsnr]]," ",C246," ",D246)</f>
        <v>40110 Vanlerberghe Sandra</v>
      </c>
      <c r="C246" t="str">
        <f>VLOOKUP(Tabel1[[#This Row],[personeelsnr]],'data hastus'!$A:$C,2,0)</f>
        <v>Vanlerberghe</v>
      </c>
      <c r="D246" t="str">
        <f>VLOOKUP(Tabel1[[#This Row],[personeelsnr]],'data hastus'!$A:$C,3,0)</f>
        <v>Sandra</v>
      </c>
      <c r="E246" t="str">
        <f>VLOOKUP(Tabel1[[#This Row],[personeelsnr]],'data hastus'!A:K,11,FALSE)</f>
        <v>Christoff Rotty</v>
      </c>
      <c r="F246" s="10"/>
      <c r="G246" s="7"/>
      <c r="H246" s="7"/>
      <c r="I246" s="7"/>
      <c r="S246" s="5">
        <f>SUM(Tabel1[[#This Row],[Januari]:[December]])</f>
        <v>0</v>
      </c>
      <c r="T246" s="9">
        <v>45455</v>
      </c>
      <c r="U246" s="8" t="s">
        <v>669</v>
      </c>
      <c r="V246" s="8">
        <v>1</v>
      </c>
      <c r="W246" s="8"/>
      <c r="X246" t="s">
        <v>206</v>
      </c>
      <c r="Y246" t="s">
        <v>242</v>
      </c>
    </row>
    <row r="247" spans="1:25" x14ac:dyDescent="0.3">
      <c r="A247">
        <v>31689</v>
      </c>
      <c r="B247" t="str">
        <f>_xlfn.CONCAT(Tabel1[[#This Row],[personeelsnr]]," ",C247," ",D247)</f>
        <v>31689 Van Achte Jay</v>
      </c>
      <c r="C247" t="str">
        <f>VLOOKUP(Tabel1[[#This Row],[personeelsnr]],'data hastus'!$A:$C,2,0)</f>
        <v>Van Achte</v>
      </c>
      <c r="D247" t="str">
        <f>VLOOKUP(Tabel1[[#This Row],[personeelsnr]],'data hastus'!$A:$C,3,0)</f>
        <v>Jay</v>
      </c>
      <c r="E247" t="str">
        <f>VLOOKUP(Tabel1[[#This Row],[personeelsnr]],'data hastus'!A:K,11,FALSE)</f>
        <v>Steven Storm</v>
      </c>
      <c r="F247" s="10"/>
      <c r="G247" s="7"/>
      <c r="H247" s="7"/>
      <c r="I247" s="7"/>
      <c r="S247" s="5">
        <f>SUM(Tabel1[[#This Row],[Januari]:[December]])</f>
        <v>0</v>
      </c>
      <c r="T247" s="9">
        <v>45455</v>
      </c>
      <c r="U247" s="8" t="s">
        <v>670</v>
      </c>
      <c r="V247" s="8">
        <v>1</v>
      </c>
      <c r="W247" s="8"/>
      <c r="X247" t="s">
        <v>206</v>
      </c>
      <c r="Y247" t="s">
        <v>539</v>
      </c>
    </row>
    <row r="248" spans="1:25" x14ac:dyDescent="0.3">
      <c r="A248">
        <v>40521</v>
      </c>
      <c r="B248" t="str">
        <f>_xlfn.CONCAT(Tabel1[[#This Row],[personeelsnr]]," ",C248," ",D248)</f>
        <v>40521 Mekdad Ali</v>
      </c>
      <c r="C248" t="str">
        <f>VLOOKUP(Tabel1[[#This Row],[personeelsnr]],'data hastus'!$A:$C,2,0)</f>
        <v>Mekdad</v>
      </c>
      <c r="D248" t="str">
        <f>VLOOKUP(Tabel1[[#This Row],[personeelsnr]],'data hastus'!$A:$C,3,0)</f>
        <v>Ali</v>
      </c>
      <c r="E248" t="str">
        <f>VLOOKUP(Tabel1[[#This Row],[personeelsnr]],'data hastus'!A:K,11,FALSE)</f>
        <v>Lucie Vande Velde</v>
      </c>
      <c r="F248" s="10"/>
      <c r="G248" s="7"/>
      <c r="H248" s="7"/>
      <c r="I248" s="7"/>
      <c r="S248" s="5">
        <f>SUM(Tabel1[[#This Row],[Januari]:[December]])</f>
        <v>0</v>
      </c>
      <c r="T248" s="9">
        <v>45456</v>
      </c>
      <c r="U248" s="8" t="s">
        <v>671</v>
      </c>
      <c r="V248" s="8">
        <v>1</v>
      </c>
      <c r="W248" s="8"/>
      <c r="X248" t="s">
        <v>206</v>
      </c>
      <c r="Y248" t="s">
        <v>221</v>
      </c>
    </row>
    <row r="249" spans="1:25" x14ac:dyDescent="0.3">
      <c r="A249">
        <v>37542</v>
      </c>
      <c r="B249" t="str">
        <f>_xlfn.CONCAT(Tabel1[[#This Row],[personeelsnr]]," ",C249," ",D249)</f>
        <v>37542 De Tandt Hans</v>
      </c>
      <c r="C249" t="str">
        <f>VLOOKUP(Tabel1[[#This Row],[personeelsnr]],'data hastus'!$A:$C,2,0)</f>
        <v>De Tandt</v>
      </c>
      <c r="D249" t="str">
        <f>VLOOKUP(Tabel1[[#This Row],[personeelsnr]],'data hastus'!$A:$C,3,0)</f>
        <v>Hans</v>
      </c>
      <c r="E249" t="str">
        <f>VLOOKUP(Tabel1[[#This Row],[personeelsnr]],'data hastus'!A:K,11,FALSE)</f>
        <v>Bart Van Der Beken</v>
      </c>
      <c r="F249" s="10"/>
      <c r="G249" s="7"/>
      <c r="H249" s="7"/>
      <c r="I249" s="7"/>
      <c r="S249" s="5">
        <f>SUM(Tabel1[[#This Row],[Januari]:[December]])</f>
        <v>0</v>
      </c>
      <c r="T249" s="9">
        <v>45456</v>
      </c>
      <c r="U249" s="8" t="s">
        <v>672</v>
      </c>
      <c r="V249" s="8">
        <v>1</v>
      </c>
      <c r="W249" s="8"/>
      <c r="X249" t="s">
        <v>206</v>
      </c>
      <c r="Y249" t="s">
        <v>171</v>
      </c>
    </row>
    <row r="250" spans="1:25" x14ac:dyDescent="0.3">
      <c r="A250">
        <v>37542</v>
      </c>
      <c r="B250" t="str">
        <f>_xlfn.CONCAT(Tabel1[[#This Row],[personeelsnr]]," ",C250," ",D250)</f>
        <v>37542 De Tandt Hans</v>
      </c>
      <c r="C250" t="str">
        <f>VLOOKUP(Tabel1[[#This Row],[personeelsnr]],'data hastus'!$A:$C,2,0)</f>
        <v>De Tandt</v>
      </c>
      <c r="D250" t="str">
        <f>VLOOKUP(Tabel1[[#This Row],[personeelsnr]],'data hastus'!$A:$C,3,0)</f>
        <v>Hans</v>
      </c>
      <c r="E250" t="str">
        <f>VLOOKUP(Tabel1[[#This Row],[personeelsnr]],'data hastus'!A:K,11,FALSE)</f>
        <v>Bart Van Der Beken</v>
      </c>
      <c r="F250" s="10"/>
      <c r="G250" s="7"/>
      <c r="H250" s="7"/>
      <c r="I250" s="7"/>
      <c r="S250" s="5">
        <f>SUM(Tabel1[[#This Row],[Januari]:[December]])</f>
        <v>0</v>
      </c>
      <c r="T250" s="9">
        <v>45456</v>
      </c>
      <c r="U250" s="8" t="s">
        <v>673</v>
      </c>
      <c r="V250" s="8">
        <v>1</v>
      </c>
      <c r="W250" s="8"/>
      <c r="X250" t="s">
        <v>206</v>
      </c>
      <c r="Y250" t="s">
        <v>171</v>
      </c>
    </row>
    <row r="251" spans="1:25" x14ac:dyDescent="0.3">
      <c r="A251">
        <v>40036</v>
      </c>
      <c r="B251" t="str">
        <f>_xlfn.CONCAT(Tabel1[[#This Row],[personeelsnr]]," ",C251," ",D251)</f>
        <v>40036 Karakaya Oguz</v>
      </c>
      <c r="C251" t="str">
        <f>VLOOKUP(Tabel1[[#This Row],[personeelsnr]],'data hastus'!$A:$C,2,0)</f>
        <v>Karakaya</v>
      </c>
      <c r="D251" t="str">
        <f>VLOOKUP(Tabel1[[#This Row],[personeelsnr]],'data hastus'!$A:$C,3,0)</f>
        <v>Oguz</v>
      </c>
      <c r="E251" t="str">
        <f>VLOOKUP(Tabel1[[#This Row],[personeelsnr]],'data hastus'!A:K,11,FALSE)</f>
        <v>Dominique De Clercq</v>
      </c>
      <c r="F251" s="10"/>
      <c r="G251" s="7"/>
      <c r="H251" s="7"/>
      <c r="I251" s="7"/>
      <c r="S251" s="5">
        <f>SUM(Tabel1[[#This Row],[Januari]:[December]])</f>
        <v>0</v>
      </c>
      <c r="T251" s="9">
        <v>45457</v>
      </c>
      <c r="U251" s="8" t="s">
        <v>674</v>
      </c>
      <c r="V251" s="8">
        <v>1</v>
      </c>
      <c r="W251" s="8"/>
      <c r="X251" t="s">
        <v>206</v>
      </c>
      <c r="Y251" t="s">
        <v>186</v>
      </c>
    </row>
    <row r="252" spans="1:25" x14ac:dyDescent="0.3">
      <c r="A252">
        <v>33986</v>
      </c>
      <c r="B252" t="str">
        <f>_xlfn.CONCAT(Tabel1[[#This Row],[personeelsnr]]," ",C252," ",D252)</f>
        <v>33986 Göktas Muharrem</v>
      </c>
      <c r="C252" t="str">
        <f>VLOOKUP(Tabel1[[#This Row],[personeelsnr]],'data hastus'!$A:$C,2,0)</f>
        <v>Göktas</v>
      </c>
      <c r="D252" t="str">
        <f>VLOOKUP(Tabel1[[#This Row],[personeelsnr]],'data hastus'!$A:$C,3,0)</f>
        <v>Muharrem</v>
      </c>
      <c r="E252" t="str">
        <f>VLOOKUP(Tabel1[[#This Row],[personeelsnr]],'data hastus'!A:K,11,FALSE)</f>
        <v>Kenneth De Rick</v>
      </c>
      <c r="F252" s="10"/>
      <c r="G252" s="7"/>
      <c r="H252" s="7"/>
      <c r="I252" s="7"/>
      <c r="S252" s="5">
        <f>SUM(Tabel1[[#This Row],[Januari]:[December]])</f>
        <v>0</v>
      </c>
      <c r="T252" s="9">
        <v>45458</v>
      </c>
      <c r="U252" s="8" t="s">
        <v>675</v>
      </c>
      <c r="V252" s="8">
        <v>1</v>
      </c>
      <c r="W252" s="8"/>
      <c r="X252" t="s">
        <v>206</v>
      </c>
      <c r="Y252" t="s">
        <v>179</v>
      </c>
    </row>
    <row r="253" spans="1:25" x14ac:dyDescent="0.3">
      <c r="A253">
        <v>39660</v>
      </c>
      <c r="B253" t="str">
        <f>_xlfn.CONCAT(Tabel1[[#This Row],[personeelsnr]]," ",C253," ",D253)</f>
        <v>39660 Lloyd Glenn</v>
      </c>
      <c r="C253" t="str">
        <f>VLOOKUP(Tabel1[[#This Row],[personeelsnr]],'data hastus'!$A:$C,2,0)</f>
        <v>Lloyd</v>
      </c>
      <c r="D253" t="str">
        <f>VLOOKUP(Tabel1[[#This Row],[personeelsnr]],'data hastus'!$A:$C,3,0)</f>
        <v>Glenn</v>
      </c>
      <c r="E253" t="str">
        <f>VLOOKUP(Tabel1[[#This Row],[personeelsnr]],'data hastus'!A:K,11,FALSE)</f>
        <v>Bart Van Der Beken</v>
      </c>
      <c r="F253" s="10"/>
      <c r="G253" s="7"/>
      <c r="H253" s="7"/>
      <c r="I253" s="7"/>
      <c r="S253" s="5">
        <f>SUM(Tabel1[[#This Row],[Januari]:[December]])</f>
        <v>0</v>
      </c>
      <c r="T253" s="9">
        <v>45458</v>
      </c>
      <c r="U253" s="8" t="s">
        <v>676</v>
      </c>
      <c r="V253" s="8">
        <v>1</v>
      </c>
      <c r="W253" s="8"/>
      <c r="X253" t="s">
        <v>206</v>
      </c>
      <c r="Y253" t="s">
        <v>171</v>
      </c>
    </row>
    <row r="254" spans="1:25" x14ac:dyDescent="0.3">
      <c r="A254">
        <v>39660</v>
      </c>
      <c r="B254" t="str">
        <f>_xlfn.CONCAT(Tabel1[[#This Row],[personeelsnr]]," ",C254," ",D254)</f>
        <v>39660 Lloyd Glenn</v>
      </c>
      <c r="C254" t="str">
        <f>VLOOKUP(Tabel1[[#This Row],[personeelsnr]],'data hastus'!$A:$C,2,0)</f>
        <v>Lloyd</v>
      </c>
      <c r="D254" t="str">
        <f>VLOOKUP(Tabel1[[#This Row],[personeelsnr]],'data hastus'!$A:$C,3,0)</f>
        <v>Glenn</v>
      </c>
      <c r="E254" t="str">
        <f>VLOOKUP(Tabel1[[#This Row],[personeelsnr]],'data hastus'!A:K,11,FALSE)</f>
        <v>Bart Van Der Beken</v>
      </c>
      <c r="F254" s="10"/>
      <c r="G254" s="7"/>
      <c r="H254" s="7"/>
      <c r="I254" s="7"/>
      <c r="S254" s="5">
        <f>SUM(Tabel1[[#This Row],[Januari]:[December]])</f>
        <v>0</v>
      </c>
      <c r="T254" s="9">
        <v>45458</v>
      </c>
      <c r="U254" s="8" t="s">
        <v>677</v>
      </c>
      <c r="V254" s="8">
        <v>1</v>
      </c>
      <c r="W254" s="8"/>
      <c r="X254" t="s">
        <v>206</v>
      </c>
      <c r="Y254" t="s">
        <v>171</v>
      </c>
    </row>
    <row r="255" spans="1:25" x14ac:dyDescent="0.3">
      <c r="A255">
        <v>14261</v>
      </c>
      <c r="B255" t="str">
        <f>_xlfn.CONCAT(Tabel1[[#This Row],[personeelsnr]]," ",C255," ",D255)</f>
        <v>14261 Vandaele Sofie</v>
      </c>
      <c r="C255" t="str">
        <f>VLOOKUP(Tabel1[[#This Row],[personeelsnr]],'data hastus'!$A:$C,2,0)</f>
        <v>Vandaele</v>
      </c>
      <c r="D255" t="str">
        <f>VLOOKUP(Tabel1[[#This Row],[personeelsnr]],'data hastus'!$A:$C,3,0)</f>
        <v>Sofie</v>
      </c>
      <c r="E255" t="str">
        <f>VLOOKUP(Tabel1[[#This Row],[personeelsnr]],'data hastus'!A:K,11,FALSE)</f>
        <v>Els Vanhoe</v>
      </c>
      <c r="F255" s="10"/>
      <c r="G255" s="7"/>
      <c r="H255" s="7"/>
      <c r="I255" s="7"/>
      <c r="S255" s="5">
        <f>SUM(Tabel1[[#This Row],[Januari]:[December]])</f>
        <v>0</v>
      </c>
      <c r="T255" s="9">
        <v>45459</v>
      </c>
      <c r="U255" s="8" t="s">
        <v>678</v>
      </c>
      <c r="V255" s="8"/>
      <c r="W255" s="8">
        <v>1</v>
      </c>
      <c r="X255" t="s">
        <v>207</v>
      </c>
      <c r="Y255" t="s">
        <v>168</v>
      </c>
    </row>
    <row r="256" spans="1:25" x14ac:dyDescent="0.3">
      <c r="A256">
        <v>35493</v>
      </c>
      <c r="B256" t="str">
        <f>_xlfn.CONCAT(Tabel1[[#This Row],[personeelsnr]]," ",C256," ",D256)</f>
        <v>35493 van Turnhout Mariëlle</v>
      </c>
      <c r="C256" t="str">
        <f>VLOOKUP(Tabel1[[#This Row],[personeelsnr]],'data hastus'!$A:$C,2,0)</f>
        <v>van Turnhout</v>
      </c>
      <c r="D256" t="str">
        <f>VLOOKUP(Tabel1[[#This Row],[personeelsnr]],'data hastus'!$A:$C,3,0)</f>
        <v>Mariëlle</v>
      </c>
      <c r="E256" t="str">
        <f>VLOOKUP(Tabel1[[#This Row],[personeelsnr]],'data hastus'!A:K,11,FALSE)</f>
        <v>Lucie Vande Velde</v>
      </c>
      <c r="F256" s="10"/>
      <c r="G256" s="7"/>
      <c r="H256" s="7"/>
      <c r="I256" s="7"/>
      <c r="S256" s="5">
        <f>SUM(Tabel1[[#This Row],[Januari]:[December]])</f>
        <v>0</v>
      </c>
      <c r="T256" s="9">
        <v>45460</v>
      </c>
      <c r="U256" s="8" t="s">
        <v>679</v>
      </c>
      <c r="V256" s="8"/>
      <c r="W256" s="8">
        <v>1</v>
      </c>
      <c r="X256" t="s">
        <v>207</v>
      </c>
      <c r="Y256" t="s">
        <v>253</v>
      </c>
    </row>
    <row r="257" spans="1:25" x14ac:dyDescent="0.3">
      <c r="A257">
        <v>36635</v>
      </c>
      <c r="B257" t="str">
        <f>_xlfn.CONCAT(Tabel1[[#This Row],[personeelsnr]]," ",C257," ",D257)</f>
        <v>36635 Fadel Husam</v>
      </c>
      <c r="C257" t="str">
        <f>VLOOKUP(Tabel1[[#This Row],[personeelsnr]],'data hastus'!$A:$C,2,0)</f>
        <v>Fadel</v>
      </c>
      <c r="D257" t="str">
        <f>VLOOKUP(Tabel1[[#This Row],[personeelsnr]],'data hastus'!$A:$C,3,0)</f>
        <v>Husam</v>
      </c>
      <c r="E257" t="str">
        <f>VLOOKUP(Tabel1[[#This Row],[personeelsnr]],'data hastus'!A:K,11,FALSE)</f>
        <v>Kenneth De Rick</v>
      </c>
      <c r="F257" s="10"/>
      <c r="G257" s="7"/>
      <c r="H257" s="7"/>
      <c r="I257" s="7"/>
      <c r="S257" s="5">
        <f>SUM(Tabel1[[#This Row],[Januari]:[December]])</f>
        <v>0</v>
      </c>
      <c r="T257" s="9">
        <v>45460</v>
      </c>
      <c r="U257" s="8" t="s">
        <v>680</v>
      </c>
      <c r="V257" s="8"/>
      <c r="W257" s="8">
        <v>1</v>
      </c>
      <c r="X257" t="s">
        <v>207</v>
      </c>
      <c r="Y257" t="s">
        <v>253</v>
      </c>
    </row>
    <row r="258" spans="1:25" x14ac:dyDescent="0.3">
      <c r="A258">
        <v>39528</v>
      </c>
      <c r="B258" t="str">
        <f>_xlfn.CONCAT(Tabel1[[#This Row],[personeelsnr]]," ",C258," ",D258)</f>
        <v>39528 Mihaylov Plamen</v>
      </c>
      <c r="C258" t="str">
        <f>VLOOKUP(Tabel1[[#This Row],[personeelsnr]],'data hastus'!$A:$C,2,0)</f>
        <v>Mihaylov</v>
      </c>
      <c r="D258" t="str">
        <f>VLOOKUP(Tabel1[[#This Row],[personeelsnr]],'data hastus'!$A:$C,3,0)</f>
        <v>Plamen</v>
      </c>
      <c r="E258" t="str">
        <f>VLOOKUP(Tabel1[[#This Row],[personeelsnr]],'data hastus'!A:K,11,FALSE)</f>
        <v>Christoff Rotty</v>
      </c>
      <c r="F258" s="10"/>
      <c r="G258" s="7"/>
      <c r="H258" s="7"/>
      <c r="I258" s="7"/>
      <c r="S258" s="5">
        <f>SUM(Tabel1[[#This Row],[Januari]:[December]])</f>
        <v>0</v>
      </c>
      <c r="T258" s="9">
        <v>45461</v>
      </c>
      <c r="U258" s="8" t="s">
        <v>681</v>
      </c>
      <c r="V258" s="8">
        <v>1</v>
      </c>
      <c r="W258" s="8"/>
      <c r="X258" t="s">
        <v>206</v>
      </c>
      <c r="Y258" t="s">
        <v>291</v>
      </c>
    </row>
    <row r="259" spans="1:25" x14ac:dyDescent="0.3">
      <c r="A259">
        <v>40223</v>
      </c>
      <c r="B259" t="str">
        <f>_xlfn.CONCAT(Tabel1[[#This Row],[personeelsnr]]," ",C259," ",D259)</f>
        <v>40223 Teetaert Billy</v>
      </c>
      <c r="C259" t="str">
        <f>VLOOKUP(Tabel1[[#This Row],[personeelsnr]],'data hastus'!$A:$C,2,0)</f>
        <v>Teetaert</v>
      </c>
      <c r="D259" t="str">
        <f>VLOOKUP(Tabel1[[#This Row],[personeelsnr]],'data hastus'!$A:$C,3,0)</f>
        <v>Billy</v>
      </c>
      <c r="E259" t="str">
        <f>VLOOKUP(Tabel1[[#This Row],[personeelsnr]],'data hastus'!A:K,11,FALSE)</f>
        <v>Dominique De Clercq</v>
      </c>
      <c r="F259" s="10"/>
      <c r="G259" s="7"/>
      <c r="H259" s="7"/>
      <c r="I259" s="7"/>
      <c r="S259" s="5">
        <f>SUM(Tabel1[[#This Row],[Januari]:[December]])</f>
        <v>0</v>
      </c>
      <c r="T259" s="9">
        <v>45462</v>
      </c>
      <c r="U259" s="8" t="s">
        <v>682</v>
      </c>
      <c r="V259" s="8">
        <v>1</v>
      </c>
      <c r="W259" s="8"/>
      <c r="X259" t="s">
        <v>206</v>
      </c>
      <c r="Y259" t="s">
        <v>283</v>
      </c>
    </row>
    <row r="260" spans="1:25" x14ac:dyDescent="0.3">
      <c r="A260">
        <v>9999</v>
      </c>
      <c r="B260" t="str">
        <f>_xlfn.CONCAT(Tabel1[[#This Row],[personeelsnr]]," ",C260," ",D260)</f>
        <v>9999 - -</v>
      </c>
      <c r="C260" t="s">
        <v>3388</v>
      </c>
      <c r="D260" t="s">
        <v>3388</v>
      </c>
      <c r="E260" t="s">
        <v>1165</v>
      </c>
      <c r="F260" s="10"/>
      <c r="G260" s="7"/>
      <c r="H260" s="7"/>
      <c r="I260" s="7"/>
      <c r="S260" s="5">
        <f>SUM(Tabel1[[#This Row],[Januari]:[December]])</f>
        <v>0</v>
      </c>
      <c r="T260" s="9">
        <v>45464</v>
      </c>
      <c r="U260" s="8" t="s">
        <v>683</v>
      </c>
      <c r="V260" s="8">
        <v>1</v>
      </c>
      <c r="W260" s="8"/>
      <c r="X260" t="s">
        <v>206</v>
      </c>
      <c r="Y260" t="s">
        <v>177</v>
      </c>
    </row>
    <row r="261" spans="1:25" x14ac:dyDescent="0.3">
      <c r="A261">
        <v>37609</v>
      </c>
      <c r="B261" t="str">
        <f>_xlfn.CONCAT(Tabel1[[#This Row],[personeelsnr]]," ",C261," ",D261)</f>
        <v>37609 De Groote Dylan</v>
      </c>
      <c r="C261" t="str">
        <f>VLOOKUP(Tabel1[[#This Row],[personeelsnr]],'data hastus'!$A:$C,2,0)</f>
        <v>De Groote</v>
      </c>
      <c r="D261" t="str">
        <f>VLOOKUP(Tabel1[[#This Row],[personeelsnr]],'data hastus'!$A:$C,3,0)</f>
        <v>Dylan</v>
      </c>
      <c r="E261" t="str">
        <f>VLOOKUP(Tabel1[[#This Row],[personeelsnr]],'data hastus'!A:K,11,FALSE)</f>
        <v>Kenneth De Rick</v>
      </c>
      <c r="F261" s="10"/>
      <c r="G261" s="7"/>
      <c r="H261" s="7"/>
      <c r="I261" s="7"/>
      <c r="S261" s="5">
        <f>SUM(Tabel1[[#This Row],[Januari]:[December]])</f>
        <v>0</v>
      </c>
      <c r="T261" s="9">
        <v>45465</v>
      </c>
      <c r="U261" s="8" t="s">
        <v>684</v>
      </c>
      <c r="V261" s="8">
        <v>1</v>
      </c>
      <c r="W261" s="8"/>
      <c r="X261" t="s">
        <v>206</v>
      </c>
      <c r="Y261" t="s">
        <v>192</v>
      </c>
    </row>
    <row r="262" spans="1:25" x14ac:dyDescent="0.3">
      <c r="A262">
        <v>9999</v>
      </c>
      <c r="B262" t="str">
        <f>_xlfn.CONCAT(Tabel1[[#This Row],[personeelsnr]]," ",C262," ",D262)</f>
        <v>9999 - -</v>
      </c>
      <c r="C262" t="s">
        <v>3388</v>
      </c>
      <c r="D262" t="s">
        <v>3388</v>
      </c>
      <c r="E262" t="s">
        <v>1165</v>
      </c>
      <c r="F262" s="10"/>
      <c r="G262" s="7"/>
      <c r="H262" s="7"/>
      <c r="I262" s="7"/>
      <c r="S262" s="5">
        <f>SUM(Tabel1[[#This Row],[Januari]:[December]])</f>
        <v>0</v>
      </c>
      <c r="T262" s="9">
        <v>45467</v>
      </c>
      <c r="U262" s="8" t="s">
        <v>685</v>
      </c>
      <c r="V262" s="8">
        <v>1</v>
      </c>
      <c r="W262" s="8"/>
      <c r="X262" t="s">
        <v>206</v>
      </c>
      <c r="Y262" t="s">
        <v>342</v>
      </c>
    </row>
    <row r="263" spans="1:25" x14ac:dyDescent="0.3">
      <c r="A263">
        <v>14665</v>
      </c>
      <c r="B263" t="str">
        <f>_xlfn.CONCAT(Tabel1[[#This Row],[personeelsnr]]," ",C263," ",D263)</f>
        <v>14665 De Mulder Philip</v>
      </c>
      <c r="C263" t="str">
        <f>VLOOKUP(Tabel1[[#This Row],[personeelsnr]],'data hastus'!$A:$C,2,0)</f>
        <v>De Mulder</v>
      </c>
      <c r="D263" t="str">
        <f>VLOOKUP(Tabel1[[#This Row],[personeelsnr]],'data hastus'!$A:$C,3,0)</f>
        <v>Philip</v>
      </c>
      <c r="E263" t="str">
        <f>VLOOKUP(Tabel1[[#This Row],[personeelsnr]],'data hastus'!A:K,11,FALSE)</f>
        <v>Bart Van Der Beken</v>
      </c>
      <c r="F263" s="10"/>
      <c r="G263" s="7"/>
      <c r="H263" s="7"/>
      <c r="I263" s="7"/>
      <c r="S263" s="5">
        <f>SUM(Tabel1[[#This Row],[Januari]:[December]])</f>
        <v>0</v>
      </c>
      <c r="T263" s="9">
        <v>45468</v>
      </c>
      <c r="U263" s="8" t="s">
        <v>686</v>
      </c>
      <c r="V263" s="8">
        <v>1</v>
      </c>
      <c r="W263" s="8"/>
      <c r="X263" t="s">
        <v>206</v>
      </c>
      <c r="Y263" t="s">
        <v>250</v>
      </c>
    </row>
    <row r="264" spans="1:25" x14ac:dyDescent="0.3">
      <c r="A264">
        <v>35395</v>
      </c>
      <c r="B264" t="str">
        <f>_xlfn.CONCAT(Tabel1[[#This Row],[personeelsnr]]," ",C264," ",D264)</f>
        <v>35395 Limbourg Heidi</v>
      </c>
      <c r="C264" t="str">
        <f>VLOOKUP(Tabel1[[#This Row],[personeelsnr]],'data hastus'!$A:$C,2,0)</f>
        <v>Limbourg</v>
      </c>
      <c r="D264" t="str">
        <f>VLOOKUP(Tabel1[[#This Row],[personeelsnr]],'data hastus'!$A:$C,3,0)</f>
        <v>Heidi</v>
      </c>
      <c r="E264" t="str">
        <f>VLOOKUP(Tabel1[[#This Row],[personeelsnr]],'data hastus'!A:K,11,FALSE)</f>
        <v>Steven Storm</v>
      </c>
      <c r="F264" s="10"/>
      <c r="G264" s="7"/>
      <c r="H264" s="7"/>
      <c r="I264" s="7"/>
      <c r="S264" s="5">
        <f>SUM(Tabel1[[#This Row],[Januari]:[December]])</f>
        <v>0</v>
      </c>
      <c r="T264" s="9">
        <v>45468</v>
      </c>
      <c r="U264" s="8" t="s">
        <v>687</v>
      </c>
      <c r="V264" s="8"/>
      <c r="W264" s="8">
        <v>1</v>
      </c>
      <c r="X264" t="s">
        <v>207</v>
      </c>
      <c r="Y264" t="s">
        <v>217</v>
      </c>
    </row>
    <row r="265" spans="1:25" x14ac:dyDescent="0.3">
      <c r="A265">
        <v>26198</v>
      </c>
      <c r="B265" t="str">
        <f>_xlfn.CONCAT(Tabel1[[#This Row],[personeelsnr]]," ",C265," ",D265)</f>
        <v>26198 Justé Steven</v>
      </c>
      <c r="C265" t="str">
        <f>VLOOKUP(Tabel1[[#This Row],[personeelsnr]],'data hastus'!$A:$C,2,0)</f>
        <v>Justé</v>
      </c>
      <c r="D265" t="str">
        <f>VLOOKUP(Tabel1[[#This Row],[personeelsnr]],'data hastus'!$A:$C,3,0)</f>
        <v>Steven</v>
      </c>
      <c r="E265" t="str">
        <f>VLOOKUP(Tabel1[[#This Row],[personeelsnr]],'data hastus'!A:K,11,FALSE)</f>
        <v>Kenneth De Rick</v>
      </c>
      <c r="F265" s="10"/>
      <c r="G265" s="7"/>
      <c r="H265" s="7"/>
      <c r="I265" s="7"/>
      <c r="S265" s="5">
        <f>SUM(Tabel1[[#This Row],[Januari]:[December]])</f>
        <v>0</v>
      </c>
      <c r="T265" s="9">
        <v>45469</v>
      </c>
      <c r="U265" s="8" t="s">
        <v>688</v>
      </c>
      <c r="V265" s="8">
        <v>1</v>
      </c>
      <c r="W265" s="8"/>
      <c r="X265" t="s">
        <v>206</v>
      </c>
      <c r="Y265" t="s">
        <v>171</v>
      </c>
    </row>
    <row r="266" spans="1:25" x14ac:dyDescent="0.3">
      <c r="A266">
        <v>32951</v>
      </c>
      <c r="B266" t="str">
        <f>_xlfn.CONCAT(Tabel1[[#This Row],[personeelsnr]]," ",C266," ",D266)</f>
        <v>32951 De Bruyne Sonia</v>
      </c>
      <c r="C266" t="str">
        <f>VLOOKUP(Tabel1[[#This Row],[personeelsnr]],'data hastus'!$A:$C,2,0)</f>
        <v>De Bruyne</v>
      </c>
      <c r="D266" t="str">
        <f>VLOOKUP(Tabel1[[#This Row],[personeelsnr]],'data hastus'!$A:$C,3,0)</f>
        <v>Sonia</v>
      </c>
      <c r="E266" t="str">
        <f>VLOOKUP(Tabel1[[#This Row],[personeelsnr]],'data hastus'!A:K,11,FALSE)</f>
        <v>Lucie Vande Velde</v>
      </c>
      <c r="F266" s="10"/>
      <c r="G266" s="7"/>
      <c r="H266" s="7"/>
      <c r="I266" s="7"/>
      <c r="S266" s="5">
        <f>SUM(Tabel1[[#This Row],[Januari]:[December]])</f>
        <v>0</v>
      </c>
      <c r="T266" s="9">
        <v>45469</v>
      </c>
      <c r="U266" s="8" t="s">
        <v>689</v>
      </c>
      <c r="V266" s="8">
        <v>1</v>
      </c>
      <c r="W266" s="8"/>
      <c r="X266" t="s">
        <v>206</v>
      </c>
      <c r="Y266" t="s">
        <v>239</v>
      </c>
    </row>
    <row r="267" spans="1:25" x14ac:dyDescent="0.3">
      <c r="A267">
        <v>22244</v>
      </c>
      <c r="B267" t="str">
        <f>_xlfn.CONCAT(Tabel1[[#This Row],[personeelsnr]]," ",C267," ",D267)</f>
        <v>22244 Kirdas Süleyman</v>
      </c>
      <c r="C267" t="str">
        <f>VLOOKUP(Tabel1[[#This Row],[personeelsnr]],'data hastus'!$A:$C,2,0)</f>
        <v>Kirdas</v>
      </c>
      <c r="D267" t="str">
        <f>VLOOKUP(Tabel1[[#This Row],[personeelsnr]],'data hastus'!$A:$C,3,0)</f>
        <v>Süleyman</v>
      </c>
      <c r="E267" t="str">
        <f>VLOOKUP(Tabel1[[#This Row],[personeelsnr]],'data hastus'!A:K,11,FALSE)</f>
        <v>Christoff Rotty</v>
      </c>
      <c r="F267" s="10"/>
      <c r="G267" s="7"/>
      <c r="H267" s="7"/>
      <c r="I267" s="7"/>
      <c r="S267" s="5">
        <f>SUM(Tabel1[[#This Row],[Januari]:[December]])</f>
        <v>0</v>
      </c>
      <c r="T267" s="9">
        <v>45469</v>
      </c>
      <c r="U267" s="8" t="s">
        <v>690</v>
      </c>
      <c r="V267" s="8">
        <v>1</v>
      </c>
      <c r="W267" s="8"/>
      <c r="X267" t="s">
        <v>206</v>
      </c>
      <c r="Y267" t="s">
        <v>178</v>
      </c>
    </row>
    <row r="268" spans="1:25" x14ac:dyDescent="0.3">
      <c r="A268">
        <v>32542</v>
      </c>
      <c r="B268" t="str">
        <f>_xlfn.CONCAT(Tabel1[[#This Row],[personeelsnr]]," ",C268," ",D268)</f>
        <v>32542 Vanderstock Kenny</v>
      </c>
      <c r="C268" t="str">
        <f>VLOOKUP(Tabel1[[#This Row],[personeelsnr]],'data hastus'!$A:$C,2,0)</f>
        <v>Vanderstock</v>
      </c>
      <c r="D268" t="str">
        <f>VLOOKUP(Tabel1[[#This Row],[personeelsnr]],'data hastus'!$A:$C,3,0)</f>
        <v>Kenny</v>
      </c>
      <c r="E268" t="str">
        <f>VLOOKUP(Tabel1[[#This Row],[personeelsnr]],'data hastus'!A:K,11,FALSE)</f>
        <v>Dominique De Clercq</v>
      </c>
      <c r="F268" s="10"/>
      <c r="G268" s="7"/>
      <c r="H268" s="7"/>
      <c r="I268" s="7"/>
      <c r="S268" s="5">
        <f>SUM(Tabel1[[#This Row],[Januari]:[December]])</f>
        <v>0</v>
      </c>
      <c r="T268" s="9">
        <v>45470</v>
      </c>
      <c r="U268" s="8" t="s">
        <v>691</v>
      </c>
      <c r="V268" s="8"/>
      <c r="W268" s="8">
        <v>1</v>
      </c>
      <c r="X268" t="s">
        <v>207</v>
      </c>
      <c r="Y268" t="s">
        <v>367</v>
      </c>
    </row>
    <row r="269" spans="1:25" x14ac:dyDescent="0.3">
      <c r="A269">
        <v>35006</v>
      </c>
      <c r="B269" t="str">
        <f>_xlfn.CONCAT(Tabel1[[#This Row],[personeelsnr]]," ",C269," ",D269)</f>
        <v>35006 Van Hoe Youri</v>
      </c>
      <c r="C269" t="str">
        <f>VLOOKUP(Tabel1[[#This Row],[personeelsnr]],'data hastus'!$A:$C,2,0)</f>
        <v>Van Hoe</v>
      </c>
      <c r="D269" t="str">
        <f>VLOOKUP(Tabel1[[#This Row],[personeelsnr]],'data hastus'!$A:$C,3,0)</f>
        <v>Youri</v>
      </c>
      <c r="E269" t="str">
        <f>VLOOKUP(Tabel1[[#This Row],[personeelsnr]],'data hastus'!A:K,11,FALSE)</f>
        <v>Kenneth De Rick</v>
      </c>
      <c r="F269" s="10"/>
      <c r="G269" s="7"/>
      <c r="H269" s="7"/>
      <c r="I269" s="7"/>
      <c r="S269" s="5">
        <f>SUM(Tabel1[[#This Row],[Januari]:[December]])</f>
        <v>0</v>
      </c>
      <c r="T269" s="9">
        <v>45472</v>
      </c>
      <c r="U269" s="8" t="s">
        <v>692</v>
      </c>
      <c r="V269" s="8">
        <v>1</v>
      </c>
      <c r="W269" s="8"/>
      <c r="X269" t="s">
        <v>206</v>
      </c>
      <c r="Y269" t="s">
        <v>179</v>
      </c>
    </row>
    <row r="270" spans="1:25" x14ac:dyDescent="0.3">
      <c r="A270">
        <v>9999</v>
      </c>
      <c r="B270" t="str">
        <f>_xlfn.CONCAT(Tabel1[[#This Row],[personeelsnr]]," ",C270," ",D270)</f>
        <v>9999 - -</v>
      </c>
      <c r="C270" t="s">
        <v>3388</v>
      </c>
      <c r="D270" t="s">
        <v>3388</v>
      </c>
      <c r="E270" t="s">
        <v>1165</v>
      </c>
      <c r="F270" s="10"/>
      <c r="G270" s="7"/>
      <c r="H270" s="7"/>
      <c r="I270" s="7"/>
      <c r="M270" s="5">
        <v>1</v>
      </c>
      <c r="S270" s="5">
        <f>SUM(Tabel1[[#This Row],[Januari]:[December]])</f>
        <v>1</v>
      </c>
      <c r="T270" s="9">
        <v>45474</v>
      </c>
      <c r="U270" s="8" t="s">
        <v>693</v>
      </c>
      <c r="V270" s="8">
        <v>1</v>
      </c>
      <c r="W270" s="8"/>
      <c r="X270" t="s">
        <v>206</v>
      </c>
      <c r="Y270" t="s">
        <v>215</v>
      </c>
    </row>
    <row r="271" spans="1:25" x14ac:dyDescent="0.3">
      <c r="A271">
        <v>39859</v>
      </c>
      <c r="B271" t="str">
        <f>_xlfn.CONCAT(Tabel1[[#This Row],[personeelsnr]]," ",C271," ",D271)</f>
        <v>39859 Costers Kelly</v>
      </c>
      <c r="C271" t="str">
        <f>VLOOKUP(Tabel1[[#This Row],[personeelsnr]],'data hastus'!$A:$C,2,0)</f>
        <v>Costers</v>
      </c>
      <c r="D271" t="str">
        <f>VLOOKUP(Tabel1[[#This Row],[personeelsnr]],'data hastus'!$A:$C,3,0)</f>
        <v>Kelly</v>
      </c>
      <c r="E271" t="str">
        <f>VLOOKUP(Tabel1[[#This Row],[personeelsnr]],'data hastus'!A:K,11,FALSE)</f>
        <v>Bart Van Der Beken</v>
      </c>
      <c r="F271" s="10"/>
      <c r="G271" s="7"/>
      <c r="H271" s="7"/>
      <c r="I271" s="7"/>
      <c r="M271" s="5">
        <v>1</v>
      </c>
      <c r="S271" s="5">
        <f>SUM(Tabel1[[#This Row],[Januari]:[December]])</f>
        <v>1</v>
      </c>
      <c r="T271" s="9">
        <v>45474</v>
      </c>
      <c r="U271" s="8" t="s">
        <v>694</v>
      </c>
      <c r="V271" s="8">
        <v>1</v>
      </c>
      <c r="W271" s="8"/>
      <c r="X271" t="s">
        <v>206</v>
      </c>
      <c r="Y271" t="s">
        <v>169</v>
      </c>
    </row>
    <row r="272" spans="1:25" x14ac:dyDescent="0.3">
      <c r="A272">
        <v>9999</v>
      </c>
      <c r="B272" t="str">
        <f>_xlfn.CONCAT(Tabel1[[#This Row],[personeelsnr]]," ",C272," ",D272)</f>
        <v>9999 - -</v>
      </c>
      <c r="C272" t="s">
        <v>3388</v>
      </c>
      <c r="D272" t="s">
        <v>3388</v>
      </c>
      <c r="E272" t="s">
        <v>1165</v>
      </c>
      <c r="F272" s="10"/>
      <c r="G272" s="7"/>
      <c r="H272" s="7"/>
      <c r="I272" s="7"/>
      <c r="M272" s="5">
        <v>1</v>
      </c>
      <c r="S272" s="5">
        <f>SUM(Tabel1[[#This Row],[Januari]:[December]])</f>
        <v>1</v>
      </c>
      <c r="T272" s="9">
        <v>45475</v>
      </c>
      <c r="U272" s="8" t="s">
        <v>695</v>
      </c>
      <c r="V272" s="8">
        <v>1</v>
      </c>
      <c r="W272" s="8"/>
      <c r="X272" t="s">
        <v>206</v>
      </c>
      <c r="Y272" t="s">
        <v>382</v>
      </c>
    </row>
    <row r="273" spans="1:25" x14ac:dyDescent="0.3">
      <c r="A273">
        <v>33986</v>
      </c>
      <c r="B273" t="str">
        <f>_xlfn.CONCAT(Tabel1[[#This Row],[personeelsnr]]," ",C273," ",D273)</f>
        <v>33986 Göktas Muharrem</v>
      </c>
      <c r="C273" t="str">
        <f>VLOOKUP(Tabel1[[#This Row],[personeelsnr]],'data hastus'!$A:$C,2,0)</f>
        <v>Göktas</v>
      </c>
      <c r="D273" t="str">
        <f>VLOOKUP(Tabel1[[#This Row],[personeelsnr]],'data hastus'!$A:$C,3,0)</f>
        <v>Muharrem</v>
      </c>
      <c r="E273" t="str">
        <f>VLOOKUP(Tabel1[[#This Row],[personeelsnr]],'data hastus'!A:K,11,FALSE)</f>
        <v>Kenneth De Rick</v>
      </c>
      <c r="F273" s="10"/>
      <c r="G273" s="7"/>
      <c r="H273" s="7"/>
      <c r="I273" s="7"/>
      <c r="M273" s="5">
        <v>1</v>
      </c>
      <c r="S273" s="5">
        <f>SUM(Tabel1[[#This Row],[Januari]:[December]])</f>
        <v>1</v>
      </c>
      <c r="T273" s="9">
        <v>45475</v>
      </c>
      <c r="U273" s="8" t="s">
        <v>696</v>
      </c>
      <c r="V273" s="8">
        <v>1</v>
      </c>
      <c r="W273" s="8"/>
      <c r="X273" t="s">
        <v>206</v>
      </c>
      <c r="Y273" t="s">
        <v>248</v>
      </c>
    </row>
    <row r="274" spans="1:25" x14ac:dyDescent="0.3">
      <c r="A274">
        <v>38346</v>
      </c>
      <c r="B274" t="str">
        <f>_xlfn.CONCAT(Tabel1[[#This Row],[personeelsnr]]," ",C274," ",D274)</f>
        <v>38346 Van Cleemputte Thibeaux</v>
      </c>
      <c r="C274" t="str">
        <f>VLOOKUP(Tabel1[[#This Row],[personeelsnr]],'data hastus'!$A:$C,2,0)</f>
        <v>Van Cleemputte</v>
      </c>
      <c r="D274" t="str">
        <f>VLOOKUP(Tabel1[[#This Row],[personeelsnr]],'data hastus'!$A:$C,3,0)</f>
        <v>Thibeaux</v>
      </c>
      <c r="E274" t="str">
        <f>VLOOKUP(Tabel1[[#This Row],[personeelsnr]],'data hastus'!A:K,11,FALSE)</f>
        <v>Els Vanhoe</v>
      </c>
      <c r="F274" s="10"/>
      <c r="G274" s="7"/>
      <c r="H274" s="7"/>
      <c r="I274" s="7"/>
      <c r="M274" s="5">
        <v>1</v>
      </c>
      <c r="S274" s="5">
        <f>SUM(Tabel1[[#This Row],[Januari]:[December]])</f>
        <v>1</v>
      </c>
      <c r="T274" s="9">
        <v>45477</v>
      </c>
      <c r="U274" s="8" t="s">
        <v>697</v>
      </c>
      <c r="V274" s="8">
        <v>1</v>
      </c>
      <c r="W274" s="8"/>
      <c r="X274" t="s">
        <v>206</v>
      </c>
      <c r="Y274" t="s">
        <v>177</v>
      </c>
    </row>
    <row r="275" spans="1:25" x14ac:dyDescent="0.3">
      <c r="A275">
        <v>39532</v>
      </c>
      <c r="B275" t="str">
        <f>_xlfn.CONCAT(Tabel1[[#This Row],[personeelsnr]]," ",C275," ",D275)</f>
        <v>39532 Sahin Orhan</v>
      </c>
      <c r="C275" t="str">
        <f>VLOOKUP(Tabel1[[#This Row],[personeelsnr]],'data hastus'!$A:$C,2,0)</f>
        <v>Sahin</v>
      </c>
      <c r="D275" t="str">
        <f>VLOOKUP(Tabel1[[#This Row],[personeelsnr]],'data hastus'!$A:$C,3,0)</f>
        <v>Orhan</v>
      </c>
      <c r="E275" t="str">
        <f>VLOOKUP(Tabel1[[#This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SUM(Tabel1[[#This Row],[Januari]:[December]])</f>
        <v>1</v>
      </c>
      <c r="T275" s="9">
        <v>45477</v>
      </c>
      <c r="U275" s="8" t="s">
        <v>698</v>
      </c>
      <c r="V275" s="8">
        <v>1</v>
      </c>
      <c r="W275" s="8"/>
      <c r="X275" t="s">
        <v>206</v>
      </c>
      <c r="Y275" t="s">
        <v>281</v>
      </c>
    </row>
    <row r="276" spans="1:25" x14ac:dyDescent="0.3">
      <c r="A276">
        <v>39529</v>
      </c>
      <c r="B276" t="str">
        <f>_xlfn.CONCAT(Tabel1[[#This Row],[personeelsnr]]," ",C276," ",D276)</f>
        <v>39529 Desmet Patricia</v>
      </c>
      <c r="C276" t="str">
        <f>VLOOKUP(Tabel1[[#This Row],[personeelsnr]],'data hastus'!$A:$C,2,0)</f>
        <v>Desmet</v>
      </c>
      <c r="D276" t="str">
        <f>VLOOKUP(Tabel1[[#This Row],[personeelsnr]],'data hastus'!$A:$C,3,0)</f>
        <v>Patricia</v>
      </c>
      <c r="E276" t="str">
        <f>VLOOKUP(Tabel1[[#This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SUM(Tabel1[[#This Row],[Januari]:[December]])</f>
        <v>1</v>
      </c>
      <c r="T276" s="9">
        <v>45478</v>
      </c>
      <c r="U276" s="8" t="s">
        <v>699</v>
      </c>
      <c r="V276" s="8">
        <v>1</v>
      </c>
      <c r="W276" s="8"/>
      <c r="X276" t="s">
        <v>206</v>
      </c>
      <c r="Y276" t="s">
        <v>168</v>
      </c>
    </row>
    <row r="277" spans="1:25" x14ac:dyDescent="0.3">
      <c r="A277">
        <v>39379</v>
      </c>
      <c r="B277" t="str">
        <f>_xlfn.CONCAT(Tabel1[[#This Row],[personeelsnr]]," ",C277," ",D277)</f>
        <v>39379 Bensalah Mohammed</v>
      </c>
      <c r="C277" t="str">
        <f>VLOOKUP(Tabel1[[#This Row],[personeelsnr]],'data hastus'!$A:$C,2,0)</f>
        <v>Bensalah</v>
      </c>
      <c r="D277" t="str">
        <f>VLOOKUP(Tabel1[[#This Row],[personeelsnr]],'data hastus'!$A:$C,3,0)</f>
        <v>Mohammed</v>
      </c>
      <c r="E277" t="str">
        <f>VLOOKUP(Tabel1[[#This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SUM(Tabel1[[#This Row],[Januari]:[December]])</f>
        <v>1</v>
      </c>
      <c r="T277" s="9">
        <v>45478</v>
      </c>
      <c r="U277" s="8" t="s">
        <v>700</v>
      </c>
      <c r="V277" s="8">
        <v>1</v>
      </c>
      <c r="W277" s="8"/>
      <c r="X277" t="s">
        <v>206</v>
      </c>
      <c r="Y277" t="s">
        <v>179</v>
      </c>
    </row>
    <row r="278" spans="1:25" x14ac:dyDescent="0.3">
      <c r="A278">
        <v>34044</v>
      </c>
      <c r="B278" t="str">
        <f>_xlfn.CONCAT(Tabel1[[#This Row],[personeelsnr]]," ",C278," ",D278)</f>
        <v>34044 Wieme Kevin</v>
      </c>
      <c r="C278" t="str">
        <f>VLOOKUP(Tabel1[[#This Row],[personeelsnr]],'data hastus'!$A:$C,2,0)</f>
        <v>Wieme</v>
      </c>
      <c r="D278" t="str">
        <f>VLOOKUP(Tabel1[[#This Row],[personeelsnr]],'data hastus'!$A:$C,3,0)</f>
        <v>Kevin</v>
      </c>
      <c r="E278" t="str">
        <f>VLOOKUP(Tabel1[[#This Row],[personeelsnr]],'data hastus'!A:K,11,FALSE)</f>
        <v>Christoff Rotty</v>
      </c>
      <c r="F278" s="10"/>
      <c r="G278" s="7"/>
      <c r="H278" s="7"/>
      <c r="I278" s="7"/>
      <c r="M278" s="5">
        <v>1</v>
      </c>
      <c r="S278" s="5">
        <f>SUM(Tabel1[[#This Row],[Januari]:[December]])</f>
        <v>1</v>
      </c>
      <c r="T278" s="9">
        <v>45478</v>
      </c>
      <c r="U278" s="8" t="s">
        <v>701</v>
      </c>
      <c r="V278" s="8"/>
      <c r="W278" s="8">
        <v>1</v>
      </c>
      <c r="X278" t="s">
        <v>207</v>
      </c>
      <c r="Y278" t="s">
        <v>335</v>
      </c>
    </row>
    <row r="279" spans="1:25" x14ac:dyDescent="0.3">
      <c r="A279">
        <v>36569</v>
      </c>
      <c r="B279" t="str">
        <f>_xlfn.CONCAT(Tabel1[[#This Row],[personeelsnr]]," ",C279," ",D279)</f>
        <v>36569 Stroobandt Jonas</v>
      </c>
      <c r="C279" t="str">
        <f>VLOOKUP(Tabel1[[#This Row],[personeelsnr]],'data hastus'!$A:$C,2,0)</f>
        <v>Stroobandt</v>
      </c>
      <c r="D279" t="str">
        <f>VLOOKUP(Tabel1[[#This Row],[personeelsnr]],'data hastus'!$A:$C,3,0)</f>
        <v>Jonas</v>
      </c>
      <c r="E279" t="str">
        <f>VLOOKUP(Tabel1[[#This Row],[personeelsnr]],'data hastus'!A:K,11,FALSE)</f>
        <v>Els Vanhoe</v>
      </c>
      <c r="F279" s="10"/>
      <c r="G279" s="7"/>
      <c r="H279" s="7"/>
      <c r="I279" s="7"/>
      <c r="M279" s="5">
        <v>1</v>
      </c>
      <c r="S279" s="5">
        <f>SUM(Tabel1[[#This Row],[Januari]:[December]])</f>
        <v>1</v>
      </c>
      <c r="T279" s="9">
        <v>45479</v>
      </c>
      <c r="U279" s="8" t="s">
        <v>702</v>
      </c>
      <c r="V279" s="8">
        <v>1</v>
      </c>
      <c r="W279" s="8"/>
      <c r="X279" t="s">
        <v>206</v>
      </c>
      <c r="Y279" t="s">
        <v>264</v>
      </c>
    </row>
    <row r="280" spans="1:25" x14ac:dyDescent="0.3">
      <c r="A280">
        <v>9999</v>
      </c>
      <c r="B280" t="str">
        <f>_xlfn.CONCAT(Tabel1[[#This Row],[personeelsnr]]," ",C280," ",D280)</f>
        <v>9999 - -</v>
      </c>
      <c r="C280" t="s">
        <v>3388</v>
      </c>
      <c r="D280" t="s">
        <v>3388</v>
      </c>
      <c r="E280" t="s">
        <v>1165</v>
      </c>
      <c r="F280" s="10"/>
      <c r="G280" s="7"/>
      <c r="H280" s="7"/>
      <c r="I280" s="7"/>
      <c r="M280" s="5">
        <v>1</v>
      </c>
      <c r="S280" s="5">
        <f>SUM(Tabel1[[#This Row],[Januari]:[December]])</f>
        <v>1</v>
      </c>
      <c r="T280" s="9">
        <v>45479</v>
      </c>
      <c r="U280" s="8" t="s">
        <v>703</v>
      </c>
      <c r="V280" s="8">
        <v>1</v>
      </c>
      <c r="W280" s="8"/>
      <c r="X280" t="s">
        <v>206</v>
      </c>
      <c r="Y280" t="s">
        <v>296</v>
      </c>
    </row>
    <row r="281" spans="1:25" x14ac:dyDescent="0.3">
      <c r="A281">
        <v>9999</v>
      </c>
      <c r="B281" t="str">
        <f>_xlfn.CONCAT(Tabel1[[#This Row],[personeelsnr]]," ",C281," ",D281)</f>
        <v>9999 - -</v>
      </c>
      <c r="C281" t="s">
        <v>3388</v>
      </c>
      <c r="D281" t="s">
        <v>3388</v>
      </c>
      <c r="E281" t="s">
        <v>1165</v>
      </c>
      <c r="F281" s="10"/>
      <c r="G281" s="7"/>
      <c r="H281" s="7"/>
      <c r="I281" s="7"/>
      <c r="M281" s="5">
        <v>1</v>
      </c>
      <c r="S281" s="5">
        <f>SUM(Tabel1[[#This Row],[Januari]:[December]])</f>
        <v>1</v>
      </c>
      <c r="T281" s="9">
        <v>45480</v>
      </c>
      <c r="U281" s="8" t="s">
        <v>704</v>
      </c>
      <c r="V281" s="8">
        <v>1</v>
      </c>
      <c r="W281" s="8"/>
      <c r="X281" t="s">
        <v>206</v>
      </c>
      <c r="Y281" t="s">
        <v>325</v>
      </c>
    </row>
    <row r="282" spans="1:25" x14ac:dyDescent="0.3">
      <c r="A282">
        <v>9999</v>
      </c>
      <c r="B282" t="str">
        <f>_xlfn.CONCAT(Tabel1[[#This Row],[personeelsnr]]," ",C282," ",D282)</f>
        <v>9999 - -</v>
      </c>
      <c r="C282" t="s">
        <v>3388</v>
      </c>
      <c r="D282" t="s">
        <v>3388</v>
      </c>
      <c r="E282" t="s">
        <v>1165</v>
      </c>
      <c r="F282" s="10"/>
      <c r="G282" s="7"/>
      <c r="H282" s="7"/>
      <c r="I282" s="7"/>
      <c r="M282" s="5">
        <v>1</v>
      </c>
      <c r="S282" s="5">
        <f>SUM(Tabel1[[#This Row],[Januari]:[December]])</f>
        <v>1</v>
      </c>
      <c r="T282" s="9">
        <v>45481</v>
      </c>
      <c r="U282" s="8" t="s">
        <v>705</v>
      </c>
      <c r="V282" s="8">
        <v>1</v>
      </c>
      <c r="W282" s="8"/>
      <c r="X282" t="s">
        <v>206</v>
      </c>
      <c r="Y282" t="s">
        <v>200</v>
      </c>
    </row>
    <row r="283" spans="1:25" x14ac:dyDescent="0.3">
      <c r="A283">
        <v>37542</v>
      </c>
      <c r="B283" t="str">
        <f>_xlfn.CONCAT(Tabel1[[#This Row],[personeelsnr]]," ",C283," ",D283)</f>
        <v>37542 De Tandt Hans</v>
      </c>
      <c r="C283" t="str">
        <f>VLOOKUP(Tabel1[[#This Row],[personeelsnr]],'data hastus'!$A:$C,2,0)</f>
        <v>De Tandt</v>
      </c>
      <c r="D283" t="str">
        <f>VLOOKUP(Tabel1[[#This Row],[personeelsnr]],'data hastus'!$A:$C,3,0)</f>
        <v>Hans</v>
      </c>
      <c r="E283" t="str">
        <f>VLOOKUP(Tabel1[[#This Row],[personeelsnr]],'data hastus'!A:K,11,FALSE)</f>
        <v>Bart Van Der Beken</v>
      </c>
      <c r="F283" s="10"/>
      <c r="G283" s="7"/>
      <c r="H283" s="7"/>
      <c r="I283" s="7"/>
      <c r="M283" s="5">
        <v>1</v>
      </c>
      <c r="S283" s="5">
        <f>SUM(Tabel1[[#This Row],[Januari]:[December]])</f>
        <v>1</v>
      </c>
      <c r="T283" s="9">
        <v>45483</v>
      </c>
      <c r="U283" s="8" t="s">
        <v>706</v>
      </c>
      <c r="V283" s="8">
        <v>1</v>
      </c>
      <c r="W283" s="8"/>
      <c r="X283" t="s">
        <v>206</v>
      </c>
      <c r="Y283" t="s">
        <v>196</v>
      </c>
    </row>
    <row r="284" spans="1:25" x14ac:dyDescent="0.3">
      <c r="A284">
        <v>14261</v>
      </c>
      <c r="B284" t="str">
        <f>_xlfn.CONCAT(Tabel1[[#This Row],[personeelsnr]]," ",C284," ",D284)</f>
        <v>14261 Vandaele Sofie</v>
      </c>
      <c r="C284" t="str">
        <f>VLOOKUP(Tabel1[[#This Row],[personeelsnr]],'data hastus'!$A:$C,2,0)</f>
        <v>Vandaele</v>
      </c>
      <c r="D284" t="str">
        <f>VLOOKUP(Tabel1[[#This Row],[personeelsnr]],'data hastus'!$A:$C,3,0)</f>
        <v>Sofie</v>
      </c>
      <c r="E284" t="str">
        <f>VLOOKUP(Tabel1[[#This Row],[personeelsnr]],'data hastus'!A:K,11,FALSE)</f>
        <v>Els Vanhoe</v>
      </c>
      <c r="F284" s="10"/>
      <c r="G284" s="7"/>
      <c r="H284" s="7"/>
      <c r="I284" s="7"/>
      <c r="M284" s="5">
        <v>1</v>
      </c>
      <c r="S284" s="5">
        <f>SUM(Tabel1[[#This Row],[Januari]:[December]])</f>
        <v>1</v>
      </c>
      <c r="T284" s="9">
        <v>45483</v>
      </c>
      <c r="U284" s="8" t="s">
        <v>707</v>
      </c>
      <c r="V284" s="8"/>
      <c r="W284" s="8">
        <v>1</v>
      </c>
      <c r="X284" t="s">
        <v>207</v>
      </c>
      <c r="Y284" t="s">
        <v>168</v>
      </c>
    </row>
    <row r="285" spans="1:25" x14ac:dyDescent="0.3">
      <c r="A285">
        <v>37261</v>
      </c>
      <c r="B285" t="str">
        <f>_xlfn.CONCAT(Tabel1[[#This Row],[personeelsnr]]," ",C285," ",D285)</f>
        <v>37261 Van Wayenbergh Yordi</v>
      </c>
      <c r="C285" t="str">
        <f>VLOOKUP(Tabel1[[#This Row],[personeelsnr]],'data hastus'!$A:$C,2,0)</f>
        <v>Van Wayenbergh</v>
      </c>
      <c r="D285" t="str">
        <f>VLOOKUP(Tabel1[[#This Row],[personeelsnr]],'data hastus'!$A:$C,3,0)</f>
        <v>Yordi</v>
      </c>
      <c r="E285" t="str">
        <f>VLOOKUP(Tabel1[[#This Row],[personeelsnr]],'data hastus'!A:K,11,FALSE)</f>
        <v>Dominique De Clercq</v>
      </c>
      <c r="F285" s="10"/>
      <c r="G285" s="7"/>
      <c r="H285" s="7"/>
      <c r="I285" s="7"/>
      <c r="M285" s="5">
        <v>1</v>
      </c>
      <c r="S285" s="5">
        <f>SUM(Tabel1[[#This Row],[Januari]:[December]])</f>
        <v>1</v>
      </c>
      <c r="T285" s="9">
        <v>45483</v>
      </c>
      <c r="U285" s="8" t="s">
        <v>708</v>
      </c>
      <c r="V285" s="8"/>
      <c r="W285" s="8">
        <v>1</v>
      </c>
      <c r="X285" t="s">
        <v>207</v>
      </c>
      <c r="Y285" t="s">
        <v>272</v>
      </c>
    </row>
    <row r="286" spans="1:25" x14ac:dyDescent="0.3">
      <c r="A286">
        <v>39532</v>
      </c>
      <c r="B286" t="str">
        <f>_xlfn.CONCAT(Tabel1[[#This Row],[personeelsnr]]," ",C286," ",D286)</f>
        <v>39532 Sahin Orhan</v>
      </c>
      <c r="C286" t="str">
        <f>VLOOKUP(Tabel1[[#This Row],[personeelsnr]],'data hastus'!$A:$C,2,0)</f>
        <v>Sahin</v>
      </c>
      <c r="D286" t="str">
        <f>VLOOKUP(Tabel1[[#This Row],[personeelsnr]],'data hastus'!$A:$C,3,0)</f>
        <v>Orhan</v>
      </c>
      <c r="E286" t="str">
        <f>VLOOKUP(Tabel1[[#This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SUM(Tabel1[[#This Row],[Januari]:[December]])</f>
        <v>1</v>
      </c>
      <c r="T286" s="9">
        <v>45483</v>
      </c>
      <c r="U286" s="8" t="s">
        <v>709</v>
      </c>
      <c r="V286" s="8">
        <v>1</v>
      </c>
      <c r="W286" s="8"/>
      <c r="X286" t="s">
        <v>206</v>
      </c>
      <c r="Y286" t="s">
        <v>171</v>
      </c>
    </row>
    <row r="287" spans="1:25" x14ac:dyDescent="0.3">
      <c r="A287">
        <v>40110</v>
      </c>
      <c r="B287" t="str">
        <f>_xlfn.CONCAT(Tabel1[[#This Row],[personeelsnr]]," ",C287," ",D287)</f>
        <v>40110 Vanlerberghe Sandra</v>
      </c>
      <c r="C287" t="str">
        <f>VLOOKUP(Tabel1[[#This Row],[personeelsnr]],'data hastus'!$A:$C,2,0)</f>
        <v>Vanlerberghe</v>
      </c>
      <c r="D287" t="str">
        <f>VLOOKUP(Tabel1[[#This Row],[personeelsnr]],'data hastus'!$A:$C,3,0)</f>
        <v>Sandra</v>
      </c>
      <c r="E287" t="str">
        <f>VLOOKUP(Tabel1[[#This Row],[personeelsnr]],'data hastus'!A:K,11,FALSE)</f>
        <v>Christoff Rotty</v>
      </c>
      <c r="F287" s="10"/>
      <c r="G287" s="7"/>
      <c r="H287" s="7"/>
      <c r="I287" s="7"/>
      <c r="M287" s="5">
        <v>1</v>
      </c>
      <c r="S287" s="5">
        <f>SUM(Tabel1[[#This Row],[Januari]:[December]])</f>
        <v>1</v>
      </c>
      <c r="T287" s="9">
        <v>45484</v>
      </c>
      <c r="U287" s="8" t="s">
        <v>710</v>
      </c>
      <c r="V287" s="8">
        <v>1</v>
      </c>
      <c r="W287" s="8"/>
      <c r="X287" t="s">
        <v>206</v>
      </c>
      <c r="Y287" t="s">
        <v>186</v>
      </c>
    </row>
    <row r="288" spans="1:25" x14ac:dyDescent="0.3">
      <c r="A288">
        <v>21509</v>
      </c>
      <c r="B288" t="str">
        <f>_xlfn.CONCAT(Tabel1[[#This Row],[personeelsnr]]," ",C288," ",D288)</f>
        <v>21509 De Craemer Kris</v>
      </c>
      <c r="C288" t="str">
        <f>VLOOKUP(Tabel1[[#This Row],[personeelsnr]],'data hastus'!$A:$C,2,0)</f>
        <v>De Craemer</v>
      </c>
      <c r="D288" t="str">
        <f>VLOOKUP(Tabel1[[#This Row],[personeelsnr]],'data hastus'!$A:$C,3,0)</f>
        <v>Kris</v>
      </c>
      <c r="E288" t="str">
        <f>VLOOKUP(Tabel1[[#This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SUM(Tabel1[[#This Row],[Januari]:[December]])</f>
        <v>1</v>
      </c>
      <c r="T288" s="9">
        <v>45484</v>
      </c>
      <c r="U288" s="8" t="s">
        <v>711</v>
      </c>
      <c r="V288" s="8"/>
      <c r="W288" s="8">
        <v>1</v>
      </c>
      <c r="X288" t="s">
        <v>207</v>
      </c>
      <c r="Y288" t="s">
        <v>251</v>
      </c>
    </row>
    <row r="289" spans="1:25" x14ac:dyDescent="0.3">
      <c r="A289">
        <v>37261</v>
      </c>
      <c r="B289" t="str">
        <f>_xlfn.CONCAT(Tabel1[[#This Row],[personeelsnr]]," ",C289," ",D289)</f>
        <v>37261 Van Wayenbergh Yordi</v>
      </c>
      <c r="C289" t="str">
        <f>VLOOKUP(Tabel1[[#This Row],[personeelsnr]],'data hastus'!$A:$C,2,0)</f>
        <v>Van Wayenbergh</v>
      </c>
      <c r="D289" t="str">
        <f>VLOOKUP(Tabel1[[#This Row],[personeelsnr]],'data hastus'!$A:$C,3,0)</f>
        <v>Yordi</v>
      </c>
      <c r="E289" t="str">
        <f>VLOOKUP(Tabel1[[#This Row],[personeelsnr]],'data hastus'!A:K,11,FALSE)</f>
        <v>Dominique De Clercq</v>
      </c>
      <c r="F289" s="10"/>
      <c r="G289" s="7"/>
      <c r="H289" s="7"/>
      <c r="I289" s="7"/>
      <c r="M289" s="5">
        <v>1</v>
      </c>
      <c r="S289" s="5">
        <f>SUM(Tabel1[[#This Row],[Januari]:[December]])</f>
        <v>1</v>
      </c>
      <c r="T289" s="9">
        <v>45485</v>
      </c>
      <c r="U289" s="8" t="s">
        <v>712</v>
      </c>
      <c r="V289" s="8">
        <v>1</v>
      </c>
      <c r="W289" s="8"/>
      <c r="X289" t="s">
        <v>206</v>
      </c>
      <c r="Y289" t="s">
        <v>235</v>
      </c>
    </row>
    <row r="290" spans="1:25" x14ac:dyDescent="0.3">
      <c r="A290">
        <v>21581</v>
      </c>
      <c r="B290" t="str">
        <f>_xlfn.CONCAT(Tabel1[[#This Row],[personeelsnr]]," ",C290," ",D290)</f>
        <v>21581 Vanderstraeten Franky</v>
      </c>
      <c r="C290" t="str">
        <f>VLOOKUP(Tabel1[[#This Row],[personeelsnr]],'data hastus'!$A:$C,2,0)</f>
        <v>Vanderstraeten</v>
      </c>
      <c r="D290" t="str">
        <f>VLOOKUP(Tabel1[[#This Row],[personeelsnr]],'data hastus'!$A:$C,3,0)</f>
        <v>Franky</v>
      </c>
      <c r="E290" t="str">
        <f>VLOOKUP(Tabel1[[#This Row],[personeelsnr]],'data hastus'!A:K,11,FALSE)</f>
        <v>Lucie Vande Velde</v>
      </c>
      <c r="F290" s="10"/>
      <c r="G290" s="7"/>
      <c r="H290" s="7"/>
      <c r="I290" s="7"/>
      <c r="M290" s="5">
        <v>1</v>
      </c>
      <c r="S290" s="5">
        <f>SUM(Tabel1[[#This Row],[Januari]:[December]])</f>
        <v>1</v>
      </c>
      <c r="T290" s="9">
        <v>45486</v>
      </c>
      <c r="U290" s="8" t="s">
        <v>713</v>
      </c>
      <c r="V290" s="8">
        <v>1</v>
      </c>
      <c r="W290" s="8"/>
      <c r="X290" t="s">
        <v>206</v>
      </c>
      <c r="Y290" t="s">
        <v>167</v>
      </c>
    </row>
    <row r="291" spans="1:25" x14ac:dyDescent="0.3">
      <c r="A291">
        <v>37179</v>
      </c>
      <c r="B291" t="str">
        <f>_xlfn.CONCAT(Tabel1[[#This Row],[personeelsnr]]," ",C291," ",D291)</f>
        <v>37179 Bashir Muhammad Salman</v>
      </c>
      <c r="C291" t="str">
        <f>VLOOKUP(Tabel1[[#This Row],[personeelsnr]],'data hastus'!$A:$C,2,0)</f>
        <v>Bashir</v>
      </c>
      <c r="D291" t="str">
        <f>VLOOKUP(Tabel1[[#This Row],[personeelsnr]],'data hastus'!$A:$C,3,0)</f>
        <v>Muhammad Salman</v>
      </c>
      <c r="E291" t="str">
        <f>VLOOKUP(Tabel1[[#This Row],[personeelsnr]],'data hastus'!A:K,11,FALSE)</f>
        <v>Bart Van Der Beken</v>
      </c>
      <c r="F291" s="10"/>
      <c r="G291" s="7"/>
      <c r="H291" s="7"/>
      <c r="I291" s="7"/>
      <c r="M291" s="5">
        <v>1</v>
      </c>
      <c r="S291" s="5">
        <f>SUM(Tabel1[[#This Row],[Januari]:[December]])</f>
        <v>1</v>
      </c>
      <c r="T291" s="9">
        <v>45489</v>
      </c>
      <c r="U291" s="8" t="s">
        <v>714</v>
      </c>
      <c r="V291" s="8"/>
      <c r="W291" s="8">
        <v>1</v>
      </c>
      <c r="X291" t="s">
        <v>207</v>
      </c>
      <c r="Y291" t="s">
        <v>167</v>
      </c>
    </row>
    <row r="292" spans="1:25" x14ac:dyDescent="0.3">
      <c r="A292">
        <v>39532</v>
      </c>
      <c r="B292" t="str">
        <f>_xlfn.CONCAT(Tabel1[[#This Row],[personeelsnr]]," ",C292," ",D292)</f>
        <v>39532 Sahin Orhan</v>
      </c>
      <c r="C292" t="str">
        <f>VLOOKUP(Tabel1[[#This Row],[personeelsnr]],'data hastus'!$A:$C,2,0)</f>
        <v>Sahin</v>
      </c>
      <c r="D292" t="str">
        <f>VLOOKUP(Tabel1[[#This Row],[personeelsnr]],'data hastus'!$A:$C,3,0)</f>
        <v>Orhan</v>
      </c>
      <c r="E292" t="str">
        <f>VLOOKUP(Tabel1[[#This Row],[personeelsnr]],'data hastus'!A:K,11,FALSE)</f>
        <v>Christoff Rotty</v>
      </c>
      <c r="F292" s="10"/>
      <c r="G292" s="7"/>
      <c r="H292" s="7"/>
      <c r="I292" s="7"/>
      <c r="M292" s="5">
        <v>1</v>
      </c>
      <c r="S292" s="5">
        <f>SUM(Tabel1[[#This Row],[Januari]:[December]])</f>
        <v>1</v>
      </c>
      <c r="T292" s="9">
        <v>45490</v>
      </c>
      <c r="U292" s="8" t="s">
        <v>715</v>
      </c>
      <c r="V292" s="8">
        <v>1</v>
      </c>
      <c r="W292" s="8"/>
      <c r="X292" t="s">
        <v>206</v>
      </c>
      <c r="Y292" t="s">
        <v>380</v>
      </c>
    </row>
    <row r="293" spans="1:25" x14ac:dyDescent="0.3">
      <c r="A293">
        <v>39859</v>
      </c>
      <c r="B293" t="str">
        <f>_xlfn.CONCAT(Tabel1[[#This Row],[personeelsnr]]," ",C293," ",D293)</f>
        <v>39859 Costers Kelly</v>
      </c>
      <c r="C293" t="str">
        <f>VLOOKUP(Tabel1[[#This Row],[personeelsnr]],'data hastus'!$A:$C,2,0)</f>
        <v>Costers</v>
      </c>
      <c r="D293" t="str">
        <f>VLOOKUP(Tabel1[[#This Row],[personeelsnr]],'data hastus'!$A:$C,3,0)</f>
        <v>Kelly</v>
      </c>
      <c r="E293" t="str">
        <f>VLOOKUP(Tabel1[[#This Row],[personeelsnr]],'data hastus'!A:K,11,FALSE)</f>
        <v>Bart Van Der Beken</v>
      </c>
      <c r="F293" s="10"/>
      <c r="G293" s="7"/>
      <c r="H293" s="7"/>
      <c r="I293" s="7"/>
      <c r="M293" s="5">
        <v>1</v>
      </c>
      <c r="S293" s="5">
        <f>SUM(Tabel1[[#This Row],[Januari]:[December]])</f>
        <v>1</v>
      </c>
      <c r="T293" s="9">
        <v>45490</v>
      </c>
      <c r="U293" s="8" t="s">
        <v>716</v>
      </c>
      <c r="V293" s="8">
        <v>1</v>
      </c>
      <c r="W293" s="8"/>
      <c r="X293" t="s">
        <v>206</v>
      </c>
      <c r="Y293" t="s">
        <v>182</v>
      </c>
    </row>
    <row r="294" spans="1:25" x14ac:dyDescent="0.3">
      <c r="A294">
        <v>21121</v>
      </c>
      <c r="B294" t="str">
        <f>_xlfn.CONCAT(Tabel1[[#This Row],[personeelsnr]]," ",C294," ",D294)</f>
        <v>21121 Laforce Mike</v>
      </c>
      <c r="C294" t="str">
        <f>VLOOKUP(Tabel1[[#This Row],[personeelsnr]],'data hastus'!$A:$C,2,0)</f>
        <v>Laforce</v>
      </c>
      <c r="D294" t="str">
        <f>VLOOKUP(Tabel1[[#This Row],[personeelsnr]],'data hastus'!$A:$C,3,0)</f>
        <v>Mike</v>
      </c>
      <c r="E294" t="str">
        <f>VLOOKUP(Tabel1[[#This Row],[personeelsnr]],'data hastus'!A:K,11,FALSE)</f>
        <v>Kenneth De Rick</v>
      </c>
      <c r="F294" s="10"/>
      <c r="G294" s="7"/>
      <c r="H294" s="7"/>
      <c r="I294" s="7"/>
      <c r="M294" s="5">
        <v>1</v>
      </c>
      <c r="S294" s="5">
        <f>SUM(Tabel1[[#This Row],[Januari]:[December]])</f>
        <v>1</v>
      </c>
      <c r="T294" s="9">
        <v>45491</v>
      </c>
      <c r="U294" s="8" t="s">
        <v>717</v>
      </c>
      <c r="V294" s="8"/>
      <c r="W294" s="8">
        <v>1</v>
      </c>
      <c r="X294" t="s">
        <v>207</v>
      </c>
      <c r="Y294" t="s">
        <v>249</v>
      </c>
    </row>
    <row r="295" spans="1:25" x14ac:dyDescent="0.3">
      <c r="A295">
        <v>29478</v>
      </c>
      <c r="B295" t="str">
        <f>_xlfn.CONCAT(Tabel1[[#This Row],[personeelsnr]]," ",C295," ",D295)</f>
        <v>29478 Priwall Heike</v>
      </c>
      <c r="C295" t="str">
        <f>VLOOKUP(Tabel1[[#This Row],[personeelsnr]],'data hastus'!$A:$C,2,0)</f>
        <v>Priwall</v>
      </c>
      <c r="D295" t="str">
        <f>VLOOKUP(Tabel1[[#This Row],[personeelsnr]],'data hastus'!$A:$C,3,0)</f>
        <v>Heike</v>
      </c>
      <c r="E295" t="str">
        <f>VLOOKUP(Tabel1[[#This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SUM(Tabel1[[#This Row],[Januari]:[December]])</f>
        <v>1</v>
      </c>
      <c r="T295" s="9">
        <v>45491</v>
      </c>
      <c r="U295" s="8" t="s">
        <v>718</v>
      </c>
      <c r="V295" s="8"/>
      <c r="W295" s="8">
        <v>1</v>
      </c>
      <c r="X295" t="s">
        <v>207</v>
      </c>
      <c r="Y295" t="s">
        <v>223</v>
      </c>
    </row>
    <row r="296" spans="1:25" x14ac:dyDescent="0.3">
      <c r="A296">
        <v>29179</v>
      </c>
      <c r="B296" t="str">
        <f>_xlfn.CONCAT(Tabel1[[#This Row],[personeelsnr]]," ",C296," ",D296)</f>
        <v>29179 Verwee Dries</v>
      </c>
      <c r="C296" t="str">
        <f>VLOOKUP(Tabel1[[#This Row],[personeelsnr]],'data hastus'!$A:$C,2,0)</f>
        <v>Verwee</v>
      </c>
      <c r="D296" t="str">
        <f>VLOOKUP(Tabel1[[#This Row],[personeelsnr]],'data hastus'!$A:$C,3,0)</f>
        <v>Dries</v>
      </c>
      <c r="E296" t="str">
        <f>VLOOKUP(Tabel1[[#This Row],[personeelsnr]],'data hastus'!A:K,11,FALSE)</f>
        <v>Els Dewulf</v>
      </c>
      <c r="F296" s="10"/>
      <c r="G296" s="7"/>
      <c r="H296" s="7"/>
      <c r="I296" s="7"/>
      <c r="M296" s="5">
        <v>1</v>
      </c>
      <c r="S296" s="5">
        <f>SUM(Tabel1[[#This Row],[Januari]:[December]])</f>
        <v>1</v>
      </c>
      <c r="T296" s="9">
        <v>45491</v>
      </c>
      <c r="U296" s="8" t="s">
        <v>719</v>
      </c>
      <c r="V296" s="8"/>
      <c r="W296" s="8">
        <v>1</v>
      </c>
      <c r="X296" t="s">
        <v>207</v>
      </c>
      <c r="Y296" t="s">
        <v>176</v>
      </c>
    </row>
    <row r="297" spans="1:25" x14ac:dyDescent="0.3">
      <c r="A297">
        <v>12124</v>
      </c>
      <c r="B297" t="str">
        <f>_xlfn.CONCAT(Tabel1[[#This Row],[personeelsnr]]," ",C297," ",D297)</f>
        <v>12124 Van Vliet Tom</v>
      </c>
      <c r="C297" t="str">
        <f>VLOOKUP(Tabel1[[#This Row],[personeelsnr]],'data hastus'!$A:$C,2,0)</f>
        <v>Van Vliet</v>
      </c>
      <c r="D297" t="str">
        <f>VLOOKUP(Tabel1[[#This Row],[personeelsnr]],'data hastus'!$A:$C,3,0)</f>
        <v>Tom</v>
      </c>
      <c r="E297" t="str">
        <f>VLOOKUP(Tabel1[[#This Row],[personeelsnr]],'data hastus'!A:K,11,FALSE)</f>
        <v>Steven Storm</v>
      </c>
      <c r="F297" s="10"/>
      <c r="G297" s="7"/>
      <c r="H297" s="7"/>
      <c r="I297" s="7"/>
      <c r="M297" s="5">
        <v>1</v>
      </c>
      <c r="S297" s="5">
        <f>SUM(Tabel1[[#This Row],[Januari]:[December]])</f>
        <v>1</v>
      </c>
      <c r="T297" s="9">
        <v>45492</v>
      </c>
      <c r="U297" s="8" t="s">
        <v>720</v>
      </c>
      <c r="V297" s="8"/>
      <c r="W297" s="8">
        <v>1</v>
      </c>
      <c r="X297" t="s">
        <v>207</v>
      </c>
      <c r="Y297" t="s">
        <v>183</v>
      </c>
    </row>
    <row r="298" spans="1:25" x14ac:dyDescent="0.3">
      <c r="A298">
        <v>9999</v>
      </c>
      <c r="B298" t="str">
        <f>_xlfn.CONCAT(Tabel1[[#This Row],[personeelsnr]]," ",C298," ",D298)</f>
        <v>9999 - -</v>
      </c>
      <c r="C298" t="s">
        <v>3388</v>
      </c>
      <c r="D298" t="s">
        <v>3388</v>
      </c>
      <c r="E298" t="s">
        <v>1165</v>
      </c>
      <c r="F298" s="10"/>
      <c r="G298" s="7"/>
      <c r="H298" s="7"/>
      <c r="I298" s="7"/>
      <c r="M298" s="5">
        <v>1</v>
      </c>
      <c r="S298" s="5">
        <f>SUM(Tabel1[[#This Row],[Januari]:[December]])</f>
        <v>1</v>
      </c>
      <c r="T298" s="9">
        <v>45493</v>
      </c>
      <c r="U298" s="8" t="s">
        <v>721</v>
      </c>
      <c r="V298" s="8">
        <v>1</v>
      </c>
      <c r="W298" s="8"/>
      <c r="X298" t="s">
        <v>206</v>
      </c>
      <c r="Y298" t="s">
        <v>178</v>
      </c>
    </row>
    <row r="299" spans="1:25" x14ac:dyDescent="0.3">
      <c r="A299">
        <v>28830</v>
      </c>
      <c r="B299" t="str">
        <f>_xlfn.CONCAT(Tabel1[[#This Row],[personeelsnr]]," ",C299," ",D299)</f>
        <v>28830 Isiklar Okan</v>
      </c>
      <c r="C299" t="str">
        <f>VLOOKUP(Tabel1[[#This Row],[personeelsnr]],'data hastus'!$A:$C,2,0)</f>
        <v>Isiklar</v>
      </c>
      <c r="D299" t="str">
        <f>VLOOKUP(Tabel1[[#This Row],[personeelsnr]],'data hastus'!$A:$C,3,0)</f>
        <v>Okan</v>
      </c>
      <c r="E299" t="str">
        <f>VLOOKUP(Tabel1[[#This Row],[personeelsnr]],'data hastus'!A:K,11,FALSE)</f>
        <v>Christoff Rotty</v>
      </c>
      <c r="F299" s="10"/>
      <c r="G299" s="7"/>
      <c r="H299" s="7"/>
      <c r="I299" s="7"/>
      <c r="M299" s="5">
        <v>1</v>
      </c>
      <c r="S299" s="5">
        <f>SUM(Tabel1[[#This Row],[Januari]:[December]])</f>
        <v>1</v>
      </c>
      <c r="T299" s="9">
        <v>45496</v>
      </c>
      <c r="U299" s="8" t="s">
        <v>722</v>
      </c>
      <c r="V299" s="8">
        <v>1</v>
      </c>
      <c r="W299" s="8"/>
      <c r="X299" t="s">
        <v>206</v>
      </c>
      <c r="Y299" t="s">
        <v>175</v>
      </c>
    </row>
    <row r="300" spans="1:25" x14ac:dyDescent="0.3">
      <c r="A300">
        <v>39610</v>
      </c>
      <c r="B300" t="str">
        <f>_xlfn.CONCAT(Tabel1[[#This Row],[personeelsnr]]," ",C300," ",D300)</f>
        <v>39610 Sayin Batuhan</v>
      </c>
      <c r="C300" t="str">
        <f>VLOOKUP(Tabel1[[#This Row],[personeelsnr]],'data hastus'!$A:$C,2,0)</f>
        <v>Sayin</v>
      </c>
      <c r="D300" t="str">
        <f>VLOOKUP(Tabel1[[#This Row],[personeelsnr]],'data hastus'!$A:$C,3,0)</f>
        <v>Batuhan</v>
      </c>
      <c r="E300" t="str">
        <f>VLOOKUP(Tabel1[[#This Row],[personeelsnr]],'data hastus'!A:K,11,FALSE)</f>
        <v>Bart Van Der Beken</v>
      </c>
      <c r="F300" s="10"/>
      <c r="G300" s="7"/>
      <c r="H300" s="7"/>
      <c r="I300" s="7"/>
      <c r="M300" s="5">
        <v>1</v>
      </c>
      <c r="S300" s="5">
        <f>SUM(Tabel1[[#This Row],[Januari]:[December]])</f>
        <v>1</v>
      </c>
      <c r="T300" s="9">
        <v>45497</v>
      </c>
      <c r="U300" s="8" t="s">
        <v>723</v>
      </c>
      <c r="V300" s="8">
        <v>1</v>
      </c>
      <c r="W300" s="8"/>
      <c r="X300" t="s">
        <v>206</v>
      </c>
      <c r="Y300" t="s">
        <v>167</v>
      </c>
    </row>
    <row r="301" spans="1:25" x14ac:dyDescent="0.3">
      <c r="A301">
        <v>37131</v>
      </c>
      <c r="B301" t="str">
        <f>_xlfn.CONCAT(Tabel1[[#This Row],[personeelsnr]]," ",C301," ",D301)</f>
        <v>37131 Saritag Mehmed</v>
      </c>
      <c r="C301" t="str">
        <f>VLOOKUP(Tabel1[[#This Row],[personeelsnr]],'data hastus'!$A:$C,2,0)</f>
        <v>Saritag</v>
      </c>
      <c r="D301" t="str">
        <f>VLOOKUP(Tabel1[[#This Row],[personeelsnr]],'data hastus'!$A:$C,3,0)</f>
        <v>Mehmed</v>
      </c>
      <c r="E301" t="str">
        <f>VLOOKUP(Tabel1[[#This Row],[personeelsnr]],'data hastus'!A:K,11,FALSE)</f>
        <v>Kenneth De Rick</v>
      </c>
      <c r="F301" s="10"/>
      <c r="G301" s="7"/>
      <c r="H301" s="7"/>
      <c r="I301" s="7"/>
      <c r="M301" s="5">
        <v>1</v>
      </c>
      <c r="S301" s="5">
        <f>SUM(Tabel1[[#This Row],[Januari]:[December]])</f>
        <v>1</v>
      </c>
      <c r="T301" s="9">
        <v>45497</v>
      </c>
      <c r="U301" s="8" t="s">
        <v>724</v>
      </c>
      <c r="V301" s="8">
        <v>1</v>
      </c>
      <c r="W301" s="8"/>
      <c r="X301" t="s">
        <v>206</v>
      </c>
      <c r="Y301" t="s">
        <v>167</v>
      </c>
    </row>
    <row r="302" spans="1:25" x14ac:dyDescent="0.3">
      <c r="A302">
        <v>28794</v>
      </c>
      <c r="B302" t="str">
        <f>_xlfn.CONCAT(Tabel1[[#This Row],[personeelsnr]]," ",C302," ",D302)</f>
        <v>28794 Van Malderghem Niels</v>
      </c>
      <c r="C302" t="str">
        <f>VLOOKUP(Tabel1[[#This Row],[personeelsnr]],'data hastus'!$A:$C,2,0)</f>
        <v>Van Malderghem</v>
      </c>
      <c r="D302" t="str">
        <f>VLOOKUP(Tabel1[[#This Row],[personeelsnr]],'data hastus'!$A:$C,3,0)</f>
        <v>Niels</v>
      </c>
      <c r="E302" t="str">
        <f>VLOOKUP(Tabel1[[#This Row],[personeelsnr]],'data hastus'!A:K,11,FALSE)</f>
        <v>Lucie Vande Velde</v>
      </c>
      <c r="F302" s="10"/>
      <c r="G302" s="7"/>
      <c r="H302" s="7"/>
      <c r="I302" s="7"/>
      <c r="M302" s="5">
        <v>1</v>
      </c>
      <c r="S302" s="5">
        <f>SUM(Tabel1[[#This Row],[Januari]:[December]])</f>
        <v>1</v>
      </c>
      <c r="T302" s="9">
        <v>45497</v>
      </c>
      <c r="U302" s="8" t="s">
        <v>725</v>
      </c>
      <c r="V302" s="8">
        <v>1</v>
      </c>
      <c r="W302" s="8"/>
      <c r="X302" t="s">
        <v>206</v>
      </c>
      <c r="Y302" t="s">
        <v>211</v>
      </c>
    </row>
    <row r="303" spans="1:25" x14ac:dyDescent="0.3">
      <c r="A303">
        <v>38808</v>
      </c>
      <c r="B303" t="str">
        <f>_xlfn.CONCAT(Tabel1[[#This Row],[personeelsnr]]," ",C303," ",D303)</f>
        <v>38808 Wasen Jens</v>
      </c>
      <c r="C303" t="str">
        <f>VLOOKUP(Tabel1[[#This Row],[personeelsnr]],'data hastus'!$A:$C,2,0)</f>
        <v>Wasen</v>
      </c>
      <c r="D303" t="str">
        <f>VLOOKUP(Tabel1[[#This Row],[personeelsnr]],'data hastus'!$A:$C,3,0)</f>
        <v>Jens</v>
      </c>
      <c r="E303" t="str">
        <f>VLOOKUP(Tabel1[[#This Row],[personeelsnr]],'data hastus'!A:K,11,FALSE)</f>
        <v>Els Dewulf</v>
      </c>
      <c r="F303" s="10"/>
      <c r="G303" s="7"/>
      <c r="H303" s="7"/>
      <c r="I303" s="7"/>
      <c r="M303" s="5">
        <v>1</v>
      </c>
      <c r="S303" s="5">
        <f>SUM(Tabel1[[#This Row],[Januari]:[December]])</f>
        <v>1</v>
      </c>
      <c r="T303" s="9">
        <v>45498</v>
      </c>
      <c r="U303" s="8" t="s">
        <v>726</v>
      </c>
      <c r="V303" s="8">
        <v>1</v>
      </c>
      <c r="W303" s="8"/>
      <c r="X303" t="s">
        <v>206</v>
      </c>
      <c r="Y303" t="s">
        <v>167</v>
      </c>
    </row>
    <row r="304" spans="1:25" x14ac:dyDescent="0.3">
      <c r="A304">
        <v>40478</v>
      </c>
      <c r="B304" t="str">
        <f>_xlfn.CONCAT(Tabel1[[#This Row],[personeelsnr]]," ",C304," ",D304)</f>
        <v>40478 Hashimi Ali Mir</v>
      </c>
      <c r="C304" t="str">
        <f>VLOOKUP(Tabel1[[#This Row],[personeelsnr]],'data hastus'!$A:$C,2,0)</f>
        <v>Hashimi</v>
      </c>
      <c r="D304" t="str">
        <f>VLOOKUP(Tabel1[[#This Row],[personeelsnr]],'data hastus'!$A:$C,3,0)</f>
        <v>Ali Mir</v>
      </c>
      <c r="E304" t="str">
        <f>VLOOKUP(Tabel1[[#This Row],[personeelsnr]],'data hastus'!A:K,11,FALSE)</f>
        <v>Bart Van Der Beken</v>
      </c>
      <c r="F304" s="10"/>
      <c r="G304" s="7"/>
      <c r="H304" s="7"/>
      <c r="I304" s="7"/>
      <c r="M304" s="5">
        <v>1</v>
      </c>
      <c r="S304" s="5">
        <f>SUM(Tabel1[[#This Row],[Januari]:[December]])</f>
        <v>1</v>
      </c>
      <c r="T304" s="9">
        <v>45498</v>
      </c>
      <c r="U304" s="8" t="s">
        <v>727</v>
      </c>
      <c r="V304" s="8">
        <v>1</v>
      </c>
      <c r="W304" s="8"/>
      <c r="X304" t="s">
        <v>206</v>
      </c>
      <c r="Y304" t="s">
        <v>539</v>
      </c>
    </row>
    <row r="305" spans="1:25" x14ac:dyDescent="0.3">
      <c r="A305">
        <v>32387</v>
      </c>
      <c r="B305" t="str">
        <f>_xlfn.CONCAT(Tabel1[[#This Row],[personeelsnr]]," ",C305," ",D305)</f>
        <v>32387 Meersman Herman</v>
      </c>
      <c r="C305" t="str">
        <f>VLOOKUP(Tabel1[[#This Row],[personeelsnr]],'data hastus'!$A:$C,2,0)</f>
        <v>Meersman</v>
      </c>
      <c r="D305" t="str">
        <f>VLOOKUP(Tabel1[[#This Row],[personeelsnr]],'data hastus'!$A:$C,3,0)</f>
        <v>Herman</v>
      </c>
      <c r="E305" t="str">
        <f>VLOOKUP(Tabel1[[#This Row],[personeelsnr]],'data hastus'!A:K,11,FALSE)</f>
        <v>Steven Storm</v>
      </c>
      <c r="F305" s="10"/>
      <c r="G305" s="7"/>
      <c r="H305" s="7"/>
      <c r="I305" s="7"/>
      <c r="M305" s="5">
        <v>1</v>
      </c>
      <c r="S305" s="5">
        <f>SUM(Tabel1[[#This Row],[Januari]:[December]])</f>
        <v>1</v>
      </c>
      <c r="T305" s="9">
        <v>45498</v>
      </c>
      <c r="U305" s="8" t="s">
        <v>728</v>
      </c>
      <c r="V305" s="8"/>
      <c r="W305" s="8">
        <v>1</v>
      </c>
      <c r="X305" t="s">
        <v>207</v>
      </c>
      <c r="Y305" t="s">
        <v>167</v>
      </c>
    </row>
    <row r="306" spans="1:25" x14ac:dyDescent="0.3">
      <c r="A306">
        <v>37950</v>
      </c>
      <c r="B306" t="str">
        <f>_xlfn.CONCAT(Tabel1[[#This Row],[personeelsnr]]," ",C306," ",D306)</f>
        <v>37950 De Naegel Bruno</v>
      </c>
      <c r="C306" t="str">
        <f>VLOOKUP(Tabel1[[#This Row],[personeelsnr]],'data hastus'!$A:$C,2,0)</f>
        <v>De Naegel</v>
      </c>
      <c r="D306" t="str">
        <f>VLOOKUP(Tabel1[[#This Row],[personeelsnr]],'data hastus'!$A:$C,3,0)</f>
        <v>Bruno</v>
      </c>
      <c r="E306" t="str">
        <f>VLOOKUP(Tabel1[[#This Row],[personeelsnr]],'data hastus'!A:K,11,FALSE)</f>
        <v>Dominique De Clercq</v>
      </c>
      <c r="F306" s="10"/>
      <c r="G306" s="7"/>
      <c r="H306" s="7"/>
      <c r="I306" s="7"/>
      <c r="M306" s="5">
        <v>1</v>
      </c>
      <c r="S306" s="5">
        <f>SUM(Tabel1[[#This Row],[Januari]:[December]])</f>
        <v>1</v>
      </c>
      <c r="T306" s="9">
        <v>45500</v>
      </c>
      <c r="U306" s="8" t="s">
        <v>729</v>
      </c>
      <c r="V306" s="8">
        <v>1</v>
      </c>
      <c r="W306" s="8"/>
      <c r="X306" t="s">
        <v>206</v>
      </c>
      <c r="Y306" t="s">
        <v>277</v>
      </c>
    </row>
    <row r="307" spans="1:25" x14ac:dyDescent="0.3">
      <c r="A307">
        <v>26198</v>
      </c>
      <c r="B307" t="str">
        <f>_xlfn.CONCAT(Tabel1[[#This Row],[personeelsnr]]," ",C307," ",D307)</f>
        <v>26198 Justé Steven</v>
      </c>
      <c r="C307" t="str">
        <f>VLOOKUP(Tabel1[[#This Row],[personeelsnr]],'data hastus'!$A:$C,2,0)</f>
        <v>Justé</v>
      </c>
      <c r="D307" t="str">
        <f>VLOOKUP(Tabel1[[#This Row],[personeelsnr]],'data hastus'!$A:$C,3,0)</f>
        <v>Steven</v>
      </c>
      <c r="E307" t="str">
        <f>VLOOKUP(Tabel1[[#This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SUM(Tabel1[[#This Row],[Januari]:[December]])</f>
        <v>1</v>
      </c>
      <c r="T307" s="9">
        <v>45502</v>
      </c>
      <c r="U307" s="8" t="s">
        <v>730</v>
      </c>
      <c r="V307" s="8">
        <v>1</v>
      </c>
      <c r="W307" s="8"/>
      <c r="X307" t="s">
        <v>206</v>
      </c>
      <c r="Y307" t="s">
        <v>172</v>
      </c>
    </row>
    <row r="308" spans="1:25" x14ac:dyDescent="0.3">
      <c r="A308">
        <v>36337</v>
      </c>
      <c r="B308" t="str">
        <f>_xlfn.CONCAT(Tabel1[[#This Row],[personeelsnr]]," ",C308," ",D308)</f>
        <v>36337 Desmadryl Daniel</v>
      </c>
      <c r="C308" t="str">
        <f>VLOOKUP(Tabel1[[#This Row],[personeelsnr]],'data hastus'!$A:$C,2,0)</f>
        <v>Desmadryl</v>
      </c>
      <c r="D308" t="str">
        <f>VLOOKUP(Tabel1[[#This Row],[personeelsnr]],'data hastus'!$A:$C,3,0)</f>
        <v>Daniel</v>
      </c>
      <c r="E308" t="str">
        <f>VLOOKUP(Tabel1[[#This Row],[personeelsnr]],'data hastus'!A:K,11,FALSE)</f>
        <v>Kenneth De Rick</v>
      </c>
      <c r="F308" s="10"/>
      <c r="G308" s="7"/>
      <c r="H308" s="7"/>
      <c r="I308" s="7"/>
      <c r="M308" s="5">
        <v>1</v>
      </c>
      <c r="S308" s="5">
        <f>SUM(Tabel1[[#This Row],[Januari]:[December]])</f>
        <v>1</v>
      </c>
      <c r="T308" s="9">
        <v>45502</v>
      </c>
      <c r="U308" s="8" t="s">
        <v>731</v>
      </c>
      <c r="V308" s="8"/>
      <c r="W308" s="8">
        <v>1</v>
      </c>
      <c r="X308" t="s">
        <v>207</v>
      </c>
      <c r="Y308" t="s">
        <v>167</v>
      </c>
    </row>
    <row r="309" spans="1:25" x14ac:dyDescent="0.3">
      <c r="A309">
        <v>20375</v>
      </c>
      <c r="B309" t="str">
        <f>_xlfn.CONCAT(Tabel1[[#This Row],[personeelsnr]]," ",C309," ",D309)</f>
        <v>20375 Verlaeckt Lincey</v>
      </c>
      <c r="C309" t="str">
        <f>VLOOKUP(Tabel1[[#This Row],[personeelsnr]],'data hastus'!$A:$C,2,0)</f>
        <v>Verlaeckt</v>
      </c>
      <c r="D309" t="str">
        <f>VLOOKUP(Tabel1[[#This Row],[personeelsnr]],'data hastus'!$A:$C,3,0)</f>
        <v>Lincey</v>
      </c>
      <c r="E309" t="str">
        <f>VLOOKUP(Tabel1[[#This Row],[personeelsnr]],'data hastus'!A:K,11,FALSE)</f>
        <v>Dominique De Clercq</v>
      </c>
      <c r="F309" s="10"/>
      <c r="G309" s="7"/>
      <c r="H309" s="7"/>
      <c r="I309" s="7"/>
      <c r="M309" s="5">
        <v>1</v>
      </c>
      <c r="S309" s="5">
        <f>SUM(Tabel1[[#This Row],[Januari]:[December]])</f>
        <v>1</v>
      </c>
      <c r="T309" s="9">
        <v>45502</v>
      </c>
      <c r="U309" s="8" t="s">
        <v>732</v>
      </c>
      <c r="V309" s="8"/>
      <c r="W309" s="8">
        <v>1</v>
      </c>
      <c r="X309" t="s">
        <v>207</v>
      </c>
      <c r="Y309" t="s">
        <v>249</v>
      </c>
    </row>
    <row r="310" spans="1:25" x14ac:dyDescent="0.3">
      <c r="A310">
        <v>13020</v>
      </c>
      <c r="B310" t="str">
        <f>_xlfn.CONCAT(Tabel1[[#This Row],[personeelsnr]]," ",C310," ",D310)</f>
        <v>13020 Boutiebi Ahmed</v>
      </c>
      <c r="C310" t="str">
        <f>VLOOKUP(Tabel1[[#This Row],[personeelsnr]],'data hastus'!$A:$C,2,0)</f>
        <v>Boutiebi</v>
      </c>
      <c r="D310" t="str">
        <f>VLOOKUP(Tabel1[[#This Row],[personeelsnr]],'data hastus'!$A:$C,3,0)</f>
        <v>Ahmed</v>
      </c>
      <c r="E310" t="str">
        <f>VLOOKUP(Tabel1[[#This Row],[personeelsnr]],'data hastus'!A:K,11,FALSE)</f>
        <v>Lucie Vande Velde</v>
      </c>
      <c r="F310" s="10"/>
      <c r="G310" s="7"/>
      <c r="H310" s="7"/>
      <c r="I310" s="7"/>
      <c r="M310" s="5">
        <v>1</v>
      </c>
      <c r="S310" s="5">
        <f>SUM(Tabel1[[#This Row],[Januari]:[December]])</f>
        <v>1</v>
      </c>
      <c r="T310" s="9">
        <v>45502</v>
      </c>
      <c r="U310" s="8" t="s">
        <v>733</v>
      </c>
      <c r="V310" s="8"/>
      <c r="W310" s="8">
        <v>1</v>
      </c>
      <c r="X310" t="s">
        <v>207</v>
      </c>
      <c r="Y310" t="s">
        <v>168</v>
      </c>
    </row>
    <row r="311" spans="1:25" x14ac:dyDescent="0.3">
      <c r="A311">
        <v>40403</v>
      </c>
      <c r="B311" t="str">
        <f>_xlfn.CONCAT(Tabel1[[#This Row],[personeelsnr]]," ",C311," ",D311)</f>
        <v>40403 Prové Michaël</v>
      </c>
      <c r="C311" t="str">
        <f>VLOOKUP(Tabel1[[#This Row],[personeelsnr]],'data hastus'!$A:$C,2,0)</f>
        <v>Prové</v>
      </c>
      <c r="D311" t="str">
        <f>VLOOKUP(Tabel1[[#This Row],[personeelsnr]],'data hastus'!$A:$C,3,0)</f>
        <v>Michaël</v>
      </c>
      <c r="E311" t="str">
        <f>VLOOKUP(Tabel1[[#This Row],[personeelsnr]],'data hastus'!A:K,11,FALSE)</f>
        <v>Dominique De Clercq</v>
      </c>
      <c r="F311" s="10"/>
      <c r="G311" s="7"/>
      <c r="H311" s="7"/>
      <c r="I311" s="7"/>
      <c r="M311" s="5">
        <v>1</v>
      </c>
      <c r="S311" s="5">
        <f>SUM(Tabel1[[#This Row],[Januari]:[December]])</f>
        <v>1</v>
      </c>
      <c r="T311" s="9">
        <v>45503</v>
      </c>
      <c r="U311" s="8" t="s">
        <v>734</v>
      </c>
      <c r="V311" s="8">
        <v>1</v>
      </c>
      <c r="W311" s="8"/>
      <c r="X311" t="s">
        <v>206</v>
      </c>
      <c r="Y311" t="s">
        <v>202</v>
      </c>
    </row>
    <row r="312" spans="1:25" x14ac:dyDescent="0.3">
      <c r="A312">
        <v>26137</v>
      </c>
      <c r="B312" t="str">
        <f>_xlfn.CONCAT(Tabel1[[#This Row],[personeelsnr]]," ",C312," ",D312)</f>
        <v>26137 Hublau Roland</v>
      </c>
      <c r="C312" t="str">
        <f>VLOOKUP(Tabel1[[#This Row],[personeelsnr]],'data hastus'!$A:$C,2,0)</f>
        <v>Hublau</v>
      </c>
      <c r="D312" t="str">
        <f>VLOOKUP(Tabel1[[#This Row],[personeelsnr]],'data hastus'!$A:$C,3,0)</f>
        <v>Roland</v>
      </c>
      <c r="E312" t="str">
        <f>VLOOKUP(Tabel1[[#This Row],[personeelsnr]],'data hastus'!A:K,11,FALSE)</f>
        <v>Steven Storm</v>
      </c>
      <c r="F312" s="10"/>
      <c r="G312" s="7"/>
      <c r="H312" s="7"/>
      <c r="I312" s="7"/>
      <c r="M312" s="5">
        <v>1</v>
      </c>
      <c r="S312" s="5">
        <f>SUM(Tabel1[[#This Row],[Januari]:[December]])</f>
        <v>1</v>
      </c>
      <c r="T312" s="9">
        <v>45503</v>
      </c>
      <c r="U312" s="8" t="s">
        <v>735</v>
      </c>
      <c r="V312" s="8"/>
      <c r="W312" s="8">
        <v>1</v>
      </c>
      <c r="X312" t="s">
        <v>207</v>
      </c>
      <c r="Y312" t="s">
        <v>168</v>
      </c>
    </row>
    <row r="313" spans="1:25" x14ac:dyDescent="0.3">
      <c r="A313">
        <v>36428</v>
      </c>
      <c r="B313" t="str">
        <f>_xlfn.CONCAT(Tabel1[[#This Row],[personeelsnr]]," ",C313," ",D313)</f>
        <v>36428 Abdi Shaiye Rashid</v>
      </c>
      <c r="C313" t="str">
        <f>VLOOKUP(Tabel1[[#This Row],[personeelsnr]],'data hastus'!$A:$C,2,0)</f>
        <v>Abdi Shaiye</v>
      </c>
      <c r="D313" t="str">
        <f>VLOOKUP(Tabel1[[#This Row],[personeelsnr]],'data hastus'!$A:$C,3,0)</f>
        <v>Rashid</v>
      </c>
      <c r="E313" t="str">
        <f>VLOOKUP(Tabel1[[#This Row],[personeelsnr]],'data hastus'!A:K,11,FALSE)</f>
        <v>Lucie Vande Velde</v>
      </c>
      <c r="F313" s="10"/>
      <c r="G313" s="7"/>
      <c r="H313" s="7"/>
      <c r="I313" s="7"/>
      <c r="N313" s="5">
        <v>1</v>
      </c>
      <c r="S313" s="5">
        <f>SUM(Tabel1[[#This Row],[Januari]:[December]])</f>
        <v>1</v>
      </c>
      <c r="T313" s="9">
        <v>45505</v>
      </c>
      <c r="U313" s="8" t="s">
        <v>736</v>
      </c>
      <c r="V313" s="8">
        <v>1</v>
      </c>
      <c r="W313" s="8"/>
      <c r="X313" t="s">
        <v>206</v>
      </c>
      <c r="Y313" t="s">
        <v>167</v>
      </c>
    </row>
    <row r="314" spans="1:25" x14ac:dyDescent="0.3">
      <c r="A314">
        <v>9999</v>
      </c>
      <c r="B314" t="str">
        <f>_xlfn.CONCAT(Tabel1[[#This Row],[personeelsnr]]," ",C314," ",D314)</f>
        <v>9999 - -</v>
      </c>
      <c r="C314" t="s">
        <v>3388</v>
      </c>
      <c r="D314" t="s">
        <v>3388</v>
      </c>
      <c r="E314" t="s">
        <v>1165</v>
      </c>
      <c r="F314" s="10"/>
      <c r="G314" s="7"/>
      <c r="H314" s="7"/>
      <c r="I314" s="7"/>
      <c r="N314" s="5">
        <v>1</v>
      </c>
      <c r="S314" s="5">
        <f>SUM(Tabel1[[#This Row],[Januari]:[December]])</f>
        <v>1</v>
      </c>
      <c r="T314" s="9">
        <v>45506</v>
      </c>
      <c r="U314" s="8" t="s">
        <v>737</v>
      </c>
      <c r="V314" s="8">
        <v>1</v>
      </c>
      <c r="W314" s="8"/>
      <c r="X314" t="s">
        <v>206</v>
      </c>
      <c r="Y314" t="s">
        <v>178</v>
      </c>
    </row>
    <row r="315" spans="1:25" x14ac:dyDescent="0.3">
      <c r="A315">
        <v>9999</v>
      </c>
      <c r="B315" t="str">
        <f>_xlfn.CONCAT(Tabel1[[#This Row],[personeelsnr]]," ",C315," ",D315)</f>
        <v>9999 - -</v>
      </c>
      <c r="C315" t="s">
        <v>3388</v>
      </c>
      <c r="D315" t="s">
        <v>3388</v>
      </c>
      <c r="E315" t="s">
        <v>1165</v>
      </c>
      <c r="F315" s="10"/>
      <c r="G315" s="7"/>
      <c r="H315" s="7"/>
      <c r="I315" s="7"/>
      <c r="N315" s="5">
        <v>1</v>
      </c>
      <c r="S315" s="5">
        <f>SUM(Tabel1[[#This Row],[Januari]:[December]])</f>
        <v>1</v>
      </c>
      <c r="T315" s="9">
        <v>45506</v>
      </c>
      <c r="U315" s="8" t="s">
        <v>738</v>
      </c>
      <c r="V315" s="8">
        <v>1</v>
      </c>
      <c r="W315" s="8"/>
      <c r="X315" t="s">
        <v>206</v>
      </c>
      <c r="Y315" t="s">
        <v>539</v>
      </c>
    </row>
    <row r="316" spans="1:25" x14ac:dyDescent="0.3">
      <c r="A316">
        <v>36512</v>
      </c>
      <c r="B316" t="str">
        <f>_xlfn.CONCAT(Tabel1[[#This Row],[personeelsnr]]," ",C316," ",D316)</f>
        <v>36512 Van Herreweghe Branco</v>
      </c>
      <c r="C316" t="str">
        <f>VLOOKUP(Tabel1[[#This Row],[personeelsnr]],'data hastus'!$A:$C,2,0)</f>
        <v>Van Herreweghe</v>
      </c>
      <c r="D316" t="str">
        <f>VLOOKUP(Tabel1[[#This Row],[personeelsnr]],'data hastus'!$A:$C,3,0)</f>
        <v>Branco</v>
      </c>
      <c r="E316" t="str">
        <f>VLOOKUP(Tabel1[[#This Row],[personeelsnr]],'data hastus'!A:K,11,FALSE)</f>
        <v>Steven Storm</v>
      </c>
      <c r="F316" s="10"/>
      <c r="G316" s="7"/>
      <c r="H316" s="7"/>
      <c r="I316" s="7"/>
      <c r="N316" s="5">
        <v>1</v>
      </c>
      <c r="S316" s="5">
        <f>SUM(Tabel1[[#This Row],[Januari]:[December]])</f>
        <v>1</v>
      </c>
      <c r="T316" s="9">
        <v>45507</v>
      </c>
      <c r="U316" s="8" t="s">
        <v>739</v>
      </c>
      <c r="V316" s="8">
        <v>1</v>
      </c>
      <c r="W316" s="8"/>
      <c r="X316" t="s">
        <v>206</v>
      </c>
      <c r="Y316" t="s">
        <v>211</v>
      </c>
    </row>
    <row r="317" spans="1:25" x14ac:dyDescent="0.3">
      <c r="A317">
        <v>39929</v>
      </c>
      <c r="B317" t="str">
        <f>_xlfn.CONCAT(Tabel1[[#This Row],[personeelsnr]]," ",C317," ",D317)</f>
        <v>39929 Staneva Mariyana</v>
      </c>
      <c r="C317" t="str">
        <f>VLOOKUP(Tabel1[[#This Row],[personeelsnr]],'data hastus'!$A:$C,2,0)</f>
        <v>Staneva</v>
      </c>
      <c r="D317" t="str">
        <f>VLOOKUP(Tabel1[[#This Row],[personeelsnr]],'data hastus'!$A:$C,3,0)</f>
        <v>Mariyana</v>
      </c>
      <c r="E317" t="str">
        <f>VLOOKUP(Tabel1[[#This Row],[personeelsnr]],'data hastus'!A:K,11,FALSE)</f>
        <v>Christoff Rotty</v>
      </c>
      <c r="F317" s="10"/>
      <c r="G317" s="7"/>
      <c r="H317" s="7"/>
      <c r="I317" s="7"/>
      <c r="N317" s="5">
        <v>1</v>
      </c>
      <c r="S317" s="5">
        <f>SUM(Tabel1[[#This Row],[Januari]:[December]])</f>
        <v>1</v>
      </c>
      <c r="T317" s="9">
        <v>45507</v>
      </c>
      <c r="U317" s="8" t="s">
        <v>740</v>
      </c>
      <c r="V317" s="8">
        <v>1</v>
      </c>
      <c r="W317" s="8"/>
      <c r="X317" t="s">
        <v>206</v>
      </c>
      <c r="Y317" t="s">
        <v>221</v>
      </c>
    </row>
    <row r="318" spans="1:25" x14ac:dyDescent="0.3">
      <c r="A318">
        <v>37662</v>
      </c>
      <c r="B318" t="str">
        <f>_xlfn.CONCAT(Tabel1[[#This Row],[personeelsnr]]," ",C318," ",D318)</f>
        <v>37662 Van den Meerssche Steven</v>
      </c>
      <c r="C318" t="str">
        <f>VLOOKUP(Tabel1[[#This Row],[personeelsnr]],'data hastus'!$A:$C,2,0)</f>
        <v>Van den Meerssche</v>
      </c>
      <c r="D318" t="str">
        <f>VLOOKUP(Tabel1[[#This Row],[personeelsnr]],'data hastus'!$A:$C,3,0)</f>
        <v>Steven</v>
      </c>
      <c r="E318" t="str">
        <f>VLOOKUP(Tabel1[[#This Row],[personeelsnr]],'data hastus'!A:K,11,FALSE)</f>
        <v>Bart Van Der Beken</v>
      </c>
      <c r="F318" s="10"/>
      <c r="G318" s="7"/>
      <c r="H318" s="7"/>
      <c r="I318" s="7"/>
      <c r="N318" s="5">
        <v>1</v>
      </c>
      <c r="S318" s="5">
        <f>SUM(Tabel1[[#This Row],[Januari]:[December]])</f>
        <v>1</v>
      </c>
      <c r="T318" s="9">
        <v>45508</v>
      </c>
      <c r="U318" s="8" t="s">
        <v>741</v>
      </c>
      <c r="V318" s="8">
        <v>1</v>
      </c>
      <c r="W318" s="8"/>
      <c r="X318" t="s">
        <v>206</v>
      </c>
      <c r="Y318" t="s">
        <v>168</v>
      </c>
    </row>
    <row r="319" spans="1:25" x14ac:dyDescent="0.3">
      <c r="A319">
        <v>39889</v>
      </c>
      <c r="B319" t="str">
        <f>_xlfn.CONCAT(Tabel1[[#This Row],[personeelsnr]]," ",C319," ",D319)</f>
        <v>39889 Stanikazi Roien Sadder</v>
      </c>
      <c r="C319" t="str">
        <f>VLOOKUP(Tabel1[[#This Row],[personeelsnr]],'data hastus'!$A:$C,2,0)</f>
        <v>Stanikazi</v>
      </c>
      <c r="D319" t="str">
        <f>VLOOKUP(Tabel1[[#This Row],[personeelsnr]],'data hastus'!$A:$C,3,0)</f>
        <v>Roien Sadder</v>
      </c>
      <c r="E319" t="str">
        <f>VLOOKUP(Tabel1[[#This Row],[personeelsnr]],'data hastus'!A:K,11,FALSE)</f>
        <v>Steven Storm</v>
      </c>
      <c r="F319" s="10"/>
      <c r="G319" s="7"/>
      <c r="H319" s="7"/>
      <c r="I319" s="7"/>
      <c r="N319" s="5">
        <v>1</v>
      </c>
      <c r="S319" s="5">
        <f>SUM(Tabel1[[#This Row],[Januari]:[December]])</f>
        <v>1</v>
      </c>
      <c r="T319" s="9">
        <v>45509</v>
      </c>
      <c r="U319" s="8" t="s">
        <v>742</v>
      </c>
      <c r="V319" s="8">
        <v>1</v>
      </c>
      <c r="W319" s="8"/>
      <c r="X319" t="s">
        <v>206</v>
      </c>
      <c r="Y319" t="s">
        <v>167</v>
      </c>
    </row>
    <row r="320" spans="1:25" x14ac:dyDescent="0.3">
      <c r="A320">
        <v>8016</v>
      </c>
      <c r="B320" t="str">
        <f>_xlfn.CONCAT(Tabel1[[#This Row],[personeelsnr]]," ",C320," ",D320)</f>
        <v>8016 Vinck Roland</v>
      </c>
      <c r="C320" t="str">
        <f>VLOOKUP(Tabel1[[#This Row],[personeelsnr]],'data hastus'!$A:$C,2,0)</f>
        <v>Vinck</v>
      </c>
      <c r="D320" t="str">
        <f>VLOOKUP(Tabel1[[#This Row],[personeelsnr]],'data hastus'!$A:$C,3,0)</f>
        <v>Roland</v>
      </c>
      <c r="E320" t="str">
        <f>VLOOKUP(Tabel1[[#This Row],[personeelsnr]],'data hastus'!A:K,11,FALSE)</f>
        <v>Dominique De Clercq</v>
      </c>
      <c r="F320" s="10"/>
      <c r="G320" s="7"/>
      <c r="H320" s="7"/>
      <c r="I320" s="7"/>
      <c r="N320" s="5">
        <v>1</v>
      </c>
      <c r="S320" s="5">
        <f>SUM(Tabel1[[#This Row],[Januari]:[December]])</f>
        <v>1</v>
      </c>
      <c r="T320" s="9">
        <v>45512</v>
      </c>
      <c r="U320" s="8" t="s">
        <v>743</v>
      </c>
      <c r="V320" s="8"/>
      <c r="W320" s="8">
        <v>1</v>
      </c>
      <c r="X320" t="s">
        <v>207</v>
      </c>
      <c r="Y320" t="s">
        <v>168</v>
      </c>
    </row>
    <row r="321" spans="1:25" x14ac:dyDescent="0.3">
      <c r="A321">
        <v>17931</v>
      </c>
      <c r="B321" t="str">
        <f>_xlfn.CONCAT(Tabel1[[#This Row],[personeelsnr]]," ",C321," ",D321)</f>
        <v>17931 Idrisi Hasana</v>
      </c>
      <c r="C321" t="str">
        <f>VLOOKUP(Tabel1[[#This Row],[personeelsnr]],'data hastus'!$A:$C,2,0)</f>
        <v>Idrisi</v>
      </c>
      <c r="D321" t="str">
        <f>VLOOKUP(Tabel1[[#This Row],[personeelsnr]],'data hastus'!$A:$C,3,0)</f>
        <v>Hasana</v>
      </c>
      <c r="E321" t="str">
        <f>VLOOKUP(Tabel1[[#This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SUM(Tabel1[[#This Row],[Januari]:[December]])</f>
        <v>1</v>
      </c>
      <c r="T321" s="9">
        <v>45513</v>
      </c>
      <c r="U321" s="8" t="s">
        <v>744</v>
      </c>
      <c r="V321" s="8"/>
      <c r="W321" s="8">
        <v>1</v>
      </c>
      <c r="X321" t="s">
        <v>207</v>
      </c>
      <c r="Y321" t="s">
        <v>217</v>
      </c>
    </row>
    <row r="322" spans="1:25" x14ac:dyDescent="0.3">
      <c r="A322">
        <v>29179</v>
      </c>
      <c r="B322" t="str">
        <f>_xlfn.CONCAT(Tabel1[[#This Row],[personeelsnr]]," ",C322," ",D322)</f>
        <v>29179 Verwee Dries</v>
      </c>
      <c r="C322" t="str">
        <f>VLOOKUP(Tabel1[[#This Row],[personeelsnr]],'data hastus'!$A:$C,2,0)</f>
        <v>Verwee</v>
      </c>
      <c r="D322" t="str">
        <f>VLOOKUP(Tabel1[[#This Row],[personeelsnr]],'data hastus'!$A:$C,3,0)</f>
        <v>Dries</v>
      </c>
      <c r="E322" t="str">
        <f>VLOOKUP(Tabel1[[#This Row],[personeelsnr]],'data hastus'!A:K,11,FALSE)</f>
        <v>Els Dewulf</v>
      </c>
      <c r="F322" s="10"/>
      <c r="G322" s="7"/>
      <c r="H322" s="7"/>
      <c r="I322" s="7"/>
      <c r="N322" s="5">
        <v>1</v>
      </c>
      <c r="S322" s="5">
        <f>SUM(Tabel1[[#This Row],[Januari]:[December]])</f>
        <v>1</v>
      </c>
      <c r="T322" s="9">
        <v>45515</v>
      </c>
      <c r="U322" s="8" t="s">
        <v>745</v>
      </c>
      <c r="V322" s="8">
        <v>1</v>
      </c>
      <c r="W322" s="8"/>
      <c r="X322" t="s">
        <v>206</v>
      </c>
      <c r="Y322" t="s">
        <v>196</v>
      </c>
    </row>
    <row r="323" spans="1:25" x14ac:dyDescent="0.3">
      <c r="A323">
        <v>31165</v>
      </c>
      <c r="B323" t="str">
        <f>_xlfn.CONCAT(Tabel1[[#This Row],[personeelsnr]]," ",C323," ",D323)</f>
        <v>31165 Govaerts Sandro</v>
      </c>
      <c r="C323" t="str">
        <f>VLOOKUP(Tabel1[[#This Row],[personeelsnr]],'data hastus'!$A:$C,2,0)</f>
        <v>Govaerts</v>
      </c>
      <c r="D323" t="str">
        <f>VLOOKUP(Tabel1[[#This Row],[personeelsnr]],'data hastus'!$A:$C,3,0)</f>
        <v>Sandro</v>
      </c>
      <c r="E323" t="str">
        <f>VLOOKUP(Tabel1[[#This Row],[personeelsnr]],'data hastus'!A:K,11,FALSE)</f>
        <v>Lucie Vande Velde</v>
      </c>
      <c r="F323" s="10"/>
      <c r="G323" s="7"/>
      <c r="H323" s="7"/>
      <c r="I323" s="7"/>
      <c r="N323" s="5">
        <v>1</v>
      </c>
      <c r="S323" s="5">
        <f>SUM(Tabel1[[#This Row],[Januari]:[December]])</f>
        <v>1</v>
      </c>
      <c r="T323" s="9">
        <v>45518</v>
      </c>
      <c r="U323" s="8" t="s">
        <v>746</v>
      </c>
      <c r="V323" s="8">
        <v>1</v>
      </c>
      <c r="W323" s="8"/>
      <c r="X323" t="s">
        <v>206</v>
      </c>
      <c r="Y323" t="s">
        <v>169</v>
      </c>
    </row>
    <row r="324" spans="1:25" x14ac:dyDescent="0.3">
      <c r="A324">
        <v>9999</v>
      </c>
      <c r="B324" t="str">
        <f>_xlfn.CONCAT(Tabel1[[#This Row],[personeelsnr]]," ",C324," ",D324)</f>
        <v>9999 - -</v>
      </c>
      <c r="C324" t="s">
        <v>3388</v>
      </c>
      <c r="D324" t="s">
        <v>3388</v>
      </c>
      <c r="E324" t="s">
        <v>1165</v>
      </c>
      <c r="F324" s="10"/>
      <c r="G324" s="7"/>
      <c r="H324" s="7"/>
      <c r="I324" s="7"/>
      <c r="N324" s="5">
        <v>1</v>
      </c>
      <c r="S324" s="5">
        <f>SUM(Tabel1[[#This Row],[Januari]:[December]])</f>
        <v>1</v>
      </c>
      <c r="T324" s="9">
        <v>45518</v>
      </c>
      <c r="U324" s="8" t="s">
        <v>747</v>
      </c>
      <c r="V324" s="8">
        <v>1</v>
      </c>
      <c r="W324" s="8"/>
      <c r="X324" t="s">
        <v>206</v>
      </c>
      <c r="Y324" t="s">
        <v>238</v>
      </c>
    </row>
    <row r="325" spans="1:25" x14ac:dyDescent="0.3">
      <c r="A325">
        <v>8016</v>
      </c>
      <c r="B325" t="str">
        <f>_xlfn.CONCAT(Tabel1[[#This Row],[personeelsnr]]," ",C325," ",D325)</f>
        <v>8016 Vinck Roland</v>
      </c>
      <c r="C325" t="str">
        <f>VLOOKUP(Tabel1[[#This Row],[personeelsnr]],'data hastus'!$A:$C,2,0)</f>
        <v>Vinck</v>
      </c>
      <c r="D325" t="str">
        <f>VLOOKUP(Tabel1[[#This Row],[personeelsnr]],'data hastus'!$A:$C,3,0)</f>
        <v>Roland</v>
      </c>
      <c r="E325" t="str">
        <f>VLOOKUP(Tabel1[[#This Row],[personeelsnr]],'data hastus'!A:K,11,FALSE)</f>
        <v>Dominique De Clercq</v>
      </c>
      <c r="F325" s="10"/>
      <c r="G325" s="7"/>
      <c r="H325" s="7"/>
      <c r="I325" s="7"/>
      <c r="N325" s="5">
        <v>1</v>
      </c>
      <c r="S325" s="5">
        <f>SUM(Tabel1[[#This Row],[Januari]:[December]])</f>
        <v>1</v>
      </c>
      <c r="T325" s="9">
        <v>45518</v>
      </c>
      <c r="U325" s="8" t="s">
        <v>748</v>
      </c>
      <c r="V325" s="8"/>
      <c r="W325" s="8">
        <v>1</v>
      </c>
      <c r="X325" t="s">
        <v>207</v>
      </c>
      <c r="Y325" t="s">
        <v>333</v>
      </c>
    </row>
    <row r="326" spans="1:25" x14ac:dyDescent="0.3">
      <c r="A326">
        <v>14665</v>
      </c>
      <c r="B326" t="str">
        <f>_xlfn.CONCAT(Tabel1[[#This Row],[personeelsnr]]," ",C326," ",D326)</f>
        <v>14665 De Mulder Philip</v>
      </c>
      <c r="C326" t="str">
        <f>VLOOKUP(Tabel1[[#This Row],[personeelsnr]],'data hastus'!$A:$C,2,0)</f>
        <v>De Mulder</v>
      </c>
      <c r="D326" t="str">
        <f>VLOOKUP(Tabel1[[#This Row],[personeelsnr]],'data hastus'!$A:$C,3,0)</f>
        <v>Philip</v>
      </c>
      <c r="E326" t="str">
        <f>VLOOKUP(Tabel1[[#This Row],[personeelsnr]],'data hastus'!A:K,11,FALSE)</f>
        <v>Bart Van Der Beken</v>
      </c>
      <c r="F326" s="10"/>
      <c r="G326" s="7"/>
      <c r="H326" s="7"/>
      <c r="I326" s="7"/>
      <c r="N326" s="5">
        <v>1</v>
      </c>
      <c r="S326" s="5">
        <f>SUM(Tabel1[[#This Row],[Januari]:[December]])</f>
        <v>1</v>
      </c>
      <c r="T326" s="9">
        <v>45523</v>
      </c>
      <c r="U326" s="8" t="s">
        <v>749</v>
      </c>
      <c r="V326" s="8">
        <v>1</v>
      </c>
      <c r="W326" s="8"/>
      <c r="X326" t="s">
        <v>206</v>
      </c>
      <c r="Y326" t="s">
        <v>168</v>
      </c>
    </row>
    <row r="327" spans="1:25" x14ac:dyDescent="0.3">
      <c r="A327">
        <v>9999</v>
      </c>
      <c r="B327" t="str">
        <f>_xlfn.CONCAT(Tabel1[[#This Row],[personeelsnr]]," ",C327," ",D327)</f>
        <v>9999 - -</v>
      </c>
      <c r="C327" t="s">
        <v>3388</v>
      </c>
      <c r="D327" t="s">
        <v>3388</v>
      </c>
      <c r="E327" t="s">
        <v>1165</v>
      </c>
      <c r="F327" s="10"/>
      <c r="G327" s="7"/>
      <c r="H327" s="7"/>
      <c r="I327" s="7"/>
      <c r="N327" s="5">
        <v>1</v>
      </c>
      <c r="S327" s="5">
        <f>SUM(Tabel1[[#This Row],[Januari]:[December]])</f>
        <v>1</v>
      </c>
      <c r="T327" s="9">
        <v>45523</v>
      </c>
      <c r="U327" s="8" t="s">
        <v>750</v>
      </c>
      <c r="V327" s="8">
        <v>1</v>
      </c>
      <c r="W327" s="8"/>
      <c r="X327" t="s">
        <v>206</v>
      </c>
      <c r="Y327" t="s">
        <v>170</v>
      </c>
    </row>
    <row r="328" spans="1:25" x14ac:dyDescent="0.3">
      <c r="A328">
        <v>31231</v>
      </c>
      <c r="B328" t="str">
        <f>_xlfn.CONCAT(Tabel1[[#This Row],[personeelsnr]]," ",C328," ",D328)</f>
        <v>31231 Colaes Dylan</v>
      </c>
      <c r="C328" t="str">
        <f>VLOOKUP(Tabel1[[#This Row],[personeelsnr]],'data hastus'!$A:$C,2,0)</f>
        <v>Colaes</v>
      </c>
      <c r="D328" t="str">
        <f>VLOOKUP(Tabel1[[#This Row],[personeelsnr]],'data hastus'!$A:$C,3,0)</f>
        <v>Dylan</v>
      </c>
      <c r="E328" t="str">
        <f>VLOOKUP(Tabel1[[#This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SUM(Tabel1[[#This Row],[Januari]:[December]])</f>
        <v>1</v>
      </c>
      <c r="T328" s="9">
        <v>45525</v>
      </c>
      <c r="U328" s="8" t="s">
        <v>751</v>
      </c>
      <c r="V328" s="8">
        <v>1</v>
      </c>
      <c r="W328" s="8"/>
      <c r="X328" t="s">
        <v>206</v>
      </c>
      <c r="Y328" t="s">
        <v>179</v>
      </c>
    </row>
    <row r="329" spans="1:25" x14ac:dyDescent="0.3">
      <c r="A329">
        <v>37662</v>
      </c>
      <c r="B329" t="str">
        <f>_xlfn.CONCAT(Tabel1[[#This Row],[personeelsnr]]," ",C329," ",D329)</f>
        <v>37662 Van den Meerssche Steven</v>
      </c>
      <c r="C329" t="str">
        <f>VLOOKUP(Tabel1[[#This Row],[personeelsnr]],'data hastus'!$A:$C,2,0)</f>
        <v>Van den Meerssche</v>
      </c>
      <c r="D329" t="str">
        <f>VLOOKUP(Tabel1[[#This Row],[personeelsnr]],'data hastus'!$A:$C,3,0)</f>
        <v>Steven</v>
      </c>
      <c r="E329" t="str">
        <f>VLOOKUP(Tabel1[[#This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SUM(Tabel1[[#This Row],[Januari]:[December]])</f>
        <v>1</v>
      </c>
      <c r="T329" s="9">
        <v>45526</v>
      </c>
      <c r="U329" s="8" t="s">
        <v>752</v>
      </c>
      <c r="V329" s="8">
        <v>1</v>
      </c>
      <c r="W329" s="8"/>
      <c r="X329" t="s">
        <v>206</v>
      </c>
      <c r="Y329" t="s">
        <v>175</v>
      </c>
    </row>
    <row r="330" spans="1:25" x14ac:dyDescent="0.3">
      <c r="A330">
        <v>19917</v>
      </c>
      <c r="B330" t="str">
        <f>_xlfn.CONCAT(Tabel1[[#This Row],[personeelsnr]]," ",C330," ",D330)</f>
        <v>19917 Vandevyvere Frank</v>
      </c>
      <c r="C330" t="str">
        <f>VLOOKUP(Tabel1[[#This Row],[personeelsnr]],'data hastus'!$A:$C,2,0)</f>
        <v>Vandevyvere</v>
      </c>
      <c r="D330" t="str">
        <f>VLOOKUP(Tabel1[[#This Row],[personeelsnr]],'data hastus'!$A:$C,3,0)</f>
        <v>Frank</v>
      </c>
      <c r="E330" t="str">
        <f>VLOOKUP(Tabel1[[#This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SUM(Tabel1[[#This Row],[Januari]:[December]])</f>
        <v>1</v>
      </c>
      <c r="T330" s="9">
        <v>45528</v>
      </c>
      <c r="U330" s="8" t="s">
        <v>753</v>
      </c>
      <c r="V330" s="8">
        <v>1</v>
      </c>
      <c r="W330" s="8"/>
      <c r="X330" t="s">
        <v>206</v>
      </c>
      <c r="Y330" t="s">
        <v>293</v>
      </c>
    </row>
    <row r="331" spans="1:25" x14ac:dyDescent="0.3">
      <c r="A331">
        <v>30389</v>
      </c>
      <c r="B331" t="str">
        <f>_xlfn.CONCAT(Tabel1[[#This Row],[personeelsnr]]," ",C331," ",D331)</f>
        <v>30389 De Jonge Matthew</v>
      </c>
      <c r="C331" t="str">
        <f>VLOOKUP(Tabel1[[#This Row],[personeelsnr]],'data hastus'!$A:$C,2,0)</f>
        <v>De Jonge</v>
      </c>
      <c r="D331" t="str">
        <f>VLOOKUP(Tabel1[[#This Row],[personeelsnr]],'data hastus'!$A:$C,3,0)</f>
        <v>Matthew</v>
      </c>
      <c r="E331" t="str">
        <f>VLOOKUP(Tabel1[[#This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SUM(Tabel1[[#This Row],[Januari]:[December]])</f>
        <v>1</v>
      </c>
      <c r="T331" s="9">
        <v>45528</v>
      </c>
      <c r="U331" s="8" t="s">
        <v>754</v>
      </c>
      <c r="V331" s="8"/>
      <c r="W331" s="8">
        <v>1</v>
      </c>
      <c r="X331" t="s">
        <v>207</v>
      </c>
      <c r="Y331" t="s">
        <v>209</v>
      </c>
    </row>
    <row r="332" spans="1:25" x14ac:dyDescent="0.3">
      <c r="A332">
        <v>40521</v>
      </c>
      <c r="B332" t="str">
        <f>_xlfn.CONCAT(Tabel1[[#This Row],[personeelsnr]]," ",C332," ",D332)</f>
        <v>40521 Mekdad Ali</v>
      </c>
      <c r="C332" t="str">
        <f>VLOOKUP(Tabel1[[#This Row],[personeelsnr]],'data hastus'!$A:$C,2,0)</f>
        <v>Mekdad</v>
      </c>
      <c r="D332" t="str">
        <f>VLOOKUP(Tabel1[[#This Row],[personeelsnr]],'data hastus'!$A:$C,3,0)</f>
        <v>Ali</v>
      </c>
      <c r="E332" t="str">
        <f>VLOOKUP(Tabel1[[#This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SUM(Tabel1[[#This Row],[Januari]:[December]])</f>
        <v>1</v>
      </c>
      <c r="T332" s="9">
        <v>45530</v>
      </c>
      <c r="U332" s="8" t="s">
        <v>755</v>
      </c>
      <c r="V332" s="8">
        <v>1</v>
      </c>
      <c r="W332" s="8"/>
      <c r="X332" t="s">
        <v>206</v>
      </c>
      <c r="Y332" t="s">
        <v>215</v>
      </c>
    </row>
    <row r="333" spans="1:25" x14ac:dyDescent="0.3">
      <c r="A333">
        <v>9999</v>
      </c>
      <c r="B333" t="str">
        <f>_xlfn.CONCAT(Tabel1[[#This Row],[personeelsnr]]," ",C333," ",D333)</f>
        <v>9999 - -</v>
      </c>
      <c r="C333" t="s">
        <v>3388</v>
      </c>
      <c r="D333" t="s">
        <v>3388</v>
      </c>
      <c r="E333" t="s">
        <v>1165</v>
      </c>
      <c r="F333" s="10"/>
      <c r="G333" s="7"/>
      <c r="H333" s="7"/>
      <c r="I333" s="7"/>
      <c r="N333" s="5">
        <v>1</v>
      </c>
      <c r="S333" s="5">
        <f>SUM(Tabel1[[#This Row],[Januari]:[December]])</f>
        <v>1</v>
      </c>
      <c r="T333" s="9">
        <v>45530</v>
      </c>
      <c r="U333" s="8" t="s">
        <v>756</v>
      </c>
      <c r="V333" s="8"/>
      <c r="W333" s="8">
        <v>1</v>
      </c>
      <c r="X333" t="s">
        <v>207</v>
      </c>
      <c r="Y333" t="s">
        <v>174</v>
      </c>
    </row>
    <row r="334" spans="1:25" x14ac:dyDescent="0.3">
      <c r="A334">
        <v>40744</v>
      </c>
      <c r="B334" t="str">
        <f>_xlfn.CONCAT(Tabel1[[#This Row],[personeelsnr]]," ",C334," ",D334)</f>
        <v>40744 Gözüküçük Ugur</v>
      </c>
      <c r="C334" t="str">
        <f>VLOOKUP(Tabel1[[#This Row],[personeelsnr]],'data hastus'!$A:$C,2,0)</f>
        <v>Gözüküçük</v>
      </c>
      <c r="D334" t="str">
        <f>VLOOKUP(Tabel1[[#This Row],[personeelsnr]],'data hastus'!$A:$C,3,0)</f>
        <v>Ugur</v>
      </c>
      <c r="E334" t="str">
        <f>VLOOKUP(Tabel1[[#This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SUM(Tabel1[[#This Row],[Januari]:[December]])</f>
        <v>1</v>
      </c>
      <c r="T334" s="9">
        <v>45533</v>
      </c>
      <c r="U334" s="8" t="s">
        <v>757</v>
      </c>
      <c r="V334" s="8">
        <v>1</v>
      </c>
      <c r="W334" s="8"/>
      <c r="X334" t="s">
        <v>206</v>
      </c>
      <c r="Y334" t="s">
        <v>221</v>
      </c>
    </row>
    <row r="335" spans="1:25" x14ac:dyDescent="0.3">
      <c r="A335">
        <v>9999</v>
      </c>
      <c r="B335" t="str">
        <f>_xlfn.CONCAT(Tabel1[[#This Row],[personeelsnr]]," ",C335," ",D335)</f>
        <v>9999 - -</v>
      </c>
      <c r="C335" t="s">
        <v>3388</v>
      </c>
      <c r="D335" t="s">
        <v>3388</v>
      </c>
      <c r="E335" t="s">
        <v>1165</v>
      </c>
      <c r="F335" s="10"/>
      <c r="G335" s="7"/>
      <c r="H335" s="7"/>
      <c r="I335" s="7"/>
      <c r="N335" s="5">
        <v>1</v>
      </c>
      <c r="S335" s="5">
        <f>SUM(Tabel1[[#This Row],[Januari]:[December]])</f>
        <v>1</v>
      </c>
      <c r="T335" s="9">
        <v>45534</v>
      </c>
      <c r="U335" s="8" t="s">
        <v>758</v>
      </c>
      <c r="V335" s="8">
        <v>1</v>
      </c>
      <c r="W335" s="8"/>
      <c r="X335" t="s">
        <v>206</v>
      </c>
      <c r="Y335" t="s">
        <v>260</v>
      </c>
    </row>
    <row r="336" spans="1:25" x14ac:dyDescent="0.3">
      <c r="A336">
        <v>39858</v>
      </c>
      <c r="B336" t="str">
        <f>_xlfn.CONCAT(Tabel1[[#This Row],[personeelsnr]]," ",C336," ",D336)</f>
        <v>39858 Jacobs Elos</v>
      </c>
      <c r="C336" t="str">
        <f>VLOOKUP(Tabel1[[#This Row],[personeelsnr]],'data hastus'!$A:$C,2,0)</f>
        <v>Jacobs</v>
      </c>
      <c r="D336" t="str">
        <f>VLOOKUP(Tabel1[[#This Row],[personeelsnr]],'data hastus'!$A:$C,3,0)</f>
        <v>Elos</v>
      </c>
      <c r="E336" t="str">
        <f>VLOOKUP(Tabel1[[#This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SUM(Tabel1[[#This Row],[Januari]:[December]])</f>
        <v>1</v>
      </c>
      <c r="T336" s="9">
        <v>45535</v>
      </c>
      <c r="U336" s="8" t="s">
        <v>759</v>
      </c>
      <c r="V336" s="8">
        <v>1</v>
      </c>
      <c r="W336" s="8"/>
      <c r="X336" t="s">
        <v>206</v>
      </c>
      <c r="Y336" t="s">
        <v>198</v>
      </c>
    </row>
    <row r="337" spans="1:25" x14ac:dyDescent="0.3">
      <c r="A337">
        <v>31668</v>
      </c>
      <c r="B337" t="str">
        <f>_xlfn.CONCAT(Tabel1[[#This Row],[personeelsnr]]," ",C337," ",D337)</f>
        <v>31668 Weemhof Maurice</v>
      </c>
      <c r="C337" t="str">
        <f>VLOOKUP(Tabel1[[#This Row],[personeelsnr]],'data hastus'!$A:$C,2,0)</f>
        <v>Weemhof</v>
      </c>
      <c r="D337" t="str">
        <f>VLOOKUP(Tabel1[[#This Row],[personeelsnr]],'data hastus'!$A:$C,3,0)</f>
        <v>Maurice</v>
      </c>
      <c r="E337" t="str">
        <f>VLOOKUP(Tabel1[[#This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SUM(Tabel1[[#This Row],[Januari]:[December]])</f>
        <v>1</v>
      </c>
      <c r="T337" s="9">
        <v>45535</v>
      </c>
      <c r="U337" s="8" t="s">
        <v>760</v>
      </c>
      <c r="V337" s="8">
        <v>1</v>
      </c>
      <c r="W337" s="8"/>
      <c r="X337" t="s">
        <v>206</v>
      </c>
      <c r="Y337" t="s">
        <v>167</v>
      </c>
    </row>
    <row r="338" spans="1:25" x14ac:dyDescent="0.3">
      <c r="A338">
        <v>37543</v>
      </c>
      <c r="B338" t="str">
        <f>_xlfn.CONCAT(Tabel1[[#This Row],[personeelsnr]]," ",C338," ",D338)</f>
        <v>37543 Öztürk Bilgehan</v>
      </c>
      <c r="C338" t="str">
        <f>VLOOKUP(Tabel1[[#This Row],[personeelsnr]],'data hastus'!$A:$C,2,0)</f>
        <v>Öztürk</v>
      </c>
      <c r="D338" t="str">
        <f>VLOOKUP(Tabel1[[#This Row],[personeelsnr]],'data hastus'!$A:$C,3,0)</f>
        <v>Bilgehan</v>
      </c>
      <c r="E338" t="str">
        <f>VLOOKUP(Tabel1[[#This Row],[personeelsnr]],'data hastus'!A:K,11,FALSE)</f>
        <v>Kenneth De Rick</v>
      </c>
      <c r="F338" s="10"/>
      <c r="G338" s="7"/>
      <c r="H338" s="7"/>
      <c r="I338" s="7"/>
      <c r="S338" s="5">
        <f>SUM(Tabel1[[#This Row],[Januari]:[December]])</f>
        <v>0</v>
      </c>
      <c r="T338" s="9">
        <v>45536</v>
      </c>
      <c r="U338" s="8" t="s">
        <v>761</v>
      </c>
      <c r="V338" s="8">
        <v>1</v>
      </c>
      <c r="W338" s="8"/>
      <c r="X338" t="s">
        <v>206</v>
      </c>
      <c r="Y338" t="s">
        <v>269</v>
      </c>
    </row>
    <row r="339" spans="1:25" x14ac:dyDescent="0.3">
      <c r="A339">
        <v>33965</v>
      </c>
      <c r="B339" t="str">
        <f>_xlfn.CONCAT(Tabel1[[#This Row],[personeelsnr]]," ",C339," ",D339)</f>
        <v>33965 Van de Gehuchte Gilles</v>
      </c>
      <c r="C339" t="str">
        <f>VLOOKUP(Tabel1[[#This Row],[personeelsnr]],'data hastus'!$A:$C,2,0)</f>
        <v>Van de Gehuchte</v>
      </c>
      <c r="D339" t="str">
        <f>VLOOKUP(Tabel1[[#This Row],[personeelsnr]],'data hastus'!$A:$C,3,0)</f>
        <v>Gilles</v>
      </c>
      <c r="E339" t="str">
        <f>VLOOKUP(Tabel1[[#This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SUM(Tabel1[[#This Row],[Januari]:[December]])</f>
        <v>1</v>
      </c>
      <c r="T339" s="9">
        <v>45536</v>
      </c>
      <c r="U339" s="8" t="s">
        <v>762</v>
      </c>
      <c r="V339" s="8"/>
      <c r="W339" s="8">
        <v>1</v>
      </c>
      <c r="X339" t="s">
        <v>207</v>
      </c>
      <c r="Y339" t="s">
        <v>303</v>
      </c>
    </row>
    <row r="340" spans="1:25" x14ac:dyDescent="0.3">
      <c r="A340">
        <v>31360</v>
      </c>
      <c r="B340" t="str">
        <f>_xlfn.CONCAT(Tabel1[[#This Row],[personeelsnr]]," ",C340," ",D340)</f>
        <v>31360 Simsek Fatih</v>
      </c>
      <c r="C340" t="str">
        <f>VLOOKUP(Tabel1[[#This Row],[personeelsnr]],'data hastus'!$A:$C,2,0)</f>
        <v>Simsek</v>
      </c>
      <c r="D340" t="str">
        <f>VLOOKUP(Tabel1[[#This Row],[personeelsnr]],'data hastus'!$A:$C,3,0)</f>
        <v>Fatih</v>
      </c>
      <c r="E340" t="str">
        <f>VLOOKUP(Tabel1[[#This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SUM(Tabel1[[#This Row],[Januari]:[December]])</f>
        <v>1</v>
      </c>
      <c r="T340" s="9">
        <v>45538</v>
      </c>
      <c r="U340" s="8" t="s">
        <v>763</v>
      </c>
      <c r="V340" s="8">
        <v>1</v>
      </c>
      <c r="W340" s="8"/>
      <c r="X340" t="s">
        <v>206</v>
      </c>
      <c r="Y340" t="s">
        <v>350</v>
      </c>
    </row>
    <row r="341" spans="1:25" x14ac:dyDescent="0.3">
      <c r="A341">
        <v>8394</v>
      </c>
      <c r="B341" t="str">
        <f>_xlfn.CONCAT(Tabel1[[#This Row],[personeelsnr]]," ",C341," ",D341)</f>
        <v>8394 Smet Antoon</v>
      </c>
      <c r="C341" t="str">
        <f>VLOOKUP(Tabel1[[#This Row],[personeelsnr]],'data hastus'!$A:$C,2,0)</f>
        <v>Smet</v>
      </c>
      <c r="D341" t="str">
        <f>VLOOKUP(Tabel1[[#This Row],[personeelsnr]],'data hastus'!$A:$C,3,0)</f>
        <v>Antoon</v>
      </c>
      <c r="E341" t="str">
        <f>VLOOKUP(Tabel1[[#This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SUM(Tabel1[[#This Row],[Januari]:[December]])</f>
        <v>1</v>
      </c>
      <c r="T341" s="9">
        <v>45538</v>
      </c>
      <c r="U341" s="8" t="s">
        <v>764</v>
      </c>
      <c r="V341" s="8">
        <v>1</v>
      </c>
      <c r="W341" s="8"/>
      <c r="X341" t="s">
        <v>206</v>
      </c>
      <c r="Y341" t="s">
        <v>167</v>
      </c>
    </row>
    <row r="342" spans="1:25" x14ac:dyDescent="0.3">
      <c r="A342">
        <v>38633</v>
      </c>
      <c r="B342" t="str">
        <f>_xlfn.CONCAT(Tabel1[[#This Row],[personeelsnr]]," ",C342," ",D342)</f>
        <v>38633 Stomphorst Mattanja</v>
      </c>
      <c r="C342" t="str">
        <f>VLOOKUP(Tabel1[[#This Row],[personeelsnr]],'data hastus'!$A:$C,2,0)</f>
        <v>Stomphorst</v>
      </c>
      <c r="D342" t="str">
        <f>VLOOKUP(Tabel1[[#This Row],[personeelsnr]],'data hastus'!$A:$C,3,0)</f>
        <v>Mattanja</v>
      </c>
      <c r="E342" t="str">
        <f>VLOOKUP(Tabel1[[#This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SUM(Tabel1[[#This Row],[Januari]:[December]])</f>
        <v>1</v>
      </c>
      <c r="T342" s="9">
        <v>45538</v>
      </c>
      <c r="U342" s="8" t="s">
        <v>765</v>
      </c>
      <c r="V342" s="8">
        <v>1</v>
      </c>
      <c r="W342" s="8"/>
      <c r="X342" t="s">
        <v>206</v>
      </c>
      <c r="Y342" t="s">
        <v>360</v>
      </c>
    </row>
    <row r="343" spans="1:25" x14ac:dyDescent="0.3">
      <c r="A343">
        <v>23790</v>
      </c>
      <c r="B343" t="str">
        <f>_xlfn.CONCAT(Tabel1[[#This Row],[personeelsnr]]," ",C343," ",D343)</f>
        <v>23790 Adiyil Attila</v>
      </c>
      <c r="C343" t="str">
        <f>VLOOKUP(Tabel1[[#This Row],[personeelsnr]],'data hastus'!$A:$C,2,0)</f>
        <v>Adiyil</v>
      </c>
      <c r="D343" t="str">
        <f>VLOOKUP(Tabel1[[#This Row],[personeelsnr]],'data hastus'!$A:$C,3,0)</f>
        <v>Attila</v>
      </c>
      <c r="E343" t="str">
        <f>VLOOKUP(Tabel1[[#This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SUM(Tabel1[[#This Row],[Januari]:[December]])</f>
        <v>1</v>
      </c>
      <c r="T343" s="9">
        <v>45538</v>
      </c>
      <c r="U343" s="8" t="s">
        <v>766</v>
      </c>
      <c r="V343" s="8">
        <v>1</v>
      </c>
      <c r="W343" s="8"/>
      <c r="X343" t="s">
        <v>206</v>
      </c>
      <c r="Y343" t="s">
        <v>167</v>
      </c>
    </row>
    <row r="344" spans="1:25" x14ac:dyDescent="0.3">
      <c r="A344">
        <v>39358</v>
      </c>
      <c r="B344" t="str">
        <f>_xlfn.CONCAT(Tabel1[[#This Row],[personeelsnr]]," ",C344," ",D344)</f>
        <v>39358 Weeks Aracena Jimmy Alexander</v>
      </c>
      <c r="C344" t="str">
        <f>VLOOKUP(Tabel1[[#This Row],[personeelsnr]],'data hastus'!$A:$C,2,0)</f>
        <v>Weeks Aracena</v>
      </c>
      <c r="D344" t="str">
        <f>VLOOKUP(Tabel1[[#This Row],[personeelsnr]],'data hastus'!$A:$C,3,0)</f>
        <v>Jimmy Alexander</v>
      </c>
      <c r="E344" t="str">
        <f>VLOOKUP(Tabel1[[#This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SUM(Tabel1[[#This Row],[Januari]:[December]])</f>
        <v>1</v>
      </c>
      <c r="T344" s="9">
        <v>45538</v>
      </c>
      <c r="U344" s="8" t="s">
        <v>767</v>
      </c>
      <c r="V344" s="8">
        <v>1</v>
      </c>
      <c r="W344" s="8"/>
      <c r="X344" t="s">
        <v>206</v>
      </c>
      <c r="Y344" t="s">
        <v>394</v>
      </c>
    </row>
    <row r="345" spans="1:25" x14ac:dyDescent="0.3">
      <c r="A345">
        <v>40744</v>
      </c>
      <c r="B345" t="str">
        <f>_xlfn.CONCAT(Tabel1[[#This Row],[personeelsnr]]," ",C345," ",D345)</f>
        <v>40744 Gözüküçük Ugur</v>
      </c>
      <c r="C345" t="str">
        <f>VLOOKUP(Tabel1[[#This Row],[personeelsnr]],'data hastus'!$A:$C,2,0)</f>
        <v>Gözüküçük</v>
      </c>
      <c r="D345" t="str">
        <f>VLOOKUP(Tabel1[[#This Row],[personeelsnr]],'data hastus'!$A:$C,3,0)</f>
        <v>Ugur</v>
      </c>
      <c r="E345" t="str">
        <f>VLOOKUP(Tabel1[[#This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SUM(Tabel1[[#This Row],[Januari]:[December]])</f>
        <v>1</v>
      </c>
      <c r="T345" s="9">
        <v>45538</v>
      </c>
      <c r="U345" s="8" t="s">
        <v>768</v>
      </c>
      <c r="V345" s="8">
        <v>1</v>
      </c>
      <c r="W345" s="8"/>
      <c r="X345" t="s">
        <v>206</v>
      </c>
      <c r="Y345" t="s">
        <v>266</v>
      </c>
    </row>
    <row r="346" spans="1:25" x14ac:dyDescent="0.3">
      <c r="A346">
        <v>9999</v>
      </c>
      <c r="B346" t="str">
        <f>_xlfn.CONCAT(Tabel1[[#This Row],[personeelsnr]]," ",C346," ",D346)</f>
        <v>9999 - -</v>
      </c>
      <c r="C346" t="s">
        <v>3388</v>
      </c>
      <c r="D346" t="s">
        <v>3388</v>
      </c>
      <c r="E346" t="s">
        <v>1165</v>
      </c>
      <c r="F346" s="10"/>
      <c r="G346" s="7"/>
      <c r="H346" s="7"/>
      <c r="I346" s="7"/>
      <c r="O346" s="5">
        <v>1</v>
      </c>
      <c r="S346" s="5">
        <f>SUM(Tabel1[[#This Row],[Januari]:[December]])</f>
        <v>1</v>
      </c>
      <c r="T346" s="9">
        <v>45538</v>
      </c>
      <c r="U346" s="8" t="s">
        <v>769</v>
      </c>
      <c r="V346" s="8">
        <v>1</v>
      </c>
      <c r="W346" s="8"/>
      <c r="X346" t="s">
        <v>206</v>
      </c>
      <c r="Y346" t="s">
        <v>167</v>
      </c>
    </row>
    <row r="347" spans="1:25" x14ac:dyDescent="0.3">
      <c r="A347">
        <v>29179</v>
      </c>
      <c r="B347" t="str">
        <f>_xlfn.CONCAT(Tabel1[[#This Row],[personeelsnr]]," ",C347," ",D347)</f>
        <v>29179 Verwee Dries</v>
      </c>
      <c r="C347" t="str">
        <f>VLOOKUP(Tabel1[[#This Row],[personeelsnr]],'data hastus'!$A:$C,2,0)</f>
        <v>Verwee</v>
      </c>
      <c r="D347" t="str">
        <f>VLOOKUP(Tabel1[[#This Row],[personeelsnr]],'data hastus'!$A:$C,3,0)</f>
        <v>Dries</v>
      </c>
      <c r="E347" t="str">
        <f>VLOOKUP(Tabel1[[#This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SUM(Tabel1[[#This Row],[Januari]:[December]])</f>
        <v>1</v>
      </c>
      <c r="T347" s="9">
        <v>45539</v>
      </c>
      <c r="U347" s="8" t="s">
        <v>770</v>
      </c>
      <c r="V347" s="8">
        <v>1</v>
      </c>
      <c r="W347" s="8"/>
      <c r="X347" t="s">
        <v>206</v>
      </c>
      <c r="Y347" t="s">
        <v>183</v>
      </c>
    </row>
    <row r="348" spans="1:25" x14ac:dyDescent="0.3">
      <c r="A348">
        <v>26331</v>
      </c>
      <c r="B348" t="str">
        <f>_xlfn.CONCAT(Tabel1[[#This Row],[personeelsnr]]," ",C348," ",D348)</f>
        <v>26331 Van Semmertier Pascal</v>
      </c>
      <c r="C348" t="str">
        <f>VLOOKUP(Tabel1[[#This Row],[personeelsnr]],'data hastus'!$A:$C,2,0)</f>
        <v>Van Semmertier</v>
      </c>
      <c r="D348" t="str">
        <f>VLOOKUP(Tabel1[[#This Row],[personeelsnr]],'data hastus'!$A:$C,3,0)</f>
        <v>Pascal</v>
      </c>
      <c r="E348" t="str">
        <f>VLOOKUP(Tabel1[[#This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SUM(Tabel1[[#This Row],[Januari]:[December]])</f>
        <v>1</v>
      </c>
      <c r="T348" s="9">
        <v>45540</v>
      </c>
      <c r="U348" s="8" t="s">
        <v>771</v>
      </c>
      <c r="V348" s="8">
        <v>1</v>
      </c>
      <c r="W348" s="8"/>
      <c r="X348" t="s">
        <v>206</v>
      </c>
      <c r="Y348" t="s">
        <v>200</v>
      </c>
    </row>
    <row r="349" spans="1:25" x14ac:dyDescent="0.3">
      <c r="A349">
        <v>24472</v>
      </c>
      <c r="B349" t="str">
        <f>_xlfn.CONCAT(Tabel1[[#This Row],[personeelsnr]]," ",C349," ",D349)</f>
        <v>24472 Gök Davut</v>
      </c>
      <c r="C349" t="str">
        <f>VLOOKUP(Tabel1[[#This Row],[personeelsnr]],'data hastus'!$A:$C,2,0)</f>
        <v>Gök</v>
      </c>
      <c r="D349" t="str">
        <f>VLOOKUP(Tabel1[[#This Row],[personeelsnr]],'data hastus'!$A:$C,3,0)</f>
        <v>Davut</v>
      </c>
      <c r="E349" t="str">
        <f>VLOOKUP(Tabel1[[#This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SUM(Tabel1[[#This Row],[Januari]:[December]])</f>
        <v>1</v>
      </c>
      <c r="T349" s="9">
        <v>45540</v>
      </c>
      <c r="U349" s="8" t="s">
        <v>772</v>
      </c>
      <c r="V349" s="8">
        <v>1</v>
      </c>
      <c r="W349" s="8"/>
      <c r="X349" t="s">
        <v>206</v>
      </c>
      <c r="Y349" t="s">
        <v>200</v>
      </c>
    </row>
    <row r="350" spans="1:25" x14ac:dyDescent="0.3">
      <c r="A350">
        <v>37662</v>
      </c>
      <c r="B350" t="str">
        <f>_xlfn.CONCAT(Tabel1[[#This Row],[personeelsnr]]," ",C350," ",D350)</f>
        <v>37662 Van den Meerssche Steven</v>
      </c>
      <c r="C350" t="str">
        <f>VLOOKUP(Tabel1[[#This Row],[personeelsnr]],'data hastus'!$A:$C,2,0)</f>
        <v>Van den Meerssche</v>
      </c>
      <c r="D350" t="str">
        <f>VLOOKUP(Tabel1[[#This Row],[personeelsnr]],'data hastus'!$A:$C,3,0)</f>
        <v>Steven</v>
      </c>
      <c r="E350" t="str">
        <f>VLOOKUP(Tabel1[[#This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SUM(Tabel1[[#This Row],[Januari]:[December]])</f>
        <v>1</v>
      </c>
      <c r="T350" s="9">
        <v>45540</v>
      </c>
      <c r="U350" s="8" t="s">
        <v>773</v>
      </c>
      <c r="V350" s="8">
        <v>1</v>
      </c>
      <c r="W350" s="8"/>
      <c r="X350" t="s">
        <v>206</v>
      </c>
      <c r="Y350" t="s">
        <v>192</v>
      </c>
    </row>
    <row r="351" spans="1:25" x14ac:dyDescent="0.3">
      <c r="A351">
        <v>39929</v>
      </c>
      <c r="B351" t="str">
        <f>_xlfn.CONCAT(Tabel1[[#This Row],[personeelsnr]]," ",C351," ",D351)</f>
        <v>39929 Staneva Mariyana</v>
      </c>
      <c r="C351" t="str">
        <f>VLOOKUP(Tabel1[[#This Row],[personeelsnr]],'data hastus'!$A:$C,2,0)</f>
        <v>Staneva</v>
      </c>
      <c r="D351" t="str">
        <f>VLOOKUP(Tabel1[[#This Row],[personeelsnr]],'data hastus'!$A:$C,3,0)</f>
        <v>Mariyana</v>
      </c>
      <c r="E351" t="str">
        <f>VLOOKUP(Tabel1[[#This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SUM(Tabel1[[#This Row],[Januari]:[December]])</f>
        <v>1</v>
      </c>
      <c r="T351" s="9">
        <v>45541</v>
      </c>
      <c r="U351" s="8" t="s">
        <v>774</v>
      </c>
      <c r="V351" s="8">
        <v>1</v>
      </c>
      <c r="W351" s="8"/>
      <c r="X351" t="s">
        <v>206</v>
      </c>
      <c r="Y351" t="s">
        <v>208</v>
      </c>
    </row>
    <row r="352" spans="1:25" x14ac:dyDescent="0.3">
      <c r="A352">
        <v>40266</v>
      </c>
      <c r="B352" t="str">
        <f>_xlfn.CONCAT(Tabel1[[#This Row],[personeelsnr]]," ",C352," ",D352)</f>
        <v>40266 Taibi Yassine</v>
      </c>
      <c r="C352" t="str">
        <f>VLOOKUP(Tabel1[[#This Row],[personeelsnr]],'data hastus'!$A:$C,2,0)</f>
        <v>Taibi</v>
      </c>
      <c r="D352" t="str">
        <f>VLOOKUP(Tabel1[[#This Row],[personeelsnr]],'data hastus'!$A:$C,3,0)</f>
        <v>Yassine</v>
      </c>
      <c r="E352" t="str">
        <f>VLOOKUP(Tabel1[[#This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SUM(Tabel1[[#This Row],[Januari]:[December]])</f>
        <v>1</v>
      </c>
      <c r="T352" s="9">
        <v>45541</v>
      </c>
      <c r="U352" s="8" t="s">
        <v>775</v>
      </c>
      <c r="V352" s="8">
        <v>1</v>
      </c>
      <c r="W352" s="8"/>
      <c r="X352" t="s">
        <v>206</v>
      </c>
      <c r="Y352" t="s">
        <v>236</v>
      </c>
    </row>
    <row r="353" spans="1:25" x14ac:dyDescent="0.3">
      <c r="A353">
        <v>12124</v>
      </c>
      <c r="B353" t="str">
        <f>_xlfn.CONCAT(Tabel1[[#This Row],[personeelsnr]]," ",C353," ",D353)</f>
        <v>12124 Van Vliet Tom</v>
      </c>
      <c r="C353" t="str">
        <f>VLOOKUP(Tabel1[[#This Row],[personeelsnr]],'data hastus'!$A:$C,2,0)</f>
        <v>Van Vliet</v>
      </c>
      <c r="D353" t="str">
        <f>VLOOKUP(Tabel1[[#This Row],[personeelsnr]],'data hastus'!$A:$C,3,0)</f>
        <v>Tom</v>
      </c>
      <c r="E353" t="str">
        <f>VLOOKUP(Tabel1[[#This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SUM(Tabel1[[#This Row],[Januari]:[December]])</f>
        <v>1</v>
      </c>
      <c r="T353" s="9">
        <v>45541</v>
      </c>
      <c r="U353" s="8" t="s">
        <v>776</v>
      </c>
      <c r="V353" s="8"/>
      <c r="W353" s="8">
        <v>1</v>
      </c>
      <c r="X353" t="s">
        <v>207</v>
      </c>
      <c r="Y353" t="s">
        <v>297</v>
      </c>
    </row>
    <row r="354" spans="1:25" x14ac:dyDescent="0.3">
      <c r="A354">
        <v>34328</v>
      </c>
      <c r="B354" t="str">
        <f>_xlfn.CONCAT(Tabel1[[#This Row],[personeelsnr]]," ",C354," ",D354)</f>
        <v>34328 Kerremans Jürgen</v>
      </c>
      <c r="C354" t="str">
        <f>VLOOKUP(Tabel1[[#This Row],[personeelsnr]],'data hastus'!$A:$C,2,0)</f>
        <v>Kerremans</v>
      </c>
      <c r="D354" t="str">
        <f>VLOOKUP(Tabel1[[#This Row],[personeelsnr]],'data hastus'!$A:$C,3,0)</f>
        <v>Jürgen</v>
      </c>
      <c r="E354" t="str">
        <f>VLOOKUP(Tabel1[[#This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SUM(Tabel1[[#This Row],[Januari]:[December]])</f>
        <v>1</v>
      </c>
      <c r="T354" s="9">
        <v>45541</v>
      </c>
      <c r="U354" s="8" t="s">
        <v>777</v>
      </c>
      <c r="V354" s="8">
        <v>1</v>
      </c>
      <c r="W354" s="8"/>
      <c r="X354" t="s">
        <v>206</v>
      </c>
      <c r="Y354" t="s">
        <v>167</v>
      </c>
    </row>
    <row r="355" spans="1:25" x14ac:dyDescent="0.3">
      <c r="A355">
        <v>9999</v>
      </c>
      <c r="B355" t="str">
        <f>_xlfn.CONCAT(Tabel1[[#This Row],[personeelsnr]]," ",C355," ",D355)</f>
        <v>9999 - -</v>
      </c>
      <c r="C355" t="s">
        <v>3388</v>
      </c>
      <c r="D355" t="s">
        <v>3388</v>
      </c>
      <c r="E355" t="s">
        <v>1165</v>
      </c>
      <c r="F355" s="10"/>
      <c r="G355" s="7"/>
      <c r="H355" s="7"/>
      <c r="I355" s="7"/>
      <c r="O355" s="5">
        <v>1</v>
      </c>
      <c r="S355" s="5">
        <f>SUM(Tabel1[[#This Row],[Januari]:[December]])</f>
        <v>1</v>
      </c>
      <c r="T355" s="9">
        <v>45542</v>
      </c>
      <c r="U355" s="8" t="s">
        <v>778</v>
      </c>
      <c r="V355" s="8">
        <v>1</v>
      </c>
      <c r="W355" s="8"/>
      <c r="X355" t="s">
        <v>206</v>
      </c>
      <c r="Y355" t="s">
        <v>231</v>
      </c>
    </row>
    <row r="356" spans="1:25" x14ac:dyDescent="0.3">
      <c r="A356">
        <v>37496</v>
      </c>
      <c r="B356" t="str">
        <f>_xlfn.CONCAT(Tabel1[[#This Row],[personeelsnr]]," ",C356," ",D356)</f>
        <v>37496 Oosterlinck Willy</v>
      </c>
      <c r="C356" t="str">
        <f>VLOOKUP(Tabel1[[#This Row],[personeelsnr]],'data hastus'!$A:$C,2,0)</f>
        <v>Oosterlinck</v>
      </c>
      <c r="D356" t="str">
        <f>VLOOKUP(Tabel1[[#This Row],[personeelsnr]],'data hastus'!$A:$C,3,0)</f>
        <v>Willy</v>
      </c>
      <c r="E356" t="str">
        <f>VLOOKUP(Tabel1[[#This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SUM(Tabel1[[#This Row],[Januari]:[December]])</f>
        <v>1</v>
      </c>
      <c r="T356" s="9">
        <v>45543</v>
      </c>
      <c r="U356" s="8" t="s">
        <v>779</v>
      </c>
      <c r="V356" s="8">
        <v>1</v>
      </c>
      <c r="W356" s="8"/>
      <c r="X356" t="s">
        <v>206</v>
      </c>
      <c r="Y356" t="s">
        <v>204</v>
      </c>
    </row>
    <row r="357" spans="1:25" x14ac:dyDescent="0.3">
      <c r="A357">
        <v>32168</v>
      </c>
      <c r="B357" t="str">
        <f>_xlfn.CONCAT(Tabel1[[#This Row],[personeelsnr]]," ",C357," ",D357)</f>
        <v>32168 Vranken Zulkifly</v>
      </c>
      <c r="C357" t="str">
        <f>VLOOKUP(Tabel1[[#This Row],[personeelsnr]],'data hastus'!$A:$C,2,0)</f>
        <v>Vranken</v>
      </c>
      <c r="D357" t="str">
        <f>VLOOKUP(Tabel1[[#This Row],[personeelsnr]],'data hastus'!$A:$C,3,0)</f>
        <v>Zulkifly</v>
      </c>
      <c r="E357" t="str">
        <f>VLOOKUP(Tabel1[[#This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SUM(Tabel1[[#This Row],[Januari]:[December]])</f>
        <v>1</v>
      </c>
      <c r="T357" s="9">
        <v>45543</v>
      </c>
      <c r="U357" s="8" t="s">
        <v>780</v>
      </c>
      <c r="V357" s="8">
        <v>1</v>
      </c>
      <c r="W357" s="8"/>
      <c r="X357" t="s">
        <v>206</v>
      </c>
      <c r="Y357" t="s">
        <v>168</v>
      </c>
    </row>
    <row r="358" spans="1:25" x14ac:dyDescent="0.3">
      <c r="A358">
        <v>39651</v>
      </c>
      <c r="B358" t="str">
        <f>_xlfn.CONCAT(Tabel1[[#This Row],[personeelsnr]]," ",C358," ",D358)</f>
        <v>39651 Kallenbach Sunny</v>
      </c>
      <c r="C358" t="str">
        <f>VLOOKUP(Tabel1[[#This Row],[personeelsnr]],'data hastus'!$A:$C,2,0)</f>
        <v>Kallenbach</v>
      </c>
      <c r="D358" t="str">
        <f>VLOOKUP(Tabel1[[#This Row],[personeelsnr]],'data hastus'!$A:$C,3,0)</f>
        <v>Sunny</v>
      </c>
      <c r="E358" t="str">
        <f>VLOOKUP(Tabel1[[#This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SUM(Tabel1[[#This Row],[Januari]:[December]])</f>
        <v>1</v>
      </c>
      <c r="T358" s="9">
        <v>45544</v>
      </c>
      <c r="U358" s="8" t="s">
        <v>781</v>
      </c>
      <c r="V358" s="8">
        <v>1</v>
      </c>
      <c r="W358" s="8"/>
      <c r="X358" t="s">
        <v>206</v>
      </c>
      <c r="Y358" t="s">
        <v>167</v>
      </c>
    </row>
    <row r="359" spans="1:25" x14ac:dyDescent="0.3">
      <c r="A359">
        <v>35450</v>
      </c>
      <c r="B359" t="str">
        <f>_xlfn.CONCAT(Tabel1[[#This Row],[personeelsnr]]," ",C359," ",D359)</f>
        <v>35450 Roos Hugo</v>
      </c>
      <c r="C359" t="str">
        <f>VLOOKUP(Tabel1[[#This Row],[personeelsnr]],'data hastus'!$A:$C,2,0)</f>
        <v>Roos</v>
      </c>
      <c r="D359" t="str">
        <f>VLOOKUP(Tabel1[[#This Row],[personeelsnr]],'data hastus'!$A:$C,3,0)</f>
        <v>Hugo</v>
      </c>
      <c r="E359" t="str">
        <f>VLOOKUP(Tabel1[[#This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SUM(Tabel1[[#This Row],[Januari]:[December]])</f>
        <v>1</v>
      </c>
      <c r="T359" s="9">
        <v>45545</v>
      </c>
      <c r="U359" s="8" t="s">
        <v>782</v>
      </c>
      <c r="V359" s="8">
        <v>1</v>
      </c>
      <c r="W359" s="8"/>
      <c r="X359" t="s">
        <v>206</v>
      </c>
      <c r="Y359" t="s">
        <v>243</v>
      </c>
    </row>
    <row r="360" spans="1:25" x14ac:dyDescent="0.3">
      <c r="A360">
        <v>35588</v>
      </c>
      <c r="B360" t="str">
        <f>_xlfn.CONCAT(Tabel1[[#This Row],[personeelsnr]]," ",C360," ",D360)</f>
        <v>35588 Smesman Glenn</v>
      </c>
      <c r="C360" t="str">
        <f>VLOOKUP(Tabel1[[#This Row],[personeelsnr]],'data hastus'!$A:$C,2,0)</f>
        <v>Smesman</v>
      </c>
      <c r="D360" t="str">
        <f>VLOOKUP(Tabel1[[#This Row],[personeelsnr]],'data hastus'!$A:$C,3,0)</f>
        <v>Glenn</v>
      </c>
      <c r="E360" t="str">
        <f>VLOOKUP(Tabel1[[#This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SUM(Tabel1[[#This Row],[Januari]:[December]])</f>
        <v>1</v>
      </c>
      <c r="T360" s="9">
        <v>45545</v>
      </c>
      <c r="U360" s="8" t="s">
        <v>783</v>
      </c>
      <c r="V360" s="8"/>
      <c r="W360" s="8">
        <v>1</v>
      </c>
      <c r="X360" t="s">
        <v>207</v>
      </c>
      <c r="Y360" t="s">
        <v>286</v>
      </c>
    </row>
    <row r="361" spans="1:25" x14ac:dyDescent="0.3">
      <c r="A361">
        <v>35434</v>
      </c>
      <c r="B361" t="str">
        <f>_xlfn.CONCAT(Tabel1[[#This Row],[personeelsnr]]," ",C361," ",D361)</f>
        <v>35434 Kaya Aytekin</v>
      </c>
      <c r="C361" t="str">
        <f>VLOOKUP(Tabel1[[#This Row],[personeelsnr]],'data hastus'!$A:$C,2,0)</f>
        <v>Kaya</v>
      </c>
      <c r="D361" t="str">
        <f>VLOOKUP(Tabel1[[#This Row],[personeelsnr]],'data hastus'!$A:$C,3,0)</f>
        <v>Aytekin</v>
      </c>
      <c r="E361" t="str">
        <f>VLOOKUP(Tabel1[[#This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SUM(Tabel1[[#This Row],[Januari]:[December]])</f>
        <v>1</v>
      </c>
      <c r="T361" s="9">
        <v>45545</v>
      </c>
      <c r="U361" s="8" t="s">
        <v>784</v>
      </c>
      <c r="V361" s="8"/>
      <c r="W361" s="8">
        <v>1</v>
      </c>
      <c r="X361" t="s">
        <v>207</v>
      </c>
      <c r="Y361" t="s">
        <v>167</v>
      </c>
    </row>
    <row r="362" spans="1:25" x14ac:dyDescent="0.3">
      <c r="A362">
        <v>38938</v>
      </c>
      <c r="B362" t="str">
        <f>_xlfn.CONCAT(Tabel1[[#This Row],[personeelsnr]]," ",C362," ",D362)</f>
        <v>38938 Sedighi Hamid</v>
      </c>
      <c r="C362" t="str">
        <f>VLOOKUP(Tabel1[[#This Row],[personeelsnr]],'data hastus'!$A:$C,2,0)</f>
        <v>Sedighi</v>
      </c>
      <c r="D362" t="str">
        <f>VLOOKUP(Tabel1[[#This Row],[personeelsnr]],'data hastus'!$A:$C,3,0)</f>
        <v>Hamid</v>
      </c>
      <c r="E362" t="str">
        <f>VLOOKUP(Tabel1[[#This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SUM(Tabel1[[#This Row],[Januari]:[December]])</f>
        <v>1</v>
      </c>
      <c r="T362" s="9">
        <v>45546</v>
      </c>
      <c r="U362" s="8" t="s">
        <v>785</v>
      </c>
      <c r="V362" s="8">
        <v>1</v>
      </c>
      <c r="W362" s="8"/>
      <c r="X362" t="s">
        <v>206</v>
      </c>
      <c r="Y362" t="s">
        <v>178</v>
      </c>
    </row>
    <row r="363" spans="1:25" x14ac:dyDescent="0.3">
      <c r="A363">
        <v>40110</v>
      </c>
      <c r="B363" t="str">
        <f>_xlfn.CONCAT(Tabel1[[#This Row],[personeelsnr]]," ",C363," ",D363)</f>
        <v>40110 Vanlerberghe Sandra</v>
      </c>
      <c r="C363" t="str">
        <f>VLOOKUP(Tabel1[[#This Row],[personeelsnr]],'data hastus'!$A:$C,2,0)</f>
        <v>Vanlerberghe</v>
      </c>
      <c r="D363" t="str">
        <f>VLOOKUP(Tabel1[[#This Row],[personeelsnr]],'data hastus'!$A:$C,3,0)</f>
        <v>Sandra</v>
      </c>
      <c r="E363" t="str">
        <f>VLOOKUP(Tabel1[[#This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SUM(Tabel1[[#This Row],[Januari]:[December]])</f>
        <v>1</v>
      </c>
      <c r="T363" s="9">
        <v>45548</v>
      </c>
      <c r="U363" s="8" t="s">
        <v>786</v>
      </c>
      <c r="V363" s="8">
        <v>1</v>
      </c>
      <c r="W363" s="8"/>
      <c r="X363" t="s">
        <v>206</v>
      </c>
      <c r="Y363" t="s">
        <v>188</v>
      </c>
    </row>
    <row r="364" spans="1:25" x14ac:dyDescent="0.3">
      <c r="A364">
        <v>39929</v>
      </c>
      <c r="B364" t="str">
        <f>_xlfn.CONCAT(Tabel1[[#This Row],[personeelsnr]]," ",C364," ",D364)</f>
        <v>39929 Staneva Mariyana</v>
      </c>
      <c r="C364" t="str">
        <f>VLOOKUP(Tabel1[[#This Row],[personeelsnr]],'data hastus'!$A:$C,2,0)</f>
        <v>Staneva</v>
      </c>
      <c r="D364" t="str">
        <f>VLOOKUP(Tabel1[[#This Row],[personeelsnr]],'data hastus'!$A:$C,3,0)</f>
        <v>Mariyana</v>
      </c>
      <c r="E364" t="str">
        <f>VLOOKUP(Tabel1[[#This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SUM(Tabel1[[#This Row],[Januari]:[December]])</f>
        <v>1</v>
      </c>
      <c r="T364" s="9">
        <v>45549</v>
      </c>
      <c r="U364" s="8" t="s">
        <v>787</v>
      </c>
      <c r="V364" s="8">
        <v>1</v>
      </c>
      <c r="W364" s="8"/>
      <c r="X364" t="s">
        <v>206</v>
      </c>
      <c r="Y364" t="s">
        <v>258</v>
      </c>
    </row>
    <row r="365" spans="1:25" x14ac:dyDescent="0.3">
      <c r="A365">
        <v>37509</v>
      </c>
      <c r="B365" t="str">
        <f>_xlfn.CONCAT(Tabel1[[#This Row],[personeelsnr]]," ",C365," ",D365)</f>
        <v>37509 Abdulkader Sabah</v>
      </c>
      <c r="C365" t="str">
        <f>VLOOKUP(Tabel1[[#This Row],[personeelsnr]],'data hastus'!$A:$C,2,0)</f>
        <v>Abdulkader</v>
      </c>
      <c r="D365" t="str">
        <f>VLOOKUP(Tabel1[[#This Row],[personeelsnr]],'data hastus'!$A:$C,3,0)</f>
        <v>Sabah</v>
      </c>
      <c r="E365" t="str">
        <f>VLOOKUP(Tabel1[[#This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SUM(Tabel1[[#This Row],[Januari]:[December]])</f>
        <v>1</v>
      </c>
      <c r="T365" s="9">
        <v>45549</v>
      </c>
      <c r="U365" s="8" t="s">
        <v>788</v>
      </c>
      <c r="V365" s="8">
        <v>1</v>
      </c>
      <c r="W365" s="8"/>
      <c r="X365" t="s">
        <v>206</v>
      </c>
      <c r="Y365" t="s">
        <v>223</v>
      </c>
    </row>
    <row r="366" spans="1:25" x14ac:dyDescent="0.3">
      <c r="A366">
        <v>39183</v>
      </c>
      <c r="B366" t="str">
        <f>_xlfn.CONCAT(Tabel1[[#This Row],[personeelsnr]]," ",C366," ",D366)</f>
        <v>39183 Al Masri Anas</v>
      </c>
      <c r="C366" t="str">
        <f>VLOOKUP(Tabel1[[#This Row],[personeelsnr]],'data hastus'!$A:$C,2,0)</f>
        <v>Al Masri</v>
      </c>
      <c r="D366" t="str">
        <f>VLOOKUP(Tabel1[[#This Row],[personeelsnr]],'data hastus'!$A:$C,3,0)</f>
        <v>Anas</v>
      </c>
      <c r="E366" t="str">
        <f>VLOOKUP(Tabel1[[#This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SUM(Tabel1[[#This Row],[Januari]:[December]])</f>
        <v>1</v>
      </c>
      <c r="T366" s="9">
        <v>45549</v>
      </c>
      <c r="U366" s="8" t="s">
        <v>789</v>
      </c>
      <c r="V366" s="8">
        <v>1</v>
      </c>
      <c r="W366" s="8"/>
      <c r="X366" t="s">
        <v>206</v>
      </c>
      <c r="Y366" t="s">
        <v>327</v>
      </c>
    </row>
    <row r="367" spans="1:25" x14ac:dyDescent="0.3">
      <c r="A367">
        <v>11236</v>
      </c>
      <c r="B367" t="str">
        <f>_xlfn.CONCAT(Tabel1[[#This Row],[personeelsnr]]," ",C367," ",D367)</f>
        <v>11236 Baert Freddy</v>
      </c>
      <c r="C367" t="str">
        <f>VLOOKUP(Tabel1[[#This Row],[personeelsnr]],'data hastus'!$A:$C,2,0)</f>
        <v>Baert</v>
      </c>
      <c r="D367" t="str">
        <f>VLOOKUP(Tabel1[[#This Row],[personeelsnr]],'data hastus'!$A:$C,3,0)</f>
        <v>Freddy</v>
      </c>
      <c r="E367" t="str">
        <f>VLOOKUP(Tabel1[[#This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SUM(Tabel1[[#This Row],[Januari]:[December]])</f>
        <v>1</v>
      </c>
      <c r="T367" s="9">
        <v>45550</v>
      </c>
      <c r="U367" s="8" t="s">
        <v>790</v>
      </c>
      <c r="V367" s="8">
        <v>1</v>
      </c>
      <c r="W367" s="8"/>
      <c r="X367" t="s">
        <v>206</v>
      </c>
      <c r="Y367" t="s">
        <v>175</v>
      </c>
    </row>
    <row r="368" spans="1:25" x14ac:dyDescent="0.3">
      <c r="A368">
        <v>31635</v>
      </c>
      <c r="B368" t="str">
        <f>_xlfn.CONCAT(Tabel1[[#This Row],[personeelsnr]]," ",C368," ",D368)</f>
        <v>31635 Vaeyens Midas</v>
      </c>
      <c r="C368" t="str">
        <f>VLOOKUP(Tabel1[[#This Row],[personeelsnr]],'data hastus'!$A:$C,2,0)</f>
        <v>Vaeyens</v>
      </c>
      <c r="D368" t="str">
        <f>VLOOKUP(Tabel1[[#This Row],[personeelsnr]],'data hastus'!$A:$C,3,0)</f>
        <v>Midas</v>
      </c>
      <c r="E368" t="str">
        <f>VLOOKUP(Tabel1[[#This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SUM(Tabel1[[#This Row],[Januari]:[December]])</f>
        <v>1</v>
      </c>
      <c r="T368" s="9">
        <v>45551</v>
      </c>
      <c r="U368" s="8" t="s">
        <v>791</v>
      </c>
      <c r="V368" s="8">
        <v>1</v>
      </c>
      <c r="W368" s="8"/>
      <c r="X368" t="s">
        <v>206</v>
      </c>
      <c r="Y368" t="s">
        <v>255</v>
      </c>
    </row>
    <row r="369" spans="1:25" x14ac:dyDescent="0.3">
      <c r="A369">
        <v>39728</v>
      </c>
      <c r="B369" t="str">
        <f>_xlfn.CONCAT(Tabel1[[#This Row],[personeelsnr]]," ",C369," ",D369)</f>
        <v>39728 Nohut Baki</v>
      </c>
      <c r="C369" t="str">
        <f>VLOOKUP(Tabel1[[#This Row],[personeelsnr]],'data hastus'!$A:$C,2,0)</f>
        <v>Nohut</v>
      </c>
      <c r="D369" t="str">
        <f>VLOOKUP(Tabel1[[#This Row],[personeelsnr]],'data hastus'!$A:$C,3,0)</f>
        <v>Baki</v>
      </c>
      <c r="E369" t="str">
        <f>VLOOKUP(Tabel1[[#This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SUM(Tabel1[[#This Row],[Januari]:[December]])</f>
        <v>1</v>
      </c>
      <c r="T369" s="9">
        <v>45551</v>
      </c>
      <c r="U369" s="8" t="s">
        <v>792</v>
      </c>
      <c r="V369" s="8">
        <v>1</v>
      </c>
      <c r="W369" s="8"/>
      <c r="X369" t="s">
        <v>206</v>
      </c>
      <c r="Y369" t="s">
        <v>213</v>
      </c>
    </row>
    <row r="370" spans="1:25" x14ac:dyDescent="0.3">
      <c r="A370">
        <v>9999</v>
      </c>
      <c r="B370" t="str">
        <f>_xlfn.CONCAT(Tabel1[[#This Row],[personeelsnr]]," ",C370," ",D370)</f>
        <v>9999 - -</v>
      </c>
      <c r="C370" t="s">
        <v>3388</v>
      </c>
      <c r="D370" t="s">
        <v>3388</v>
      </c>
      <c r="E370" t="s">
        <v>1165</v>
      </c>
      <c r="F370" s="10"/>
      <c r="G370" s="7"/>
      <c r="H370" s="7"/>
      <c r="I370" s="7"/>
      <c r="O370" s="5">
        <v>1</v>
      </c>
      <c r="S370" s="5">
        <f>SUM(Tabel1[[#This Row],[Januari]:[December]])</f>
        <v>1</v>
      </c>
      <c r="T370" s="9">
        <v>45551</v>
      </c>
      <c r="U370" s="8" t="s">
        <v>793</v>
      </c>
      <c r="V370" s="8">
        <v>1</v>
      </c>
      <c r="W370" s="8"/>
      <c r="X370" t="s">
        <v>206</v>
      </c>
      <c r="Y370" t="s">
        <v>200</v>
      </c>
    </row>
    <row r="371" spans="1:25" x14ac:dyDescent="0.3">
      <c r="A371">
        <v>27635</v>
      </c>
      <c r="B371" t="str">
        <f>_xlfn.CONCAT(Tabel1[[#This Row],[personeelsnr]]," ",C371," ",D371)</f>
        <v>27635 Petrovic Damir</v>
      </c>
      <c r="C371" t="str">
        <f>VLOOKUP(Tabel1[[#This Row],[personeelsnr]],'data hastus'!$A:$C,2,0)</f>
        <v>Petrovic</v>
      </c>
      <c r="D371" t="str">
        <f>VLOOKUP(Tabel1[[#This Row],[personeelsnr]],'data hastus'!$A:$C,3,0)</f>
        <v>Damir</v>
      </c>
      <c r="E371" t="str">
        <f>VLOOKUP(Tabel1[[#This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SUM(Tabel1[[#This Row],[Januari]:[December]])</f>
        <v>1</v>
      </c>
      <c r="T371" s="9">
        <v>45551</v>
      </c>
      <c r="U371" s="8" t="s">
        <v>794</v>
      </c>
      <c r="V371" s="8"/>
      <c r="W371" s="8">
        <v>1</v>
      </c>
      <c r="X371" t="s">
        <v>207</v>
      </c>
      <c r="Y371" t="s">
        <v>168</v>
      </c>
    </row>
    <row r="372" spans="1:25" x14ac:dyDescent="0.3">
      <c r="A372">
        <v>36559</v>
      </c>
      <c r="B372" t="str">
        <f>_xlfn.CONCAT(Tabel1[[#This Row],[personeelsnr]]," ",C372," ",D372)</f>
        <v>36559 De Staercke Sandra</v>
      </c>
      <c r="C372" t="str">
        <f>VLOOKUP(Tabel1[[#This Row],[personeelsnr]],'data hastus'!$A:$C,2,0)</f>
        <v>De Staercke</v>
      </c>
      <c r="D372" t="str">
        <f>VLOOKUP(Tabel1[[#This Row],[personeelsnr]],'data hastus'!$A:$C,3,0)</f>
        <v>Sandra</v>
      </c>
      <c r="E372" t="str">
        <f>VLOOKUP(Tabel1[[#This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SUM(Tabel1[[#This Row],[Januari]:[December]])</f>
        <v>1</v>
      </c>
      <c r="T372" s="9">
        <v>45552</v>
      </c>
      <c r="U372" s="8" t="s">
        <v>795</v>
      </c>
      <c r="V372" s="8">
        <v>1</v>
      </c>
      <c r="W372" s="8"/>
      <c r="X372" t="s">
        <v>206</v>
      </c>
      <c r="Y372" t="s">
        <v>167</v>
      </c>
    </row>
    <row r="373" spans="1:25" x14ac:dyDescent="0.3">
      <c r="A373">
        <v>9999</v>
      </c>
      <c r="B373" t="str">
        <f>_xlfn.CONCAT(Tabel1[[#This Row],[personeelsnr]]," ",C373," ",D373)</f>
        <v>9999 - -</v>
      </c>
      <c r="C373" t="s">
        <v>3388</v>
      </c>
      <c r="D373" t="s">
        <v>3388</v>
      </c>
      <c r="E373" t="s">
        <v>1165</v>
      </c>
      <c r="F373" s="10"/>
      <c r="G373" s="7"/>
      <c r="H373" s="7"/>
      <c r="I373" s="7"/>
      <c r="O373" s="5">
        <v>1</v>
      </c>
      <c r="S373" s="5">
        <f>SUM(Tabel1[[#This Row],[Januari]:[December]])</f>
        <v>1</v>
      </c>
      <c r="T373" s="9">
        <v>45554</v>
      </c>
      <c r="U373" s="8" t="s">
        <v>796</v>
      </c>
      <c r="V373" s="8">
        <v>1</v>
      </c>
      <c r="W373" s="8"/>
      <c r="X373" t="s">
        <v>206</v>
      </c>
      <c r="Y373" t="s">
        <v>198</v>
      </c>
    </row>
    <row r="374" spans="1:25" x14ac:dyDescent="0.3">
      <c r="A374">
        <v>40486</v>
      </c>
      <c r="B374" t="str">
        <f>_xlfn.CONCAT(Tabel1[[#This Row],[personeelsnr]]," ",C374," ",D374)</f>
        <v>40486 De Souza Marcos Eduardo</v>
      </c>
      <c r="C374" t="str">
        <f>VLOOKUP(Tabel1[[#This Row],[personeelsnr]],'data hastus'!$A:$C,2,0)</f>
        <v>De Souza</v>
      </c>
      <c r="D374" t="str">
        <f>VLOOKUP(Tabel1[[#This Row],[personeelsnr]],'data hastus'!$A:$C,3,0)</f>
        <v>Marcos Eduardo</v>
      </c>
      <c r="E374" t="str">
        <f>VLOOKUP(Tabel1[[#This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SUM(Tabel1[[#This Row],[Januari]:[December]])</f>
        <v>1</v>
      </c>
      <c r="T374" s="9">
        <v>45556</v>
      </c>
      <c r="U374" s="8" t="s">
        <v>797</v>
      </c>
      <c r="V374" s="8">
        <v>1</v>
      </c>
      <c r="W374" s="8"/>
      <c r="X374" t="s">
        <v>206</v>
      </c>
      <c r="Y374" t="s">
        <v>278</v>
      </c>
    </row>
    <row r="375" spans="1:25" x14ac:dyDescent="0.3">
      <c r="A375">
        <v>34328</v>
      </c>
      <c r="B375" t="str">
        <f>_xlfn.CONCAT(Tabel1[[#This Row],[personeelsnr]]," ",C375," ",D375)</f>
        <v>34328 Kerremans Jürgen</v>
      </c>
      <c r="C375" t="str">
        <f>VLOOKUP(Tabel1[[#This Row],[personeelsnr]],'data hastus'!$A:$C,2,0)</f>
        <v>Kerremans</v>
      </c>
      <c r="D375" t="str">
        <f>VLOOKUP(Tabel1[[#This Row],[personeelsnr]],'data hastus'!$A:$C,3,0)</f>
        <v>Jürgen</v>
      </c>
      <c r="E375" t="str">
        <f>VLOOKUP(Tabel1[[#This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SUM(Tabel1[[#This Row],[Januari]:[December]])</f>
        <v>1</v>
      </c>
      <c r="T375" s="9">
        <v>45557</v>
      </c>
      <c r="U375" s="8" t="s">
        <v>798</v>
      </c>
      <c r="V375" s="8"/>
      <c r="W375" s="8">
        <v>1</v>
      </c>
      <c r="X375" t="s">
        <v>207</v>
      </c>
      <c r="Y375" t="s">
        <v>174</v>
      </c>
    </row>
    <row r="376" spans="1:25" x14ac:dyDescent="0.3">
      <c r="A376">
        <v>39581</v>
      </c>
      <c r="B376" t="str">
        <f>_xlfn.CONCAT(Tabel1[[#This Row],[personeelsnr]]," ",C376," ",D376)</f>
        <v>39581 Vandenhaute Linus</v>
      </c>
      <c r="C376" t="str">
        <f>VLOOKUP(Tabel1[[#This Row],[personeelsnr]],'data hastus'!$A:$C,2,0)</f>
        <v>Vandenhaute</v>
      </c>
      <c r="D376" t="str">
        <f>VLOOKUP(Tabel1[[#This Row],[personeelsnr]],'data hastus'!$A:$C,3,0)</f>
        <v>Linus</v>
      </c>
      <c r="E376" t="str">
        <f>VLOOKUP(Tabel1[[#This Row],[personeelsnr]],'data hastus'!A:K,11,FALSE)</f>
        <v>Els Dewulf</v>
      </c>
      <c r="F376" s="10"/>
      <c r="G376" s="7"/>
      <c r="H376" s="7"/>
      <c r="I376" s="7"/>
      <c r="S376" s="5">
        <f>SUM(Tabel1[[#This Row],[Januari]:[December]])</f>
        <v>0</v>
      </c>
      <c r="T376" s="9">
        <v>45558</v>
      </c>
      <c r="U376" s="8" t="s">
        <v>799</v>
      </c>
      <c r="V376" s="8">
        <v>1</v>
      </c>
      <c r="W376" s="8"/>
      <c r="X376" t="s">
        <v>206</v>
      </c>
      <c r="Y376" t="s">
        <v>167</v>
      </c>
    </row>
    <row r="377" spans="1:25" x14ac:dyDescent="0.3">
      <c r="A377">
        <v>26137</v>
      </c>
      <c r="B377" t="str">
        <f>_xlfn.CONCAT(Tabel1[[#This Row],[personeelsnr]]," ",C377," ",D377)</f>
        <v>26137 Hublau Roland</v>
      </c>
      <c r="C377" t="str">
        <f>VLOOKUP(Tabel1[[#This Row],[personeelsnr]],'data hastus'!$A:$C,2,0)</f>
        <v>Hublau</v>
      </c>
      <c r="D377" t="str">
        <f>VLOOKUP(Tabel1[[#This Row],[personeelsnr]],'data hastus'!$A:$C,3,0)</f>
        <v>Roland</v>
      </c>
      <c r="E377" t="str">
        <f>VLOOKUP(Tabel1[[#This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SUM(Tabel1[[#This Row],[Januari]:[December]])</f>
        <v>1</v>
      </c>
      <c r="T377" s="9">
        <v>45558</v>
      </c>
      <c r="U377" s="8" t="s">
        <v>800</v>
      </c>
      <c r="V377" s="8"/>
      <c r="W377" s="8">
        <v>1</v>
      </c>
      <c r="X377" t="s">
        <v>207</v>
      </c>
      <c r="Y377" t="s">
        <v>167</v>
      </c>
    </row>
    <row r="378" spans="1:25" x14ac:dyDescent="0.3">
      <c r="A378">
        <v>36624</v>
      </c>
      <c r="B378" t="str">
        <f>_xlfn.CONCAT(Tabel1[[#This Row],[personeelsnr]]," ",C378," ",D378)</f>
        <v>36624 De Meulenaere Kurt</v>
      </c>
      <c r="C378" t="str">
        <f>VLOOKUP(Tabel1[[#This Row],[personeelsnr]],'data hastus'!$A:$C,2,0)</f>
        <v>De Meulenaere</v>
      </c>
      <c r="D378" t="str">
        <f>VLOOKUP(Tabel1[[#This Row],[personeelsnr]],'data hastus'!$A:$C,3,0)</f>
        <v>Kurt</v>
      </c>
      <c r="E378" t="str">
        <f>VLOOKUP(Tabel1[[#This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SUM(Tabel1[[#This Row],[Januari]:[December]])</f>
        <v>1</v>
      </c>
      <c r="T378" s="9">
        <v>45559</v>
      </c>
      <c r="U378" s="8" t="s">
        <v>801</v>
      </c>
      <c r="V378" s="8">
        <v>1</v>
      </c>
      <c r="W378" s="8"/>
      <c r="X378" t="s">
        <v>206</v>
      </c>
      <c r="Y378" t="s">
        <v>210</v>
      </c>
    </row>
    <row r="379" spans="1:25" x14ac:dyDescent="0.3">
      <c r="A379">
        <v>36428</v>
      </c>
      <c r="B379" t="str">
        <f>_xlfn.CONCAT(Tabel1[[#This Row],[personeelsnr]]," ",C379," ",D379)</f>
        <v>36428 Abdi Shaiye Rashid</v>
      </c>
      <c r="C379" t="str">
        <f>VLOOKUP(Tabel1[[#This Row],[personeelsnr]],'data hastus'!$A:$C,2,0)</f>
        <v>Abdi Shaiye</v>
      </c>
      <c r="D379" t="str">
        <f>VLOOKUP(Tabel1[[#This Row],[personeelsnr]],'data hastus'!$A:$C,3,0)</f>
        <v>Rashid</v>
      </c>
      <c r="E379" t="str">
        <f>VLOOKUP(Tabel1[[#This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SUM(Tabel1[[#This Row],[Januari]:[December]])</f>
        <v>1</v>
      </c>
      <c r="T379" s="9">
        <v>45559</v>
      </c>
      <c r="U379" s="8" t="s">
        <v>802</v>
      </c>
      <c r="V379" s="8"/>
      <c r="W379" s="8">
        <v>1</v>
      </c>
      <c r="X379" t="s">
        <v>207</v>
      </c>
      <c r="Y379" t="s">
        <v>182</v>
      </c>
    </row>
    <row r="380" spans="1:25" x14ac:dyDescent="0.3">
      <c r="A380">
        <v>40478</v>
      </c>
      <c r="B380" t="str">
        <f>_xlfn.CONCAT(Tabel1[[#This Row],[personeelsnr]]," ",C380," ",D380)</f>
        <v>40478 Hashimi Ali Mir</v>
      </c>
      <c r="C380" t="str">
        <f>VLOOKUP(Tabel1[[#This Row],[personeelsnr]],'data hastus'!$A:$C,2,0)</f>
        <v>Hashimi</v>
      </c>
      <c r="D380" t="str">
        <f>VLOOKUP(Tabel1[[#This Row],[personeelsnr]],'data hastus'!$A:$C,3,0)</f>
        <v>Ali Mir</v>
      </c>
      <c r="E380" t="str">
        <f>VLOOKUP(Tabel1[[#This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SUM(Tabel1[[#This Row],[Januari]:[December]])</f>
        <v>1</v>
      </c>
      <c r="T380" s="9">
        <v>45560</v>
      </c>
      <c r="U380" s="8" t="s">
        <v>803</v>
      </c>
      <c r="V380" s="8">
        <v>1</v>
      </c>
      <c r="W380" s="8"/>
      <c r="X380" t="s">
        <v>206</v>
      </c>
      <c r="Y380" t="s">
        <v>230</v>
      </c>
    </row>
    <row r="381" spans="1:25" x14ac:dyDescent="0.3">
      <c r="A381">
        <v>38346</v>
      </c>
      <c r="B381" t="str">
        <f>_xlfn.CONCAT(Tabel1[[#This Row],[personeelsnr]]," ",C381," ",D381)</f>
        <v>38346 Van Cleemputte Thibeaux</v>
      </c>
      <c r="C381" t="str">
        <f>VLOOKUP(Tabel1[[#This Row],[personeelsnr]],'data hastus'!$A:$C,2,0)</f>
        <v>Van Cleemputte</v>
      </c>
      <c r="D381" t="str">
        <f>VLOOKUP(Tabel1[[#This Row],[personeelsnr]],'data hastus'!$A:$C,3,0)</f>
        <v>Thibeaux</v>
      </c>
      <c r="E381" t="str">
        <f>VLOOKUP(Tabel1[[#This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SUM(Tabel1[[#This Row],[Januari]:[December]])</f>
        <v>1</v>
      </c>
      <c r="T381" s="9">
        <v>45560</v>
      </c>
      <c r="U381" s="8" t="s">
        <v>804</v>
      </c>
      <c r="V381" s="8">
        <v>1</v>
      </c>
      <c r="W381" s="8"/>
      <c r="X381" t="s">
        <v>206</v>
      </c>
      <c r="Y381" t="s">
        <v>363</v>
      </c>
    </row>
    <row r="382" spans="1:25" x14ac:dyDescent="0.3">
      <c r="A382">
        <v>9999</v>
      </c>
      <c r="B382" t="str">
        <f>_xlfn.CONCAT(Tabel1[[#This Row],[personeelsnr]]," ",C382," ",D382)</f>
        <v>9999 - -</v>
      </c>
      <c r="C382" t="s">
        <v>3388</v>
      </c>
      <c r="D382" t="s">
        <v>3388</v>
      </c>
      <c r="E382" t="s">
        <v>1165</v>
      </c>
      <c r="F382" s="10"/>
      <c r="G382" s="7"/>
      <c r="H382" s="7"/>
      <c r="I382" s="7"/>
      <c r="O382" s="5">
        <v>1</v>
      </c>
      <c r="S382" s="5">
        <f>SUM(Tabel1[[#This Row],[Januari]:[December]])</f>
        <v>1</v>
      </c>
      <c r="T382" s="9">
        <v>45561</v>
      </c>
      <c r="U382" s="8" t="s">
        <v>805</v>
      </c>
      <c r="V382" s="8">
        <v>1</v>
      </c>
      <c r="W382" s="8"/>
      <c r="X382" t="s">
        <v>206</v>
      </c>
      <c r="Y382" t="s">
        <v>167</v>
      </c>
    </row>
    <row r="383" spans="1:25" x14ac:dyDescent="0.3">
      <c r="A383">
        <v>40006</v>
      </c>
      <c r="B383" t="str">
        <f>_xlfn.CONCAT(Tabel1[[#This Row],[personeelsnr]]," ",C383," ",D383)</f>
        <v>40006 De Ridder Benjamin</v>
      </c>
      <c r="C383" t="str">
        <f>VLOOKUP(Tabel1[[#This Row],[personeelsnr]],'data hastus'!$A:$C,2,0)</f>
        <v>De Ridder</v>
      </c>
      <c r="D383" t="str">
        <f>VLOOKUP(Tabel1[[#This Row],[personeelsnr]],'data hastus'!$A:$C,3,0)</f>
        <v>Benjamin</v>
      </c>
      <c r="E383" t="str">
        <f>VLOOKUP(Tabel1[[#This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SUM(Tabel1[[#This Row],[Januari]:[December]])</f>
        <v>1</v>
      </c>
      <c r="T383" s="9">
        <v>45562</v>
      </c>
      <c r="U383" s="8" t="s">
        <v>806</v>
      </c>
      <c r="V383" s="8">
        <v>1</v>
      </c>
      <c r="W383" s="8"/>
      <c r="X383" t="s">
        <v>206</v>
      </c>
      <c r="Y383" t="s">
        <v>264</v>
      </c>
    </row>
    <row r="384" spans="1:25" x14ac:dyDescent="0.3">
      <c r="A384">
        <v>35055</v>
      </c>
      <c r="B384" t="str">
        <f>_xlfn.CONCAT(Tabel1[[#This Row],[personeelsnr]]," ",C384," ",D384)</f>
        <v>35055 Kocabas Abdülkadir</v>
      </c>
      <c r="C384" t="str">
        <f>VLOOKUP(Tabel1[[#This Row],[personeelsnr]],'data hastus'!$A:$C,2,0)</f>
        <v>Kocabas</v>
      </c>
      <c r="D384" t="str">
        <f>VLOOKUP(Tabel1[[#This Row],[personeelsnr]],'data hastus'!$A:$C,3,0)</f>
        <v>Abdülkadir</v>
      </c>
      <c r="E384" t="str">
        <f>VLOOKUP(Tabel1[[#This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SUM(Tabel1[[#This Row],[Januari]:[December]])</f>
        <v>1</v>
      </c>
      <c r="T384" s="9">
        <v>45562</v>
      </c>
      <c r="U384" s="8" t="s">
        <v>807</v>
      </c>
      <c r="V384" s="8"/>
      <c r="W384" s="8">
        <v>1</v>
      </c>
      <c r="X384" t="s">
        <v>207</v>
      </c>
      <c r="Y384" t="s">
        <v>232</v>
      </c>
    </row>
    <row r="385" spans="1:25" x14ac:dyDescent="0.3">
      <c r="A385">
        <v>8391</v>
      </c>
      <c r="B385" t="str">
        <f>_xlfn.CONCAT(Tabel1[[#This Row],[personeelsnr]]," ",C385," ",D385)</f>
        <v>8391 Lucq Joeri</v>
      </c>
      <c r="C385" t="str">
        <f>VLOOKUP(Tabel1[[#This Row],[personeelsnr]],'data hastus'!$A:$C,2,0)</f>
        <v>Lucq</v>
      </c>
      <c r="D385" t="str">
        <f>VLOOKUP(Tabel1[[#This Row],[personeelsnr]],'data hastus'!$A:$C,3,0)</f>
        <v>Joeri</v>
      </c>
      <c r="E385" t="str">
        <f>VLOOKUP(Tabel1[[#This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SUM(Tabel1[[#This Row],[Januari]:[December]])</f>
        <v>1</v>
      </c>
      <c r="T385" s="9">
        <v>45563</v>
      </c>
      <c r="U385" s="8" t="s">
        <v>808</v>
      </c>
      <c r="V385" s="8">
        <v>1</v>
      </c>
      <c r="W385" s="8"/>
      <c r="X385" t="s">
        <v>206</v>
      </c>
      <c r="Y385" t="s">
        <v>169</v>
      </c>
    </row>
    <row r="386" spans="1:25" x14ac:dyDescent="0.3">
      <c r="A386">
        <v>40761</v>
      </c>
      <c r="B386" t="str">
        <f>_xlfn.CONCAT(Tabel1[[#This Row],[personeelsnr]]," ",C386," ",D386)</f>
        <v>40761 De Vijlder Wim</v>
      </c>
      <c r="C386" t="str">
        <f>VLOOKUP(Tabel1[[#This Row],[personeelsnr]],'data hastus'!$A:$C,2,0)</f>
        <v>De Vijlder</v>
      </c>
      <c r="D386" t="str">
        <f>VLOOKUP(Tabel1[[#This Row],[personeelsnr]],'data hastus'!$A:$C,3,0)</f>
        <v>Wim</v>
      </c>
      <c r="E386" t="str">
        <f>VLOOKUP(Tabel1[[#This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SUM(Tabel1[[#This Row],[Januari]:[December]])</f>
        <v>1</v>
      </c>
      <c r="T386" s="9">
        <v>45563</v>
      </c>
      <c r="U386" s="8" t="s">
        <v>809</v>
      </c>
      <c r="V386" s="8">
        <v>1</v>
      </c>
      <c r="W386" s="8"/>
      <c r="X386" t="s">
        <v>206</v>
      </c>
      <c r="Y386" t="s">
        <v>167</v>
      </c>
    </row>
    <row r="387" spans="1:25" x14ac:dyDescent="0.3">
      <c r="A387">
        <v>20404</v>
      </c>
      <c r="B387" t="str">
        <f>_xlfn.CONCAT(Tabel1[[#This Row],[personeelsnr]]," ",C387," ",D387)</f>
        <v>20404 Vranken Kenneth</v>
      </c>
      <c r="C387" t="str">
        <f>VLOOKUP(Tabel1[[#This Row],[personeelsnr]],'data hastus'!$A:$C,2,0)</f>
        <v>Vranken</v>
      </c>
      <c r="D387" t="str">
        <f>VLOOKUP(Tabel1[[#This Row],[personeelsnr]],'data hastus'!$A:$C,3,0)</f>
        <v>Kenneth</v>
      </c>
      <c r="E387" t="str">
        <f>VLOOKUP(Tabel1[[#This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SUM(Tabel1[[#This Row],[Januari]:[December]])</f>
        <v>1</v>
      </c>
      <c r="T387" s="9">
        <v>45567</v>
      </c>
      <c r="U387" s="8" t="s">
        <v>810</v>
      </c>
      <c r="V387" s="8">
        <v>1</v>
      </c>
      <c r="W387" s="8"/>
      <c r="X387" t="s">
        <v>206</v>
      </c>
      <c r="Y387" t="s">
        <v>280</v>
      </c>
    </row>
    <row r="388" spans="1:25" x14ac:dyDescent="0.3">
      <c r="A388">
        <v>34325</v>
      </c>
      <c r="B388" t="str">
        <f>_xlfn.CONCAT(Tabel1[[#This Row],[personeelsnr]]," ",C388," ",D388)</f>
        <v>34325 Eid Mathyn</v>
      </c>
      <c r="C388" t="str">
        <f>VLOOKUP(Tabel1[[#This Row],[personeelsnr]],'data hastus'!$A:$C,2,0)</f>
        <v>Eid</v>
      </c>
      <c r="D388" t="str">
        <f>VLOOKUP(Tabel1[[#This Row],[personeelsnr]],'data hastus'!$A:$C,3,0)</f>
        <v>Mathyn</v>
      </c>
      <c r="E388" t="str">
        <f>VLOOKUP(Tabel1[[#This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SUM(Tabel1[[#This Row],[Januari]:[December]])</f>
        <v>1</v>
      </c>
      <c r="T388" s="9">
        <v>45568</v>
      </c>
      <c r="U388" s="8" t="s">
        <v>811</v>
      </c>
      <c r="V388" s="8">
        <v>1</v>
      </c>
      <c r="W388" s="8"/>
      <c r="X388" t="s">
        <v>206</v>
      </c>
      <c r="Y388" t="s">
        <v>183</v>
      </c>
    </row>
    <row r="389" spans="1:25" x14ac:dyDescent="0.3">
      <c r="A389">
        <v>34286</v>
      </c>
      <c r="B389" t="str">
        <f>_xlfn.CONCAT(Tabel1[[#This Row],[personeelsnr]]," ",C389," ",D389)</f>
        <v>34286 Ghani Mozamil</v>
      </c>
      <c r="C389" t="str">
        <f>VLOOKUP(Tabel1[[#This Row],[personeelsnr]],'data hastus'!$A:$C,2,0)</f>
        <v>Ghani</v>
      </c>
      <c r="D389" t="str">
        <f>VLOOKUP(Tabel1[[#This Row],[personeelsnr]],'data hastus'!$A:$C,3,0)</f>
        <v>Mozamil</v>
      </c>
      <c r="E389" t="str">
        <f>VLOOKUP(Tabel1[[#This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SUM(Tabel1[[#This Row],[Januari]:[December]])</f>
        <v>1</v>
      </c>
      <c r="T389" s="9">
        <v>45569</v>
      </c>
      <c r="U389" s="8" t="s">
        <v>812</v>
      </c>
      <c r="V389" s="8"/>
      <c r="W389" s="8">
        <v>1</v>
      </c>
      <c r="X389" t="s">
        <v>207</v>
      </c>
      <c r="Y389" t="s">
        <v>250</v>
      </c>
    </row>
    <row r="390" spans="1:25" x14ac:dyDescent="0.3">
      <c r="A390">
        <v>26137</v>
      </c>
      <c r="B390" t="str">
        <f>_xlfn.CONCAT(Tabel1[[#This Row],[personeelsnr]]," ",C390," ",D390)</f>
        <v>26137 Hublau Roland</v>
      </c>
      <c r="C390" t="str">
        <f>VLOOKUP(Tabel1[[#This Row],[personeelsnr]],'data hastus'!$A:$C,2,0)</f>
        <v>Hublau</v>
      </c>
      <c r="D390" t="str">
        <f>VLOOKUP(Tabel1[[#This Row],[personeelsnr]],'data hastus'!$A:$C,3,0)</f>
        <v>Roland</v>
      </c>
      <c r="E390" t="str">
        <f>VLOOKUP(Tabel1[[#This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SUM(Tabel1[[#This Row],[Januari]:[December]])</f>
        <v>1</v>
      </c>
      <c r="T390" s="9">
        <v>45570</v>
      </c>
      <c r="U390" s="8" t="s">
        <v>813</v>
      </c>
      <c r="V390" s="8"/>
      <c r="W390" s="8">
        <v>1</v>
      </c>
      <c r="X390" t="s">
        <v>207</v>
      </c>
      <c r="Y390" t="s">
        <v>294</v>
      </c>
    </row>
    <row r="391" spans="1:25" x14ac:dyDescent="0.3">
      <c r="A391">
        <v>37683</v>
      </c>
      <c r="B391" t="str">
        <f>_xlfn.CONCAT(Tabel1[[#This Row],[personeelsnr]]," ",C391," ",D391)</f>
        <v>37683 De Boever Charlotte</v>
      </c>
      <c r="C391" t="str">
        <f>VLOOKUP(Tabel1[[#This Row],[personeelsnr]],'data hastus'!$A:$C,2,0)</f>
        <v>De Boever</v>
      </c>
      <c r="D391" t="str">
        <f>VLOOKUP(Tabel1[[#This Row],[personeelsnr]],'data hastus'!$A:$C,3,0)</f>
        <v>Charlotte</v>
      </c>
      <c r="E391" t="str">
        <f>VLOOKUP(Tabel1[[#This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SUM(Tabel1[[#This Row],[Januari]:[December]])</f>
        <v>1</v>
      </c>
      <c r="T391" s="9">
        <v>45572</v>
      </c>
      <c r="U391" s="8" t="s">
        <v>814</v>
      </c>
      <c r="V391" s="8">
        <v>1</v>
      </c>
      <c r="W391" s="8"/>
      <c r="X391" t="s">
        <v>206</v>
      </c>
      <c r="Y391" t="s">
        <v>167</v>
      </c>
    </row>
    <row r="392" spans="1:25" x14ac:dyDescent="0.3">
      <c r="A392">
        <v>38529</v>
      </c>
      <c r="B392" t="str">
        <f>_xlfn.CONCAT(Tabel1[[#This Row],[personeelsnr]]," ",C392," ",D392)</f>
        <v>38529 Huyghe Jan</v>
      </c>
      <c r="C392" t="str">
        <f>VLOOKUP(Tabel1[[#This Row],[personeelsnr]],'data hastus'!$A:$C,2,0)</f>
        <v>Huyghe</v>
      </c>
      <c r="D392" t="str">
        <f>VLOOKUP(Tabel1[[#This Row],[personeelsnr]],'data hastus'!$A:$C,3,0)</f>
        <v>Jan</v>
      </c>
      <c r="E392" t="str">
        <f>VLOOKUP(Tabel1[[#This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SUM(Tabel1[[#This Row],[Januari]:[December]])</f>
        <v>1</v>
      </c>
      <c r="T392" s="9">
        <v>45573</v>
      </c>
      <c r="U392" s="8" t="s">
        <v>815</v>
      </c>
      <c r="V392" s="8">
        <v>1</v>
      </c>
      <c r="W392" s="8"/>
      <c r="X392" t="s">
        <v>206</v>
      </c>
      <c r="Y392" t="s">
        <v>223</v>
      </c>
    </row>
    <row r="393" spans="1:25" x14ac:dyDescent="0.3">
      <c r="A393">
        <v>39013</v>
      </c>
      <c r="B393" t="str">
        <f>_xlfn.CONCAT(Tabel1[[#This Row],[personeelsnr]]," ",C393," ",D393)</f>
        <v>39013 Asrih Habib</v>
      </c>
      <c r="C393" t="str">
        <f>VLOOKUP(Tabel1[[#This Row],[personeelsnr]],'data hastus'!$A:$C,2,0)</f>
        <v>Asrih</v>
      </c>
      <c r="D393" t="str">
        <f>VLOOKUP(Tabel1[[#This Row],[personeelsnr]],'data hastus'!$A:$C,3,0)</f>
        <v>Habib</v>
      </c>
      <c r="E393" t="str">
        <f>VLOOKUP(Tabel1[[#This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SUM(Tabel1[[#This Row],[Januari]:[December]])</f>
        <v>1</v>
      </c>
      <c r="T393" s="9">
        <v>45573</v>
      </c>
      <c r="U393" s="8" t="s">
        <v>816</v>
      </c>
      <c r="V393" s="8">
        <v>1</v>
      </c>
      <c r="W393" s="8"/>
      <c r="X393" t="s">
        <v>206</v>
      </c>
      <c r="Y393" t="s">
        <v>266</v>
      </c>
    </row>
    <row r="394" spans="1:25" x14ac:dyDescent="0.3">
      <c r="A394">
        <v>39673</v>
      </c>
      <c r="B394" t="str">
        <f>_xlfn.CONCAT(Tabel1[[#This Row],[personeelsnr]]," ",C394," ",D394)</f>
        <v>39673 Steurbaut Henri</v>
      </c>
      <c r="C394" t="str">
        <f>VLOOKUP(Tabel1[[#This Row],[personeelsnr]],'data hastus'!$A:$C,2,0)</f>
        <v>Steurbaut</v>
      </c>
      <c r="D394" t="str">
        <f>VLOOKUP(Tabel1[[#This Row],[personeelsnr]],'data hastus'!$A:$C,3,0)</f>
        <v>Henri</v>
      </c>
      <c r="E394" t="str">
        <f>VLOOKUP(Tabel1[[#This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SUM(Tabel1[[#This Row],[Januari]:[December]])</f>
        <v>1</v>
      </c>
      <c r="T394" s="9">
        <v>45574</v>
      </c>
      <c r="U394" s="8" t="s">
        <v>817</v>
      </c>
      <c r="V394" s="8">
        <v>1</v>
      </c>
      <c r="W394" s="8"/>
      <c r="X394" t="s">
        <v>206</v>
      </c>
      <c r="Y394" t="s">
        <v>295</v>
      </c>
    </row>
    <row r="395" spans="1:25" x14ac:dyDescent="0.3">
      <c r="A395">
        <v>26266</v>
      </c>
      <c r="B395" t="str">
        <f>_xlfn.CONCAT(Tabel1[[#This Row],[personeelsnr]]," ",C395," ",D395)</f>
        <v>26266 Gök Murat</v>
      </c>
      <c r="C395" t="str">
        <f>VLOOKUP(Tabel1[[#This Row],[personeelsnr]],'data hastus'!$A:$C,2,0)</f>
        <v>Gök</v>
      </c>
      <c r="D395" t="str">
        <f>VLOOKUP(Tabel1[[#This Row],[personeelsnr]],'data hastus'!$A:$C,3,0)</f>
        <v>Murat</v>
      </c>
      <c r="E395" t="str">
        <f>VLOOKUP(Tabel1[[#This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SUM(Tabel1[[#This Row],[Januari]:[December]])</f>
        <v>1</v>
      </c>
      <c r="T395" s="9">
        <v>45574</v>
      </c>
      <c r="U395" s="8" t="s">
        <v>818</v>
      </c>
      <c r="V395" s="8"/>
      <c r="W395" s="8">
        <v>1</v>
      </c>
      <c r="X395" t="s">
        <v>207</v>
      </c>
      <c r="Y395" t="s">
        <v>182</v>
      </c>
    </row>
    <row r="396" spans="1:25" x14ac:dyDescent="0.3">
      <c r="A396">
        <v>36626</v>
      </c>
      <c r="B396" t="str">
        <f>_xlfn.CONCAT(Tabel1[[#This Row],[personeelsnr]]," ",C396," ",D396)</f>
        <v>36626 Kartal Kadir</v>
      </c>
      <c r="C396" t="str">
        <f>VLOOKUP(Tabel1[[#This Row],[personeelsnr]],'data hastus'!$A:$C,2,0)</f>
        <v>Kartal</v>
      </c>
      <c r="D396" t="str">
        <f>VLOOKUP(Tabel1[[#This Row],[personeelsnr]],'data hastus'!$A:$C,3,0)</f>
        <v>Kadir</v>
      </c>
      <c r="E396" t="str">
        <f>VLOOKUP(Tabel1[[#This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SUM(Tabel1[[#This Row],[Januari]:[December]])</f>
        <v>1</v>
      </c>
      <c r="T396" s="9">
        <v>45574</v>
      </c>
      <c r="U396" s="8" t="s">
        <v>819</v>
      </c>
      <c r="V396" s="8">
        <v>1</v>
      </c>
      <c r="W396" s="8"/>
      <c r="X396" t="s">
        <v>206</v>
      </c>
      <c r="Y396" t="s">
        <v>176</v>
      </c>
    </row>
    <row r="397" spans="1:25" x14ac:dyDescent="0.3">
      <c r="A397">
        <v>27153</v>
      </c>
      <c r="B397" t="str">
        <f>_xlfn.CONCAT(Tabel1[[#This Row],[personeelsnr]]," ",C397," ",D397)</f>
        <v>27153 Oben Thibaud</v>
      </c>
      <c r="C397" t="str">
        <f>VLOOKUP(Tabel1[[#This Row],[personeelsnr]],'data hastus'!$A:$C,2,0)</f>
        <v>Oben</v>
      </c>
      <c r="D397" t="str">
        <f>VLOOKUP(Tabel1[[#This Row],[personeelsnr]],'data hastus'!$A:$C,3,0)</f>
        <v>Thibaud</v>
      </c>
      <c r="E397" t="str">
        <f>VLOOKUP(Tabel1[[#This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SUM(Tabel1[[#This Row],[Januari]:[December]])</f>
        <v>1</v>
      </c>
      <c r="T397" s="9">
        <v>45575</v>
      </c>
      <c r="U397" s="8" t="s">
        <v>820</v>
      </c>
      <c r="V397" s="8"/>
      <c r="W397" s="8">
        <v>1</v>
      </c>
      <c r="X397" t="s">
        <v>207</v>
      </c>
      <c r="Y397" t="s">
        <v>201</v>
      </c>
    </row>
    <row r="398" spans="1:25" x14ac:dyDescent="0.3">
      <c r="A398">
        <v>9999</v>
      </c>
      <c r="B398" t="str">
        <f>_xlfn.CONCAT(Tabel1[[#This Row],[personeelsnr]]," ",C398," ",D398)</f>
        <v>9999 - -</v>
      </c>
      <c r="C398" t="s">
        <v>3388</v>
      </c>
      <c r="D398" t="s">
        <v>3388</v>
      </c>
      <c r="E398" t="s">
        <v>1165</v>
      </c>
      <c r="F398" s="10"/>
      <c r="G398" s="7"/>
      <c r="H398" s="7"/>
      <c r="I398" s="7"/>
      <c r="P398" s="5">
        <v>1</v>
      </c>
      <c r="S398" s="5">
        <f>SUM(Tabel1[[#This Row],[Januari]:[December]])</f>
        <v>1</v>
      </c>
      <c r="T398" s="9">
        <v>45576</v>
      </c>
      <c r="U398" s="8" t="s">
        <v>821</v>
      </c>
      <c r="V398" s="8">
        <v>1</v>
      </c>
      <c r="W398" s="8"/>
      <c r="X398" t="s">
        <v>206</v>
      </c>
      <c r="Y398" t="s">
        <v>178</v>
      </c>
    </row>
    <row r="399" spans="1:25" x14ac:dyDescent="0.3">
      <c r="A399">
        <v>38551</v>
      </c>
      <c r="B399" t="str">
        <f>_xlfn.CONCAT(Tabel1[[#This Row],[personeelsnr]]," ",C399," ",D399)</f>
        <v>38551 Alassad Ahmad</v>
      </c>
      <c r="C399" t="str">
        <f>VLOOKUP(Tabel1[[#This Row],[personeelsnr]],'data hastus'!$A:$C,2,0)</f>
        <v>Alassad</v>
      </c>
      <c r="D399" t="str">
        <f>VLOOKUP(Tabel1[[#This Row],[personeelsnr]],'data hastus'!$A:$C,3,0)</f>
        <v>Ahmad</v>
      </c>
      <c r="E399" t="str">
        <f>VLOOKUP(Tabel1[[#This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SUM(Tabel1[[#This Row],[Januari]:[December]])</f>
        <v>1</v>
      </c>
      <c r="T399" s="9">
        <v>45577</v>
      </c>
      <c r="U399" s="8" t="s">
        <v>822</v>
      </c>
      <c r="V399" s="8">
        <v>1</v>
      </c>
      <c r="W399" s="8"/>
      <c r="X399" t="s">
        <v>206</v>
      </c>
      <c r="Y399" t="s">
        <v>208</v>
      </c>
    </row>
    <row r="400" spans="1:25" x14ac:dyDescent="0.3">
      <c r="A400">
        <v>39532</v>
      </c>
      <c r="B400" t="str">
        <f>_xlfn.CONCAT(Tabel1[[#This Row],[personeelsnr]]," ",C400," ",D400)</f>
        <v>39532 Sahin Orhan</v>
      </c>
      <c r="C400" t="str">
        <f>VLOOKUP(Tabel1[[#This Row],[personeelsnr]],'data hastus'!$A:$C,2,0)</f>
        <v>Sahin</v>
      </c>
      <c r="D400" t="str">
        <f>VLOOKUP(Tabel1[[#This Row],[personeelsnr]],'data hastus'!$A:$C,3,0)</f>
        <v>Orhan</v>
      </c>
      <c r="E400" t="str">
        <f>VLOOKUP(Tabel1[[#This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SUM(Tabel1[[#This Row],[Januari]:[December]])</f>
        <v>1</v>
      </c>
      <c r="T400" s="9">
        <v>45578</v>
      </c>
      <c r="U400" s="8" t="s">
        <v>823</v>
      </c>
      <c r="V400" s="8">
        <v>1</v>
      </c>
      <c r="W400" s="8"/>
      <c r="X400" t="s">
        <v>206</v>
      </c>
      <c r="Y400" t="s">
        <v>170</v>
      </c>
    </row>
    <row r="401" spans="1:25" x14ac:dyDescent="0.3">
      <c r="A401">
        <v>5718</v>
      </c>
      <c r="B401" t="str">
        <f>_xlfn.CONCAT(Tabel1[[#This Row],[personeelsnr]]," ",C401," ",D401)</f>
        <v>5718 Dejonckheere Inge</v>
      </c>
      <c r="C401" t="str">
        <f>VLOOKUP(Tabel1[[#This Row],[personeelsnr]],'data hastus'!$A:$C,2,0)</f>
        <v>Dejonckheere</v>
      </c>
      <c r="D401" t="str">
        <f>VLOOKUP(Tabel1[[#This Row],[personeelsnr]],'data hastus'!$A:$C,3,0)</f>
        <v>Inge</v>
      </c>
      <c r="E401" t="str">
        <f>VLOOKUP(Tabel1[[#This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SUM(Tabel1[[#This Row],[Januari]:[December]])</f>
        <v>1</v>
      </c>
      <c r="T401" s="9">
        <v>45579</v>
      </c>
      <c r="U401" s="8" t="s">
        <v>824</v>
      </c>
      <c r="V401" s="8">
        <v>1</v>
      </c>
      <c r="W401" s="8"/>
      <c r="X401" t="s">
        <v>206</v>
      </c>
      <c r="Y401" t="s">
        <v>167</v>
      </c>
    </row>
    <row r="402" spans="1:25" x14ac:dyDescent="0.3">
      <c r="A402">
        <v>40608</v>
      </c>
      <c r="B402" t="str">
        <f>_xlfn.CONCAT(Tabel1[[#This Row],[personeelsnr]]," ",C402," ",D402)</f>
        <v>40608 Kurti Domeniko</v>
      </c>
      <c r="C402" t="str">
        <f>VLOOKUP(Tabel1[[#This Row],[personeelsnr]],'data hastus'!$A:$C,2,0)</f>
        <v>Kurti</v>
      </c>
      <c r="D402" t="str">
        <f>VLOOKUP(Tabel1[[#This Row],[personeelsnr]],'data hastus'!$A:$C,3,0)</f>
        <v>Domeniko</v>
      </c>
      <c r="E402" t="str">
        <f>VLOOKUP(Tabel1[[#This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SUM(Tabel1[[#This Row],[Januari]:[December]])</f>
        <v>1</v>
      </c>
      <c r="T402" s="9">
        <v>45579</v>
      </c>
      <c r="U402" s="8" t="s">
        <v>825</v>
      </c>
      <c r="V402" s="8">
        <v>1</v>
      </c>
      <c r="W402" s="8"/>
      <c r="X402" t="s">
        <v>206</v>
      </c>
      <c r="Y402" t="s">
        <v>186</v>
      </c>
    </row>
    <row r="403" spans="1:25" x14ac:dyDescent="0.3">
      <c r="A403">
        <v>6310</v>
      </c>
      <c r="B403" t="str">
        <f>_xlfn.CONCAT(Tabel1[[#This Row],[personeelsnr]]," ",C403," ",D403)</f>
        <v>6310 De Craene Peter</v>
      </c>
      <c r="C403" t="str">
        <f>VLOOKUP(Tabel1[[#This Row],[personeelsnr]],'data hastus'!$A:$C,2,0)</f>
        <v>De Craene</v>
      </c>
      <c r="D403" t="str">
        <f>VLOOKUP(Tabel1[[#This Row],[personeelsnr]],'data hastus'!$A:$C,3,0)</f>
        <v>Peter</v>
      </c>
      <c r="E403" t="str">
        <f>VLOOKUP(Tabel1[[#This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SUM(Tabel1[[#This Row],[Januari]:[December]])</f>
        <v>1</v>
      </c>
      <c r="T403" s="9">
        <v>45579</v>
      </c>
      <c r="U403" s="8" t="s">
        <v>826</v>
      </c>
      <c r="V403" s="8"/>
      <c r="W403" s="8">
        <v>1</v>
      </c>
      <c r="X403" t="s">
        <v>207</v>
      </c>
      <c r="Y403" t="s">
        <v>182</v>
      </c>
    </row>
    <row r="404" spans="1:25" x14ac:dyDescent="0.3">
      <c r="A404">
        <v>33965</v>
      </c>
      <c r="B404" t="str">
        <f>_xlfn.CONCAT(Tabel1[[#This Row],[personeelsnr]]," ",C404," ",D404)</f>
        <v>33965 Van de Gehuchte Gilles</v>
      </c>
      <c r="C404" t="str">
        <f>VLOOKUP(Tabel1[[#This Row],[personeelsnr]],'data hastus'!$A:$C,2,0)</f>
        <v>Van de Gehuchte</v>
      </c>
      <c r="D404" t="str">
        <f>VLOOKUP(Tabel1[[#This Row],[personeelsnr]],'data hastus'!$A:$C,3,0)</f>
        <v>Gilles</v>
      </c>
      <c r="E404" t="str">
        <f>VLOOKUP(Tabel1[[#This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SUM(Tabel1[[#This Row],[Januari]:[December]])</f>
        <v>1</v>
      </c>
      <c r="T404" s="9">
        <v>45579</v>
      </c>
      <c r="U404" s="8" t="s">
        <v>827</v>
      </c>
      <c r="V404" s="8"/>
      <c r="W404" s="8">
        <v>1</v>
      </c>
      <c r="X404" t="s">
        <v>207</v>
      </c>
      <c r="Y404" t="s">
        <v>168</v>
      </c>
    </row>
    <row r="405" spans="1:25" x14ac:dyDescent="0.3">
      <c r="A405">
        <v>39779</v>
      </c>
      <c r="B405" t="str">
        <f>_xlfn.CONCAT(Tabel1[[#This Row],[personeelsnr]]," ",C405," ",D405)</f>
        <v>39779 Avci Muhammet Abdullah</v>
      </c>
      <c r="C405" t="str">
        <f>VLOOKUP(Tabel1[[#This Row],[personeelsnr]],'data hastus'!$A:$C,2,0)</f>
        <v>Avci</v>
      </c>
      <c r="D405" t="str">
        <f>VLOOKUP(Tabel1[[#This Row],[personeelsnr]],'data hastus'!$A:$C,3,0)</f>
        <v>Muhammet Abdullah</v>
      </c>
      <c r="E405" t="str">
        <f>VLOOKUP(Tabel1[[#This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SUM(Tabel1[[#This Row],[Januari]:[December]])</f>
        <v>1</v>
      </c>
      <c r="T405" s="9">
        <v>45579</v>
      </c>
      <c r="U405" s="8" t="s">
        <v>828</v>
      </c>
      <c r="V405" s="8">
        <v>1</v>
      </c>
      <c r="W405" s="8"/>
      <c r="X405" t="s">
        <v>206</v>
      </c>
      <c r="Y405" t="s">
        <v>177</v>
      </c>
    </row>
    <row r="406" spans="1:25" x14ac:dyDescent="0.3">
      <c r="A406">
        <v>36569</v>
      </c>
      <c r="B406" t="str">
        <f>_xlfn.CONCAT(Tabel1[[#This Row],[personeelsnr]]," ",C406," ",D406)</f>
        <v>36569 Stroobandt Jonas</v>
      </c>
      <c r="C406" t="str">
        <f>VLOOKUP(Tabel1[[#This Row],[personeelsnr]],'data hastus'!$A:$C,2,0)</f>
        <v>Stroobandt</v>
      </c>
      <c r="D406" t="str">
        <f>VLOOKUP(Tabel1[[#This Row],[personeelsnr]],'data hastus'!$A:$C,3,0)</f>
        <v>Jonas</v>
      </c>
      <c r="E406" t="str">
        <f>VLOOKUP(Tabel1[[#This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SUM(Tabel1[[#This Row],[Januari]:[December]])</f>
        <v>1</v>
      </c>
      <c r="T406" s="9">
        <v>45580</v>
      </c>
      <c r="U406" s="8" t="s">
        <v>829</v>
      </c>
      <c r="V406" s="8">
        <v>1</v>
      </c>
      <c r="W406" s="8"/>
      <c r="X406" t="s">
        <v>206</v>
      </c>
      <c r="Y406" t="s">
        <v>167</v>
      </c>
    </row>
    <row r="407" spans="1:25" x14ac:dyDescent="0.3">
      <c r="A407">
        <v>9999</v>
      </c>
      <c r="B407" t="str">
        <f>_xlfn.CONCAT(Tabel1[[#This Row],[personeelsnr]]," ",C407," ",D407)</f>
        <v>9999 - -</v>
      </c>
      <c r="C407" t="s">
        <v>3388</v>
      </c>
      <c r="D407" t="s">
        <v>3388</v>
      </c>
      <c r="E407" t="s">
        <v>1165</v>
      </c>
      <c r="F407" s="10"/>
      <c r="G407" s="7"/>
      <c r="H407" s="7"/>
      <c r="I407" s="7"/>
      <c r="P407" s="5">
        <v>1</v>
      </c>
      <c r="S407" s="5">
        <f>SUM(Tabel1[[#This Row],[Januari]:[December]])</f>
        <v>1</v>
      </c>
      <c r="T407" s="9">
        <v>45582</v>
      </c>
      <c r="U407" s="8" t="s">
        <v>830</v>
      </c>
      <c r="V407" s="8">
        <v>1</v>
      </c>
      <c r="W407" s="8"/>
      <c r="X407" t="s">
        <v>206</v>
      </c>
      <c r="Y407" t="s">
        <v>171</v>
      </c>
    </row>
    <row r="408" spans="1:25" x14ac:dyDescent="0.3">
      <c r="A408">
        <v>23918</v>
      </c>
      <c r="B408" t="str">
        <f>_xlfn.CONCAT(Tabel1[[#This Row],[personeelsnr]]," ",C408," ",D408)</f>
        <v>23918 D'Haeyere Bernard</v>
      </c>
      <c r="C408" t="str">
        <f>VLOOKUP(Tabel1[[#This Row],[personeelsnr]],'data hastus'!$A:$C,2,0)</f>
        <v>D'Haeyere</v>
      </c>
      <c r="D408" t="str">
        <f>VLOOKUP(Tabel1[[#This Row],[personeelsnr]],'data hastus'!$A:$C,3,0)</f>
        <v>Bernard</v>
      </c>
      <c r="E408" t="str">
        <f>VLOOKUP(Tabel1[[#This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SUM(Tabel1[[#This Row],[Januari]:[December]])</f>
        <v>1</v>
      </c>
      <c r="T408" s="9">
        <v>45583</v>
      </c>
      <c r="U408" s="8" t="s">
        <v>831</v>
      </c>
      <c r="V408" s="8">
        <v>1</v>
      </c>
      <c r="W408" s="8"/>
      <c r="X408" t="s">
        <v>206</v>
      </c>
      <c r="Y408" t="s">
        <v>188</v>
      </c>
    </row>
    <row r="409" spans="1:25" x14ac:dyDescent="0.3">
      <c r="A409">
        <v>37662</v>
      </c>
      <c r="B409" t="str">
        <f>_xlfn.CONCAT(Tabel1[[#This Row],[personeelsnr]]," ",C409," ",D409)</f>
        <v>37662 Van den Meerssche Steven</v>
      </c>
      <c r="C409" t="str">
        <f>VLOOKUP(Tabel1[[#This Row],[personeelsnr]],'data hastus'!$A:$C,2,0)</f>
        <v>Van den Meerssche</v>
      </c>
      <c r="D409" t="str">
        <f>VLOOKUP(Tabel1[[#This Row],[personeelsnr]],'data hastus'!$A:$C,3,0)</f>
        <v>Steven</v>
      </c>
      <c r="E409" t="str">
        <f>VLOOKUP(Tabel1[[#This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SUM(Tabel1[[#This Row],[Januari]:[December]])</f>
        <v>1</v>
      </c>
      <c r="T409" s="9">
        <v>45584</v>
      </c>
      <c r="U409" s="8" t="s">
        <v>832</v>
      </c>
      <c r="V409" s="8">
        <v>1</v>
      </c>
      <c r="W409" s="8"/>
      <c r="X409" t="s">
        <v>206</v>
      </c>
      <c r="Y409" t="s">
        <v>188</v>
      </c>
    </row>
    <row r="410" spans="1:25" x14ac:dyDescent="0.3">
      <c r="A410">
        <v>39779</v>
      </c>
      <c r="B410" t="str">
        <f>_xlfn.CONCAT(Tabel1[[#This Row],[personeelsnr]]," ",C410," ",D410)</f>
        <v>39779 Avci Muhammet Abdullah</v>
      </c>
      <c r="C410" t="str">
        <f>VLOOKUP(Tabel1[[#This Row],[personeelsnr]],'data hastus'!$A:$C,2,0)</f>
        <v>Avci</v>
      </c>
      <c r="D410" t="str">
        <f>VLOOKUP(Tabel1[[#This Row],[personeelsnr]],'data hastus'!$A:$C,3,0)</f>
        <v>Muhammet Abdullah</v>
      </c>
      <c r="E410" t="str">
        <f>VLOOKUP(Tabel1[[#This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SUM(Tabel1[[#This Row],[Januari]:[December]])</f>
        <v>1</v>
      </c>
      <c r="T410" s="9">
        <v>45584</v>
      </c>
      <c r="U410" s="8" t="s">
        <v>833</v>
      </c>
      <c r="V410" s="8">
        <v>1</v>
      </c>
      <c r="W410" s="8"/>
      <c r="X410" t="s">
        <v>206</v>
      </c>
      <c r="Y410" t="s">
        <v>173</v>
      </c>
    </row>
    <row r="411" spans="1:25" x14ac:dyDescent="0.3">
      <c r="A411">
        <v>33986</v>
      </c>
      <c r="B411" t="str">
        <f>_xlfn.CONCAT(Tabel1[[#This Row],[personeelsnr]]," ",C411," ",D411)</f>
        <v>33986 Göktas Muharrem</v>
      </c>
      <c r="C411" t="str">
        <f>VLOOKUP(Tabel1[[#This Row],[personeelsnr]],'data hastus'!$A:$C,2,0)</f>
        <v>Göktas</v>
      </c>
      <c r="D411" t="str">
        <f>VLOOKUP(Tabel1[[#This Row],[personeelsnr]],'data hastus'!$A:$C,3,0)</f>
        <v>Muharrem</v>
      </c>
      <c r="E411" t="str">
        <f>VLOOKUP(Tabel1[[#This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SUM(Tabel1[[#This Row],[Januari]:[December]])</f>
        <v>1</v>
      </c>
      <c r="T411" s="9">
        <v>45586</v>
      </c>
      <c r="U411" s="8" t="s">
        <v>834</v>
      </c>
      <c r="V411" s="8"/>
      <c r="W411" s="8">
        <v>1</v>
      </c>
      <c r="X411" t="s">
        <v>207</v>
      </c>
      <c r="Y411" t="s">
        <v>167</v>
      </c>
    </row>
    <row r="412" spans="1:25" x14ac:dyDescent="0.3">
      <c r="A412">
        <v>6310</v>
      </c>
      <c r="B412" t="str">
        <f>_xlfn.CONCAT(Tabel1[[#This Row],[personeelsnr]]," ",C412," ",D412)</f>
        <v>6310 De Craene Peter</v>
      </c>
      <c r="C412" t="str">
        <f>VLOOKUP(Tabel1[[#This Row],[personeelsnr]],'data hastus'!$A:$C,2,0)</f>
        <v>De Craene</v>
      </c>
      <c r="D412" t="str">
        <f>VLOOKUP(Tabel1[[#This Row],[personeelsnr]],'data hastus'!$A:$C,3,0)</f>
        <v>Peter</v>
      </c>
      <c r="E412" t="str">
        <f>VLOOKUP(Tabel1[[#This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SUM(Tabel1[[#This Row],[Januari]:[December]])</f>
        <v>1</v>
      </c>
      <c r="T412" s="9">
        <v>45586</v>
      </c>
      <c r="U412" s="8" t="s">
        <v>835</v>
      </c>
      <c r="V412" s="8"/>
      <c r="W412" s="8">
        <v>1</v>
      </c>
      <c r="X412" t="s">
        <v>207</v>
      </c>
      <c r="Y412" t="s">
        <v>219</v>
      </c>
    </row>
    <row r="413" spans="1:25" x14ac:dyDescent="0.3">
      <c r="A413">
        <v>39929</v>
      </c>
      <c r="B413" t="str">
        <f>_xlfn.CONCAT(Tabel1[[#This Row],[personeelsnr]]," ",C413," ",D413)</f>
        <v>39929 Staneva Mariyana</v>
      </c>
      <c r="C413" t="str">
        <f>VLOOKUP(Tabel1[[#This Row],[personeelsnr]],'data hastus'!$A:$C,2,0)</f>
        <v>Staneva</v>
      </c>
      <c r="D413" t="str">
        <f>VLOOKUP(Tabel1[[#This Row],[personeelsnr]],'data hastus'!$A:$C,3,0)</f>
        <v>Mariyana</v>
      </c>
      <c r="E413" t="str">
        <f>VLOOKUP(Tabel1[[#This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SUM(Tabel1[[#This Row],[Januari]:[December]])</f>
        <v>1</v>
      </c>
      <c r="T413" s="9">
        <v>45587</v>
      </c>
      <c r="U413" s="8" t="s">
        <v>836</v>
      </c>
      <c r="V413" s="8">
        <v>1</v>
      </c>
      <c r="W413" s="8"/>
      <c r="X413" t="s">
        <v>206</v>
      </c>
      <c r="Y413" t="s">
        <v>173</v>
      </c>
    </row>
    <row r="414" spans="1:25" x14ac:dyDescent="0.3">
      <c r="A414">
        <v>32387</v>
      </c>
      <c r="B414" t="str">
        <f>_xlfn.CONCAT(Tabel1[[#This Row],[personeelsnr]]," ",C414," ",D414)</f>
        <v>32387 Meersman Herman</v>
      </c>
      <c r="C414" t="str">
        <f>VLOOKUP(Tabel1[[#This Row],[personeelsnr]],'data hastus'!$A:$C,2,0)</f>
        <v>Meersman</v>
      </c>
      <c r="D414" t="str">
        <f>VLOOKUP(Tabel1[[#This Row],[personeelsnr]],'data hastus'!$A:$C,3,0)</f>
        <v>Herman</v>
      </c>
      <c r="E414" t="str">
        <f>VLOOKUP(Tabel1[[#This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SUM(Tabel1[[#This Row],[Januari]:[December]])</f>
        <v>1</v>
      </c>
      <c r="T414" s="9">
        <v>45587</v>
      </c>
      <c r="U414" s="8" t="s">
        <v>837</v>
      </c>
      <c r="V414" s="8"/>
      <c r="W414" s="8">
        <v>1</v>
      </c>
      <c r="X414" t="s">
        <v>207</v>
      </c>
      <c r="Y414" t="s">
        <v>381</v>
      </c>
    </row>
    <row r="415" spans="1:25" x14ac:dyDescent="0.3">
      <c r="A415">
        <v>5718</v>
      </c>
      <c r="B415" t="str">
        <f>_xlfn.CONCAT(Tabel1[[#This Row],[personeelsnr]]," ",C415," ",D415)</f>
        <v>5718 Dejonckheere Inge</v>
      </c>
      <c r="C415" t="str">
        <f>VLOOKUP(Tabel1[[#This Row],[personeelsnr]],'data hastus'!$A:$C,2,0)</f>
        <v>Dejonckheere</v>
      </c>
      <c r="D415" t="str">
        <f>VLOOKUP(Tabel1[[#This Row],[personeelsnr]],'data hastus'!$A:$C,3,0)</f>
        <v>Inge</v>
      </c>
      <c r="E415" t="str">
        <f>VLOOKUP(Tabel1[[#This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SUM(Tabel1[[#This Row],[Januari]:[December]])</f>
        <v>1</v>
      </c>
      <c r="T415" s="9">
        <v>45588</v>
      </c>
      <c r="U415" s="8" t="s">
        <v>838</v>
      </c>
      <c r="V415" s="8">
        <v>1</v>
      </c>
      <c r="W415" s="8"/>
      <c r="X415" t="s">
        <v>206</v>
      </c>
      <c r="Y415" t="s">
        <v>188</v>
      </c>
    </row>
    <row r="416" spans="1:25" x14ac:dyDescent="0.3">
      <c r="A416">
        <v>35598</v>
      </c>
      <c r="B416" t="str">
        <f>_xlfn.CONCAT(Tabel1[[#This Row],[personeelsnr]]," ",C416," ",D416)</f>
        <v>35598 Braeckman Wouter</v>
      </c>
      <c r="C416" t="str">
        <f>VLOOKUP(Tabel1[[#This Row],[personeelsnr]],'data hastus'!$A:$C,2,0)</f>
        <v>Braeckman</v>
      </c>
      <c r="D416" t="str">
        <f>VLOOKUP(Tabel1[[#This Row],[personeelsnr]],'data hastus'!$A:$C,3,0)</f>
        <v>Wouter</v>
      </c>
      <c r="E416" t="str">
        <f>VLOOKUP(Tabel1[[#This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SUM(Tabel1[[#This Row],[Januari]:[December]])</f>
        <v>1</v>
      </c>
      <c r="T416" s="9">
        <v>45588</v>
      </c>
      <c r="U416" s="8" t="s">
        <v>839</v>
      </c>
      <c r="V416" s="8"/>
      <c r="W416" s="8">
        <v>1</v>
      </c>
      <c r="X416" t="s">
        <v>207</v>
      </c>
      <c r="Y416" t="s">
        <v>167</v>
      </c>
    </row>
    <row r="417" spans="1:25" x14ac:dyDescent="0.3">
      <c r="A417">
        <v>40222</v>
      </c>
      <c r="B417" t="str">
        <f>_xlfn.CONCAT(Tabel1[[#This Row],[personeelsnr]]," ",C417," ",D417)</f>
        <v>40222 Van Iterson Sharon</v>
      </c>
      <c r="C417" t="str">
        <f>VLOOKUP(Tabel1[[#This Row],[personeelsnr]],'data hastus'!$A:$C,2,0)</f>
        <v>Van Iterson</v>
      </c>
      <c r="D417" t="str">
        <f>VLOOKUP(Tabel1[[#This Row],[personeelsnr]],'data hastus'!$A:$C,3,0)</f>
        <v>Sharon</v>
      </c>
      <c r="E417" t="str">
        <f>VLOOKUP(Tabel1[[#This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SUM(Tabel1[[#This Row],[Januari]:[December]])</f>
        <v>1</v>
      </c>
      <c r="T417" s="9">
        <v>45589</v>
      </c>
      <c r="U417" s="8" t="s">
        <v>840</v>
      </c>
      <c r="V417" s="8">
        <v>1</v>
      </c>
      <c r="W417" s="8"/>
      <c r="X417" t="s">
        <v>206</v>
      </c>
      <c r="Y417" t="s">
        <v>198</v>
      </c>
    </row>
    <row r="418" spans="1:25" x14ac:dyDescent="0.3">
      <c r="A418">
        <v>35450</v>
      </c>
      <c r="B418" t="str">
        <f>_xlfn.CONCAT(Tabel1[[#This Row],[personeelsnr]]," ",C418," ",D418)</f>
        <v>35450 Roos Hugo</v>
      </c>
      <c r="C418" t="str">
        <f>VLOOKUP(Tabel1[[#This Row],[personeelsnr]],'data hastus'!$A:$C,2,0)</f>
        <v>Roos</v>
      </c>
      <c r="D418" t="str">
        <f>VLOOKUP(Tabel1[[#This Row],[personeelsnr]],'data hastus'!$A:$C,3,0)</f>
        <v>Hugo</v>
      </c>
      <c r="E418" t="str">
        <f>VLOOKUP(Tabel1[[#This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SUM(Tabel1[[#This Row],[Januari]:[December]])</f>
        <v>1</v>
      </c>
      <c r="T418" s="9">
        <v>45589</v>
      </c>
      <c r="U418" s="8" t="s">
        <v>841</v>
      </c>
      <c r="V418" s="8">
        <v>1</v>
      </c>
      <c r="W418" s="8"/>
      <c r="X418" t="s">
        <v>206</v>
      </c>
      <c r="Y418" t="s">
        <v>198</v>
      </c>
    </row>
    <row r="419" spans="1:25" x14ac:dyDescent="0.3">
      <c r="A419">
        <v>40652</v>
      </c>
      <c r="B419" t="str">
        <f>_xlfn.CONCAT(Tabel1[[#This Row],[personeelsnr]]," ",C419," ",D419)</f>
        <v>40652 Van Damme Gilyann</v>
      </c>
      <c r="C419" t="str">
        <f>VLOOKUP(Tabel1[[#This Row],[personeelsnr]],'data hastus'!$A:$C,2,0)</f>
        <v>Van Damme</v>
      </c>
      <c r="D419" t="str">
        <f>VLOOKUP(Tabel1[[#This Row],[personeelsnr]],'data hastus'!$A:$C,3,0)</f>
        <v>Gilyann</v>
      </c>
      <c r="E419" t="str">
        <f>VLOOKUP(Tabel1[[#This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SUM(Tabel1[[#This Row],[Januari]:[December]])</f>
        <v>1</v>
      </c>
      <c r="T419" s="9">
        <v>45589</v>
      </c>
      <c r="U419" s="8" t="s">
        <v>842</v>
      </c>
      <c r="V419" s="8">
        <v>1</v>
      </c>
      <c r="W419" s="8"/>
      <c r="X419" t="s">
        <v>206</v>
      </c>
      <c r="Y419" t="s">
        <v>167</v>
      </c>
    </row>
    <row r="420" spans="1:25" x14ac:dyDescent="0.3">
      <c r="A420">
        <v>37809</v>
      </c>
      <c r="B420" t="str">
        <f>_xlfn.CONCAT(Tabel1[[#This Row],[personeelsnr]]," ",C420," ",D420)</f>
        <v>37809 Sturtewagen Kenny</v>
      </c>
      <c r="C420" t="str">
        <f>VLOOKUP(Tabel1[[#This Row],[personeelsnr]],'data hastus'!$A:$C,2,0)</f>
        <v>Sturtewagen</v>
      </c>
      <c r="D420" t="str">
        <f>VLOOKUP(Tabel1[[#This Row],[personeelsnr]],'data hastus'!$A:$C,3,0)</f>
        <v>Kenny</v>
      </c>
      <c r="E420" t="str">
        <f>VLOOKUP(Tabel1[[#This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SUM(Tabel1[[#This Row],[Januari]:[December]])</f>
        <v>1</v>
      </c>
      <c r="T420" s="9">
        <v>45589</v>
      </c>
      <c r="U420" s="8" t="s">
        <v>843</v>
      </c>
      <c r="V420" s="8">
        <v>1</v>
      </c>
      <c r="W420" s="8"/>
      <c r="X420" t="s">
        <v>206</v>
      </c>
      <c r="Y420" t="s">
        <v>204</v>
      </c>
    </row>
    <row r="421" spans="1:25" x14ac:dyDescent="0.3">
      <c r="A421">
        <v>30623</v>
      </c>
      <c r="B421" t="str">
        <f>_xlfn.CONCAT(Tabel1[[#This Row],[personeelsnr]]," ",C421," ",D421)</f>
        <v>30623 Gassa Mustafa</v>
      </c>
      <c r="C421" t="str">
        <f>VLOOKUP(Tabel1[[#This Row],[personeelsnr]],'data hastus'!$A:$C,2,0)</f>
        <v>Gassa</v>
      </c>
      <c r="D421" t="str">
        <f>VLOOKUP(Tabel1[[#This Row],[personeelsnr]],'data hastus'!$A:$C,3,0)</f>
        <v>Mustafa</v>
      </c>
      <c r="E421" t="str">
        <f>VLOOKUP(Tabel1[[#This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SUM(Tabel1[[#This Row],[Januari]:[December]])</f>
        <v>1</v>
      </c>
      <c r="T421" s="9">
        <v>45590</v>
      </c>
      <c r="U421" s="8" t="s">
        <v>844</v>
      </c>
      <c r="V421" s="8">
        <v>1</v>
      </c>
      <c r="W421" s="8"/>
      <c r="X421" t="s">
        <v>206</v>
      </c>
      <c r="Y421" t="s">
        <v>240</v>
      </c>
    </row>
    <row r="422" spans="1:25" x14ac:dyDescent="0.3">
      <c r="A422">
        <v>37809</v>
      </c>
      <c r="B422" t="str">
        <f>_xlfn.CONCAT(Tabel1[[#This Row],[personeelsnr]]," ",C422," ",D422)</f>
        <v>37809 Sturtewagen Kenny</v>
      </c>
      <c r="C422" t="str">
        <f>VLOOKUP(Tabel1[[#This Row],[personeelsnr]],'data hastus'!$A:$C,2,0)</f>
        <v>Sturtewagen</v>
      </c>
      <c r="D422" t="str">
        <f>VLOOKUP(Tabel1[[#This Row],[personeelsnr]],'data hastus'!$A:$C,3,0)</f>
        <v>Kenny</v>
      </c>
      <c r="E422" t="str">
        <f>VLOOKUP(Tabel1[[#This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SUM(Tabel1[[#This Row],[Januari]:[December]])</f>
        <v>1</v>
      </c>
      <c r="T422" s="9">
        <v>45590</v>
      </c>
      <c r="U422" s="8" t="s">
        <v>845</v>
      </c>
      <c r="V422" s="8">
        <v>1</v>
      </c>
      <c r="W422" s="8"/>
      <c r="X422" t="s">
        <v>206</v>
      </c>
      <c r="Y422" t="s">
        <v>176</v>
      </c>
    </row>
    <row r="423" spans="1:25" x14ac:dyDescent="0.3">
      <c r="A423">
        <v>40859</v>
      </c>
      <c r="B423" t="str">
        <f>_xlfn.CONCAT(Tabel1[[#This Row],[personeelsnr]]," ",C423," ",D423)</f>
        <v>40859 Yagoub Abdelali</v>
      </c>
      <c r="C423" t="str">
        <f>VLOOKUP(Tabel1[[#This Row],[personeelsnr]],'data hastus'!$A:$C,2,0)</f>
        <v>Yagoub</v>
      </c>
      <c r="D423" t="str">
        <f>VLOOKUP(Tabel1[[#This Row],[personeelsnr]],'data hastus'!$A:$C,3,0)</f>
        <v>Abdelali</v>
      </c>
      <c r="E423" t="str">
        <f>VLOOKUP(Tabel1[[#This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SUM(Tabel1[[#This Row],[Januari]:[December]])</f>
        <v>1</v>
      </c>
      <c r="T423" s="9">
        <v>45591</v>
      </c>
      <c r="U423" s="8" t="s">
        <v>846</v>
      </c>
      <c r="V423" s="8">
        <v>1</v>
      </c>
      <c r="W423" s="8"/>
      <c r="X423" t="s">
        <v>206</v>
      </c>
      <c r="Y423" t="s">
        <v>231</v>
      </c>
    </row>
    <row r="424" spans="1:25" x14ac:dyDescent="0.3">
      <c r="A424">
        <v>21892</v>
      </c>
      <c r="B424" t="str">
        <f>_xlfn.CONCAT(Tabel1[[#This Row],[personeelsnr]]," ",C424," ",D424)</f>
        <v>21892 Dierick Steve</v>
      </c>
      <c r="C424" t="str">
        <f>VLOOKUP(Tabel1[[#This Row],[personeelsnr]],'data hastus'!$A:$C,2,0)</f>
        <v>Dierick</v>
      </c>
      <c r="D424" t="str">
        <f>VLOOKUP(Tabel1[[#This Row],[personeelsnr]],'data hastus'!$A:$C,3,0)</f>
        <v>Steve</v>
      </c>
      <c r="E424" t="str">
        <f>VLOOKUP(Tabel1[[#This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SUM(Tabel1[[#This Row],[Januari]:[December]])</f>
        <v>1</v>
      </c>
      <c r="T424" s="9">
        <v>45591</v>
      </c>
      <c r="U424" s="8" t="s">
        <v>847</v>
      </c>
      <c r="V424" s="8"/>
      <c r="W424" s="8">
        <v>1</v>
      </c>
      <c r="X424" t="s">
        <v>207</v>
      </c>
      <c r="Y424" t="s">
        <v>272</v>
      </c>
    </row>
    <row r="425" spans="1:25" x14ac:dyDescent="0.3">
      <c r="A425">
        <v>12173</v>
      </c>
      <c r="B425" t="str">
        <f>_xlfn.CONCAT(Tabel1[[#This Row],[personeelsnr]]," ",C425," ",D425)</f>
        <v>12173 De Feyter David</v>
      </c>
      <c r="C425" t="str">
        <f>VLOOKUP(Tabel1[[#This Row],[personeelsnr]],'data hastus'!$A:$C,2,0)</f>
        <v>De Feyter</v>
      </c>
      <c r="D425" t="str">
        <f>VLOOKUP(Tabel1[[#This Row],[personeelsnr]],'data hastus'!$A:$C,3,0)</f>
        <v>David</v>
      </c>
      <c r="E425" t="str">
        <f>VLOOKUP(Tabel1[[#This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SUM(Tabel1[[#This Row],[Januari]:[December]])</f>
        <v>1</v>
      </c>
      <c r="T425" s="9">
        <v>45593</v>
      </c>
      <c r="U425" s="8" t="s">
        <v>848</v>
      </c>
      <c r="V425" s="8">
        <v>1</v>
      </c>
      <c r="W425" s="8"/>
      <c r="X425" t="s">
        <v>206</v>
      </c>
      <c r="Y425" t="s">
        <v>261</v>
      </c>
    </row>
    <row r="426" spans="1:25" x14ac:dyDescent="0.3">
      <c r="A426">
        <v>37542</v>
      </c>
      <c r="B426" t="str">
        <f>_xlfn.CONCAT(Tabel1[[#This Row],[personeelsnr]]," ",C426," ",D426)</f>
        <v>37542 De Tandt Hans</v>
      </c>
      <c r="C426" t="str">
        <f>VLOOKUP(Tabel1[[#This Row],[personeelsnr]],'data hastus'!$A:$C,2,0)</f>
        <v>De Tandt</v>
      </c>
      <c r="D426" t="str">
        <f>VLOOKUP(Tabel1[[#This Row],[personeelsnr]],'data hastus'!$A:$C,3,0)</f>
        <v>Hans</v>
      </c>
      <c r="E426" t="str">
        <f>VLOOKUP(Tabel1[[#This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SUM(Tabel1[[#This Row],[Januari]:[December]])</f>
        <v>1</v>
      </c>
      <c r="T426" s="9">
        <v>45593</v>
      </c>
      <c r="U426" s="8" t="s">
        <v>849</v>
      </c>
      <c r="V426" s="8"/>
      <c r="W426" s="8">
        <v>1</v>
      </c>
      <c r="X426" t="s">
        <v>207</v>
      </c>
      <c r="Y426" t="s">
        <v>217</v>
      </c>
    </row>
    <row r="427" spans="1:25" x14ac:dyDescent="0.3">
      <c r="A427">
        <v>40278</v>
      </c>
      <c r="B427" t="str">
        <f>_xlfn.CONCAT(Tabel1[[#This Row],[personeelsnr]]," ",C427," ",D427)</f>
        <v>40278 Ates Firat</v>
      </c>
      <c r="C427" t="str">
        <f>VLOOKUP(Tabel1[[#This Row],[personeelsnr]],'data hastus'!$A:$C,2,0)</f>
        <v>Ates</v>
      </c>
      <c r="D427" t="str">
        <f>VLOOKUP(Tabel1[[#This Row],[personeelsnr]],'data hastus'!$A:$C,3,0)</f>
        <v>Firat</v>
      </c>
      <c r="E427" t="str">
        <f>VLOOKUP(Tabel1[[#This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SUM(Tabel1[[#This Row],[Januari]:[December]])</f>
        <v>1</v>
      </c>
      <c r="T427" s="9">
        <v>45595</v>
      </c>
      <c r="U427" s="8" t="s">
        <v>850</v>
      </c>
      <c r="V427" s="8">
        <v>1</v>
      </c>
      <c r="W427" s="8"/>
      <c r="X427" t="s">
        <v>206</v>
      </c>
      <c r="Y427" t="s">
        <v>175</v>
      </c>
    </row>
    <row r="428" spans="1:25" x14ac:dyDescent="0.3">
      <c r="A428">
        <v>29540</v>
      </c>
      <c r="B428" t="str">
        <f>_xlfn.CONCAT(Tabel1[[#This Row],[personeelsnr]]," ",C428," ",D428)</f>
        <v>29540 De Keyzer Jan</v>
      </c>
      <c r="C428" t="str">
        <f>VLOOKUP(Tabel1[[#This Row],[personeelsnr]],'data hastus'!$A:$C,2,0)</f>
        <v>De Keyzer</v>
      </c>
      <c r="D428" t="str">
        <f>VLOOKUP(Tabel1[[#This Row],[personeelsnr]],'data hastus'!$A:$C,3,0)</f>
        <v>Jan</v>
      </c>
      <c r="E428" t="str">
        <f>VLOOKUP(Tabel1[[#This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SUM(Tabel1[[#This Row],[Januari]:[December]])</f>
        <v>1</v>
      </c>
      <c r="T428" s="9">
        <v>45595</v>
      </c>
      <c r="U428" s="8" t="s">
        <v>851</v>
      </c>
      <c r="V428" s="8">
        <v>1</v>
      </c>
      <c r="W428" s="8"/>
      <c r="X428" t="s">
        <v>206</v>
      </c>
      <c r="Y428" t="s">
        <v>169</v>
      </c>
    </row>
    <row r="429" spans="1:25" x14ac:dyDescent="0.3">
      <c r="A429">
        <v>30901</v>
      </c>
      <c r="B429" t="str">
        <f>_xlfn.CONCAT(Tabel1[[#This Row],[personeelsnr]]," ",C429," ",D429)</f>
        <v>30901 vanden Bulcke Johan</v>
      </c>
      <c r="C429" t="str">
        <f>VLOOKUP(Tabel1[[#This Row],[personeelsnr]],'data hastus'!$A:$C,2,0)</f>
        <v>vanden Bulcke</v>
      </c>
      <c r="D429" t="str">
        <f>VLOOKUP(Tabel1[[#This Row],[personeelsnr]],'data hastus'!$A:$C,3,0)</f>
        <v>Johan</v>
      </c>
      <c r="E429" t="str">
        <f>VLOOKUP(Tabel1[[#This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SUM(Tabel1[[#This Row],[Januari]:[December]])</f>
        <v>1</v>
      </c>
      <c r="T429" s="9">
        <v>45598</v>
      </c>
      <c r="U429" s="8" t="s">
        <v>852</v>
      </c>
      <c r="V429" s="8">
        <v>1</v>
      </c>
      <c r="W429" s="8"/>
      <c r="X429" t="s">
        <v>206</v>
      </c>
      <c r="Y429" t="s">
        <v>208</v>
      </c>
    </row>
    <row r="430" spans="1:25" x14ac:dyDescent="0.3">
      <c r="A430">
        <v>9999</v>
      </c>
      <c r="B430" t="str">
        <f>_xlfn.CONCAT(Tabel1[[#This Row],[personeelsnr]]," ",C430," ",D430)</f>
        <v>9999 - -</v>
      </c>
      <c r="C430" t="s">
        <v>3388</v>
      </c>
      <c r="D430" t="s">
        <v>3388</v>
      </c>
      <c r="E430" t="s">
        <v>1165</v>
      </c>
      <c r="F430" s="10"/>
      <c r="G430" s="7"/>
      <c r="H430" s="7"/>
      <c r="I430" s="7"/>
      <c r="Q430" s="5">
        <v>1</v>
      </c>
      <c r="S430" s="5">
        <f>SUM(Tabel1[[#This Row],[Januari]:[December]])</f>
        <v>1</v>
      </c>
      <c r="T430" s="9">
        <v>45598</v>
      </c>
      <c r="U430" s="8" t="s">
        <v>853</v>
      </c>
      <c r="V430" s="8">
        <v>1</v>
      </c>
      <c r="W430" s="8"/>
      <c r="X430" t="s">
        <v>206</v>
      </c>
      <c r="Y430" t="s">
        <v>200</v>
      </c>
    </row>
    <row r="431" spans="1:25" x14ac:dyDescent="0.3">
      <c r="A431">
        <v>39581</v>
      </c>
      <c r="B431" t="str">
        <f>_xlfn.CONCAT(Tabel1[[#This Row],[personeelsnr]]," ",C431," ",D431)</f>
        <v>39581 Vandenhaute Linus</v>
      </c>
      <c r="C431" t="str">
        <f>VLOOKUP(Tabel1[[#This Row],[personeelsnr]],'data hastus'!$A:$C,2,0)</f>
        <v>Vandenhaute</v>
      </c>
      <c r="D431" t="str">
        <f>VLOOKUP(Tabel1[[#This Row],[personeelsnr]],'data hastus'!$A:$C,3,0)</f>
        <v>Linus</v>
      </c>
      <c r="E431" t="str">
        <f>VLOOKUP(Tabel1[[#This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SUM(Tabel1[[#This Row],[Januari]:[December]])</f>
        <v>1</v>
      </c>
      <c r="T431" s="9">
        <v>45600</v>
      </c>
      <c r="U431" s="8" t="s">
        <v>854</v>
      </c>
      <c r="V431" s="8">
        <v>1</v>
      </c>
      <c r="W431" s="8"/>
      <c r="X431" t="s">
        <v>206</v>
      </c>
      <c r="Y431" t="s">
        <v>167</v>
      </c>
    </row>
    <row r="432" spans="1:25" x14ac:dyDescent="0.3">
      <c r="A432">
        <v>33488</v>
      </c>
      <c r="B432" t="str">
        <f>_xlfn.CONCAT(Tabel1[[#This Row],[personeelsnr]]," ",C432," ",D432)</f>
        <v>33488 Holub Patrik</v>
      </c>
      <c r="C432" t="str">
        <f>VLOOKUP(Tabel1[[#This Row],[personeelsnr]],'data hastus'!$A:$C,2,0)</f>
        <v>Holub</v>
      </c>
      <c r="D432" t="str">
        <f>VLOOKUP(Tabel1[[#This Row],[personeelsnr]],'data hastus'!$A:$C,3,0)</f>
        <v>Patrik</v>
      </c>
      <c r="E432" t="str">
        <f>VLOOKUP(Tabel1[[#This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SUM(Tabel1[[#This Row],[Januari]:[December]])</f>
        <v>1</v>
      </c>
      <c r="T432" s="9">
        <v>45600</v>
      </c>
      <c r="U432" s="8" t="s">
        <v>855</v>
      </c>
      <c r="V432" s="8">
        <v>1</v>
      </c>
      <c r="W432" s="8"/>
      <c r="X432" t="s">
        <v>206</v>
      </c>
      <c r="Y432" t="s">
        <v>167</v>
      </c>
    </row>
    <row r="433" spans="1:25" x14ac:dyDescent="0.3">
      <c r="A433">
        <v>26102</v>
      </c>
      <c r="B433" t="str">
        <f>_xlfn.CONCAT(Tabel1[[#This Row],[personeelsnr]]," ",C433," ",D433)</f>
        <v>26102 Bral Jessica</v>
      </c>
      <c r="C433" t="str">
        <f>VLOOKUP(Tabel1[[#This Row],[personeelsnr]],'data hastus'!$A:$C,2,0)</f>
        <v>Bral</v>
      </c>
      <c r="D433" t="str">
        <f>VLOOKUP(Tabel1[[#This Row],[personeelsnr]],'data hastus'!$A:$C,3,0)</f>
        <v>Jessica</v>
      </c>
      <c r="E433" t="str">
        <f>VLOOKUP(Tabel1[[#This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SUM(Tabel1[[#This Row],[Januari]:[December]])</f>
        <v>1</v>
      </c>
      <c r="T433" s="9">
        <v>45600</v>
      </c>
      <c r="U433" s="8" t="s">
        <v>856</v>
      </c>
      <c r="V433" s="8">
        <v>1</v>
      </c>
      <c r="W433" s="8"/>
      <c r="X433" t="s">
        <v>206</v>
      </c>
      <c r="Y433" t="s">
        <v>167</v>
      </c>
    </row>
    <row r="434" spans="1:25" x14ac:dyDescent="0.3">
      <c r="A434">
        <v>39528</v>
      </c>
      <c r="B434" t="str">
        <f>_xlfn.CONCAT(Tabel1[[#This Row],[personeelsnr]]," ",C434," ",D434)</f>
        <v>39528 Mihaylov Plamen</v>
      </c>
      <c r="C434" t="str">
        <f>VLOOKUP(Tabel1[[#This Row],[personeelsnr]],'data hastus'!$A:$C,2,0)</f>
        <v>Mihaylov</v>
      </c>
      <c r="D434" t="str">
        <f>VLOOKUP(Tabel1[[#This Row],[personeelsnr]],'data hastus'!$A:$C,3,0)</f>
        <v>Plamen</v>
      </c>
      <c r="E434" t="str">
        <f>VLOOKUP(Tabel1[[#This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SUM(Tabel1[[#This Row],[Januari]:[December]])</f>
        <v>1</v>
      </c>
      <c r="T434" s="9">
        <v>45601</v>
      </c>
      <c r="U434" s="8" t="s">
        <v>857</v>
      </c>
      <c r="V434" s="8">
        <v>1</v>
      </c>
      <c r="W434" s="8"/>
      <c r="X434" t="s">
        <v>206</v>
      </c>
      <c r="Y434" t="s">
        <v>167</v>
      </c>
    </row>
    <row r="435" spans="1:25" x14ac:dyDescent="0.3">
      <c r="A435">
        <v>32951</v>
      </c>
      <c r="B435" t="str">
        <f>_xlfn.CONCAT(Tabel1[[#This Row],[personeelsnr]]," ",C435," ",D435)</f>
        <v>32951 De Bruyne Sonia</v>
      </c>
      <c r="C435" t="str">
        <f>VLOOKUP(Tabel1[[#This Row],[personeelsnr]],'data hastus'!$A:$C,2,0)</f>
        <v>De Bruyne</v>
      </c>
      <c r="D435" t="str">
        <f>VLOOKUP(Tabel1[[#This Row],[personeelsnr]],'data hastus'!$A:$C,3,0)</f>
        <v>Sonia</v>
      </c>
      <c r="E435" t="str">
        <f>VLOOKUP(Tabel1[[#This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SUM(Tabel1[[#This Row],[Januari]:[December]])</f>
        <v>1</v>
      </c>
      <c r="T435" s="9">
        <v>45602</v>
      </c>
      <c r="U435" s="8" t="s">
        <v>858</v>
      </c>
      <c r="V435" s="8">
        <v>1</v>
      </c>
      <c r="W435" s="8"/>
      <c r="X435" t="s">
        <v>206</v>
      </c>
      <c r="Y435" t="s">
        <v>346</v>
      </c>
    </row>
    <row r="436" spans="1:25" x14ac:dyDescent="0.3">
      <c r="A436">
        <v>30121</v>
      </c>
      <c r="B436" t="str">
        <f>_xlfn.CONCAT(Tabel1[[#This Row],[personeelsnr]]," ",C436," ",D436)</f>
        <v>30121 Simons Andreas</v>
      </c>
      <c r="C436" t="str">
        <f>VLOOKUP(Tabel1[[#This Row],[personeelsnr]],'data hastus'!$A:$C,2,0)</f>
        <v>Simons</v>
      </c>
      <c r="D436" t="str">
        <f>VLOOKUP(Tabel1[[#This Row],[personeelsnr]],'data hastus'!$A:$C,3,0)</f>
        <v>Andreas</v>
      </c>
      <c r="E436" t="str">
        <f>VLOOKUP(Tabel1[[#This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SUM(Tabel1[[#This Row],[Januari]:[December]])</f>
        <v>1</v>
      </c>
      <c r="T436" s="9">
        <v>45602</v>
      </c>
      <c r="U436" s="8" t="s">
        <v>859</v>
      </c>
      <c r="V436" s="8">
        <v>1</v>
      </c>
      <c r="W436" s="8"/>
      <c r="X436" t="s">
        <v>206</v>
      </c>
      <c r="Y436" t="s">
        <v>177</v>
      </c>
    </row>
    <row r="437" spans="1:25" x14ac:dyDescent="0.3">
      <c r="A437">
        <v>33965</v>
      </c>
      <c r="B437" t="str">
        <f>_xlfn.CONCAT(Tabel1[[#This Row],[personeelsnr]]," ",C437," ",D437)</f>
        <v>33965 Van de Gehuchte Gilles</v>
      </c>
      <c r="C437" t="str">
        <f>VLOOKUP(Tabel1[[#This Row],[personeelsnr]],'data hastus'!$A:$C,2,0)</f>
        <v>Van de Gehuchte</v>
      </c>
      <c r="D437" t="str">
        <f>VLOOKUP(Tabel1[[#This Row],[personeelsnr]],'data hastus'!$A:$C,3,0)</f>
        <v>Gilles</v>
      </c>
      <c r="E437" t="str">
        <f>VLOOKUP(Tabel1[[#This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SUM(Tabel1[[#This Row],[Januari]:[December]])</f>
        <v>1</v>
      </c>
      <c r="T437" s="9">
        <v>45603</v>
      </c>
      <c r="U437" s="8" t="s">
        <v>860</v>
      </c>
      <c r="V437" s="8"/>
      <c r="W437" s="8">
        <v>1</v>
      </c>
      <c r="X437" t="s">
        <v>207</v>
      </c>
      <c r="Y437" t="s">
        <v>373</v>
      </c>
    </row>
    <row r="438" spans="1:25" x14ac:dyDescent="0.3">
      <c r="A438">
        <v>40223</v>
      </c>
      <c r="B438" t="str">
        <f>_xlfn.CONCAT(Tabel1[[#This Row],[personeelsnr]]," ",C438," ",D438)</f>
        <v>40223 Teetaert Billy</v>
      </c>
      <c r="C438" t="str">
        <f>VLOOKUP(Tabel1[[#This Row],[personeelsnr]],'data hastus'!$A:$C,2,0)</f>
        <v>Teetaert</v>
      </c>
      <c r="D438" t="str">
        <f>VLOOKUP(Tabel1[[#This Row],[personeelsnr]],'data hastus'!$A:$C,3,0)</f>
        <v>Billy</v>
      </c>
      <c r="E438" t="str">
        <f>VLOOKUP(Tabel1[[#This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SUM(Tabel1[[#This Row],[Januari]:[December]])</f>
        <v>1</v>
      </c>
      <c r="T438" s="9">
        <v>45603</v>
      </c>
      <c r="U438" s="8" t="s">
        <v>861</v>
      </c>
      <c r="V438" s="8">
        <v>1</v>
      </c>
      <c r="W438" s="8"/>
      <c r="X438" t="s">
        <v>206</v>
      </c>
      <c r="Y438" t="s">
        <v>233</v>
      </c>
    </row>
    <row r="439" spans="1:25" x14ac:dyDescent="0.3">
      <c r="A439">
        <v>20400</v>
      </c>
      <c r="B439" t="str">
        <f>_xlfn.CONCAT(Tabel1[[#This Row],[personeelsnr]]," ",C439," ",D439)</f>
        <v>20400 Allan Kenneth</v>
      </c>
      <c r="C439" t="str">
        <f>VLOOKUP(Tabel1[[#This Row],[personeelsnr]],'data hastus'!$A:$C,2,0)</f>
        <v>Allan</v>
      </c>
      <c r="D439" t="str">
        <f>VLOOKUP(Tabel1[[#This Row],[personeelsnr]],'data hastus'!$A:$C,3,0)</f>
        <v>Kenneth</v>
      </c>
      <c r="E439" t="str">
        <f>VLOOKUP(Tabel1[[#This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SUM(Tabel1[[#This Row],[Januari]:[December]])</f>
        <v>1</v>
      </c>
      <c r="T439" s="9">
        <v>45604</v>
      </c>
      <c r="U439" s="8" t="s">
        <v>862</v>
      </c>
      <c r="V439" s="8"/>
      <c r="W439" s="8">
        <v>1</v>
      </c>
      <c r="X439" t="s">
        <v>207</v>
      </c>
      <c r="Y439" t="s">
        <v>167</v>
      </c>
    </row>
    <row r="440" spans="1:25" x14ac:dyDescent="0.3">
      <c r="A440">
        <v>21121</v>
      </c>
      <c r="B440" t="str">
        <f>_xlfn.CONCAT(Tabel1[[#This Row],[personeelsnr]]," ",C440," ",D440)</f>
        <v>21121 Laforce Mike</v>
      </c>
      <c r="C440" t="str">
        <f>VLOOKUP(Tabel1[[#This Row],[personeelsnr]],'data hastus'!$A:$C,2,0)</f>
        <v>Laforce</v>
      </c>
      <c r="D440" t="str">
        <f>VLOOKUP(Tabel1[[#This Row],[personeelsnr]],'data hastus'!$A:$C,3,0)</f>
        <v>Mike</v>
      </c>
      <c r="E440" t="str">
        <f>VLOOKUP(Tabel1[[#This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SUM(Tabel1[[#This Row],[Januari]:[December]])</f>
        <v>1</v>
      </c>
      <c r="T440" s="9">
        <v>45604</v>
      </c>
      <c r="U440" s="8" t="s">
        <v>863</v>
      </c>
      <c r="V440" s="8"/>
      <c r="W440" s="8">
        <v>1</v>
      </c>
      <c r="X440" t="s">
        <v>207</v>
      </c>
      <c r="Y440" t="s">
        <v>174</v>
      </c>
    </row>
    <row r="441" spans="1:25" x14ac:dyDescent="0.3">
      <c r="A441">
        <v>37496</v>
      </c>
      <c r="B441" t="str">
        <f>_xlfn.CONCAT(Tabel1[[#This Row],[personeelsnr]]," ",C441," ",D441)</f>
        <v>37496 Oosterlinck Willy</v>
      </c>
      <c r="C441" t="str">
        <f>VLOOKUP(Tabel1[[#This Row],[personeelsnr]],'data hastus'!$A:$C,2,0)</f>
        <v>Oosterlinck</v>
      </c>
      <c r="D441" t="str">
        <f>VLOOKUP(Tabel1[[#This Row],[personeelsnr]],'data hastus'!$A:$C,3,0)</f>
        <v>Willy</v>
      </c>
      <c r="E441" t="str">
        <f>VLOOKUP(Tabel1[[#This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SUM(Tabel1[[#This Row],[Januari]:[December]])</f>
        <v>1</v>
      </c>
      <c r="T441" s="9">
        <v>45605</v>
      </c>
      <c r="U441" s="8" t="s">
        <v>864</v>
      </c>
      <c r="V441" s="8">
        <v>1</v>
      </c>
      <c r="W441" s="8"/>
      <c r="X441" t="s">
        <v>206</v>
      </c>
      <c r="Y441" t="s">
        <v>167</v>
      </c>
    </row>
    <row r="442" spans="1:25" x14ac:dyDescent="0.3">
      <c r="A442">
        <v>16545</v>
      </c>
      <c r="B442" t="str">
        <f>_xlfn.CONCAT(Tabel1[[#This Row],[personeelsnr]]," ",C442," ",D442)</f>
        <v>16545 Toch Erwin</v>
      </c>
      <c r="C442" t="str">
        <f>VLOOKUP(Tabel1[[#This Row],[personeelsnr]],'data hastus'!$A:$C,2,0)</f>
        <v>Toch</v>
      </c>
      <c r="D442" t="str">
        <f>VLOOKUP(Tabel1[[#This Row],[personeelsnr]],'data hastus'!$A:$C,3,0)</f>
        <v>Erwin</v>
      </c>
      <c r="E442" t="str">
        <f>VLOOKUP(Tabel1[[#This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SUM(Tabel1[[#This Row],[Januari]:[December]])</f>
        <v>1</v>
      </c>
      <c r="T442" s="9">
        <v>45605</v>
      </c>
      <c r="U442" s="8" t="s">
        <v>865</v>
      </c>
      <c r="V442" s="8">
        <v>1</v>
      </c>
      <c r="W442" s="8"/>
      <c r="X442" t="s">
        <v>206</v>
      </c>
      <c r="Y442" t="s">
        <v>202</v>
      </c>
    </row>
    <row r="443" spans="1:25" x14ac:dyDescent="0.3">
      <c r="A443">
        <v>30119</v>
      </c>
      <c r="B443" t="str">
        <f>_xlfn.CONCAT(Tabel1[[#This Row],[personeelsnr]]," ",C443," ",D443)</f>
        <v>30119 Haerens Tom</v>
      </c>
      <c r="C443" t="str">
        <f>VLOOKUP(Tabel1[[#This Row],[personeelsnr]],'data hastus'!$A:$C,2,0)</f>
        <v>Haerens</v>
      </c>
      <c r="D443" t="str">
        <f>VLOOKUP(Tabel1[[#This Row],[personeelsnr]],'data hastus'!$A:$C,3,0)</f>
        <v>Tom</v>
      </c>
      <c r="E443" t="str">
        <f>VLOOKUP(Tabel1[[#This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SUM(Tabel1[[#This Row],[Januari]:[December]])</f>
        <v>1</v>
      </c>
      <c r="T443" s="9">
        <v>45607</v>
      </c>
      <c r="U443" s="8" t="s">
        <v>866</v>
      </c>
      <c r="V443" s="8"/>
      <c r="W443" s="8">
        <v>1</v>
      </c>
      <c r="X443" t="s">
        <v>207</v>
      </c>
      <c r="Y443" t="s">
        <v>273</v>
      </c>
    </row>
    <row r="444" spans="1:25" x14ac:dyDescent="0.3">
      <c r="A444">
        <v>36626</v>
      </c>
      <c r="B444" t="str">
        <f>_xlfn.CONCAT(Tabel1[[#This Row],[personeelsnr]]," ",C444," ",D444)</f>
        <v>36626 Kartal Kadir</v>
      </c>
      <c r="C444" t="str">
        <f>VLOOKUP(Tabel1[[#This Row],[personeelsnr]],'data hastus'!$A:$C,2,0)</f>
        <v>Kartal</v>
      </c>
      <c r="D444" t="str">
        <f>VLOOKUP(Tabel1[[#This Row],[personeelsnr]],'data hastus'!$A:$C,3,0)</f>
        <v>Kadir</v>
      </c>
      <c r="E444" t="str">
        <f>VLOOKUP(Tabel1[[#This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SUM(Tabel1[[#This Row],[Januari]:[December]])</f>
        <v>1</v>
      </c>
      <c r="T444" s="9">
        <v>45608</v>
      </c>
      <c r="U444" s="8" t="s">
        <v>867</v>
      </c>
      <c r="V444" s="8">
        <v>1</v>
      </c>
      <c r="W444" s="8"/>
      <c r="X444" t="s">
        <v>206</v>
      </c>
      <c r="Y444" t="s">
        <v>192</v>
      </c>
    </row>
    <row r="445" spans="1:25" x14ac:dyDescent="0.3">
      <c r="A445">
        <v>35645</v>
      </c>
      <c r="B445" t="str">
        <f>_xlfn.CONCAT(Tabel1[[#This Row],[personeelsnr]]," ",C445," ",D445)</f>
        <v>35645 Jalili Yaseeb</v>
      </c>
      <c r="C445" t="str">
        <f>VLOOKUP(Tabel1[[#This Row],[personeelsnr]],'data hastus'!$A:$C,2,0)</f>
        <v>Jalili</v>
      </c>
      <c r="D445" t="str">
        <f>VLOOKUP(Tabel1[[#This Row],[personeelsnr]],'data hastus'!$A:$C,3,0)</f>
        <v>Yaseeb</v>
      </c>
      <c r="E445" t="str">
        <f>VLOOKUP(Tabel1[[#This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SUM(Tabel1[[#This Row],[Januari]:[December]])</f>
        <v>1</v>
      </c>
      <c r="T445" s="9">
        <v>45608</v>
      </c>
      <c r="U445" s="8" t="s">
        <v>868</v>
      </c>
      <c r="V445" s="8">
        <v>1</v>
      </c>
      <c r="W445" s="8"/>
      <c r="X445" t="s">
        <v>206</v>
      </c>
      <c r="Y445" t="s">
        <v>167</v>
      </c>
    </row>
    <row r="446" spans="1:25" x14ac:dyDescent="0.3">
      <c r="A446">
        <v>19249</v>
      </c>
      <c r="B446" t="str">
        <f>_xlfn.CONCAT(Tabel1[[#This Row],[personeelsnr]]," ",C446," ",D446)</f>
        <v>19249 Odaci Kadir</v>
      </c>
      <c r="C446" t="str">
        <f>VLOOKUP(Tabel1[[#This Row],[personeelsnr]],'data hastus'!$A:$C,2,0)</f>
        <v>Odaci</v>
      </c>
      <c r="D446" t="str">
        <f>VLOOKUP(Tabel1[[#This Row],[personeelsnr]],'data hastus'!$A:$C,3,0)</f>
        <v>Kadir</v>
      </c>
      <c r="E446" t="str">
        <f>VLOOKUP(Tabel1[[#This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SUM(Tabel1[[#This Row],[Januari]:[December]])</f>
        <v>1</v>
      </c>
      <c r="T446" s="9">
        <v>45609</v>
      </c>
      <c r="U446" s="8" t="s">
        <v>869</v>
      </c>
      <c r="V446" s="8">
        <v>1</v>
      </c>
      <c r="W446" s="8"/>
      <c r="X446" t="s">
        <v>206</v>
      </c>
      <c r="Y446" t="s">
        <v>174</v>
      </c>
    </row>
    <row r="447" spans="1:25" x14ac:dyDescent="0.3">
      <c r="A447">
        <v>15676</v>
      </c>
      <c r="B447" t="str">
        <f>_xlfn.CONCAT(Tabel1[[#This Row],[personeelsnr]]," ",C447," ",D447)</f>
        <v>15676 Mestdagh Tony</v>
      </c>
      <c r="C447" t="str">
        <f>VLOOKUP(Tabel1[[#This Row],[personeelsnr]],'data hastus'!$A:$C,2,0)</f>
        <v>Mestdagh</v>
      </c>
      <c r="D447" t="str">
        <f>VLOOKUP(Tabel1[[#This Row],[personeelsnr]],'data hastus'!$A:$C,3,0)</f>
        <v>Tony</v>
      </c>
      <c r="E447" t="str">
        <f>VLOOKUP(Tabel1[[#This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SUM(Tabel1[[#This Row],[Januari]:[December]])</f>
        <v>1</v>
      </c>
      <c r="T447" s="9">
        <v>45609</v>
      </c>
      <c r="U447" s="8" t="s">
        <v>870</v>
      </c>
      <c r="V447" s="8"/>
      <c r="W447" s="8">
        <v>1</v>
      </c>
      <c r="X447" t="s">
        <v>207</v>
      </c>
      <c r="Y447" t="s">
        <v>232</v>
      </c>
    </row>
    <row r="448" spans="1:25" x14ac:dyDescent="0.3">
      <c r="A448">
        <v>9999</v>
      </c>
      <c r="B448" t="str">
        <f>_xlfn.CONCAT(Tabel1[[#This Row],[personeelsnr]]," ",C448," ",D448)</f>
        <v>9999 - -</v>
      </c>
      <c r="C448" t="s">
        <v>3388</v>
      </c>
      <c r="D448" t="s">
        <v>3388</v>
      </c>
      <c r="E448" t="s">
        <v>1165</v>
      </c>
      <c r="F448" s="10"/>
      <c r="G448" s="7"/>
      <c r="H448" s="7"/>
      <c r="I448" s="7"/>
      <c r="Q448" s="5">
        <v>1</v>
      </c>
      <c r="S448" s="5">
        <f>SUM(Tabel1[[#This Row],[Januari]:[December]])</f>
        <v>1</v>
      </c>
      <c r="T448" s="9">
        <v>45610</v>
      </c>
      <c r="U448" s="8" t="s">
        <v>871</v>
      </c>
      <c r="V448" s="8">
        <v>1</v>
      </c>
      <c r="W448" s="8"/>
      <c r="X448" t="s">
        <v>206</v>
      </c>
      <c r="Y448" t="s">
        <v>211</v>
      </c>
    </row>
    <row r="449" spans="1:25" x14ac:dyDescent="0.3">
      <c r="A449">
        <v>39184</v>
      </c>
      <c r="B449" t="str">
        <f>_xlfn.CONCAT(Tabel1[[#This Row],[personeelsnr]]," ",C449," ",D449)</f>
        <v>39184 Shinwari Yasin</v>
      </c>
      <c r="C449" t="str">
        <f>VLOOKUP(Tabel1[[#This Row],[personeelsnr]],'data hastus'!$A:$C,2,0)</f>
        <v>Shinwari</v>
      </c>
      <c r="D449" t="str">
        <f>VLOOKUP(Tabel1[[#This Row],[personeelsnr]],'data hastus'!$A:$C,3,0)</f>
        <v>Yasin</v>
      </c>
      <c r="E449" t="str">
        <f>VLOOKUP(Tabel1[[#This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SUM(Tabel1[[#This Row],[Januari]:[December]])</f>
        <v>1</v>
      </c>
      <c r="T449" s="9">
        <v>45610</v>
      </c>
      <c r="U449" s="8" t="s">
        <v>872</v>
      </c>
      <c r="V449" s="8">
        <v>1</v>
      </c>
      <c r="W449" s="8"/>
      <c r="X449" t="s">
        <v>206</v>
      </c>
      <c r="Y449" t="s">
        <v>173</v>
      </c>
    </row>
    <row r="450" spans="1:25" x14ac:dyDescent="0.3">
      <c r="A450">
        <v>16895</v>
      </c>
      <c r="B450" t="str">
        <f>_xlfn.CONCAT(Tabel1[[#This Row],[personeelsnr]]," ",C450," ",D450)</f>
        <v>16895 Van Lauwe Freddy</v>
      </c>
      <c r="C450" t="str">
        <f>VLOOKUP(Tabel1[[#This Row],[personeelsnr]],'data hastus'!$A:$C,2,0)</f>
        <v>Van Lauwe</v>
      </c>
      <c r="D450" t="str">
        <f>VLOOKUP(Tabel1[[#This Row],[personeelsnr]],'data hastus'!$A:$C,3,0)</f>
        <v>Freddy</v>
      </c>
      <c r="E450" t="str">
        <f>VLOOKUP(Tabel1[[#This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SUM(Tabel1[[#This Row],[Januari]:[December]])</f>
        <v>1</v>
      </c>
      <c r="T450" s="9">
        <v>45610</v>
      </c>
      <c r="U450" s="8" t="s">
        <v>873</v>
      </c>
      <c r="V450" s="8"/>
      <c r="W450" s="8">
        <v>1</v>
      </c>
      <c r="X450" t="s">
        <v>207</v>
      </c>
      <c r="Y450" t="s">
        <v>209</v>
      </c>
    </row>
    <row r="451" spans="1:25" x14ac:dyDescent="0.3">
      <c r="A451">
        <v>35430</v>
      </c>
      <c r="B451" t="str">
        <f>_xlfn.CONCAT(Tabel1[[#This Row],[personeelsnr]]," ",C451," ",D451)</f>
        <v>35430 Vlaminck Dirk</v>
      </c>
      <c r="C451" t="str">
        <f>VLOOKUP(Tabel1[[#This Row],[personeelsnr]],'data hastus'!$A:$C,2,0)</f>
        <v>Vlaminck</v>
      </c>
      <c r="D451" t="str">
        <f>VLOOKUP(Tabel1[[#This Row],[personeelsnr]],'data hastus'!$A:$C,3,0)</f>
        <v>Dirk</v>
      </c>
      <c r="E451" t="str">
        <f>VLOOKUP(Tabel1[[#This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SUM(Tabel1[[#This Row],[Januari]:[December]])</f>
        <v>1</v>
      </c>
      <c r="T451" s="9">
        <v>45611</v>
      </c>
      <c r="U451" s="8" t="s">
        <v>874</v>
      </c>
      <c r="V451" s="8">
        <v>1</v>
      </c>
      <c r="W451" s="8"/>
      <c r="X451" t="s">
        <v>206</v>
      </c>
      <c r="Y451" t="s">
        <v>167</v>
      </c>
    </row>
    <row r="452" spans="1:25" x14ac:dyDescent="0.3">
      <c r="A452">
        <v>31111</v>
      </c>
      <c r="B452" t="str">
        <f>_xlfn.CONCAT(Tabel1[[#This Row],[personeelsnr]]," ",C452," ",D452)</f>
        <v>31111 Bonne Niko</v>
      </c>
      <c r="C452" t="str">
        <f>VLOOKUP(Tabel1[[#This Row],[personeelsnr]],'data hastus'!$A:$C,2,0)</f>
        <v>Bonne</v>
      </c>
      <c r="D452" t="str">
        <f>VLOOKUP(Tabel1[[#This Row],[personeelsnr]],'data hastus'!$A:$C,3,0)</f>
        <v>Niko</v>
      </c>
      <c r="E452" t="str">
        <f>VLOOKUP(Tabel1[[#This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SUM(Tabel1[[#This Row],[Januari]:[December]])</f>
        <v>1</v>
      </c>
      <c r="T452" s="9">
        <v>45613</v>
      </c>
      <c r="U452" s="8" t="s">
        <v>875</v>
      </c>
      <c r="V452" s="8">
        <v>1</v>
      </c>
      <c r="W452" s="8"/>
      <c r="X452" t="s">
        <v>206</v>
      </c>
      <c r="Y452" t="s">
        <v>188</v>
      </c>
    </row>
    <row r="453" spans="1:25" x14ac:dyDescent="0.3">
      <c r="A453">
        <v>36228</v>
      </c>
      <c r="B453" t="str">
        <f>_xlfn.CONCAT(Tabel1[[#This Row],[personeelsnr]]," ",C453," ",D453)</f>
        <v>36228 Kilinc Atilay</v>
      </c>
      <c r="C453" t="str">
        <f>VLOOKUP(Tabel1[[#This Row],[personeelsnr]],'data hastus'!$A:$C,2,0)</f>
        <v>Kilinc</v>
      </c>
      <c r="D453" t="str">
        <f>VLOOKUP(Tabel1[[#This Row],[personeelsnr]],'data hastus'!$A:$C,3,0)</f>
        <v>Atilay</v>
      </c>
      <c r="E453" t="str">
        <f>VLOOKUP(Tabel1[[#This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SUM(Tabel1[[#This Row],[Januari]:[December]])</f>
        <v>1</v>
      </c>
      <c r="T453" s="9">
        <v>45614</v>
      </c>
      <c r="U453" s="8" t="s">
        <v>876</v>
      </c>
      <c r="V453" s="8"/>
      <c r="W453" s="8">
        <v>1</v>
      </c>
      <c r="X453" t="s">
        <v>207</v>
      </c>
      <c r="Y453" t="s">
        <v>167</v>
      </c>
    </row>
    <row r="454" spans="1:25" x14ac:dyDescent="0.3">
      <c r="A454">
        <v>40200</v>
      </c>
      <c r="B454" t="str">
        <f>_xlfn.CONCAT(Tabel1[[#This Row],[personeelsnr]]," ",C454," ",D454)</f>
        <v>40200 Shahriyari Khalil</v>
      </c>
      <c r="C454" t="str">
        <f>VLOOKUP(Tabel1[[#This Row],[personeelsnr]],'data hastus'!$A:$C,2,0)</f>
        <v>Shahriyari</v>
      </c>
      <c r="D454" t="str">
        <f>VLOOKUP(Tabel1[[#This Row],[personeelsnr]],'data hastus'!$A:$C,3,0)</f>
        <v>Khalil</v>
      </c>
      <c r="E454" t="str">
        <f>VLOOKUP(Tabel1[[#This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SUM(Tabel1[[#This Row],[Januari]:[December]])</f>
        <v>1</v>
      </c>
      <c r="T454" s="9">
        <v>45615</v>
      </c>
      <c r="U454" s="8" t="s">
        <v>877</v>
      </c>
      <c r="V454" s="8">
        <v>1</v>
      </c>
      <c r="W454" s="8"/>
      <c r="X454" t="s">
        <v>206</v>
      </c>
      <c r="Y454" t="s">
        <v>321</v>
      </c>
    </row>
    <row r="455" spans="1:25" x14ac:dyDescent="0.3">
      <c r="A455">
        <v>35463</v>
      </c>
      <c r="B455" t="str">
        <f>_xlfn.CONCAT(Tabel1[[#This Row],[personeelsnr]]," ",C455," ",D455)</f>
        <v>35463 Vandaele Tom</v>
      </c>
      <c r="C455" t="str">
        <f>VLOOKUP(Tabel1[[#This Row],[personeelsnr]],'data hastus'!$A:$C,2,0)</f>
        <v>Vandaele</v>
      </c>
      <c r="D455" t="str">
        <f>VLOOKUP(Tabel1[[#This Row],[personeelsnr]],'data hastus'!$A:$C,3,0)</f>
        <v>Tom</v>
      </c>
      <c r="E455" t="str">
        <f>VLOOKUP(Tabel1[[#This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SUM(Tabel1[[#This Row],[Januari]:[December]])</f>
        <v>1</v>
      </c>
      <c r="T455" s="9">
        <v>45615</v>
      </c>
      <c r="U455" s="8" t="s">
        <v>878</v>
      </c>
      <c r="V455" s="8"/>
      <c r="W455" s="8">
        <v>1</v>
      </c>
      <c r="X455" t="s">
        <v>207</v>
      </c>
      <c r="Y455" t="s">
        <v>369</v>
      </c>
    </row>
    <row r="456" spans="1:25" x14ac:dyDescent="0.3">
      <c r="A456">
        <v>29821</v>
      </c>
      <c r="B456" t="str">
        <f>_xlfn.CONCAT(Tabel1[[#This Row],[personeelsnr]]," ",C456," ",D456)</f>
        <v>29821 Mehman Doust Farhad</v>
      </c>
      <c r="C456" t="str">
        <f>VLOOKUP(Tabel1[[#This Row],[personeelsnr]],'data hastus'!$A:$C,2,0)</f>
        <v>Mehman Doust</v>
      </c>
      <c r="D456" t="str">
        <f>VLOOKUP(Tabel1[[#This Row],[personeelsnr]],'data hastus'!$A:$C,3,0)</f>
        <v>Farhad</v>
      </c>
      <c r="E456" t="str">
        <f>VLOOKUP(Tabel1[[#This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SUM(Tabel1[[#This Row],[Januari]:[December]])</f>
        <v>1</v>
      </c>
      <c r="T456" s="9">
        <v>45615</v>
      </c>
      <c r="U456" s="8" t="s">
        <v>879</v>
      </c>
      <c r="V456" s="8"/>
      <c r="W456" s="8">
        <v>1</v>
      </c>
      <c r="X456" t="s">
        <v>207</v>
      </c>
      <c r="Y456" t="s">
        <v>227</v>
      </c>
    </row>
    <row r="457" spans="1:25" x14ac:dyDescent="0.3">
      <c r="A457">
        <v>30967</v>
      </c>
      <c r="B457" t="str">
        <f>_xlfn.CONCAT(Tabel1[[#This Row],[personeelsnr]]," ",C457," ",D457)</f>
        <v>30967 Taser Fatih</v>
      </c>
      <c r="C457" t="str">
        <f>VLOOKUP(Tabel1[[#This Row],[personeelsnr]],'data hastus'!$A:$C,2,0)</f>
        <v>Taser</v>
      </c>
      <c r="D457" t="str">
        <f>VLOOKUP(Tabel1[[#This Row],[personeelsnr]],'data hastus'!$A:$C,3,0)</f>
        <v>Fatih</v>
      </c>
      <c r="E457" t="str">
        <f>VLOOKUP(Tabel1[[#This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SUM(Tabel1[[#This Row],[Januari]:[December]])</f>
        <v>1</v>
      </c>
      <c r="T457" s="9">
        <v>45615</v>
      </c>
      <c r="U457" s="8" t="s">
        <v>880</v>
      </c>
      <c r="V457" s="8">
        <v>1</v>
      </c>
      <c r="W457" s="8"/>
      <c r="X457" t="s">
        <v>206</v>
      </c>
      <c r="Y457" t="s">
        <v>177</v>
      </c>
    </row>
    <row r="458" spans="1:25" x14ac:dyDescent="0.3">
      <c r="A458">
        <v>31635</v>
      </c>
      <c r="B458" t="str">
        <f>_xlfn.CONCAT(Tabel1[[#This Row],[personeelsnr]]," ",C458," ",D458)</f>
        <v>31635 Vaeyens Midas</v>
      </c>
      <c r="C458" t="str">
        <f>VLOOKUP(Tabel1[[#This Row],[personeelsnr]],'data hastus'!$A:$C,2,0)</f>
        <v>Vaeyens</v>
      </c>
      <c r="D458" t="str">
        <f>VLOOKUP(Tabel1[[#This Row],[personeelsnr]],'data hastus'!$A:$C,3,0)</f>
        <v>Midas</v>
      </c>
      <c r="E458" t="str">
        <f>VLOOKUP(Tabel1[[#This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SUM(Tabel1[[#This Row],[Januari]:[December]])</f>
        <v>1</v>
      </c>
      <c r="T458" s="9">
        <v>45616</v>
      </c>
      <c r="U458" s="8" t="s">
        <v>881</v>
      </c>
      <c r="V458" s="8">
        <v>1</v>
      </c>
      <c r="W458" s="8"/>
      <c r="X458" t="s">
        <v>206</v>
      </c>
      <c r="Y458" t="s">
        <v>240</v>
      </c>
    </row>
    <row r="459" spans="1:25" x14ac:dyDescent="0.3">
      <c r="A459">
        <v>34445</v>
      </c>
      <c r="B459" t="str">
        <f>_xlfn.CONCAT(Tabel1[[#This Row],[personeelsnr]]," ",C459," ",D459)</f>
        <v>34445 Wulleput Illya</v>
      </c>
      <c r="C459" t="str">
        <f>VLOOKUP(Tabel1[[#This Row],[personeelsnr]],'data hastus'!$A:$C,2,0)</f>
        <v>Wulleput</v>
      </c>
      <c r="D459" t="str">
        <f>VLOOKUP(Tabel1[[#This Row],[personeelsnr]],'data hastus'!$A:$C,3,0)</f>
        <v>Illya</v>
      </c>
      <c r="E459" t="str">
        <f>VLOOKUP(Tabel1[[#This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SUM(Tabel1[[#This Row],[Januari]:[December]])</f>
        <v>1</v>
      </c>
      <c r="T459" s="9">
        <v>45617</v>
      </c>
      <c r="U459" s="8" t="s">
        <v>882</v>
      </c>
      <c r="V459" s="8"/>
      <c r="W459" s="8">
        <v>1</v>
      </c>
      <c r="X459" t="s">
        <v>207</v>
      </c>
      <c r="Y459" t="s">
        <v>280</v>
      </c>
    </row>
    <row r="460" spans="1:25" x14ac:dyDescent="0.3">
      <c r="A460">
        <v>32951</v>
      </c>
      <c r="B460" t="str">
        <f>_xlfn.CONCAT(Tabel1[[#This Row],[personeelsnr]]," ",C460," ",D460)</f>
        <v>32951 De Bruyne Sonia</v>
      </c>
      <c r="C460" t="str">
        <f>VLOOKUP(Tabel1[[#This Row],[personeelsnr]],'data hastus'!$A:$C,2,0)</f>
        <v>De Bruyne</v>
      </c>
      <c r="D460" t="str">
        <f>VLOOKUP(Tabel1[[#This Row],[personeelsnr]],'data hastus'!$A:$C,3,0)</f>
        <v>Sonia</v>
      </c>
      <c r="E460" t="str">
        <f>VLOOKUP(Tabel1[[#This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SUM(Tabel1[[#This Row],[Januari]:[December]])</f>
        <v>1</v>
      </c>
      <c r="T460" s="9">
        <v>45618</v>
      </c>
      <c r="U460" s="8" t="s">
        <v>883</v>
      </c>
      <c r="V460" s="8">
        <v>1</v>
      </c>
      <c r="W460" s="8"/>
      <c r="X460" t="s">
        <v>206</v>
      </c>
      <c r="Y460" t="s">
        <v>359</v>
      </c>
    </row>
    <row r="461" spans="1:25" x14ac:dyDescent="0.3">
      <c r="A461">
        <v>34445</v>
      </c>
      <c r="B461" t="str">
        <f>_xlfn.CONCAT(Tabel1[[#This Row],[personeelsnr]]," ",C461," ",D461)</f>
        <v>34445 Wulleput Illya</v>
      </c>
      <c r="C461" t="str">
        <f>VLOOKUP(Tabel1[[#This Row],[personeelsnr]],'data hastus'!$A:$C,2,0)</f>
        <v>Wulleput</v>
      </c>
      <c r="D461" t="str">
        <f>VLOOKUP(Tabel1[[#This Row],[personeelsnr]],'data hastus'!$A:$C,3,0)</f>
        <v>Illya</v>
      </c>
      <c r="E461" t="str">
        <f>VLOOKUP(Tabel1[[#This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SUM(Tabel1[[#This Row],[Januari]:[December]])</f>
        <v>1</v>
      </c>
      <c r="T461" s="9">
        <v>45618</v>
      </c>
      <c r="U461" s="8" t="s">
        <v>884</v>
      </c>
      <c r="V461" s="8"/>
      <c r="W461" s="8">
        <v>1</v>
      </c>
      <c r="X461" t="s">
        <v>207</v>
      </c>
      <c r="Y461" t="s">
        <v>270</v>
      </c>
    </row>
    <row r="462" spans="1:25" x14ac:dyDescent="0.3">
      <c r="A462">
        <v>40138</v>
      </c>
      <c r="B462" t="str">
        <f>_xlfn.CONCAT(Tabel1[[#This Row],[personeelsnr]]," ",C462," ",D462)</f>
        <v>40138 Moerman Tjimmy</v>
      </c>
      <c r="C462" t="str">
        <f>VLOOKUP(Tabel1[[#This Row],[personeelsnr]],'data hastus'!$A:$C,2,0)</f>
        <v>Moerman</v>
      </c>
      <c r="D462" t="str">
        <f>VLOOKUP(Tabel1[[#This Row],[personeelsnr]],'data hastus'!$A:$C,3,0)</f>
        <v>Tjimmy</v>
      </c>
      <c r="E462" t="str">
        <f>VLOOKUP(Tabel1[[#This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SUM(Tabel1[[#This Row],[Januari]:[December]])</f>
        <v>1</v>
      </c>
      <c r="T462" s="9">
        <v>45619</v>
      </c>
      <c r="U462" s="8" t="s">
        <v>885</v>
      </c>
      <c r="V462" s="8">
        <v>1</v>
      </c>
      <c r="W462" s="8"/>
      <c r="X462" t="s">
        <v>206</v>
      </c>
      <c r="Y462" t="s">
        <v>168</v>
      </c>
    </row>
    <row r="463" spans="1:25" x14ac:dyDescent="0.3">
      <c r="A463">
        <v>9999</v>
      </c>
      <c r="B463" t="str">
        <f>_xlfn.CONCAT(Tabel1[[#This Row],[personeelsnr]]," ",C463," ",D463)</f>
        <v>9999 - -</v>
      </c>
      <c r="C463" t="s">
        <v>3388</v>
      </c>
      <c r="D463" t="s">
        <v>3388</v>
      </c>
      <c r="E463" t="s">
        <v>1165</v>
      </c>
      <c r="F463" s="10"/>
      <c r="G463" s="7"/>
      <c r="H463" s="7"/>
      <c r="I463" s="7"/>
      <c r="Q463" s="5">
        <v>1</v>
      </c>
      <c r="S463" s="5">
        <f>SUM(Tabel1[[#This Row],[Januari]:[December]])</f>
        <v>1</v>
      </c>
      <c r="T463" s="9">
        <v>45619</v>
      </c>
      <c r="U463" s="8" t="s">
        <v>886</v>
      </c>
      <c r="V463" s="8">
        <v>1</v>
      </c>
      <c r="W463" s="8"/>
      <c r="X463" t="s">
        <v>206</v>
      </c>
      <c r="Y463" t="s">
        <v>374</v>
      </c>
    </row>
    <row r="464" spans="1:25" x14ac:dyDescent="0.3">
      <c r="A464">
        <v>39930</v>
      </c>
      <c r="B464" t="str">
        <f>_xlfn.CONCAT(Tabel1[[#This Row],[personeelsnr]]," ",C464," ",D464)</f>
        <v>39930 Mirazai Rahmatullah</v>
      </c>
      <c r="C464" t="str">
        <f>VLOOKUP(Tabel1[[#This Row],[personeelsnr]],'data hastus'!$A:$C,2,0)</f>
        <v>Mirazai</v>
      </c>
      <c r="D464" t="str">
        <f>VLOOKUP(Tabel1[[#This Row],[personeelsnr]],'data hastus'!$A:$C,3,0)</f>
        <v>Rahmatullah</v>
      </c>
      <c r="E464" t="str">
        <f>VLOOKUP(Tabel1[[#This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SUM(Tabel1[[#This Row],[Januari]:[December]])</f>
        <v>1</v>
      </c>
      <c r="T464" s="9">
        <v>45622</v>
      </c>
      <c r="U464" s="8" t="s">
        <v>887</v>
      </c>
      <c r="V464" s="8">
        <v>1</v>
      </c>
      <c r="W464" s="8"/>
      <c r="X464" t="s">
        <v>206</v>
      </c>
      <c r="Y464" t="s">
        <v>241</v>
      </c>
    </row>
    <row r="465" spans="1:25" x14ac:dyDescent="0.3">
      <c r="A465">
        <v>40134</v>
      </c>
      <c r="B465" t="str">
        <f>_xlfn.CONCAT(Tabel1[[#This Row],[personeelsnr]]," ",C465," ",D465)</f>
        <v>40134 Cardon Sharon</v>
      </c>
      <c r="C465" t="str">
        <f>VLOOKUP(Tabel1[[#This Row],[personeelsnr]],'data hastus'!$A:$C,2,0)</f>
        <v>Cardon</v>
      </c>
      <c r="D465" t="str">
        <f>VLOOKUP(Tabel1[[#This Row],[personeelsnr]],'data hastus'!$A:$C,3,0)</f>
        <v>Sharon</v>
      </c>
      <c r="E465" t="str">
        <f>VLOOKUP(Tabel1[[#This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SUM(Tabel1[[#This Row],[Januari]:[December]])</f>
        <v>1</v>
      </c>
      <c r="T465" s="9">
        <v>45624</v>
      </c>
      <c r="U465" s="8" t="s">
        <v>888</v>
      </c>
      <c r="V465" s="8">
        <v>1</v>
      </c>
      <c r="W465" s="8"/>
      <c r="X465" t="s">
        <v>206</v>
      </c>
      <c r="Y465" t="s">
        <v>177</v>
      </c>
    </row>
    <row r="466" spans="1:25" x14ac:dyDescent="0.3">
      <c r="A466">
        <v>40859</v>
      </c>
      <c r="B466" t="str">
        <f>_xlfn.CONCAT(Tabel1[[#This Row],[personeelsnr]]," ",C466," ",D466)</f>
        <v>40859 Yagoub Abdelali</v>
      </c>
      <c r="C466" t="str">
        <f>VLOOKUP(Tabel1[[#This Row],[personeelsnr]],'data hastus'!$A:$C,2,0)</f>
        <v>Yagoub</v>
      </c>
      <c r="D466" t="str">
        <f>VLOOKUP(Tabel1[[#This Row],[personeelsnr]],'data hastus'!$A:$C,3,0)</f>
        <v>Abdelali</v>
      </c>
      <c r="E466" t="str">
        <f>VLOOKUP(Tabel1[[#This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SUM(Tabel1[[#This Row],[Januari]:[December]])</f>
        <v>1</v>
      </c>
      <c r="T466" s="9">
        <v>45624</v>
      </c>
      <c r="U466" s="8" t="s">
        <v>889</v>
      </c>
      <c r="V466" s="8">
        <v>1</v>
      </c>
      <c r="W466" s="8"/>
      <c r="X466" t="s">
        <v>206</v>
      </c>
      <c r="Y466" t="s">
        <v>190</v>
      </c>
    </row>
    <row r="467" spans="1:25" x14ac:dyDescent="0.3">
      <c r="A467">
        <v>9999</v>
      </c>
      <c r="B467" t="str">
        <f>_xlfn.CONCAT(Tabel1[[#This Row],[personeelsnr]]," ",C467," ",D467)</f>
        <v>9999 - -</v>
      </c>
      <c r="C467" t="s">
        <v>3388</v>
      </c>
      <c r="D467" t="s">
        <v>3388</v>
      </c>
      <c r="E467" t="s">
        <v>1165</v>
      </c>
      <c r="F467" s="10"/>
      <c r="G467" s="7"/>
      <c r="H467" s="7"/>
      <c r="I467" s="7"/>
      <c r="Q467" s="5">
        <v>1</v>
      </c>
      <c r="S467" s="5">
        <f>SUM(Tabel1[[#This Row],[Januari]:[December]])</f>
        <v>1</v>
      </c>
      <c r="T467" s="9">
        <v>45625</v>
      </c>
      <c r="U467" s="8" t="s">
        <v>890</v>
      </c>
      <c r="V467" s="8">
        <v>1</v>
      </c>
      <c r="W467" s="8"/>
      <c r="X467" t="s">
        <v>206</v>
      </c>
      <c r="Y467" t="s">
        <v>170</v>
      </c>
    </row>
    <row r="468" spans="1:25" x14ac:dyDescent="0.3">
      <c r="A468">
        <v>41092</v>
      </c>
      <c r="B468" t="str">
        <f>_xlfn.CONCAT(Tabel1[[#This Row],[personeelsnr]]," ",C468," ",D468)</f>
        <v>41092 De Keyser Dorien</v>
      </c>
      <c r="C468" t="str">
        <f>VLOOKUP(Tabel1[[#This Row],[personeelsnr]],'data hastus'!$A:$C,2,0)</f>
        <v>De Keyser</v>
      </c>
      <c r="D468" t="str">
        <f>VLOOKUP(Tabel1[[#This Row],[personeelsnr]],'data hastus'!$A:$C,3,0)</f>
        <v>Dorien</v>
      </c>
      <c r="E468" t="str">
        <f>VLOOKUP(Tabel1[[#This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SUM(Tabel1[[#This Row],[Januari]:[December]])</f>
        <v>1</v>
      </c>
      <c r="T468" s="9">
        <v>45625</v>
      </c>
      <c r="U468" s="8" t="s">
        <v>891</v>
      </c>
      <c r="V468" s="8">
        <v>1</v>
      </c>
      <c r="W468" s="8"/>
      <c r="X468" t="s">
        <v>206</v>
      </c>
      <c r="Y468" t="s">
        <v>231</v>
      </c>
    </row>
    <row r="469" spans="1:25" x14ac:dyDescent="0.3">
      <c r="A469">
        <v>40134</v>
      </c>
      <c r="B469" t="str">
        <f>_xlfn.CONCAT(Tabel1[[#This Row],[personeelsnr]]," ",C469," ",D469)</f>
        <v>40134 Cardon Sharon</v>
      </c>
      <c r="C469" t="str">
        <f>VLOOKUP(Tabel1[[#This Row],[personeelsnr]],'data hastus'!$A:$C,2,0)</f>
        <v>Cardon</v>
      </c>
      <c r="D469" t="str">
        <f>VLOOKUP(Tabel1[[#This Row],[personeelsnr]],'data hastus'!$A:$C,3,0)</f>
        <v>Sharon</v>
      </c>
      <c r="E469" t="str">
        <f>VLOOKUP(Tabel1[[#This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SUM(Tabel1[[#This Row],[Januari]:[December]])</f>
        <v>1</v>
      </c>
      <c r="T469" s="9">
        <v>45626</v>
      </c>
      <c r="U469" s="8" t="s">
        <v>892</v>
      </c>
      <c r="V469" s="8">
        <v>1</v>
      </c>
      <c r="W469" s="8"/>
      <c r="X469" t="s">
        <v>206</v>
      </c>
      <c r="Y469" t="s">
        <v>169</v>
      </c>
    </row>
    <row r="470" spans="1:25" x14ac:dyDescent="0.3">
      <c r="A470">
        <v>12684</v>
      </c>
      <c r="B470" t="str">
        <f>_xlfn.CONCAT(Tabel1[[#This Row],[personeelsnr]]," ",C470," ",D470)</f>
        <v>12684 Van Den Bossche Martine</v>
      </c>
      <c r="C470" t="str">
        <f>VLOOKUP(Tabel1[[#This Row],[personeelsnr]],'data hastus'!$A:$C,2,0)</f>
        <v>Van Den Bossche</v>
      </c>
      <c r="D470" t="str">
        <f>VLOOKUP(Tabel1[[#This Row],[personeelsnr]],'data hastus'!$A:$C,3,0)</f>
        <v>Martine</v>
      </c>
      <c r="E470" t="str">
        <f>VLOOKUP(Tabel1[[#This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SUM(Tabel1[[#This Row],[Januari]:[December]])</f>
        <v>1</v>
      </c>
      <c r="T470" s="9">
        <v>45626</v>
      </c>
      <c r="U470" s="8" t="s">
        <v>893</v>
      </c>
      <c r="V470" s="8">
        <v>1</v>
      </c>
      <c r="W470" s="8"/>
      <c r="X470" t="s">
        <v>206</v>
      </c>
      <c r="Y470" t="s">
        <v>196</v>
      </c>
    </row>
    <row r="471" spans="1:25" x14ac:dyDescent="0.3">
      <c r="A471">
        <v>33965</v>
      </c>
      <c r="B471" t="str">
        <f>_xlfn.CONCAT(Tabel1[[#This Row],[personeelsnr]]," ",C471," ",D471)</f>
        <v>33965 Van de Gehuchte Gilles</v>
      </c>
      <c r="C471" t="str">
        <f>VLOOKUP(Tabel1[[#This Row],[personeelsnr]],'data hastus'!$A:$C,2,0)</f>
        <v>Van de Gehuchte</v>
      </c>
      <c r="D471" t="str">
        <f>VLOOKUP(Tabel1[[#This Row],[personeelsnr]],'data hastus'!$A:$C,3,0)</f>
        <v>Gilles</v>
      </c>
      <c r="E471" t="str">
        <f>VLOOKUP(Tabel1[[#This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SUM(Tabel1[[#This Row],[Januari]:[December]])</f>
        <v>1</v>
      </c>
      <c r="T471" s="9">
        <v>45626</v>
      </c>
      <c r="U471" s="8" t="s">
        <v>894</v>
      </c>
      <c r="V471" s="8"/>
      <c r="W471" s="8">
        <v>1</v>
      </c>
      <c r="X471" t="s">
        <v>207</v>
      </c>
      <c r="Y471" t="s">
        <v>245</v>
      </c>
    </row>
    <row r="472" spans="1:25" x14ac:dyDescent="0.3">
      <c r="A472">
        <v>13020</v>
      </c>
      <c r="B472" t="str">
        <f>_xlfn.CONCAT(Tabel1[[#This Row],[personeelsnr]]," ",C472," ",D472)</f>
        <v>13020 Boutiebi Ahmed</v>
      </c>
      <c r="C472" t="str">
        <f>VLOOKUP(Tabel1[[#This Row],[personeelsnr]],'data hastus'!$A:$C,2,0)</f>
        <v>Boutiebi</v>
      </c>
      <c r="D472" t="str">
        <f>VLOOKUP(Tabel1[[#This Row],[personeelsnr]],'data hastus'!$A:$C,3,0)</f>
        <v>Ahmed</v>
      </c>
      <c r="E472" t="str">
        <f>VLOOKUP(Tabel1[[#This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SUM(Tabel1[[#This Row],[Januari]:[December]])</f>
        <v>1</v>
      </c>
      <c r="T472" s="9">
        <v>45626</v>
      </c>
      <c r="U472" s="8" t="s">
        <v>895</v>
      </c>
      <c r="V472" s="8"/>
      <c r="W472" s="8">
        <v>1</v>
      </c>
      <c r="X472" t="s">
        <v>207</v>
      </c>
      <c r="Y472" t="s">
        <v>209</v>
      </c>
    </row>
    <row r="473" spans="1:25" x14ac:dyDescent="0.3">
      <c r="A473">
        <v>36438</v>
      </c>
      <c r="B473" t="str">
        <f>_xlfn.CONCAT(Tabel1[[#This Row],[personeelsnr]]," ",C473," ",D473)</f>
        <v>36438 Agil Birol</v>
      </c>
      <c r="C473" t="str">
        <f>VLOOKUP(Tabel1[[#This Row],[personeelsnr]],'data hastus'!$A:$C,2,0)</f>
        <v>Agil</v>
      </c>
      <c r="D473" t="str">
        <f>VLOOKUP(Tabel1[[#This Row],[personeelsnr]],'data hastus'!$A:$C,3,0)</f>
        <v>Birol</v>
      </c>
      <c r="E473" t="str">
        <f>VLOOKUP(Tabel1[[#This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SUM(Tabel1[[#This Row],[Januari]:[December]])</f>
        <v>1</v>
      </c>
      <c r="T473" s="9">
        <v>45627</v>
      </c>
      <c r="U473" s="8" t="s">
        <v>896</v>
      </c>
      <c r="V473" s="8"/>
      <c r="W473" s="8">
        <v>1</v>
      </c>
      <c r="X473" t="s">
        <v>207</v>
      </c>
      <c r="Y473" t="s">
        <v>182</v>
      </c>
    </row>
    <row r="474" spans="1:25" x14ac:dyDescent="0.3">
      <c r="A474">
        <v>19917</v>
      </c>
      <c r="B474" t="str">
        <f>_xlfn.CONCAT(Tabel1[[#This Row],[personeelsnr]]," ",C474," ",D474)</f>
        <v>19917 Vandevyvere Frank</v>
      </c>
      <c r="C474" t="str">
        <f>VLOOKUP(Tabel1[[#This Row],[personeelsnr]],'data hastus'!$A:$C,2,0)</f>
        <v>Vandevyvere</v>
      </c>
      <c r="D474" t="str">
        <f>VLOOKUP(Tabel1[[#This Row],[personeelsnr]],'data hastus'!$A:$C,3,0)</f>
        <v>Frank</v>
      </c>
      <c r="E474" t="str">
        <f>VLOOKUP(Tabel1[[#This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SUM(Tabel1[[#This Row],[Januari]:[December]])</f>
        <v>1</v>
      </c>
      <c r="T474" s="9">
        <v>45628</v>
      </c>
      <c r="U474" s="8" t="s">
        <v>897</v>
      </c>
      <c r="V474" s="8">
        <v>1</v>
      </c>
      <c r="W474" s="8"/>
      <c r="X474" t="s">
        <v>206</v>
      </c>
      <c r="Y474" t="s">
        <v>322</v>
      </c>
    </row>
    <row r="475" spans="1:25" x14ac:dyDescent="0.3">
      <c r="A475">
        <v>37254</v>
      </c>
      <c r="B475" t="str">
        <f>_xlfn.CONCAT(Tabel1[[#This Row],[personeelsnr]]," ",C475," ",D475)</f>
        <v>37254 Coulon Rayan</v>
      </c>
      <c r="C475" t="str">
        <f>VLOOKUP(Tabel1[[#This Row],[personeelsnr]],'data hastus'!$A:$C,2,0)</f>
        <v>Coulon</v>
      </c>
      <c r="D475" t="str">
        <f>VLOOKUP(Tabel1[[#This Row],[personeelsnr]],'data hastus'!$A:$C,3,0)</f>
        <v>Rayan</v>
      </c>
      <c r="E475" t="str">
        <f>VLOOKUP(Tabel1[[#This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SUM(Tabel1[[#This Row],[Januari]:[December]])</f>
        <v>1</v>
      </c>
      <c r="T475" s="9">
        <v>45628</v>
      </c>
      <c r="U475" s="8" t="s">
        <v>898</v>
      </c>
      <c r="V475" s="8"/>
      <c r="W475" s="8">
        <v>1</v>
      </c>
      <c r="X475" t="s">
        <v>207</v>
      </c>
      <c r="Y475" t="s">
        <v>289</v>
      </c>
    </row>
    <row r="476" spans="1:25" x14ac:dyDescent="0.3">
      <c r="A476">
        <v>8394</v>
      </c>
      <c r="B476" t="str">
        <f>_xlfn.CONCAT(Tabel1[[#This Row],[personeelsnr]]," ",C476," ",D476)</f>
        <v>8394 Smet Antoon</v>
      </c>
      <c r="C476" t="str">
        <f>VLOOKUP(Tabel1[[#This Row],[personeelsnr]],'data hastus'!$A:$C,2,0)</f>
        <v>Smet</v>
      </c>
      <c r="D476" t="str">
        <f>VLOOKUP(Tabel1[[#This Row],[personeelsnr]],'data hastus'!$A:$C,3,0)</f>
        <v>Antoon</v>
      </c>
      <c r="E476" t="str">
        <f>VLOOKUP(Tabel1[[#This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SUM(Tabel1[[#This Row],[Januari]:[December]])</f>
        <v>1</v>
      </c>
      <c r="T476" s="9">
        <v>45629</v>
      </c>
      <c r="U476" s="8" t="s">
        <v>899</v>
      </c>
      <c r="V476" s="8">
        <v>1</v>
      </c>
      <c r="W476" s="8"/>
      <c r="X476" t="s">
        <v>206</v>
      </c>
      <c r="Y476" t="s">
        <v>233</v>
      </c>
    </row>
    <row r="477" spans="1:25" x14ac:dyDescent="0.3">
      <c r="A477">
        <v>18987</v>
      </c>
      <c r="B477" t="str">
        <f>_xlfn.CONCAT(Tabel1[[#This Row],[personeelsnr]]," ",C477," ",D477)</f>
        <v>18987 De Geyter Dolly</v>
      </c>
      <c r="C477" t="str">
        <f>VLOOKUP(Tabel1[[#This Row],[personeelsnr]],'data hastus'!$A:$C,2,0)</f>
        <v>De Geyter</v>
      </c>
      <c r="D477" t="str">
        <f>VLOOKUP(Tabel1[[#This Row],[personeelsnr]],'data hastus'!$A:$C,3,0)</f>
        <v>Dolly</v>
      </c>
      <c r="E477" t="str">
        <f>VLOOKUP(Tabel1[[#This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SUM(Tabel1[[#This Row],[Januari]:[December]])</f>
        <v>1</v>
      </c>
      <c r="T477" s="9">
        <v>45629</v>
      </c>
      <c r="U477" s="8" t="s">
        <v>900</v>
      </c>
      <c r="V477" s="8">
        <v>1</v>
      </c>
      <c r="W477" s="8"/>
      <c r="X477" t="s">
        <v>206</v>
      </c>
      <c r="Y477" t="s">
        <v>211</v>
      </c>
    </row>
    <row r="478" spans="1:25" x14ac:dyDescent="0.3">
      <c r="A478">
        <v>32387</v>
      </c>
      <c r="B478" t="str">
        <f>_xlfn.CONCAT(Tabel1[[#This Row],[personeelsnr]]," ",C478," ",D478)</f>
        <v>32387 Meersman Herman</v>
      </c>
      <c r="C478" t="str">
        <f>VLOOKUP(Tabel1[[#This Row],[personeelsnr]],'data hastus'!$A:$C,2,0)</f>
        <v>Meersman</v>
      </c>
      <c r="D478" t="str">
        <f>VLOOKUP(Tabel1[[#This Row],[personeelsnr]],'data hastus'!$A:$C,3,0)</f>
        <v>Herman</v>
      </c>
      <c r="E478" t="str">
        <f>VLOOKUP(Tabel1[[#This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SUM(Tabel1[[#This Row],[Januari]:[December]])</f>
        <v>1</v>
      </c>
      <c r="T478" s="9">
        <v>45630</v>
      </c>
      <c r="U478" s="8" t="s">
        <v>901</v>
      </c>
      <c r="V478" s="8">
        <v>1</v>
      </c>
      <c r="W478" s="8"/>
      <c r="X478" t="s">
        <v>206</v>
      </c>
      <c r="Y478" t="s">
        <v>167</v>
      </c>
    </row>
    <row r="479" spans="1:25" x14ac:dyDescent="0.3">
      <c r="A479">
        <v>40744</v>
      </c>
      <c r="B479" t="str">
        <f>_xlfn.CONCAT(Tabel1[[#This Row],[personeelsnr]]," ",C479," ",D479)</f>
        <v>40744 Gözüküçük Ugur</v>
      </c>
      <c r="C479" t="str">
        <f>VLOOKUP(Tabel1[[#This Row],[personeelsnr]],'data hastus'!$A:$C,2,0)</f>
        <v>Gözüküçük</v>
      </c>
      <c r="D479" t="str">
        <f>VLOOKUP(Tabel1[[#This Row],[personeelsnr]],'data hastus'!$A:$C,3,0)</f>
        <v>Ugur</v>
      </c>
      <c r="E479" t="str">
        <f>VLOOKUP(Tabel1[[#This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SUM(Tabel1[[#This Row],[Januari]:[December]])</f>
        <v>1</v>
      </c>
      <c r="T479" s="9">
        <v>45630</v>
      </c>
      <c r="U479" s="8" t="s">
        <v>902</v>
      </c>
      <c r="V479" s="8">
        <v>1</v>
      </c>
      <c r="W479" s="8"/>
      <c r="X479" t="s">
        <v>206</v>
      </c>
      <c r="Y479" t="s">
        <v>341</v>
      </c>
    </row>
    <row r="480" spans="1:25" x14ac:dyDescent="0.3">
      <c r="A480">
        <v>35379</v>
      </c>
      <c r="B480" t="str">
        <f>_xlfn.CONCAT(Tabel1[[#This Row],[personeelsnr]]," ",C480," ",D480)</f>
        <v>35379 Engels Sam</v>
      </c>
      <c r="C480" t="str">
        <f>VLOOKUP(Tabel1[[#This Row],[personeelsnr]],'data hastus'!$A:$C,2,0)</f>
        <v>Engels</v>
      </c>
      <c r="D480" t="str">
        <f>VLOOKUP(Tabel1[[#This Row],[personeelsnr]],'data hastus'!$A:$C,3,0)</f>
        <v>Sam</v>
      </c>
      <c r="E480" t="str">
        <f>VLOOKUP(Tabel1[[#This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SUM(Tabel1[[#This Row],[Januari]:[December]])</f>
        <v>1</v>
      </c>
      <c r="T480" s="3">
        <v>45632</v>
      </c>
      <c r="U480" s="8" t="s">
        <v>903</v>
      </c>
      <c r="V480" s="8"/>
      <c r="W480" s="8">
        <v>1</v>
      </c>
      <c r="X480" t="s">
        <v>207</v>
      </c>
      <c r="Y480" t="s">
        <v>253</v>
      </c>
    </row>
    <row r="481" spans="1:25" x14ac:dyDescent="0.3">
      <c r="A481">
        <v>37794</v>
      </c>
      <c r="B481" t="str">
        <f>_xlfn.CONCAT(Tabel1[[#This Row],[personeelsnr]]," ",C481," ",D481)</f>
        <v>37794 Demirkaya Kâzim</v>
      </c>
      <c r="C481" t="str">
        <f>VLOOKUP(Tabel1[[#This Row],[personeelsnr]],'data hastus'!$A:$C,2,0)</f>
        <v>Demirkaya</v>
      </c>
      <c r="D481" t="str">
        <f>VLOOKUP(Tabel1[[#This Row],[personeelsnr]],'data hastus'!$A:$C,3,0)</f>
        <v>Kâzim</v>
      </c>
      <c r="E481" t="str">
        <f>VLOOKUP(Tabel1[[#This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SUM(Tabel1[[#This Row],[Januari]:[December]])</f>
        <v>1</v>
      </c>
      <c r="T481" s="9">
        <v>45632</v>
      </c>
      <c r="U481" s="8" t="s">
        <v>904</v>
      </c>
      <c r="V481" s="8"/>
      <c r="W481" s="8">
        <v>1</v>
      </c>
      <c r="X481" t="s">
        <v>207</v>
      </c>
      <c r="Y481" t="s">
        <v>391</v>
      </c>
    </row>
    <row r="482" spans="1:25" x14ac:dyDescent="0.3">
      <c r="A482">
        <v>40294</v>
      </c>
      <c r="B482" t="str">
        <f>_xlfn.CONCAT(Tabel1[[#This Row],[personeelsnr]]," ",C482," ",D482)</f>
        <v>40294 Khder Aram</v>
      </c>
      <c r="C482" t="str">
        <f>VLOOKUP(Tabel1[[#This Row],[personeelsnr]],'data hastus'!$A:$C,2,0)</f>
        <v>Khder</v>
      </c>
      <c r="D482" t="str">
        <f>VLOOKUP(Tabel1[[#This Row],[personeelsnr]],'data hastus'!$A:$C,3,0)</f>
        <v>Aram</v>
      </c>
      <c r="E482" t="str">
        <f>VLOOKUP(Tabel1[[#This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SUM(Tabel1[[#This Row],[Januari]:[December]])</f>
        <v>1</v>
      </c>
      <c r="T482" s="9">
        <v>45633</v>
      </c>
      <c r="U482" s="8" t="s">
        <v>905</v>
      </c>
      <c r="V482" s="8">
        <v>1</v>
      </c>
      <c r="W482" s="8"/>
      <c r="X482" t="s">
        <v>206</v>
      </c>
      <c r="Y482" t="s">
        <v>318</v>
      </c>
    </row>
    <row r="483" spans="1:25" x14ac:dyDescent="0.3">
      <c r="A483">
        <v>37662</v>
      </c>
      <c r="B483" t="str">
        <f>_xlfn.CONCAT(Tabel1[[#This Row],[personeelsnr]]," ",C483," ",D483)</f>
        <v>37662 Van den Meerssche Steven</v>
      </c>
      <c r="C483" t="str">
        <f>VLOOKUP(Tabel1[[#This Row],[personeelsnr]],'data hastus'!$A:$C,2,0)</f>
        <v>Van den Meerssche</v>
      </c>
      <c r="D483" t="str">
        <f>VLOOKUP(Tabel1[[#This Row],[personeelsnr]],'data hastus'!$A:$C,3,0)</f>
        <v>Steven</v>
      </c>
      <c r="E483" t="str">
        <f>VLOOKUP(Tabel1[[#This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SUM(Tabel1[[#This Row],[Januari]:[December]])</f>
        <v>1</v>
      </c>
      <c r="T483" s="9">
        <v>45635</v>
      </c>
      <c r="U483" s="8" t="s">
        <v>906</v>
      </c>
      <c r="V483" s="8">
        <v>1</v>
      </c>
      <c r="W483" s="8"/>
      <c r="X483" t="s">
        <v>206</v>
      </c>
      <c r="Y483" t="s">
        <v>172</v>
      </c>
    </row>
    <row r="484" spans="1:25" x14ac:dyDescent="0.3">
      <c r="A484">
        <v>32542</v>
      </c>
      <c r="B484" t="str">
        <f>_xlfn.CONCAT(Tabel1[[#This Row],[personeelsnr]]," ",C484," ",D484)</f>
        <v>32542 Vanderstock Kenny</v>
      </c>
      <c r="C484" t="str">
        <f>VLOOKUP(Tabel1[[#This Row],[personeelsnr]],'data hastus'!$A:$C,2,0)</f>
        <v>Vanderstock</v>
      </c>
      <c r="D484" t="str">
        <f>VLOOKUP(Tabel1[[#This Row],[personeelsnr]],'data hastus'!$A:$C,3,0)</f>
        <v>Kenny</v>
      </c>
      <c r="E484" t="str">
        <f>VLOOKUP(Tabel1[[#This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SUM(Tabel1[[#This Row],[Januari]:[December]])</f>
        <v>1</v>
      </c>
      <c r="T484" s="9">
        <v>45635</v>
      </c>
      <c r="U484" s="8" t="s">
        <v>907</v>
      </c>
      <c r="V484" s="8"/>
      <c r="W484" s="8">
        <v>1</v>
      </c>
      <c r="X484" t="s">
        <v>207</v>
      </c>
      <c r="Y484" t="s">
        <v>371</v>
      </c>
    </row>
    <row r="485" spans="1:25" x14ac:dyDescent="0.3">
      <c r="A485">
        <v>33450</v>
      </c>
      <c r="B485" t="str">
        <f>_xlfn.CONCAT(Tabel1[[#This Row],[personeelsnr]]," ",C485," ",D485)</f>
        <v>33450 Verroeye Chris</v>
      </c>
      <c r="C485" t="str">
        <f>VLOOKUP(Tabel1[[#This Row],[personeelsnr]],'data hastus'!$A:$C,2,0)</f>
        <v>Verroeye</v>
      </c>
      <c r="D485" t="str">
        <f>VLOOKUP(Tabel1[[#This Row],[personeelsnr]],'data hastus'!$A:$C,3,0)</f>
        <v>Chris</v>
      </c>
      <c r="E485" t="str">
        <f>VLOOKUP(Tabel1[[#This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SUM(Tabel1[[#This Row],[Januari]:[December]])</f>
        <v>1</v>
      </c>
      <c r="T485" s="9">
        <v>45635</v>
      </c>
      <c r="U485" s="8" t="s">
        <v>908</v>
      </c>
      <c r="V485" s="8"/>
      <c r="W485" s="8">
        <v>1</v>
      </c>
      <c r="X485" t="s">
        <v>207</v>
      </c>
      <c r="Y485" t="s">
        <v>282</v>
      </c>
    </row>
    <row r="486" spans="1:25" x14ac:dyDescent="0.3">
      <c r="A486">
        <v>17555</v>
      </c>
      <c r="B486" t="str">
        <f>_xlfn.CONCAT(Tabel1[[#This Row],[personeelsnr]]," ",C486," ",D486)</f>
        <v>17555 DeBisschop Wendy</v>
      </c>
      <c r="C486" t="str">
        <f>VLOOKUP(Tabel1[[#This Row],[personeelsnr]],'data hastus'!$A:$C,2,0)</f>
        <v>DeBisschop</v>
      </c>
      <c r="D486" t="str">
        <f>VLOOKUP(Tabel1[[#This Row],[personeelsnr]],'data hastus'!$A:$C,3,0)</f>
        <v>Wendy</v>
      </c>
      <c r="E486" t="str">
        <f>VLOOKUP(Tabel1[[#This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SUM(Tabel1[[#This Row],[Januari]:[December]])</f>
        <v>1</v>
      </c>
      <c r="T486" s="9">
        <v>45636</v>
      </c>
      <c r="U486" s="8" t="s">
        <v>909</v>
      </c>
      <c r="V486" s="8">
        <v>1</v>
      </c>
      <c r="W486" s="8"/>
      <c r="X486" t="s">
        <v>206</v>
      </c>
      <c r="Y486" t="s">
        <v>176</v>
      </c>
    </row>
    <row r="487" spans="1:25" x14ac:dyDescent="0.3">
      <c r="A487">
        <v>39529</v>
      </c>
      <c r="B487" t="str">
        <f>_xlfn.CONCAT(Tabel1[[#This Row],[personeelsnr]]," ",C487," ",D487)</f>
        <v>39529 Desmet Patricia</v>
      </c>
      <c r="C487" t="str">
        <f>VLOOKUP(Tabel1[[#This Row],[personeelsnr]],'data hastus'!$A:$C,2,0)</f>
        <v>Desmet</v>
      </c>
      <c r="D487" t="str">
        <f>VLOOKUP(Tabel1[[#This Row],[personeelsnr]],'data hastus'!$A:$C,3,0)</f>
        <v>Patricia</v>
      </c>
      <c r="E487" t="str">
        <f>VLOOKUP(Tabel1[[#This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SUM(Tabel1[[#This Row],[Januari]:[December]])</f>
        <v>1</v>
      </c>
      <c r="T487" s="9">
        <v>45638</v>
      </c>
      <c r="U487" s="8" t="s">
        <v>910</v>
      </c>
      <c r="V487" s="8">
        <v>1</v>
      </c>
      <c r="W487" s="8"/>
      <c r="X487" t="s">
        <v>206</v>
      </c>
      <c r="Y487" t="s">
        <v>176</v>
      </c>
    </row>
    <row r="488" spans="1:25" x14ac:dyDescent="0.3">
      <c r="A488">
        <v>15628</v>
      </c>
      <c r="B488" t="str">
        <f>_xlfn.CONCAT(Tabel1[[#This Row],[personeelsnr]]," ",C488," ",D488)</f>
        <v>15628 Wulfranck Dominique</v>
      </c>
      <c r="C488" t="str">
        <f>VLOOKUP(Tabel1[[#This Row],[personeelsnr]],'data hastus'!$A:$C,2,0)</f>
        <v>Wulfranck</v>
      </c>
      <c r="D488" t="str">
        <f>VLOOKUP(Tabel1[[#This Row],[personeelsnr]],'data hastus'!$A:$C,3,0)</f>
        <v>Dominique</v>
      </c>
      <c r="E488" t="str">
        <f>VLOOKUP(Tabel1[[#This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SUM(Tabel1[[#This Row],[Januari]:[December]])</f>
        <v>1</v>
      </c>
      <c r="T488" s="9">
        <v>45638</v>
      </c>
      <c r="U488" s="8" t="s">
        <v>911</v>
      </c>
      <c r="V488" s="8">
        <v>1</v>
      </c>
      <c r="W488" s="8"/>
      <c r="X488" t="s">
        <v>206</v>
      </c>
      <c r="Y488" t="s">
        <v>213</v>
      </c>
    </row>
    <row r="489" spans="1:25" x14ac:dyDescent="0.3">
      <c r="A489">
        <v>40652</v>
      </c>
      <c r="B489" t="str">
        <f>_xlfn.CONCAT(Tabel1[[#This Row],[personeelsnr]]," ",C489," ",D489)</f>
        <v>40652 Van Damme Gilyann</v>
      </c>
      <c r="C489" t="str">
        <f>VLOOKUP(Tabel1[[#This Row],[personeelsnr]],'data hastus'!$A:$C,2,0)</f>
        <v>Van Damme</v>
      </c>
      <c r="D489" t="str">
        <f>VLOOKUP(Tabel1[[#This Row],[personeelsnr]],'data hastus'!$A:$C,3,0)</f>
        <v>Gilyann</v>
      </c>
      <c r="E489" t="str">
        <f>VLOOKUP(Tabel1[[#This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SUM(Tabel1[[#This Row],[Januari]:[December]])</f>
        <v>1</v>
      </c>
      <c r="T489" s="9">
        <v>45638</v>
      </c>
      <c r="U489" s="8" t="s">
        <v>912</v>
      </c>
      <c r="V489" s="8">
        <v>1</v>
      </c>
      <c r="W489" s="8"/>
      <c r="X489" t="s">
        <v>206</v>
      </c>
      <c r="Y489" t="s">
        <v>278</v>
      </c>
    </row>
    <row r="490" spans="1:25" x14ac:dyDescent="0.3">
      <c r="A490">
        <v>22767</v>
      </c>
      <c r="B490" t="str">
        <f>_xlfn.CONCAT(Tabel1[[#This Row],[personeelsnr]]," ",C490," ",D490)</f>
        <v>22767 Osseel Johan</v>
      </c>
      <c r="C490" t="str">
        <f>VLOOKUP(Tabel1[[#This Row],[personeelsnr]],'data hastus'!$A:$C,2,0)</f>
        <v>Osseel</v>
      </c>
      <c r="D490" t="str">
        <f>VLOOKUP(Tabel1[[#This Row],[personeelsnr]],'data hastus'!$A:$C,3,0)</f>
        <v>Johan</v>
      </c>
      <c r="E490" t="str">
        <f>VLOOKUP(Tabel1[[#This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SUM(Tabel1[[#This Row],[Januari]:[December]])</f>
        <v>1</v>
      </c>
      <c r="T490" s="9">
        <v>45638</v>
      </c>
      <c r="U490" s="8" t="s">
        <v>913</v>
      </c>
      <c r="V490" s="8"/>
      <c r="W490" s="8">
        <v>1</v>
      </c>
      <c r="X490" t="s">
        <v>207</v>
      </c>
      <c r="Y490" t="s">
        <v>209</v>
      </c>
    </row>
    <row r="491" spans="1:25" x14ac:dyDescent="0.3">
      <c r="A491">
        <v>29477</v>
      </c>
      <c r="B491" t="str">
        <f>_xlfn.CONCAT(Tabel1[[#This Row],[personeelsnr]]," ",C491," ",D491)</f>
        <v>29477 De Vuyst Boyke</v>
      </c>
      <c r="C491" t="str">
        <f>VLOOKUP(Tabel1[[#This Row],[personeelsnr]],'data hastus'!$A:$C,2,0)</f>
        <v>De Vuyst</v>
      </c>
      <c r="D491" t="str">
        <f>VLOOKUP(Tabel1[[#This Row],[personeelsnr]],'data hastus'!$A:$C,3,0)</f>
        <v>Boyke</v>
      </c>
      <c r="E491" t="str">
        <f>VLOOKUP(Tabel1[[#This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SUM(Tabel1[[#This Row],[Januari]:[December]])</f>
        <v>1</v>
      </c>
      <c r="T491" s="9">
        <v>45640</v>
      </c>
      <c r="U491" s="8" t="s">
        <v>914</v>
      </c>
      <c r="V491" s="8">
        <v>1</v>
      </c>
      <c r="W491" s="8"/>
      <c r="X491" t="s">
        <v>206</v>
      </c>
      <c r="Y491" t="s">
        <v>175</v>
      </c>
    </row>
    <row r="492" spans="1:25" x14ac:dyDescent="0.3">
      <c r="A492">
        <v>16897</v>
      </c>
      <c r="B492" t="str">
        <f>_xlfn.CONCAT(Tabel1[[#This Row],[personeelsnr]]," ",C492," ",D492)</f>
        <v>16897 VandenDaele Andy</v>
      </c>
      <c r="C492" t="str">
        <f>VLOOKUP(Tabel1[[#This Row],[personeelsnr]],'data hastus'!$A:$C,2,0)</f>
        <v>VandenDaele</v>
      </c>
      <c r="D492" t="str">
        <f>VLOOKUP(Tabel1[[#This Row],[personeelsnr]],'data hastus'!$A:$C,3,0)</f>
        <v>Andy</v>
      </c>
      <c r="E492" t="str">
        <f>VLOOKUP(Tabel1[[#This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SUM(Tabel1[[#This Row],[Januari]:[December]])</f>
        <v>1</v>
      </c>
      <c r="T492" s="9">
        <v>45641</v>
      </c>
      <c r="U492" s="8" t="s">
        <v>915</v>
      </c>
      <c r="V492" s="8"/>
      <c r="W492" s="8">
        <v>1</v>
      </c>
      <c r="X492" t="s">
        <v>207</v>
      </c>
      <c r="Y492" t="s">
        <v>267</v>
      </c>
    </row>
    <row r="493" spans="1:25" x14ac:dyDescent="0.3">
      <c r="A493">
        <v>18173</v>
      </c>
      <c r="B493" t="str">
        <f>_xlfn.CONCAT(Tabel1[[#This Row],[personeelsnr]]," ",C493," ",D493)</f>
        <v>18173 De Vos Günter</v>
      </c>
      <c r="C493" t="str">
        <f>VLOOKUP(Tabel1[[#This Row],[personeelsnr]],'data hastus'!$A:$C,2,0)</f>
        <v>De Vos</v>
      </c>
      <c r="D493" t="str">
        <f>VLOOKUP(Tabel1[[#This Row],[personeelsnr]],'data hastus'!$A:$C,3,0)</f>
        <v>Günter</v>
      </c>
      <c r="E493" t="str">
        <f>VLOOKUP(Tabel1[[#This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SUM(Tabel1[[#This Row],[Januari]:[December]])</f>
        <v>1</v>
      </c>
      <c r="T493" s="9">
        <v>45642</v>
      </c>
      <c r="U493" s="8" t="s">
        <v>916</v>
      </c>
      <c r="V493" s="8">
        <v>1</v>
      </c>
      <c r="W493" s="8"/>
      <c r="X493" t="s">
        <v>206</v>
      </c>
      <c r="Y493" t="s">
        <v>234</v>
      </c>
    </row>
    <row r="494" spans="1:25" x14ac:dyDescent="0.3">
      <c r="A494">
        <v>41296</v>
      </c>
      <c r="B494" t="str">
        <f>_xlfn.CONCAT(Tabel1[[#This Row],[personeelsnr]]," ",C494," ",D494)</f>
        <v>41296 Abulehia Oday</v>
      </c>
      <c r="C494" t="str">
        <f>VLOOKUP(Tabel1[[#This Row],[personeelsnr]],'data hastus'!$A:$C,2,0)</f>
        <v>Abulehia</v>
      </c>
      <c r="D494" t="str">
        <f>VLOOKUP(Tabel1[[#This Row],[personeelsnr]],'data hastus'!$A:$C,3,0)</f>
        <v>Oday</v>
      </c>
      <c r="E494" t="str">
        <f>VLOOKUP(Tabel1[[#This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SUM(Tabel1[[#This Row],[Januari]:[December]])</f>
        <v>1</v>
      </c>
      <c r="T494" s="9">
        <v>45642</v>
      </c>
      <c r="U494" s="8" t="s">
        <v>917</v>
      </c>
      <c r="V494" s="8">
        <v>1</v>
      </c>
      <c r="W494" s="8"/>
      <c r="X494" t="s">
        <v>206</v>
      </c>
      <c r="Y494" t="s">
        <v>167</v>
      </c>
    </row>
    <row r="495" spans="1:25" x14ac:dyDescent="0.3">
      <c r="A495">
        <v>36513</v>
      </c>
      <c r="B495" t="str">
        <f>_xlfn.CONCAT(Tabel1[[#This Row],[personeelsnr]]," ",C495," ",D495)</f>
        <v>36513 Sogut Rauf</v>
      </c>
      <c r="C495" t="str">
        <f>VLOOKUP(Tabel1[[#This Row],[personeelsnr]],'data hastus'!$A:$C,2,0)</f>
        <v>Sogut</v>
      </c>
      <c r="D495" t="str">
        <f>VLOOKUP(Tabel1[[#This Row],[personeelsnr]],'data hastus'!$A:$C,3,0)</f>
        <v>Rauf</v>
      </c>
      <c r="E495" t="str">
        <f>VLOOKUP(Tabel1[[#This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SUM(Tabel1[[#This Row],[Januari]:[December]])</f>
        <v>1</v>
      </c>
      <c r="T495" s="9">
        <v>45643</v>
      </c>
      <c r="U495" s="8" t="s">
        <v>918</v>
      </c>
      <c r="V495" s="8">
        <v>1</v>
      </c>
      <c r="W495" s="8"/>
      <c r="X495" t="s">
        <v>206</v>
      </c>
      <c r="Y495" t="s">
        <v>196</v>
      </c>
    </row>
    <row r="496" spans="1:25" x14ac:dyDescent="0.3">
      <c r="A496">
        <v>33400</v>
      </c>
      <c r="B496" t="str">
        <f>_xlfn.CONCAT(Tabel1[[#This Row],[personeelsnr]]," ",C496," ",D496)</f>
        <v>33400 Petit Cynthia</v>
      </c>
      <c r="C496" t="str">
        <f>VLOOKUP(Tabel1[[#This Row],[personeelsnr]],'data hastus'!$A:$C,2,0)</f>
        <v>Petit</v>
      </c>
      <c r="D496" t="str">
        <f>VLOOKUP(Tabel1[[#This Row],[personeelsnr]],'data hastus'!$A:$C,3,0)</f>
        <v>Cynthia</v>
      </c>
      <c r="E496" t="str">
        <f>VLOOKUP(Tabel1[[#This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SUM(Tabel1[[#This Row],[Januari]:[December]])</f>
        <v>1</v>
      </c>
      <c r="T496" s="9">
        <v>45644</v>
      </c>
      <c r="U496" s="8" t="s">
        <v>919</v>
      </c>
      <c r="V496" s="8">
        <v>1</v>
      </c>
      <c r="W496" s="8"/>
      <c r="X496" t="s">
        <v>206</v>
      </c>
      <c r="Y496" t="s">
        <v>167</v>
      </c>
    </row>
    <row r="497" spans="1:25" x14ac:dyDescent="0.3">
      <c r="A497">
        <v>24367</v>
      </c>
      <c r="B497" t="str">
        <f>_xlfn.CONCAT(Tabel1[[#This Row],[personeelsnr]]," ",C497," ",D497)</f>
        <v>24367 Tayefeh Arbab Ali</v>
      </c>
      <c r="C497" t="str">
        <f>VLOOKUP(Tabel1[[#This Row],[personeelsnr]],'data hastus'!$A:$C,2,0)</f>
        <v>Tayefeh Arbab</v>
      </c>
      <c r="D497" t="str">
        <f>VLOOKUP(Tabel1[[#This Row],[personeelsnr]],'data hastus'!$A:$C,3,0)</f>
        <v>Ali</v>
      </c>
      <c r="E497" t="str">
        <f>VLOOKUP(Tabel1[[#This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SUM(Tabel1[[#This Row],[Januari]:[December]])</f>
        <v>1</v>
      </c>
      <c r="T497" s="9">
        <v>45644</v>
      </c>
      <c r="U497" s="8" t="s">
        <v>920</v>
      </c>
      <c r="V497" s="8">
        <v>1</v>
      </c>
      <c r="W497" s="8"/>
      <c r="X497" t="s">
        <v>206</v>
      </c>
      <c r="Y497" t="s">
        <v>179</v>
      </c>
    </row>
    <row r="498" spans="1:25" x14ac:dyDescent="0.3">
      <c r="A498">
        <v>40005</v>
      </c>
      <c r="B498" t="str">
        <f>_xlfn.CONCAT(Tabel1[[#This Row],[personeelsnr]]," ",C498," ",D498)</f>
        <v>40005 Bernaerts Philip</v>
      </c>
      <c r="C498" t="str">
        <f>VLOOKUP(Tabel1[[#This Row],[personeelsnr]],'data hastus'!$A:$C,2,0)</f>
        <v>Bernaerts</v>
      </c>
      <c r="D498" t="str">
        <f>VLOOKUP(Tabel1[[#This Row],[personeelsnr]],'data hastus'!$A:$C,3,0)</f>
        <v>Philip</v>
      </c>
      <c r="E498" t="str">
        <f>VLOOKUP(Tabel1[[#This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SUM(Tabel1[[#This Row],[Januari]:[December]])</f>
        <v>1</v>
      </c>
      <c r="T498" s="9">
        <v>45645</v>
      </c>
      <c r="U498" s="8" t="s">
        <v>921</v>
      </c>
      <c r="V498" s="8">
        <v>1</v>
      </c>
      <c r="W498" s="8"/>
      <c r="X498" t="s">
        <v>206</v>
      </c>
      <c r="Y498" t="s">
        <v>201</v>
      </c>
    </row>
    <row r="499" spans="1:25" x14ac:dyDescent="0.3">
      <c r="A499">
        <v>40652</v>
      </c>
      <c r="B499" t="str">
        <f>_xlfn.CONCAT(Tabel1[[#This Row],[personeelsnr]]," ",C499," ",D499)</f>
        <v>40652 Van Damme Gilyann</v>
      </c>
      <c r="C499" t="str">
        <f>VLOOKUP(Tabel1[[#This Row],[personeelsnr]],'data hastus'!$A:$C,2,0)</f>
        <v>Van Damme</v>
      </c>
      <c r="D499" t="str">
        <f>VLOOKUP(Tabel1[[#This Row],[personeelsnr]],'data hastus'!$A:$C,3,0)</f>
        <v>Gilyann</v>
      </c>
      <c r="E499" t="str">
        <f>VLOOKUP(Tabel1[[#This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SUM(Tabel1[[#This Row],[Januari]:[December]])</f>
        <v>1</v>
      </c>
      <c r="T499" s="9">
        <v>45646</v>
      </c>
      <c r="U499" s="8" t="s">
        <v>922</v>
      </c>
      <c r="V499" s="8">
        <v>1</v>
      </c>
      <c r="W499" s="8"/>
      <c r="X499" t="s">
        <v>206</v>
      </c>
      <c r="Y499" t="s">
        <v>198</v>
      </c>
    </row>
    <row r="500" spans="1:25" x14ac:dyDescent="0.3">
      <c r="A500">
        <v>26847</v>
      </c>
      <c r="B500" t="str">
        <f>_xlfn.CONCAT(Tabel1[[#This Row],[personeelsnr]]," ",C500," ",D500)</f>
        <v>26847 De Meester David</v>
      </c>
      <c r="C500" t="str">
        <f>VLOOKUP(Tabel1[[#This Row],[personeelsnr]],'data hastus'!$A:$C,2,0)</f>
        <v>De Meester</v>
      </c>
      <c r="D500" t="str">
        <f>VLOOKUP(Tabel1[[#This Row],[personeelsnr]],'data hastus'!$A:$C,3,0)</f>
        <v>David</v>
      </c>
      <c r="E500" t="str">
        <f>VLOOKUP(Tabel1[[#This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SUM(Tabel1[[#This Row],[Januari]:[December]])</f>
        <v>1</v>
      </c>
      <c r="T500" s="9">
        <v>45646</v>
      </c>
      <c r="U500" s="8" t="s">
        <v>923</v>
      </c>
      <c r="V500" s="8"/>
      <c r="W500" s="8">
        <v>1</v>
      </c>
      <c r="X500" t="s">
        <v>207</v>
      </c>
      <c r="Y500" t="s">
        <v>174</v>
      </c>
    </row>
    <row r="501" spans="1:25" x14ac:dyDescent="0.3">
      <c r="A501">
        <v>38938</v>
      </c>
      <c r="B501" t="str">
        <f>_xlfn.CONCAT(Tabel1[[#This Row],[personeelsnr]]," ",C501," ",D501)</f>
        <v>38938 Sedighi Hamid</v>
      </c>
      <c r="C501" t="str">
        <f>VLOOKUP(Tabel1[[#This Row],[personeelsnr]],'data hastus'!$A:$C,2,0)</f>
        <v>Sedighi</v>
      </c>
      <c r="D501" t="str">
        <f>VLOOKUP(Tabel1[[#This Row],[personeelsnr]],'data hastus'!$A:$C,3,0)</f>
        <v>Hamid</v>
      </c>
      <c r="E501" t="str">
        <f>VLOOKUP(Tabel1[[#This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SUM(Tabel1[[#This Row],[Januari]:[December]])</f>
        <v>1</v>
      </c>
      <c r="T501" s="9">
        <v>45646</v>
      </c>
      <c r="U501" s="8" t="s">
        <v>924</v>
      </c>
      <c r="V501" s="8"/>
      <c r="W501" s="8">
        <v>1</v>
      </c>
      <c r="X501" t="s">
        <v>207</v>
      </c>
      <c r="Y501" t="s">
        <v>186</v>
      </c>
    </row>
    <row r="502" spans="1:25" x14ac:dyDescent="0.3">
      <c r="A502">
        <v>40414</v>
      </c>
      <c r="B502" t="str">
        <f>_xlfn.CONCAT(Tabel1[[#This Row],[personeelsnr]]," ",C502," ",D502)</f>
        <v>40414 Ennakaba Khaoula</v>
      </c>
      <c r="C502" t="str">
        <f>VLOOKUP(Tabel1[[#This Row],[personeelsnr]],'data hastus'!$A:$C,2,0)</f>
        <v>Ennakaba</v>
      </c>
      <c r="D502" t="str">
        <f>VLOOKUP(Tabel1[[#This Row],[personeelsnr]],'data hastus'!$A:$C,3,0)</f>
        <v>Khaoula</v>
      </c>
      <c r="E502" t="str">
        <f>VLOOKUP(Tabel1[[#This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SUM(Tabel1[[#This Row],[Januari]:[December]])</f>
        <v>1</v>
      </c>
      <c r="T502" s="9">
        <v>45647</v>
      </c>
      <c r="U502" s="8" t="s">
        <v>925</v>
      </c>
      <c r="V502" s="8">
        <v>1</v>
      </c>
      <c r="W502" s="8"/>
      <c r="X502" t="s">
        <v>206</v>
      </c>
      <c r="Y502" t="s">
        <v>208</v>
      </c>
    </row>
    <row r="503" spans="1:25" x14ac:dyDescent="0.3">
      <c r="A503">
        <v>21812</v>
      </c>
      <c r="B503" t="str">
        <f>_xlfn.CONCAT(Tabel1[[#This Row],[personeelsnr]]," ",C503," ",D503)</f>
        <v>21812 Ettaibi Moulay Abdenâzih</v>
      </c>
      <c r="C503" t="str">
        <f>VLOOKUP(Tabel1[[#This Row],[personeelsnr]],'data hastus'!$A:$C,2,0)</f>
        <v>Ettaibi</v>
      </c>
      <c r="D503" t="str">
        <f>VLOOKUP(Tabel1[[#This Row],[personeelsnr]],'data hastus'!$A:$C,3,0)</f>
        <v>Moulay Abdenâzih</v>
      </c>
      <c r="E503" t="str">
        <f>VLOOKUP(Tabel1[[#This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SUM(Tabel1[[#This Row],[Januari]:[December]])</f>
        <v>1</v>
      </c>
      <c r="T503" s="9">
        <v>45647</v>
      </c>
      <c r="U503" s="8" t="s">
        <v>926</v>
      </c>
      <c r="V503" s="8"/>
      <c r="W503" s="8">
        <v>1</v>
      </c>
      <c r="X503" t="s">
        <v>207</v>
      </c>
      <c r="Y503" t="s">
        <v>167</v>
      </c>
    </row>
    <row r="504" spans="1:25" x14ac:dyDescent="0.3">
      <c r="A504">
        <v>38938</v>
      </c>
      <c r="B504" t="str">
        <f>_xlfn.CONCAT(Tabel1[[#This Row],[personeelsnr]]," ",C504," ",D504)</f>
        <v>38938 Sedighi Hamid</v>
      </c>
      <c r="C504" t="str">
        <f>VLOOKUP(Tabel1[[#This Row],[personeelsnr]],'data hastus'!$A:$C,2,0)</f>
        <v>Sedighi</v>
      </c>
      <c r="D504" t="str">
        <f>VLOOKUP(Tabel1[[#This Row],[personeelsnr]],'data hastus'!$A:$C,3,0)</f>
        <v>Hamid</v>
      </c>
      <c r="E504" t="str">
        <f>VLOOKUP(Tabel1[[#This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SUM(Tabel1[[#This Row],[Januari]:[December]])</f>
        <v>1</v>
      </c>
      <c r="T504" s="9">
        <v>45647</v>
      </c>
      <c r="U504" s="8" t="s">
        <v>927</v>
      </c>
      <c r="V504" s="8"/>
      <c r="W504" s="8">
        <v>1</v>
      </c>
      <c r="X504" t="s">
        <v>207</v>
      </c>
      <c r="Y504" t="s">
        <v>168</v>
      </c>
    </row>
    <row r="505" spans="1:25" x14ac:dyDescent="0.3">
      <c r="A505">
        <v>38938</v>
      </c>
      <c r="B505" t="str">
        <f>_xlfn.CONCAT(Tabel1[[#This Row],[personeelsnr]]," ",C505," ",D505)</f>
        <v>38938 Sedighi Hamid</v>
      </c>
      <c r="C505" t="str">
        <f>VLOOKUP(Tabel1[[#This Row],[personeelsnr]],'data hastus'!$A:$C,2,0)</f>
        <v>Sedighi</v>
      </c>
      <c r="D505" t="str">
        <f>VLOOKUP(Tabel1[[#This Row],[personeelsnr]],'data hastus'!$A:$C,3,0)</f>
        <v>Hamid</v>
      </c>
      <c r="E505" t="str">
        <f>VLOOKUP(Tabel1[[#This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SUM(Tabel1[[#This Row],[Januari]:[December]])</f>
        <v>1</v>
      </c>
      <c r="T505" s="9">
        <v>45647</v>
      </c>
      <c r="U505" s="8" t="s">
        <v>928</v>
      </c>
      <c r="V505" s="8"/>
      <c r="W505" s="8">
        <v>1</v>
      </c>
      <c r="X505" t="s">
        <v>207</v>
      </c>
      <c r="Y505" t="s">
        <v>219</v>
      </c>
    </row>
    <row r="506" spans="1:25" x14ac:dyDescent="0.3">
      <c r="A506">
        <v>36358</v>
      </c>
      <c r="B506" t="str">
        <f>_xlfn.CONCAT(Tabel1[[#This Row],[personeelsnr]]," ",C506," ",D506)</f>
        <v>36358 De Nys Elise</v>
      </c>
      <c r="C506" t="str">
        <f>VLOOKUP(Tabel1[[#This Row],[personeelsnr]],'data hastus'!$A:$C,2,0)</f>
        <v>De Nys</v>
      </c>
      <c r="D506" t="str">
        <f>VLOOKUP(Tabel1[[#This Row],[personeelsnr]],'data hastus'!$A:$C,3,0)</f>
        <v>Elise</v>
      </c>
      <c r="E506" t="str">
        <f>VLOOKUP(Tabel1[[#This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SUM(Tabel1[[#This Row],[Januari]:[December]])</f>
        <v>1</v>
      </c>
      <c r="T506" s="9">
        <v>45649</v>
      </c>
      <c r="U506" s="8" t="s">
        <v>929</v>
      </c>
      <c r="V506" s="8">
        <v>1</v>
      </c>
      <c r="W506" s="8"/>
      <c r="X506" t="s">
        <v>206</v>
      </c>
      <c r="Y506" t="s">
        <v>184</v>
      </c>
    </row>
    <row r="507" spans="1:25" x14ac:dyDescent="0.3">
      <c r="A507">
        <v>4419</v>
      </c>
      <c r="B507" t="str">
        <f>_xlfn.CONCAT(Tabel1[[#This Row],[personeelsnr]]," ",C507," ",D507)</f>
        <v>4419 Maelbrancke Eddy</v>
      </c>
      <c r="C507" t="str">
        <f>VLOOKUP(Tabel1[[#This Row],[personeelsnr]],'data hastus'!$A:$C,2,0)</f>
        <v>Maelbrancke</v>
      </c>
      <c r="D507" t="str">
        <f>VLOOKUP(Tabel1[[#This Row],[personeelsnr]],'data hastus'!$A:$C,3,0)</f>
        <v>Eddy</v>
      </c>
      <c r="E507" t="str">
        <f>VLOOKUP(Tabel1[[#This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SUM(Tabel1[[#This Row],[Januari]:[December]])</f>
        <v>1</v>
      </c>
      <c r="T507" s="9">
        <v>45652</v>
      </c>
      <c r="U507" s="8" t="s">
        <v>930</v>
      </c>
      <c r="V507" s="8">
        <v>1</v>
      </c>
      <c r="W507" s="8"/>
      <c r="X507" t="s">
        <v>206</v>
      </c>
      <c r="Y507" t="s">
        <v>177</v>
      </c>
    </row>
    <row r="508" spans="1:25" x14ac:dyDescent="0.3">
      <c r="A508">
        <v>9999</v>
      </c>
      <c r="B508" t="str">
        <f>_xlfn.CONCAT(Tabel1[[#This Row],[personeelsnr]]," ",C508," ",D508)</f>
        <v>9999 - -</v>
      </c>
      <c r="C508" t="s">
        <v>3388</v>
      </c>
      <c r="D508" t="s">
        <v>3388</v>
      </c>
      <c r="E508" t="s">
        <v>1165</v>
      </c>
      <c r="F508" s="10"/>
      <c r="G508" s="7"/>
      <c r="H508" s="7"/>
      <c r="I508" s="7"/>
      <c r="R508" s="5">
        <v>1</v>
      </c>
      <c r="S508" s="5">
        <f>SUM(Tabel1[[#This Row],[Januari]:[December]])</f>
        <v>1</v>
      </c>
      <c r="T508" s="9">
        <v>45652</v>
      </c>
      <c r="U508" s="8" t="s">
        <v>931</v>
      </c>
      <c r="V508" s="8">
        <v>1</v>
      </c>
      <c r="W508" s="8"/>
      <c r="X508" t="s">
        <v>206</v>
      </c>
      <c r="Y508" t="s">
        <v>167</v>
      </c>
    </row>
    <row r="509" spans="1:25" x14ac:dyDescent="0.3">
      <c r="A509">
        <v>9999</v>
      </c>
      <c r="B509" t="str">
        <f>_xlfn.CONCAT(Tabel1[[#This Row],[personeelsnr]]," ",C509," ",D509)</f>
        <v>9999 - -</v>
      </c>
      <c r="C509" t="s">
        <v>3388</v>
      </c>
      <c r="D509" t="s">
        <v>3388</v>
      </c>
      <c r="E509" t="s">
        <v>1165</v>
      </c>
      <c r="F509" s="10"/>
      <c r="G509" s="7"/>
      <c r="H509" s="7"/>
      <c r="I509" s="7"/>
      <c r="R509" s="5">
        <v>1</v>
      </c>
      <c r="S509" s="5">
        <f>SUM(Tabel1[[#This Row],[Januari]:[December]])</f>
        <v>1</v>
      </c>
      <c r="T509" s="9">
        <v>45653</v>
      </c>
      <c r="U509" s="8" t="s">
        <v>932</v>
      </c>
      <c r="V509" s="8"/>
      <c r="W509" s="8">
        <v>1</v>
      </c>
      <c r="X509" t="s">
        <v>207</v>
      </c>
      <c r="Y509" t="s">
        <v>229</v>
      </c>
    </row>
    <row r="510" spans="1:25" x14ac:dyDescent="0.3">
      <c r="A510">
        <v>16546</v>
      </c>
      <c r="B510" t="str">
        <f>_xlfn.CONCAT(Tabel1[[#This Row],[personeelsnr]]," ",C510," ",D510)</f>
        <v>16546 Baert Rosita</v>
      </c>
      <c r="C510" t="str">
        <f>VLOOKUP(Tabel1[[#This Row],[personeelsnr]],'data hastus'!$A:$C,2,0)</f>
        <v>Baert</v>
      </c>
      <c r="D510" t="str">
        <f>VLOOKUP(Tabel1[[#This Row],[personeelsnr]],'data hastus'!$A:$C,3,0)</f>
        <v>Rosita</v>
      </c>
      <c r="E510" t="str">
        <f>VLOOKUP(Tabel1[[#This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SUM(Tabel1[[#This Row],[Januari]:[December]])</f>
        <v>1</v>
      </c>
      <c r="T510" s="9">
        <v>45654</v>
      </c>
      <c r="U510" s="8" t="s">
        <v>933</v>
      </c>
      <c r="V510" s="8">
        <v>1</v>
      </c>
      <c r="W510" s="8"/>
      <c r="X510" t="s">
        <v>206</v>
      </c>
      <c r="Y510" t="s">
        <v>196</v>
      </c>
    </row>
    <row r="511" spans="1:25" x14ac:dyDescent="0.3">
      <c r="A511">
        <v>16546</v>
      </c>
      <c r="B511" t="str">
        <f>_xlfn.CONCAT(Tabel1[[#This Row],[personeelsnr]]," ",C511," ",D511)</f>
        <v>16546 Baert Rosita</v>
      </c>
      <c r="C511" t="str">
        <f>VLOOKUP(Tabel1[[#This Row],[personeelsnr]],'data hastus'!$A:$C,2,0)</f>
        <v>Baert</v>
      </c>
      <c r="D511" t="str">
        <f>VLOOKUP(Tabel1[[#This Row],[personeelsnr]],'data hastus'!$A:$C,3,0)</f>
        <v>Rosita</v>
      </c>
      <c r="E511" t="str">
        <f>VLOOKUP(Tabel1[[#This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SUM(Tabel1[[#This Row],[Januari]:[December]])</f>
        <v>1</v>
      </c>
      <c r="T511" s="9">
        <v>45654</v>
      </c>
      <c r="U511" s="8" t="s">
        <v>934</v>
      </c>
      <c r="V511" s="8">
        <v>1</v>
      </c>
      <c r="W511" s="8"/>
      <c r="X511" t="s">
        <v>206</v>
      </c>
      <c r="Y511" t="s">
        <v>168</v>
      </c>
    </row>
    <row r="512" spans="1:25" x14ac:dyDescent="0.3">
      <c r="A512">
        <v>39859</v>
      </c>
      <c r="B512" t="str">
        <f>_xlfn.CONCAT(Tabel1[[#This Row],[personeelsnr]]," ",C512," ",D512)</f>
        <v>39859 Costers Kelly</v>
      </c>
      <c r="C512" t="str">
        <f>VLOOKUP(Tabel1[[#This Row],[personeelsnr]],'data hastus'!$A:$C,2,0)</f>
        <v>Costers</v>
      </c>
      <c r="D512" t="str">
        <f>VLOOKUP(Tabel1[[#This Row],[personeelsnr]],'data hastus'!$A:$C,3,0)</f>
        <v>Kelly</v>
      </c>
      <c r="E512" t="str">
        <f>VLOOKUP(Tabel1[[#This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SUM(Tabel1[[#This Row],[Januari]:[December]])</f>
        <v>1</v>
      </c>
      <c r="T512" s="9">
        <v>45656</v>
      </c>
      <c r="U512" s="8" t="s">
        <v>935</v>
      </c>
      <c r="V512" s="8">
        <v>1</v>
      </c>
      <c r="W512" s="8"/>
      <c r="X512" t="s">
        <v>206</v>
      </c>
      <c r="Y512" t="s">
        <v>183</v>
      </c>
    </row>
    <row r="513" spans="1:25" x14ac:dyDescent="0.3">
      <c r="A513">
        <v>29179</v>
      </c>
      <c r="B513" t="str">
        <f>_xlfn.CONCAT(Tabel1[[#This Row],[personeelsnr]]," ",C513," ",D513)</f>
        <v>29179 Verwee Dries</v>
      </c>
      <c r="C513" t="str">
        <f>VLOOKUP(Tabel1[[#This Row],[personeelsnr]],'data hastus'!$A:$C,2,0)</f>
        <v>Verwee</v>
      </c>
      <c r="D513" t="str">
        <f>VLOOKUP(Tabel1[[#This Row],[personeelsnr]],'data hastus'!$A:$C,3,0)</f>
        <v>Dries</v>
      </c>
      <c r="E513" t="str">
        <f>VLOOKUP(Tabel1[[#This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SUM(Tabel1[[#This Row],[Januari]:[December]])</f>
        <v>1</v>
      </c>
      <c r="T513" s="9">
        <v>45657</v>
      </c>
      <c r="U513" s="8" t="s">
        <v>936</v>
      </c>
      <c r="V513" s="8"/>
      <c r="W513" s="8">
        <v>1</v>
      </c>
      <c r="X513" t="s">
        <v>207</v>
      </c>
      <c r="Y513" t="s">
        <v>168</v>
      </c>
    </row>
    <row r="514" spans="1:25" x14ac:dyDescent="0.3">
      <c r="A514">
        <v>39014</v>
      </c>
      <c r="B514" t="str">
        <f>_xlfn.CONCAT(Tabel1[[#This Row],[personeelsnr]]," ",C514," ",D514)</f>
        <v>39014 Genbrugge Kyllian</v>
      </c>
      <c r="C514" t="str">
        <f>VLOOKUP(Tabel1[[#This Row],[personeelsnr]],'data hastus'!$A:$C,2,0)</f>
        <v>Genbrugge</v>
      </c>
      <c r="D514" t="str">
        <f>VLOOKUP(Tabel1[[#This Row],[personeelsnr]],'data hastus'!$A:$C,3,0)</f>
        <v>Kyllian</v>
      </c>
      <c r="E514" t="str">
        <f>VLOOKUP(Tabel1[[#This Row],[personeelsnr]],'data hastus'!A:K,11,FALSE)</f>
        <v>Bart Van Der Beken</v>
      </c>
      <c r="F514" s="10"/>
      <c r="G514" s="6">
        <v>1</v>
      </c>
      <c r="H514" s="6"/>
      <c r="I514" s="6"/>
      <c r="J514"/>
      <c r="K514"/>
      <c r="L514"/>
      <c r="M514"/>
      <c r="N514"/>
      <c r="O514"/>
      <c r="P514"/>
      <c r="Q514"/>
      <c r="R514"/>
      <c r="S514">
        <f>SUM(Tabel1[[#This Row],[Januari]:[December]])</f>
        <v>1</v>
      </c>
      <c r="T514" s="3">
        <v>45660</v>
      </c>
      <c r="U514" s="8" t="s">
        <v>937</v>
      </c>
      <c r="V514" s="8">
        <v>1</v>
      </c>
      <c r="W514" s="8"/>
      <c r="X514" t="s">
        <v>206</v>
      </c>
      <c r="Y514" t="s">
        <v>343</v>
      </c>
    </row>
    <row r="515" spans="1:25" x14ac:dyDescent="0.3">
      <c r="A515">
        <v>36289</v>
      </c>
      <c r="B515" t="str">
        <f>_xlfn.CONCAT(Tabel1[[#This Row],[personeelsnr]]," ",C515," ",D515)</f>
        <v>36289 Van Rentergem Steve</v>
      </c>
      <c r="C515" t="str">
        <f>VLOOKUP(Tabel1[[#This Row],[personeelsnr]],'data hastus'!$A:$C,2,0)</f>
        <v>Van Rentergem</v>
      </c>
      <c r="D515" t="str">
        <f>VLOOKUP(Tabel1[[#This Row],[personeelsnr]],'data hastus'!$A:$C,3,0)</f>
        <v>Steve</v>
      </c>
      <c r="E515" t="str">
        <f>VLOOKUP(Tabel1[[#This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SUM(Tabel1[[#This Row],[Januari]:[December]])</f>
        <v>1</v>
      </c>
      <c r="T515" s="3">
        <v>45660</v>
      </c>
      <c r="U515" s="8" t="s">
        <v>938</v>
      </c>
      <c r="V515" s="8">
        <v>1</v>
      </c>
      <c r="W515" s="8"/>
      <c r="X515" t="s">
        <v>206</v>
      </c>
      <c r="Y515" t="s">
        <v>177</v>
      </c>
    </row>
    <row r="516" spans="1:25" x14ac:dyDescent="0.3">
      <c r="A516">
        <v>39358</v>
      </c>
      <c r="B516" t="str">
        <f>_xlfn.CONCAT(Tabel1[[#This Row],[personeelsnr]]," ",C516," ",D516)</f>
        <v>39358 Weeks Aracena Jimmy Alexander</v>
      </c>
      <c r="C516" t="str">
        <f>VLOOKUP(Tabel1[[#This Row],[personeelsnr]],'data hastus'!$A:$C,2,0)</f>
        <v>Weeks Aracena</v>
      </c>
      <c r="D516" t="str">
        <f>VLOOKUP(Tabel1[[#This Row],[personeelsnr]],'data hastus'!$A:$C,3,0)</f>
        <v>Jimmy Alexander</v>
      </c>
      <c r="E516" t="str">
        <f>VLOOKUP(Tabel1[[#This Row],[personeelsnr]],'data hastus'!A:K,11,FALSE)</f>
        <v>Christoff Rotty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SUM(Tabel1[[#This Row],[Januari]:[December]])</f>
        <v>1</v>
      </c>
      <c r="T516" s="3">
        <v>45660</v>
      </c>
      <c r="U516" s="8" t="s">
        <v>939</v>
      </c>
      <c r="V516" s="8">
        <v>1</v>
      </c>
      <c r="W516" s="8"/>
      <c r="X516" t="s">
        <v>206</v>
      </c>
      <c r="Y516" t="s">
        <v>170</v>
      </c>
    </row>
    <row r="517" spans="1:25" x14ac:dyDescent="0.3">
      <c r="A517">
        <v>31490</v>
      </c>
      <c r="B517" t="str">
        <f>_xlfn.CONCAT(Tabel1[[#This Row],[personeelsnr]]," ",C517," ",D517)</f>
        <v>31490 De Weirdt Steph</v>
      </c>
      <c r="C517" t="s">
        <v>940</v>
      </c>
      <c r="D517" t="s">
        <v>941</v>
      </c>
      <c r="E517" t="s">
        <v>397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SUM(Tabel1[[#This Row],[Januari]:[December]])</f>
        <v>1</v>
      </c>
      <c r="T517" s="3">
        <v>45660</v>
      </c>
      <c r="U517" s="8" t="s">
        <v>942</v>
      </c>
      <c r="V517" s="8">
        <v>1</v>
      </c>
      <c r="W517" s="8"/>
      <c r="X517" t="s">
        <v>206</v>
      </c>
      <c r="Y517" t="s">
        <v>178</v>
      </c>
    </row>
    <row r="518" spans="1:25" x14ac:dyDescent="0.3">
      <c r="A518">
        <v>31231</v>
      </c>
      <c r="B518" t="str">
        <f>_xlfn.CONCAT(Tabel1[[#This Row],[personeelsnr]]," ",C518," ",D518)</f>
        <v>31231 Colaes Dylan</v>
      </c>
      <c r="C518" t="str">
        <f>VLOOKUP(Tabel1[[#This Row],[personeelsnr]],'data hastus'!$A:$C,2,0)</f>
        <v>Colaes</v>
      </c>
      <c r="D518" t="str">
        <f>VLOOKUP(Tabel1[[#This Row],[personeelsnr]],'data hastus'!$A:$C,3,0)</f>
        <v>Dylan</v>
      </c>
      <c r="E518" t="str">
        <f>VLOOKUP(Tabel1[[#This Row],[personeelsnr]],'data hastus'!A:K,11,FALSE)</f>
        <v>Els Vanhoe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SUM(Tabel1[[#This Row],[Januari]:[December]])</f>
        <v>1</v>
      </c>
      <c r="T518" s="3">
        <v>45660</v>
      </c>
      <c r="U518" s="8" t="s">
        <v>943</v>
      </c>
      <c r="V518" s="8">
        <v>1</v>
      </c>
      <c r="W518" s="8"/>
      <c r="X518" t="s">
        <v>206</v>
      </c>
      <c r="Y518" t="s">
        <v>320</v>
      </c>
    </row>
    <row r="519" spans="1:25" x14ac:dyDescent="0.3">
      <c r="A519">
        <v>36426</v>
      </c>
      <c r="B519" t="str">
        <f>_xlfn.CONCAT(Tabel1[[#This Row],[personeelsnr]]," ",C519," ",D519)</f>
        <v>36426 Mohamed Yassin Abdulhamid</v>
      </c>
      <c r="C519" t="str">
        <f>VLOOKUP(Tabel1[[#This Row],[personeelsnr]],'data hastus'!$A:$C,2,0)</f>
        <v>Mohamed Yassin</v>
      </c>
      <c r="D519" t="str">
        <f>VLOOKUP(Tabel1[[#This Row],[personeelsnr]],'data hastus'!$A:$C,3,0)</f>
        <v>Abdulhamid</v>
      </c>
      <c r="E519" t="str">
        <f>VLOOKUP(Tabel1[[#This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SUM(Tabel1[[#This Row],[Januari]:[December]])</f>
        <v>1</v>
      </c>
      <c r="T519" s="3">
        <v>45660</v>
      </c>
      <c r="U519" s="8" t="s">
        <v>944</v>
      </c>
      <c r="V519" s="8"/>
      <c r="W519" s="8">
        <v>1</v>
      </c>
      <c r="X519" t="s">
        <v>207</v>
      </c>
      <c r="Y519" t="s">
        <v>330</v>
      </c>
    </row>
    <row r="520" spans="1:25" x14ac:dyDescent="0.3">
      <c r="A520">
        <v>40138</v>
      </c>
      <c r="B520" t="str">
        <f>_xlfn.CONCAT(Tabel1[[#This Row],[personeelsnr]]," ",C520," ",D520)</f>
        <v>40138 Moerman Tjimmy</v>
      </c>
      <c r="C520" t="str">
        <f>VLOOKUP(Tabel1[[#This Row],[personeelsnr]],'data hastus'!$A:$C,2,0)</f>
        <v>Moerman</v>
      </c>
      <c r="D520" t="str">
        <f>VLOOKUP(Tabel1[[#This Row],[personeelsnr]],'data hastus'!$A:$C,3,0)</f>
        <v>Tjimmy</v>
      </c>
      <c r="E520" t="str">
        <f>VLOOKUP(Tabel1[[#This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SUM(Tabel1[[#This Row],[Januari]:[December]])</f>
        <v>1</v>
      </c>
      <c r="T520" s="3">
        <v>45661</v>
      </c>
      <c r="U520" s="8" t="s">
        <v>945</v>
      </c>
      <c r="V520" s="8">
        <v>1</v>
      </c>
      <c r="W520" s="8"/>
      <c r="X520" t="s">
        <v>206</v>
      </c>
      <c r="Y520" t="s">
        <v>259</v>
      </c>
    </row>
    <row r="521" spans="1:25" x14ac:dyDescent="0.3">
      <c r="A521">
        <v>36663</v>
      </c>
      <c r="B521" t="str">
        <f>_xlfn.CONCAT(Tabel1[[#This Row],[personeelsnr]]," ",C521," ",D521)</f>
        <v>36663 Cesmeli Achraf</v>
      </c>
      <c r="C521" t="str">
        <f>VLOOKUP(Tabel1[[#This Row],[personeelsnr]],'data hastus'!$A:$C,2,0)</f>
        <v>Cesmeli</v>
      </c>
      <c r="D521" t="str">
        <f>VLOOKUP(Tabel1[[#This Row],[personeelsnr]],'data hastus'!$A:$C,3,0)</f>
        <v>Achraf</v>
      </c>
      <c r="E521" t="str">
        <f>VLOOKUP(Tabel1[[#This Row],[personeelsnr]],'data hastus'!A:K,11,FALSE)</f>
        <v>Dominique De Clercq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SUM(Tabel1[[#This Row],[Januari]:[December]])</f>
        <v>1</v>
      </c>
      <c r="T521" s="3">
        <v>45661</v>
      </c>
      <c r="U521" t="s">
        <v>946</v>
      </c>
      <c r="V521" s="8">
        <v>1</v>
      </c>
      <c r="W521"/>
      <c r="X521" t="s">
        <v>206</v>
      </c>
    </row>
    <row r="522" spans="1:25" x14ac:dyDescent="0.3">
      <c r="A522">
        <v>37950</v>
      </c>
      <c r="B522" t="str">
        <f>_xlfn.CONCAT(Tabel1[[#This Row],[personeelsnr]]," ",C522," ",D522)</f>
        <v>37950 De Naegel Bruno</v>
      </c>
      <c r="C522" t="str">
        <f>VLOOKUP(Tabel1[[#This Row],[personeelsnr]],'data hastus'!$A:$C,2,0)</f>
        <v>De Naegel</v>
      </c>
      <c r="D522" t="str">
        <f>VLOOKUP(Tabel1[[#This Row],[personeelsnr]],'data hastus'!$A:$C,3,0)</f>
        <v>Bruno</v>
      </c>
      <c r="E522" t="str">
        <f>VLOOKUP(Tabel1[[#This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SUM(Tabel1[[#This Row],[Januari]:[December]])</f>
        <v>1</v>
      </c>
      <c r="T522" s="3">
        <v>45665</v>
      </c>
      <c r="U522" s="8" t="s">
        <v>947</v>
      </c>
      <c r="V522" s="8">
        <v>1</v>
      </c>
      <c r="W522" s="8"/>
      <c r="X522" t="s">
        <v>206</v>
      </c>
      <c r="Y522" t="s">
        <v>211</v>
      </c>
    </row>
    <row r="523" spans="1:25" x14ac:dyDescent="0.3">
      <c r="A523">
        <v>19917</v>
      </c>
      <c r="B523" t="str">
        <f>_xlfn.CONCAT(Tabel1[[#This Row],[personeelsnr]]," ",C523," ",D523)</f>
        <v>19917 Vandevyvere Frank</v>
      </c>
      <c r="C523" t="str">
        <f>VLOOKUP(Tabel1[[#This Row],[personeelsnr]],'data hastus'!$A:$C,2,0)</f>
        <v>Vandevyvere</v>
      </c>
      <c r="D523" t="str">
        <f>VLOOKUP(Tabel1[[#This Row],[personeelsnr]],'data hastus'!$A:$C,3,0)</f>
        <v>Frank</v>
      </c>
      <c r="E523" t="str">
        <f>VLOOKUP(Tabel1[[#This Row],[personeelsnr]],'data hastus'!A:K,11,FALSE)</f>
        <v>Bart Van Der Beken</v>
      </c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SUM(Tabel1[[#This Row],[Januari]:[December]])</f>
        <v>1</v>
      </c>
      <c r="T523" s="3">
        <v>45667</v>
      </c>
      <c r="U523" s="8" t="s">
        <v>948</v>
      </c>
      <c r="V523" s="8">
        <v>1</v>
      </c>
      <c r="W523" s="8"/>
      <c r="X523" t="s">
        <v>206</v>
      </c>
      <c r="Y523" t="s">
        <v>190</v>
      </c>
    </row>
    <row r="524" spans="1:25" x14ac:dyDescent="0.3">
      <c r="A524">
        <v>40266</v>
      </c>
      <c r="B524" t="str">
        <f>_xlfn.CONCAT(Tabel1[[#This Row],[personeelsnr]]," ",C524," ",D524)</f>
        <v>40266 Taibi Yassine</v>
      </c>
      <c r="C524" t="str">
        <f>VLOOKUP(Tabel1[[#This Row],[personeelsnr]],'data hastus'!$A:$C,2,0)</f>
        <v>Taibi</v>
      </c>
      <c r="D524" t="str">
        <f>VLOOKUP(Tabel1[[#This Row],[personeelsnr]],'data hastus'!$A:$C,3,0)</f>
        <v>Yassine</v>
      </c>
      <c r="E524" t="str">
        <f>VLOOKUP(Tabel1[[#This Row],[personeelsnr]],'data hastus'!A:K,11,FALSE)</f>
        <v>Christoff Rotty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SUM(Tabel1[[#This Row],[Januari]:[December]])</f>
        <v>1</v>
      </c>
      <c r="T524" s="3">
        <v>45667</v>
      </c>
      <c r="U524" s="8" t="s">
        <v>949</v>
      </c>
      <c r="V524" s="8">
        <v>1</v>
      </c>
      <c r="W524" s="8"/>
      <c r="X524" t="s">
        <v>206</v>
      </c>
      <c r="Y524" t="s">
        <v>292</v>
      </c>
    </row>
    <row r="525" spans="1:25" x14ac:dyDescent="0.3">
      <c r="A525">
        <v>36559</v>
      </c>
      <c r="B525" t="str">
        <f>_xlfn.CONCAT(Tabel1[[#This Row],[personeelsnr]]," ",C525," ",D525)</f>
        <v>36559 De Staercke Sandra</v>
      </c>
      <c r="C525" t="str">
        <f>VLOOKUP(Tabel1[[#This Row],[personeelsnr]],'data hastus'!$A:$C,2,0)</f>
        <v>De Staercke</v>
      </c>
      <c r="D525" t="str">
        <f>VLOOKUP(Tabel1[[#This Row],[personeelsnr]],'data hastus'!$A:$C,3,0)</f>
        <v>Sandra</v>
      </c>
      <c r="E525" t="str">
        <f>VLOOKUP(Tabel1[[#This Row],[personeelsnr]],'data hastus'!A:K,11,FALSE)</f>
        <v>Kenneth De Rick</v>
      </c>
      <c r="F525" s="10"/>
      <c r="G525" s="6">
        <v>1</v>
      </c>
      <c r="H525" s="6"/>
      <c r="I525" s="6"/>
      <c r="J525"/>
      <c r="K525"/>
      <c r="L525"/>
      <c r="M525"/>
      <c r="N525"/>
      <c r="O525"/>
      <c r="P525"/>
      <c r="Q525"/>
      <c r="R525"/>
      <c r="S525">
        <f>SUM(Tabel1[[#This Row],[Januari]:[December]])</f>
        <v>1</v>
      </c>
      <c r="T525" s="3">
        <v>45667</v>
      </c>
      <c r="U525" s="8" t="s">
        <v>950</v>
      </c>
      <c r="V525" s="8"/>
      <c r="W525" s="8">
        <v>1</v>
      </c>
      <c r="X525" t="s">
        <v>207</v>
      </c>
      <c r="Y525" t="s">
        <v>365</v>
      </c>
    </row>
    <row r="526" spans="1:25" x14ac:dyDescent="0.3">
      <c r="A526">
        <v>33986</v>
      </c>
      <c r="B526" t="str">
        <f>_xlfn.CONCAT(Tabel1[[#This Row],[personeelsnr]]," ",C526," ",D526)</f>
        <v>33986 Göktas Muharrem</v>
      </c>
      <c r="C526" t="str">
        <f>VLOOKUP(Tabel1[[#This Row],[personeelsnr]],'data hastus'!$A:$C,2,0)</f>
        <v>Göktas</v>
      </c>
      <c r="D526" t="str">
        <f>VLOOKUP(Tabel1[[#This Row],[personeelsnr]],'data hastus'!$A:$C,3,0)</f>
        <v>Muharrem</v>
      </c>
      <c r="E526" t="str">
        <f>VLOOKUP(Tabel1[[#This Row],[personeelsnr]],'data hastus'!A:K,11,FALSE)</f>
        <v>Kenneth De Rick</v>
      </c>
      <c r="F526" s="10"/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SUM(Tabel1[[#This Row],[Januari]:[December]])</f>
        <v>0</v>
      </c>
      <c r="T526" s="3">
        <v>45669</v>
      </c>
      <c r="U526" s="8" t="s">
        <v>951</v>
      </c>
      <c r="V526" s="8">
        <v>1</v>
      </c>
      <c r="W526" s="8"/>
      <c r="X526" t="s">
        <v>206</v>
      </c>
      <c r="Y526" t="s">
        <v>300</v>
      </c>
    </row>
    <row r="527" spans="1:25" x14ac:dyDescent="0.3">
      <c r="A527">
        <v>36428</v>
      </c>
      <c r="B527" t="str">
        <f>_xlfn.CONCAT(Tabel1[[#This Row],[personeelsnr]]," ",C527," ",D527)</f>
        <v>36428 Abdi Shaiye Rashid</v>
      </c>
      <c r="C527" t="str">
        <f>VLOOKUP(Tabel1[[#This Row],[personeelsnr]],'data hastus'!$A:$C,2,0)</f>
        <v>Abdi Shaiye</v>
      </c>
      <c r="D527" t="str">
        <f>VLOOKUP(Tabel1[[#This Row],[personeelsnr]],'data hastus'!$A:$C,3,0)</f>
        <v>Rashid</v>
      </c>
      <c r="E527" t="str">
        <f>VLOOKUP(Tabel1[[#This Row],[personeelsnr]],'data hastus'!A:K,11,FALSE)</f>
        <v>Lucie Vande Velde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SUM(Tabel1[[#This Row],[Januari]:[December]])</f>
        <v>1</v>
      </c>
      <c r="T527" s="3">
        <v>45669</v>
      </c>
      <c r="U527" s="8" t="s">
        <v>952</v>
      </c>
      <c r="V527" s="8">
        <v>1</v>
      </c>
      <c r="W527" s="8"/>
      <c r="X527" t="s">
        <v>206</v>
      </c>
      <c r="Y527" t="s">
        <v>170</v>
      </c>
    </row>
    <row r="528" spans="1:25" x14ac:dyDescent="0.3">
      <c r="A528">
        <v>40444</v>
      </c>
      <c r="B528" t="str">
        <f>_xlfn.CONCAT(Tabel1[[#This Row],[personeelsnr]]," ",C528," ",D528)</f>
        <v>40444 Van Damme Glenn</v>
      </c>
      <c r="C528" t="str">
        <f>VLOOKUP(Tabel1[[#This Row],[personeelsnr]],'data hastus'!$A:$C,2,0)</f>
        <v>Van Damme</v>
      </c>
      <c r="D528" t="str">
        <f>VLOOKUP(Tabel1[[#This Row],[personeelsnr]],'data hastus'!$A:$C,3,0)</f>
        <v>Glenn</v>
      </c>
      <c r="E528" t="str">
        <f>VLOOKUP(Tabel1[[#This Row],[personeelsnr]],'data hastus'!A:K,11,FALSE)</f>
        <v>Els Dewulf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SUM(Tabel1[[#This Row],[Januari]:[December]])</f>
        <v>1</v>
      </c>
      <c r="T528" s="3">
        <v>45670</v>
      </c>
      <c r="U528" s="8" t="s">
        <v>953</v>
      </c>
      <c r="V528" s="8">
        <v>1</v>
      </c>
      <c r="W528" s="8"/>
      <c r="X528" t="s">
        <v>206</v>
      </c>
      <c r="Y528" t="s">
        <v>200</v>
      </c>
    </row>
    <row r="529" spans="1:25" x14ac:dyDescent="0.3">
      <c r="A529">
        <v>25487</v>
      </c>
      <c r="B529" t="str">
        <f>_xlfn.CONCAT(Tabel1[[#This Row],[personeelsnr]]," ",C529," ",D529)</f>
        <v>25487 Devos Stefaan</v>
      </c>
      <c r="C529" t="str">
        <f>VLOOKUP(Tabel1[[#This Row],[personeelsnr]],'data hastus'!$A:$C,2,0)</f>
        <v>Devos</v>
      </c>
      <c r="D529" t="str">
        <f>VLOOKUP(Tabel1[[#This Row],[personeelsnr]],'data hastus'!$A:$C,3,0)</f>
        <v>Stefaan</v>
      </c>
      <c r="E529" t="str">
        <f>VLOOKUP(Tabel1[[#This Row],[personeelsnr]],'data hastus'!A:K,11,FALSE)</f>
        <v>Steven Storm</v>
      </c>
      <c r="F529" s="10"/>
      <c r="G529" s="6">
        <v>1</v>
      </c>
      <c r="H529" s="6"/>
      <c r="I529" s="6"/>
      <c r="J529"/>
      <c r="K529"/>
      <c r="L529"/>
      <c r="M529"/>
      <c r="N529"/>
      <c r="O529"/>
      <c r="P529"/>
      <c r="Q529"/>
      <c r="R529"/>
      <c r="S529">
        <f>SUM(Tabel1[[#This Row],[Januari]:[December]])</f>
        <v>1</v>
      </c>
      <c r="T529" s="3">
        <v>45671</v>
      </c>
      <c r="U529" s="8" t="s">
        <v>954</v>
      </c>
      <c r="V529" s="8">
        <v>1</v>
      </c>
      <c r="W529" s="8"/>
      <c r="X529" t="s">
        <v>206</v>
      </c>
      <c r="Y529" t="s">
        <v>279</v>
      </c>
    </row>
    <row r="530" spans="1:25" x14ac:dyDescent="0.3">
      <c r="A530">
        <v>36626</v>
      </c>
      <c r="B530" t="str">
        <f>_xlfn.CONCAT(Tabel1[[#This Row],[personeelsnr]]," ",C530," ",D530)</f>
        <v>36626 Kartal Kadir</v>
      </c>
      <c r="C530" t="str">
        <f>VLOOKUP(Tabel1[[#This Row],[personeelsnr]],'data hastus'!$A:$C,2,0)</f>
        <v>Kartal</v>
      </c>
      <c r="D530" t="str">
        <f>VLOOKUP(Tabel1[[#This Row],[personeelsnr]],'data hastus'!$A:$C,3,0)</f>
        <v>Kadir</v>
      </c>
      <c r="E530" t="str">
        <f>VLOOKUP(Tabel1[[#This Row],[personeelsnr]],'data hastus'!A:K,11,FALSE)</f>
        <v>Els Dewulf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SUM(Tabel1[[#This Row],[Januari]:[December]])</f>
        <v>1</v>
      </c>
      <c r="T530" s="3">
        <v>45671</v>
      </c>
      <c r="U530" s="8" t="s">
        <v>955</v>
      </c>
      <c r="V530" s="8">
        <v>1</v>
      </c>
      <c r="W530" s="8"/>
      <c r="X530" t="s">
        <v>206</v>
      </c>
      <c r="Y530" t="s">
        <v>175</v>
      </c>
    </row>
    <row r="531" spans="1:25" x14ac:dyDescent="0.3">
      <c r="A531">
        <v>9999</v>
      </c>
      <c r="B531" t="str">
        <f>_xlfn.CONCAT(Tabel1[[#This Row],[personeelsnr]]," ",C531," ",D531)</f>
        <v>9999 - -</v>
      </c>
      <c r="C531" t="s">
        <v>3388</v>
      </c>
      <c r="D531" t="s">
        <v>3388</v>
      </c>
      <c r="E531" t="s">
        <v>1165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SUM(Tabel1[[#This Row],[Januari]:[December]])</f>
        <v>1</v>
      </c>
      <c r="T531" s="3">
        <v>45671</v>
      </c>
      <c r="U531" s="8" t="s">
        <v>956</v>
      </c>
      <c r="V531" s="8">
        <v>1</v>
      </c>
      <c r="W531" s="8"/>
      <c r="X531" t="s">
        <v>206</v>
      </c>
      <c r="Y531" t="s">
        <v>178</v>
      </c>
    </row>
    <row r="532" spans="1:25" x14ac:dyDescent="0.3">
      <c r="A532">
        <v>40005</v>
      </c>
      <c r="B532" t="str">
        <f>_xlfn.CONCAT(Tabel1[[#This Row],[personeelsnr]]," ",C532," ",D532)</f>
        <v>40005 Bernaerts Philip</v>
      </c>
      <c r="C532" t="str">
        <f>VLOOKUP(Tabel1[[#This Row],[personeelsnr]],'data hastus'!$A:$C,2,0)</f>
        <v>Bernaerts</v>
      </c>
      <c r="D532" t="str">
        <f>VLOOKUP(Tabel1[[#This Row],[personeelsnr]],'data hastus'!$A:$C,3,0)</f>
        <v>Philip</v>
      </c>
      <c r="E532" t="str">
        <f>VLOOKUP(Tabel1[[#This Row],[personeelsnr]],'data hastus'!A:K,11,FALSE)</f>
        <v>Christoff Rotty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SUM(Tabel1[[#This Row],[Januari]:[December]])</f>
        <v>1</v>
      </c>
      <c r="T532" s="3">
        <v>45672</v>
      </c>
      <c r="U532" s="8" t="s">
        <v>957</v>
      </c>
      <c r="V532" s="8">
        <v>1</v>
      </c>
      <c r="W532" s="8"/>
      <c r="X532" t="s">
        <v>206</v>
      </c>
      <c r="Y532" t="s">
        <v>186</v>
      </c>
    </row>
    <row r="533" spans="1:25" x14ac:dyDescent="0.3">
      <c r="A533">
        <v>30967</v>
      </c>
      <c r="B533" t="str">
        <f>_xlfn.CONCAT(Tabel1[[#This Row],[personeelsnr]]," ",C533," ",D533)</f>
        <v>30967 Taser Fatih</v>
      </c>
      <c r="C533" t="str">
        <f>VLOOKUP(Tabel1[[#This Row],[personeelsnr]],'data hastus'!$A:$C,2,0)</f>
        <v>Taser</v>
      </c>
      <c r="D533" t="str">
        <f>VLOOKUP(Tabel1[[#This Row],[personeelsnr]],'data hastus'!$A:$C,3,0)</f>
        <v>Fatih</v>
      </c>
      <c r="E533" t="str">
        <f>VLOOKUP(Tabel1[[#This Row],[personeelsnr]],'data hastus'!A:K,11,FALSE)</f>
        <v>Dominique De Clercq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SUM(Tabel1[[#This Row],[Januari]:[December]])</f>
        <v>1</v>
      </c>
      <c r="T533" s="3">
        <v>45672</v>
      </c>
      <c r="U533" s="8" t="s">
        <v>958</v>
      </c>
      <c r="V533" s="8"/>
      <c r="W533" s="8">
        <v>1</v>
      </c>
      <c r="X533" t="s">
        <v>207</v>
      </c>
      <c r="Y533" t="s">
        <v>252</v>
      </c>
    </row>
    <row r="534" spans="1:25" x14ac:dyDescent="0.3">
      <c r="A534">
        <v>40969</v>
      </c>
      <c r="B534" t="str">
        <f>_xlfn.CONCAT(Tabel1[[#This Row],[personeelsnr]]," ",C534," ",D534)</f>
        <v>40969 Kerman Melisa</v>
      </c>
      <c r="C534" t="str">
        <f>VLOOKUP(Tabel1[[#This Row],[personeelsnr]],'data hastus'!$A:$C,2,0)</f>
        <v>Kerman</v>
      </c>
      <c r="D534" t="str">
        <f>VLOOKUP(Tabel1[[#This Row],[personeelsnr]],'data hastus'!$A:$C,3,0)</f>
        <v>Melisa</v>
      </c>
      <c r="E534" t="str">
        <f>VLOOKUP(Tabel1[[#This Row],[personeelsnr]],'data hastus'!A:K,11,FALSE)</f>
        <v>Steven Storm</v>
      </c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SUM(Tabel1[[#This Row],[Januari]:[December]])</f>
        <v>1</v>
      </c>
      <c r="T534" s="3">
        <v>45673</v>
      </c>
      <c r="U534" s="8" t="s">
        <v>959</v>
      </c>
      <c r="V534" s="8">
        <v>1</v>
      </c>
      <c r="W534" s="8"/>
      <c r="X534" t="s">
        <v>206</v>
      </c>
      <c r="Y534" t="s">
        <v>190</v>
      </c>
    </row>
    <row r="535" spans="1:25" x14ac:dyDescent="0.3">
      <c r="A535">
        <v>36626</v>
      </c>
      <c r="B535" t="str">
        <f>_xlfn.CONCAT(Tabel1[[#This Row],[personeelsnr]]," ",C535," ",D535)</f>
        <v>36626 Kartal Kadir</v>
      </c>
      <c r="C535" t="str">
        <f>VLOOKUP(Tabel1[[#This Row],[personeelsnr]],'data hastus'!$A:$C,2,0)</f>
        <v>Kartal</v>
      </c>
      <c r="D535" t="str">
        <f>VLOOKUP(Tabel1[[#This Row],[personeelsnr]],'data hastus'!$A:$C,3,0)</f>
        <v>Kadir</v>
      </c>
      <c r="E535" t="str">
        <f>VLOOKUP(Tabel1[[#This Row],[personeelsnr]],'data hastus'!A:K,11,FALSE)</f>
        <v>Els Dewulf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SUM(Tabel1[[#This Row],[Januari]:[December]])</f>
        <v>1</v>
      </c>
      <c r="T535" s="3">
        <v>45673</v>
      </c>
      <c r="U535" s="8" t="s">
        <v>960</v>
      </c>
      <c r="V535" s="8"/>
      <c r="W535" s="8">
        <v>1</v>
      </c>
      <c r="X535" t="s">
        <v>207</v>
      </c>
      <c r="Y535" t="s">
        <v>168</v>
      </c>
    </row>
    <row r="536" spans="1:25" x14ac:dyDescent="0.3">
      <c r="A536">
        <v>22240</v>
      </c>
      <c r="B536" t="str">
        <f>_xlfn.CONCAT(Tabel1[[#This Row],[personeelsnr]]," ",C536," ",D536)</f>
        <v>22240 Delahaye Karina</v>
      </c>
      <c r="C536" t="str">
        <f>VLOOKUP(Tabel1[[#This Row],[personeelsnr]],'data hastus'!$A:$C,2,0)</f>
        <v>Delahaye</v>
      </c>
      <c r="D536" t="str">
        <f>VLOOKUP(Tabel1[[#This Row],[personeelsnr]],'data hastus'!$A:$C,3,0)</f>
        <v>Karina</v>
      </c>
      <c r="E536" t="str">
        <f>VLOOKUP(Tabel1[[#This Row],[personeelsnr]],'data hastus'!A:K,11,FALSE)</f>
        <v>Els Dewulf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SUM(Tabel1[[#This Row],[Januari]:[December]])</f>
        <v>1</v>
      </c>
      <c r="T536" s="3">
        <v>45674</v>
      </c>
      <c r="U536" s="8" t="s">
        <v>961</v>
      </c>
      <c r="V536" s="8"/>
      <c r="W536" s="8">
        <v>1</v>
      </c>
      <c r="X536" t="s">
        <v>207</v>
      </c>
      <c r="Y536" t="s">
        <v>356</v>
      </c>
    </row>
    <row r="537" spans="1:25" x14ac:dyDescent="0.3">
      <c r="A537">
        <v>8394</v>
      </c>
      <c r="B537" t="str">
        <f>_xlfn.CONCAT(Tabel1[[#This Row],[personeelsnr]]," ",C537," ",D537)</f>
        <v>8394 Smet Antoon</v>
      </c>
      <c r="C537" t="str">
        <f>VLOOKUP(Tabel1[[#This Row],[personeelsnr]],'data hastus'!$A:$C,2,0)</f>
        <v>Smet</v>
      </c>
      <c r="D537" t="str">
        <f>VLOOKUP(Tabel1[[#This Row],[personeelsnr]],'data hastus'!$A:$C,3,0)</f>
        <v>Antoon</v>
      </c>
      <c r="E537" t="str">
        <f>VLOOKUP(Tabel1[[#This Row],[personeelsnr]],'data hastus'!A:K,11,FALSE)</f>
        <v>Lucie Vande Velde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SUM(Tabel1[[#This Row],[Januari]:[December]])</f>
        <v>1</v>
      </c>
      <c r="T537" s="3">
        <v>45677</v>
      </c>
      <c r="U537" s="8" t="s">
        <v>962</v>
      </c>
      <c r="V537" s="8">
        <v>1</v>
      </c>
      <c r="W537" s="8"/>
      <c r="X537" t="s">
        <v>206</v>
      </c>
      <c r="Y537" t="s">
        <v>287</v>
      </c>
    </row>
    <row r="538" spans="1:25" x14ac:dyDescent="0.3">
      <c r="A538">
        <v>33965</v>
      </c>
      <c r="B538" t="str">
        <f>_xlfn.CONCAT(Tabel1[[#This Row],[personeelsnr]]," ",C538," ",D538)</f>
        <v>33965 Van de Gehuchte Gilles</v>
      </c>
      <c r="C538" t="str">
        <f>VLOOKUP(Tabel1[[#This Row],[personeelsnr]],'data hastus'!$A:$C,2,0)</f>
        <v>Van de Gehuchte</v>
      </c>
      <c r="D538" t="str">
        <f>VLOOKUP(Tabel1[[#This Row],[personeelsnr]],'data hastus'!$A:$C,3,0)</f>
        <v>Gilles</v>
      </c>
      <c r="E538" t="str">
        <f>VLOOKUP(Tabel1[[#This Row],[personeelsnr]],'data hastus'!A:K,11,FALSE)</f>
        <v>Kenneth De Rick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SUM(Tabel1[[#This Row],[Januari]:[December]])</f>
        <v>1</v>
      </c>
      <c r="T538" s="3">
        <v>45677</v>
      </c>
      <c r="U538" s="8" t="s">
        <v>963</v>
      </c>
      <c r="V538" s="8"/>
      <c r="W538" s="8">
        <v>1</v>
      </c>
      <c r="X538" t="s">
        <v>207</v>
      </c>
      <c r="Y538" t="s">
        <v>174</v>
      </c>
    </row>
    <row r="539" spans="1:25" x14ac:dyDescent="0.3">
      <c r="A539">
        <v>21581</v>
      </c>
      <c r="B539" t="str">
        <f>_xlfn.CONCAT(Tabel1[[#This Row],[personeelsnr]]," ",C539," ",D539)</f>
        <v>21581 Vanderstraeten Franky</v>
      </c>
      <c r="C539" t="str">
        <f>VLOOKUP(Tabel1[[#This Row],[personeelsnr]],'data hastus'!$A:$C,2,0)</f>
        <v>Vanderstraeten</v>
      </c>
      <c r="D539" t="str">
        <f>VLOOKUP(Tabel1[[#This Row],[personeelsnr]],'data hastus'!$A:$C,3,0)</f>
        <v>Franky</v>
      </c>
      <c r="E539" t="str">
        <f>VLOOKUP(Tabel1[[#This Row],[personeelsnr]],'data hastus'!A:K,11,FALSE)</f>
        <v>Lucie Vande Velde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SUM(Tabel1[[#This Row],[Januari]:[December]])</f>
        <v>1</v>
      </c>
      <c r="T539" s="3">
        <v>45678</v>
      </c>
      <c r="U539" s="8" t="s">
        <v>964</v>
      </c>
      <c r="V539" s="8">
        <v>1</v>
      </c>
      <c r="W539" s="8"/>
      <c r="X539" t="s">
        <v>206</v>
      </c>
      <c r="Y539" t="s">
        <v>362</v>
      </c>
    </row>
    <row r="540" spans="1:25" x14ac:dyDescent="0.3">
      <c r="A540">
        <v>39673</v>
      </c>
      <c r="B540" t="str">
        <f>_xlfn.CONCAT(Tabel1[[#This Row],[personeelsnr]]," ",C540," ",D540)</f>
        <v>39673 Steurbaut Henri</v>
      </c>
      <c r="C540" t="str">
        <f>VLOOKUP(Tabel1[[#This Row],[personeelsnr]],'data hastus'!$A:$C,2,0)</f>
        <v>Steurbaut</v>
      </c>
      <c r="D540" t="str">
        <f>VLOOKUP(Tabel1[[#This Row],[personeelsnr]],'data hastus'!$A:$C,3,0)</f>
        <v>Henri</v>
      </c>
      <c r="E540" t="str">
        <f>VLOOKUP(Tabel1[[#This Row],[personeelsnr]],'data hastus'!A:K,11,FALSE)</f>
        <v>Els Vanhoe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SUM(Tabel1[[#This Row],[Januari]:[December]])</f>
        <v>1</v>
      </c>
      <c r="T540" s="3">
        <v>45678</v>
      </c>
      <c r="U540" s="8" t="s">
        <v>965</v>
      </c>
      <c r="V540" s="8">
        <v>1</v>
      </c>
      <c r="W540" s="8"/>
      <c r="X540" t="s">
        <v>206</v>
      </c>
      <c r="Y540" t="s">
        <v>279</v>
      </c>
    </row>
    <row r="541" spans="1:25" x14ac:dyDescent="0.3">
      <c r="A541">
        <v>39660</v>
      </c>
      <c r="B541" t="str">
        <f>_xlfn.CONCAT(Tabel1[[#This Row],[personeelsnr]]," ",C541," ",D541)</f>
        <v>39660 Lloyd Glenn</v>
      </c>
      <c r="C541" t="str">
        <f>VLOOKUP(Tabel1[[#This Row],[personeelsnr]],'data hastus'!$A:$C,2,0)</f>
        <v>Lloyd</v>
      </c>
      <c r="D541" t="str">
        <f>VLOOKUP(Tabel1[[#This Row],[personeelsnr]],'data hastus'!$A:$C,3,0)</f>
        <v>Glenn</v>
      </c>
      <c r="E541" t="str">
        <f>VLOOKUP(Tabel1[[#This Row],[personeelsnr]],'data hastus'!A:K,11,FALSE)</f>
        <v>Bart Van Der Beken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SUM(Tabel1[[#This Row],[Januari]:[December]])</f>
        <v>1</v>
      </c>
      <c r="T541" s="3">
        <v>45679</v>
      </c>
      <c r="U541" s="8" t="s">
        <v>966</v>
      </c>
      <c r="V541" s="8">
        <v>1</v>
      </c>
      <c r="W541" s="8"/>
      <c r="X541" t="s">
        <v>206</v>
      </c>
      <c r="Y541" t="s">
        <v>202</v>
      </c>
    </row>
    <row r="542" spans="1:25" x14ac:dyDescent="0.3">
      <c r="A542">
        <v>41162</v>
      </c>
      <c r="B542" t="str">
        <f>_xlfn.CONCAT(Tabel1[[#This Row],[personeelsnr]]," ",C542," ",D542)</f>
        <v>41162 Hoeckman Jeroen</v>
      </c>
      <c r="C542" t="str">
        <f>VLOOKUP(Tabel1[[#This Row],[personeelsnr]],'data hastus'!$A:$C,2,0)</f>
        <v>Hoeckman</v>
      </c>
      <c r="D542" t="str">
        <f>VLOOKUP(Tabel1[[#This Row],[personeelsnr]],'data hastus'!$A:$C,3,0)</f>
        <v>Jeroen</v>
      </c>
      <c r="E542" t="str">
        <f>VLOOKUP(Tabel1[[#This Row],[personeelsnr]],'data hastus'!A:K,11,FALSE)</f>
        <v>Dominique De Clercq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SUM(Tabel1[[#This Row],[Januari]:[December]])</f>
        <v>1</v>
      </c>
      <c r="T542" s="3">
        <v>45679</v>
      </c>
      <c r="U542" s="8" t="s">
        <v>967</v>
      </c>
      <c r="V542" s="8">
        <v>1</v>
      </c>
      <c r="W542" s="8"/>
      <c r="X542" t="s">
        <v>206</v>
      </c>
      <c r="Y542" t="s">
        <v>236</v>
      </c>
    </row>
    <row r="543" spans="1:25" x14ac:dyDescent="0.3">
      <c r="A543">
        <v>34351</v>
      </c>
      <c r="B543" t="str">
        <f>_xlfn.CONCAT(Tabel1[[#This Row],[personeelsnr]]," ",C543," ",D543)</f>
        <v>34351 Callant Dieter</v>
      </c>
      <c r="C543" t="str">
        <f>VLOOKUP(Tabel1[[#This Row],[personeelsnr]],'data hastus'!$A:$C,2,0)</f>
        <v>Callant</v>
      </c>
      <c r="D543" t="str">
        <f>VLOOKUP(Tabel1[[#This Row],[personeelsnr]],'data hastus'!$A:$C,3,0)</f>
        <v>Dieter</v>
      </c>
      <c r="E543" t="str">
        <f>VLOOKUP(Tabel1[[#This Row],[personeelsnr]],'data hastus'!A:K,11,FALSE)</f>
        <v>Els Vanhoe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SUM(Tabel1[[#This Row],[Januari]:[December]])</f>
        <v>1</v>
      </c>
      <c r="T543" s="3">
        <v>45679</v>
      </c>
      <c r="U543" s="8" t="s">
        <v>968</v>
      </c>
      <c r="V543" s="8"/>
      <c r="W543" s="8">
        <v>1</v>
      </c>
      <c r="X543" t="s">
        <v>207</v>
      </c>
      <c r="Y543" t="s">
        <v>225</v>
      </c>
    </row>
    <row r="544" spans="1:25" x14ac:dyDescent="0.3">
      <c r="A544">
        <v>35395</v>
      </c>
      <c r="B544" t="str">
        <f>_xlfn.CONCAT(Tabel1[[#This Row],[personeelsnr]]," ",C544," ",D544)</f>
        <v>35395 Limbourg Heidi</v>
      </c>
      <c r="C544" t="str">
        <f>VLOOKUP(Tabel1[[#This Row],[personeelsnr]],'data hastus'!$A:$C,2,0)</f>
        <v>Limbourg</v>
      </c>
      <c r="D544" t="str">
        <f>VLOOKUP(Tabel1[[#This Row],[personeelsnr]],'data hastus'!$A:$C,3,0)</f>
        <v>Heidi</v>
      </c>
      <c r="E544" t="str">
        <f>VLOOKUP(Tabel1[[#This Row],[personeelsnr]],'data hastus'!A:K,11,FALSE)</f>
        <v>Steven Storm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SUM(Tabel1[[#This Row],[Januari]:[December]])</f>
        <v>1</v>
      </c>
      <c r="T544" s="3">
        <v>45680</v>
      </c>
      <c r="U544" s="8" t="s">
        <v>969</v>
      </c>
      <c r="V544" s="8"/>
      <c r="W544" s="8">
        <v>1</v>
      </c>
      <c r="X544" t="s">
        <v>207</v>
      </c>
      <c r="Y544" t="s">
        <v>180</v>
      </c>
    </row>
    <row r="545" spans="1:25" x14ac:dyDescent="0.3">
      <c r="A545">
        <v>31360</v>
      </c>
      <c r="B545" t="str">
        <f>_xlfn.CONCAT(Tabel1[[#This Row],[personeelsnr]]," ",C545," ",D545)</f>
        <v>31360 Simsek Fatih</v>
      </c>
      <c r="C545" t="str">
        <f>VLOOKUP(Tabel1[[#This Row],[personeelsnr]],'data hastus'!$A:$C,2,0)</f>
        <v>Simsek</v>
      </c>
      <c r="D545" t="str">
        <f>VLOOKUP(Tabel1[[#This Row],[personeelsnr]],'data hastus'!$A:$C,3,0)</f>
        <v>Fatih</v>
      </c>
      <c r="E545" t="str">
        <f>VLOOKUP(Tabel1[[#This Row],[personeelsnr]],'data hastus'!A:K,11,FALSE)</f>
        <v>Dominique De Clercq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SUM(Tabel1[[#This Row],[Januari]:[December]])</f>
        <v>1</v>
      </c>
      <c r="T545" s="3">
        <v>45680</v>
      </c>
      <c r="U545" s="8" t="s">
        <v>970</v>
      </c>
      <c r="V545" s="8"/>
      <c r="W545" s="8">
        <v>1</v>
      </c>
      <c r="X545" t="s">
        <v>207</v>
      </c>
      <c r="Y545" t="s">
        <v>246</v>
      </c>
    </row>
    <row r="546" spans="1:25" x14ac:dyDescent="0.3">
      <c r="A546">
        <v>13398</v>
      </c>
      <c r="B546" t="str">
        <f>_xlfn.CONCAT(Tabel1[[#This Row],[personeelsnr]]," ",C546," ",D546)</f>
        <v>13398 Kirdas Ramazan</v>
      </c>
      <c r="C546" t="str">
        <f>VLOOKUP(Tabel1[[#This Row],[personeelsnr]],'data hastus'!$A:$C,2,0)</f>
        <v>Kirdas</v>
      </c>
      <c r="D546" t="str">
        <f>VLOOKUP(Tabel1[[#This Row],[personeelsnr]],'data hastus'!$A:$C,3,0)</f>
        <v>Ramazan</v>
      </c>
      <c r="E546" t="str">
        <f>VLOOKUP(Tabel1[[#This Row],[personeelsnr]],'data hastus'!A:K,11,FALSE)</f>
        <v>Dominique De Clercq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SUM(Tabel1[[#This Row],[Januari]:[December]])</f>
        <v>1</v>
      </c>
      <c r="T546" s="3">
        <v>45681</v>
      </c>
      <c r="U546" s="8" t="s">
        <v>971</v>
      </c>
      <c r="V546" s="8"/>
      <c r="W546" s="8">
        <v>1</v>
      </c>
      <c r="X546" t="s">
        <v>207</v>
      </c>
      <c r="Y546" t="s">
        <v>245</v>
      </c>
    </row>
    <row r="547" spans="1:25" x14ac:dyDescent="0.3">
      <c r="A547">
        <v>36663</v>
      </c>
      <c r="B547" t="str">
        <f>_xlfn.CONCAT(Tabel1[[#This Row],[personeelsnr]]," ",C547," ",D547)</f>
        <v>36663 Cesmeli Achraf</v>
      </c>
      <c r="C547" t="str">
        <f>VLOOKUP(Tabel1[[#This Row],[personeelsnr]],'data hastus'!$A:$C,2,0)</f>
        <v>Cesmeli</v>
      </c>
      <c r="D547" t="str">
        <f>VLOOKUP(Tabel1[[#This Row],[personeelsnr]],'data hastus'!$A:$C,3,0)</f>
        <v>Achraf</v>
      </c>
      <c r="E547" t="str">
        <f>VLOOKUP(Tabel1[[#This Row],[personeelsnr]],'data hastus'!A:K,11,FALSE)</f>
        <v>Dominique De Clercq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SUM(Tabel1[[#This Row],[Januari]:[December]])</f>
        <v>1</v>
      </c>
      <c r="T547" s="3">
        <v>45684</v>
      </c>
      <c r="U547" s="8" t="s">
        <v>972</v>
      </c>
      <c r="V547" s="8">
        <v>1</v>
      </c>
      <c r="W547" s="8"/>
      <c r="X547" t="s">
        <v>206</v>
      </c>
      <c r="Y547" t="s">
        <v>183</v>
      </c>
    </row>
    <row r="548" spans="1:25" x14ac:dyDescent="0.3">
      <c r="A548">
        <v>35491</v>
      </c>
      <c r="B548" t="str">
        <f>_xlfn.CONCAT(Tabel1[[#This Row],[personeelsnr]]," ",C548," ",D548)</f>
        <v>35491 Toubadie Zakaria</v>
      </c>
      <c r="C548" t="str">
        <f>VLOOKUP(Tabel1[[#This Row],[personeelsnr]],'data hastus'!$A:$C,2,0)</f>
        <v>Toubadie</v>
      </c>
      <c r="D548" t="str">
        <f>VLOOKUP(Tabel1[[#This Row],[personeelsnr]],'data hastus'!$A:$C,3,0)</f>
        <v>Zakaria</v>
      </c>
      <c r="E548" t="str">
        <f>VLOOKUP(Tabel1[[#This Row],[personeelsnr]],'data hastus'!A:K,11,FALSE)</f>
        <v>Els Vanhoe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SUM(Tabel1[[#This Row],[Januari]:[December]])</f>
        <v>1</v>
      </c>
      <c r="T548" s="3">
        <v>45685</v>
      </c>
      <c r="U548" s="8" t="s">
        <v>973</v>
      </c>
      <c r="V548" s="8">
        <v>1</v>
      </c>
      <c r="W548" s="8"/>
      <c r="X548" t="s">
        <v>206</v>
      </c>
      <c r="Y548" t="s">
        <v>175</v>
      </c>
    </row>
    <row r="549" spans="1:25" x14ac:dyDescent="0.3">
      <c r="A549">
        <v>40138</v>
      </c>
      <c r="B549" t="str">
        <f>_xlfn.CONCAT(Tabel1[[#This Row],[personeelsnr]]," ",C549," ",D549)</f>
        <v>40138 Moerman Tjimmy</v>
      </c>
      <c r="C549" t="str">
        <f>VLOOKUP(Tabel1[[#This Row],[personeelsnr]],'data hastus'!$A:$C,2,0)</f>
        <v>Moerman</v>
      </c>
      <c r="D549" t="str">
        <f>VLOOKUP(Tabel1[[#This Row],[personeelsnr]],'data hastus'!$A:$C,3,0)</f>
        <v>Tjimmy</v>
      </c>
      <c r="E549" t="str">
        <f>VLOOKUP(Tabel1[[#This Row],[personeelsnr]],'data hastus'!A:K,11,FALSE)</f>
        <v>Christoff Rotty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SUM(Tabel1[[#This Row],[Januari]:[December]])</f>
        <v>1</v>
      </c>
      <c r="T549" s="3">
        <v>45685</v>
      </c>
      <c r="U549" s="8" t="s">
        <v>974</v>
      </c>
      <c r="V549" s="8">
        <v>1</v>
      </c>
      <c r="W549" s="8"/>
      <c r="X549" t="s">
        <v>206</v>
      </c>
      <c r="Y549" t="s">
        <v>171</v>
      </c>
    </row>
    <row r="550" spans="1:25" x14ac:dyDescent="0.3">
      <c r="A550">
        <v>33640</v>
      </c>
      <c r="B550" t="str">
        <f>_xlfn.CONCAT(Tabel1[[#This Row],[personeelsnr]]," ",C550," ",D550)</f>
        <v>33640 Verschraegen Patrick</v>
      </c>
      <c r="C550" t="str">
        <f>VLOOKUP(Tabel1[[#This Row],[personeelsnr]],'data hastus'!$A:$C,2,0)</f>
        <v>Verschraegen</v>
      </c>
      <c r="D550" t="str">
        <f>VLOOKUP(Tabel1[[#This Row],[personeelsnr]],'data hastus'!$A:$C,3,0)</f>
        <v>Patrick</v>
      </c>
      <c r="E550" t="str">
        <f>VLOOKUP(Tabel1[[#This Row],[personeelsnr]],'data hastus'!A:K,11,FALSE)</f>
        <v>Steven Storm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SUM(Tabel1[[#This Row],[Januari]:[December]])</f>
        <v>1</v>
      </c>
      <c r="T550" s="3">
        <v>45686</v>
      </c>
      <c r="U550" s="8" t="s">
        <v>975</v>
      </c>
      <c r="V550" s="8">
        <v>1</v>
      </c>
      <c r="W550" s="8"/>
      <c r="X550" t="s">
        <v>206</v>
      </c>
      <c r="Y550" t="s">
        <v>324</v>
      </c>
    </row>
    <row r="551" spans="1:25" x14ac:dyDescent="0.3">
      <c r="A551">
        <v>19249</v>
      </c>
      <c r="B551" t="str">
        <f>_xlfn.CONCAT(Tabel1[[#This Row],[personeelsnr]]," ",C551," ",D551)</f>
        <v>19249 Odaci Kadir</v>
      </c>
      <c r="C551" t="str">
        <f>VLOOKUP(Tabel1[[#This Row],[personeelsnr]],'data hastus'!$A:$C,2,0)</f>
        <v>Odaci</v>
      </c>
      <c r="D551" t="str">
        <f>VLOOKUP(Tabel1[[#This Row],[personeelsnr]],'data hastus'!$A:$C,3,0)</f>
        <v>Kadir</v>
      </c>
      <c r="E551" t="str">
        <f>VLOOKUP(Tabel1[[#This Row],[personeelsnr]],'data hastus'!A:K,11,FALSE)</f>
        <v>Lucie Vande Velde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SUM(Tabel1[[#This Row],[Januari]:[December]])</f>
        <v>1</v>
      </c>
      <c r="T551" s="3">
        <v>45686</v>
      </c>
      <c r="U551" s="8" t="s">
        <v>976</v>
      </c>
      <c r="V551" s="8"/>
      <c r="W551" s="8">
        <v>1</v>
      </c>
      <c r="X551" t="s">
        <v>207</v>
      </c>
      <c r="Y551" t="s">
        <v>246</v>
      </c>
    </row>
    <row r="552" spans="1:25" x14ac:dyDescent="0.3">
      <c r="A552">
        <v>21424</v>
      </c>
      <c r="B552" t="str">
        <f>_xlfn.CONCAT(Tabel1[[#This Row],[personeelsnr]]," ",C552," ",D552)</f>
        <v>21424 Verstichel Jethro</v>
      </c>
      <c r="C552" t="str">
        <f>VLOOKUP(Tabel1[[#This Row],[personeelsnr]],'data hastus'!$A:$C,2,0)</f>
        <v>Verstichel</v>
      </c>
      <c r="D552" t="str">
        <f>VLOOKUP(Tabel1[[#This Row],[personeelsnr]],'data hastus'!$A:$C,3,0)</f>
        <v>Jethro</v>
      </c>
      <c r="E552" t="str">
        <f>VLOOKUP(Tabel1[[#This Row],[personeelsnr]],'data hastus'!A:K,11,FALSE)</f>
        <v>Els Dewulf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SUM(Tabel1[[#This Row],[Januari]:[December]])</f>
        <v>1</v>
      </c>
      <c r="T552" s="3">
        <v>45686</v>
      </c>
      <c r="U552" s="8" t="s">
        <v>977</v>
      </c>
      <c r="V552" s="8"/>
      <c r="W552" s="8">
        <v>1</v>
      </c>
      <c r="X552" t="s">
        <v>207</v>
      </c>
      <c r="Y552" t="s">
        <v>174</v>
      </c>
    </row>
    <row r="553" spans="1:25" x14ac:dyDescent="0.3">
      <c r="A553">
        <v>40652</v>
      </c>
      <c r="B553" t="str">
        <f>_xlfn.CONCAT(Tabel1[[#This Row],[personeelsnr]]," ",C553," ",D553)</f>
        <v>40652 Van Damme Gilyann</v>
      </c>
      <c r="C553" t="str">
        <f>VLOOKUP(Tabel1[[#This Row],[personeelsnr]],'data hastus'!$A:$C,2,0)</f>
        <v>Van Damme</v>
      </c>
      <c r="D553" t="str">
        <f>VLOOKUP(Tabel1[[#This Row],[personeelsnr]],'data hastus'!$A:$C,3,0)</f>
        <v>Gilyann</v>
      </c>
      <c r="E553" t="str">
        <f>VLOOKUP(Tabel1[[#This Row],[personeelsnr]],'data hastus'!A:K,11,FALSE)</f>
        <v>Els Vanhoe</v>
      </c>
      <c r="F553" s="10"/>
      <c r="G553" s="6">
        <v>1</v>
      </c>
      <c r="H553" s="6"/>
      <c r="I553" s="6"/>
      <c r="J553"/>
      <c r="K553"/>
      <c r="L553"/>
      <c r="M553"/>
      <c r="N553"/>
      <c r="O553"/>
      <c r="P553"/>
      <c r="Q553"/>
      <c r="R553"/>
      <c r="S553">
        <f>SUM(Tabel1[[#This Row],[Januari]:[December]])</f>
        <v>1</v>
      </c>
      <c r="T553" s="3">
        <v>45687</v>
      </c>
      <c r="U553" s="8" t="s">
        <v>978</v>
      </c>
      <c r="V553" s="8">
        <v>1</v>
      </c>
      <c r="W553" s="8"/>
      <c r="X553" t="s">
        <v>206</v>
      </c>
      <c r="Y553" t="s">
        <v>255</v>
      </c>
    </row>
    <row r="554" spans="1:25" x14ac:dyDescent="0.3">
      <c r="A554">
        <v>36663</v>
      </c>
      <c r="B554" t="str">
        <f>_xlfn.CONCAT(Tabel1[[#This Row],[personeelsnr]]," ",C554," ",D554)</f>
        <v>36663 Cesmeli Achraf</v>
      </c>
      <c r="C554" t="str">
        <f>VLOOKUP(Tabel1[[#This Row],[personeelsnr]],'data hastus'!$A:$C,2,0)</f>
        <v>Cesmeli</v>
      </c>
      <c r="D554" t="str">
        <f>VLOOKUP(Tabel1[[#This Row],[personeelsnr]],'data hastus'!$A:$C,3,0)</f>
        <v>Achraf</v>
      </c>
      <c r="E554" t="str">
        <f>VLOOKUP(Tabel1[[#This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SUM(Tabel1[[#This Row],[Januari]:[December]])</f>
        <v>1</v>
      </c>
      <c r="T554" s="3">
        <v>45688</v>
      </c>
      <c r="U554" s="8" t="s">
        <v>979</v>
      </c>
      <c r="V554" s="8">
        <v>1</v>
      </c>
      <c r="W554" s="8"/>
      <c r="X554" t="s">
        <v>206</v>
      </c>
      <c r="Y554" t="s">
        <v>170</v>
      </c>
    </row>
    <row r="555" spans="1:25" x14ac:dyDescent="0.3">
      <c r="A555">
        <v>39532</v>
      </c>
      <c r="B555" t="str">
        <f>_xlfn.CONCAT(Tabel1[[#This Row],[personeelsnr]]," ",C555," ",D555)</f>
        <v>39532 Sahin Orhan</v>
      </c>
      <c r="C555" t="str">
        <f>VLOOKUP(Tabel1[[#This Row],[personeelsnr]],'data hastus'!$A:$C,2,0)</f>
        <v>Sahin</v>
      </c>
      <c r="D555" t="str">
        <f>VLOOKUP(Tabel1[[#This Row],[personeelsnr]],'data hastus'!$A:$C,3,0)</f>
        <v>Orhan</v>
      </c>
      <c r="E555" t="str">
        <f>VLOOKUP(Tabel1[[#This Row],[personeelsnr]],'data hastus'!A:K,11,FALSE)</f>
        <v>Christoff Rotty</v>
      </c>
      <c r="G555" s="6"/>
      <c r="H555" s="6">
        <v>1</v>
      </c>
      <c r="I555" s="6"/>
      <c r="J555"/>
      <c r="K555"/>
      <c r="L555"/>
      <c r="M555"/>
      <c r="N555"/>
      <c r="O555"/>
      <c r="P555"/>
      <c r="Q555"/>
      <c r="R555"/>
      <c r="S555">
        <f>SUM(Tabel1[[#This Row],[Januari]:[December]])</f>
        <v>1</v>
      </c>
      <c r="T555" s="3">
        <v>45689</v>
      </c>
      <c r="U555" s="8" t="s">
        <v>980</v>
      </c>
      <c r="V555" s="8">
        <v>1</v>
      </c>
      <c r="W555" s="8"/>
      <c r="X555" t="s">
        <v>206</v>
      </c>
      <c r="Y555" t="s">
        <v>170</v>
      </c>
    </row>
    <row r="556" spans="1:25" x14ac:dyDescent="0.3">
      <c r="A556">
        <v>37496</v>
      </c>
      <c r="B556" t="str">
        <f>_xlfn.CONCAT(Tabel1[[#This Row],[personeelsnr]]," ",C556," ",D556)</f>
        <v>37496 Oosterlinck Willy</v>
      </c>
      <c r="C556" t="str">
        <f>VLOOKUP(Tabel1[[#This Row],[personeelsnr]],'data hastus'!$A:$C,2,0)</f>
        <v>Oosterlinck</v>
      </c>
      <c r="D556" t="str">
        <f>VLOOKUP(Tabel1[[#This Row],[personeelsnr]],'data hastus'!$A:$C,3,0)</f>
        <v>Willy</v>
      </c>
      <c r="E556" t="str">
        <f>VLOOKUP(Tabel1[[#This Row],[personeelsnr]],'data hastus'!A:K,11,FALSE)</f>
        <v>Dominique De Clercq</v>
      </c>
      <c r="F556" s="10"/>
      <c r="G556" s="6"/>
      <c r="H556" s="6">
        <v>1</v>
      </c>
      <c r="I556" s="6"/>
      <c r="J556"/>
      <c r="K556"/>
      <c r="L556"/>
      <c r="M556"/>
      <c r="N556"/>
      <c r="O556"/>
      <c r="P556"/>
      <c r="Q556"/>
      <c r="R556"/>
      <c r="S556">
        <f>SUM(Tabel1[[#This Row],[Januari]:[December]])</f>
        <v>1</v>
      </c>
      <c r="T556" s="3">
        <v>45690</v>
      </c>
      <c r="U556" s="8" t="s">
        <v>981</v>
      </c>
      <c r="V556" s="8"/>
      <c r="W556" s="8">
        <v>1</v>
      </c>
      <c r="X556" t="s">
        <v>207</v>
      </c>
      <c r="Y556" t="s">
        <v>168</v>
      </c>
    </row>
    <row r="557" spans="1:25" x14ac:dyDescent="0.3">
      <c r="A557">
        <v>16545</v>
      </c>
      <c r="B557" t="str">
        <f>_xlfn.CONCAT(Tabel1[[#This Row],[personeelsnr]]," ",C557," ",D557)</f>
        <v>16545 Toch Erwin</v>
      </c>
      <c r="C557" t="str">
        <f>VLOOKUP(Tabel1[[#This Row],[personeelsnr]],'data hastus'!$A:$C,2,0)</f>
        <v>Toch</v>
      </c>
      <c r="D557" t="str">
        <f>VLOOKUP(Tabel1[[#This Row],[personeelsnr]],'data hastus'!$A:$C,3,0)</f>
        <v>Erwin</v>
      </c>
      <c r="E557" t="str">
        <f>VLOOKUP(Tabel1[[#This Row],[personeelsnr]],'data hastus'!A:K,11,FALSE)</f>
        <v>Bart Van Der Beken</v>
      </c>
      <c r="F557" s="10"/>
      <c r="G557" s="6"/>
      <c r="H557" s="6">
        <v>1</v>
      </c>
      <c r="I557" s="6"/>
      <c r="J557"/>
      <c r="K557"/>
      <c r="L557"/>
      <c r="M557"/>
      <c r="N557"/>
      <c r="O557"/>
      <c r="P557"/>
      <c r="Q557"/>
      <c r="R557"/>
      <c r="S557">
        <f>SUM(Tabel1[[#This Row],[Januari]:[December]])</f>
        <v>1</v>
      </c>
      <c r="T557" s="3">
        <v>45691</v>
      </c>
      <c r="U557" s="8" t="s">
        <v>982</v>
      </c>
      <c r="V557" s="8">
        <v>1</v>
      </c>
      <c r="W557" s="8"/>
      <c r="X557" t="s">
        <v>206</v>
      </c>
      <c r="Y557" t="s">
        <v>177</v>
      </c>
    </row>
    <row r="558" spans="1:25" x14ac:dyDescent="0.3">
      <c r="A558">
        <v>21424</v>
      </c>
      <c r="B558" t="str">
        <f>_xlfn.CONCAT(Tabel1[[#This Row],[personeelsnr]]," ",C558," ",D558)</f>
        <v>21424 Verstichel Jethro</v>
      </c>
      <c r="C558" t="str">
        <f>VLOOKUP(Tabel1[[#This Row],[personeelsnr]],'data hastus'!$A:$C,2,0)</f>
        <v>Verstichel</v>
      </c>
      <c r="D558" t="str">
        <f>VLOOKUP(Tabel1[[#This Row],[personeelsnr]],'data hastus'!$A:$C,3,0)</f>
        <v>Jethro</v>
      </c>
      <c r="E558" t="str">
        <f>VLOOKUP(Tabel1[[#This Row],[personeelsnr]],'data hastus'!A:K,11,FALSE)</f>
        <v>Els Dewulf</v>
      </c>
      <c r="F558" s="10"/>
      <c r="G558" s="6"/>
      <c r="H558" s="6">
        <v>1</v>
      </c>
      <c r="I558" s="6"/>
      <c r="J558"/>
      <c r="K558"/>
      <c r="L558"/>
      <c r="M558"/>
      <c r="N558"/>
      <c r="O558"/>
      <c r="P558"/>
      <c r="Q558"/>
      <c r="R558"/>
      <c r="S558">
        <f>SUM(Tabel1[[#This Row],[Januari]:[December]])</f>
        <v>1</v>
      </c>
      <c r="T558" s="3">
        <v>45691</v>
      </c>
      <c r="U558" s="8" t="s">
        <v>983</v>
      </c>
      <c r="V558" s="8">
        <v>1</v>
      </c>
      <c r="W558" s="8"/>
      <c r="X558" t="s">
        <v>206</v>
      </c>
      <c r="Y558" t="s">
        <v>244</v>
      </c>
    </row>
    <row r="559" spans="1:25" x14ac:dyDescent="0.3">
      <c r="A559">
        <v>9999</v>
      </c>
      <c r="B559" t="str">
        <f>_xlfn.CONCAT(Tabel1[[#This Row],[personeelsnr]]," ",C559," ",D559)</f>
        <v>9999 - -</v>
      </c>
      <c r="C559" t="s">
        <v>3388</v>
      </c>
      <c r="D559" t="s">
        <v>3388</v>
      </c>
      <c r="E559" t="s">
        <v>1165</v>
      </c>
      <c r="F559" s="10"/>
      <c r="G559" s="6"/>
      <c r="H559" s="6">
        <v>1</v>
      </c>
      <c r="I559" s="6"/>
      <c r="J559"/>
      <c r="K559"/>
      <c r="L559"/>
      <c r="M559"/>
      <c r="N559"/>
      <c r="O559"/>
      <c r="P559"/>
      <c r="Q559"/>
      <c r="R559"/>
      <c r="S559">
        <f>SUM(Tabel1[[#This Row],[Januari]:[December]])</f>
        <v>1</v>
      </c>
      <c r="T559" s="3">
        <v>45691</v>
      </c>
      <c r="U559" s="8" t="s">
        <v>984</v>
      </c>
      <c r="V559" s="8">
        <v>1</v>
      </c>
      <c r="W559" s="8"/>
      <c r="X559" t="s">
        <v>206</v>
      </c>
      <c r="Y559" t="s">
        <v>349</v>
      </c>
    </row>
    <row r="560" spans="1:25" x14ac:dyDescent="0.3">
      <c r="A560">
        <v>12514</v>
      </c>
      <c r="B560" t="str">
        <f>_xlfn.CONCAT(Tabel1[[#This Row],[personeelsnr]]," ",C560," ",D560)</f>
        <v>12514 De Smet Kenneth</v>
      </c>
      <c r="C560" t="str">
        <f>VLOOKUP(Tabel1[[#This Row],[personeelsnr]],'data hastus'!$A:$C,2,0)</f>
        <v>De Smet</v>
      </c>
      <c r="D560" t="str">
        <f>VLOOKUP(Tabel1[[#This Row],[personeelsnr]],'data hastus'!$A:$C,3,0)</f>
        <v>Kenneth</v>
      </c>
      <c r="E560" t="str">
        <f>VLOOKUP(Tabel1[[#This Row],[personeelsnr]],'data hastus'!A:K,11,FALSE)</f>
        <v>Lucie Vande Velde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SUM(Tabel1[[#This Row],[Januari]:[December]])</f>
        <v>1</v>
      </c>
      <c r="T560" s="3">
        <v>45691</v>
      </c>
      <c r="U560" s="8" t="s">
        <v>985</v>
      </c>
      <c r="V560" s="8"/>
      <c r="W560" s="8">
        <v>1</v>
      </c>
      <c r="X560" t="s">
        <v>207</v>
      </c>
      <c r="Y560" t="s">
        <v>209</v>
      </c>
    </row>
    <row r="561" spans="1:25" x14ac:dyDescent="0.3">
      <c r="A561">
        <v>40266</v>
      </c>
      <c r="B561" t="str">
        <f>_xlfn.CONCAT(Tabel1[[#This Row],[personeelsnr]]," ",C561," ",D561)</f>
        <v>40266 Taibi Yassine</v>
      </c>
      <c r="C561" t="str">
        <f>VLOOKUP(Tabel1[[#This Row],[personeelsnr]],'data hastus'!$A:$C,2,0)</f>
        <v>Taibi</v>
      </c>
      <c r="D561" t="str">
        <f>VLOOKUP(Tabel1[[#This Row],[personeelsnr]],'data hastus'!$A:$C,3,0)</f>
        <v>Yassine</v>
      </c>
      <c r="E561" t="str">
        <f>VLOOKUP(Tabel1[[#This Row],[personeelsnr]],'data hastus'!A:K,11,FALSE)</f>
        <v>Christoff Rotty</v>
      </c>
      <c r="F561" s="10"/>
      <c r="G561" s="6"/>
      <c r="H561" s="6">
        <v>1</v>
      </c>
      <c r="I561" s="6"/>
      <c r="J561"/>
      <c r="K561"/>
      <c r="L561"/>
      <c r="M561"/>
      <c r="N561"/>
      <c r="O561"/>
      <c r="P561"/>
      <c r="Q561"/>
      <c r="R561"/>
      <c r="S561">
        <f>SUM(Tabel1[[#This Row],[Januari]:[December]])</f>
        <v>1</v>
      </c>
      <c r="T561" s="3">
        <v>45693</v>
      </c>
      <c r="U561" s="8" t="s">
        <v>986</v>
      </c>
      <c r="V561" s="8">
        <v>1</v>
      </c>
      <c r="W561" s="8"/>
      <c r="X561" t="s">
        <v>206</v>
      </c>
      <c r="Y561" t="s">
        <v>194</v>
      </c>
    </row>
    <row r="562" spans="1:25" x14ac:dyDescent="0.3">
      <c r="A562">
        <v>40859</v>
      </c>
      <c r="B562" t="str">
        <f>_xlfn.CONCAT(Tabel1[[#This Row],[personeelsnr]]," ",C562," ",D562)</f>
        <v>40859 Yagoub Abdelali</v>
      </c>
      <c r="C562" t="str">
        <f>VLOOKUP(Tabel1[[#This Row],[personeelsnr]],'data hastus'!$A:$C,2,0)</f>
        <v>Yagoub</v>
      </c>
      <c r="D562" t="str">
        <f>VLOOKUP(Tabel1[[#This Row],[personeelsnr]],'data hastus'!$A:$C,3,0)</f>
        <v>Abdelali</v>
      </c>
      <c r="E562" t="str">
        <f>VLOOKUP(Tabel1[[#This Row],[personeelsnr]],'data hastus'!A:K,11,FALSE)</f>
        <v>Els Vanhoe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SUM(Tabel1[[#This Row],[Januari]:[December]])</f>
        <v>1</v>
      </c>
      <c r="T562" s="3">
        <v>45693</v>
      </c>
      <c r="U562" s="8" t="s">
        <v>987</v>
      </c>
      <c r="V562" s="8">
        <v>1</v>
      </c>
      <c r="W562" s="8"/>
      <c r="X562" t="s">
        <v>206</v>
      </c>
      <c r="Y562" t="s">
        <v>299</v>
      </c>
    </row>
    <row r="563" spans="1:25" x14ac:dyDescent="0.3">
      <c r="A563">
        <v>41162</v>
      </c>
      <c r="B563" t="str">
        <f>_xlfn.CONCAT(Tabel1[[#This Row],[personeelsnr]]," ",C563," ",D563)</f>
        <v>41162 Hoeckman Jeroen</v>
      </c>
      <c r="C563" t="str">
        <f>VLOOKUP(Tabel1[[#This Row],[personeelsnr]],'data hastus'!$A:$C,2,0)</f>
        <v>Hoeckman</v>
      </c>
      <c r="D563" t="str">
        <f>VLOOKUP(Tabel1[[#This Row],[personeelsnr]],'data hastus'!$A:$C,3,0)</f>
        <v>Jeroen</v>
      </c>
      <c r="E563" t="str">
        <f>VLOOKUP(Tabel1[[#This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SUM(Tabel1[[#This Row],[Januari]:[December]])</f>
        <v>1</v>
      </c>
      <c r="T563" s="3">
        <v>45693</v>
      </c>
      <c r="U563" s="8" t="s">
        <v>988</v>
      </c>
      <c r="V563" s="8">
        <v>1</v>
      </c>
      <c r="W563" s="8"/>
      <c r="X563" t="s">
        <v>206</v>
      </c>
      <c r="Y563" t="s">
        <v>384</v>
      </c>
    </row>
    <row r="564" spans="1:25" x14ac:dyDescent="0.3">
      <c r="A564">
        <v>41092</v>
      </c>
      <c r="B564" t="str">
        <f>_xlfn.CONCAT(Tabel1[[#This Row],[personeelsnr]]," ",C564," ",D564)</f>
        <v>41092 De Keyser Dorien</v>
      </c>
      <c r="C564" t="str">
        <f>VLOOKUP(Tabel1[[#This Row],[personeelsnr]],'data hastus'!$A:$C,2,0)</f>
        <v>De Keyser</v>
      </c>
      <c r="D564" t="str">
        <f>VLOOKUP(Tabel1[[#This Row],[personeelsnr]],'data hastus'!$A:$C,3,0)</f>
        <v>Dorien</v>
      </c>
      <c r="E564" t="str">
        <f>VLOOKUP(Tabel1[[#This Row],[personeelsnr]],'data hastus'!A:K,11,FALSE)</f>
        <v>Dominique De Clercq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SUM(Tabel1[[#This Row],[Januari]:[December]])</f>
        <v>1</v>
      </c>
      <c r="T564" s="3">
        <v>45693</v>
      </c>
      <c r="U564" s="8" t="s">
        <v>989</v>
      </c>
      <c r="V564" s="8">
        <v>1</v>
      </c>
      <c r="W564" s="8"/>
      <c r="X564" t="s">
        <v>206</v>
      </c>
      <c r="Y564" t="s">
        <v>290</v>
      </c>
    </row>
    <row r="565" spans="1:25" x14ac:dyDescent="0.3">
      <c r="A565">
        <v>40856</v>
      </c>
      <c r="B565" t="str">
        <f>_xlfn.CONCAT(Tabel1[[#This Row],[personeelsnr]]," ",C565," ",D565)</f>
        <v>40856 Neissi Sadegh</v>
      </c>
      <c r="C565" t="str">
        <f>VLOOKUP(Tabel1[[#This Row],[personeelsnr]],'data hastus'!$A:$C,2,0)</f>
        <v>Neissi</v>
      </c>
      <c r="D565" t="str">
        <f>VLOOKUP(Tabel1[[#This Row],[personeelsnr]],'data hastus'!$A:$C,3,0)</f>
        <v>Sadegh</v>
      </c>
      <c r="E565" t="str">
        <f>VLOOKUP(Tabel1[[#This Row],[personeelsnr]],'data hastus'!A:K,11,FALSE)</f>
        <v>Kenneth De Rick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SUM(Tabel1[[#This Row],[Januari]:[December]])</f>
        <v>1</v>
      </c>
      <c r="T565" s="3">
        <v>45694</v>
      </c>
      <c r="U565" s="8" t="s">
        <v>990</v>
      </c>
      <c r="V565" s="8">
        <v>1</v>
      </c>
      <c r="W565" s="8"/>
      <c r="X565" t="s">
        <v>206</v>
      </c>
      <c r="Y565" t="s">
        <v>348</v>
      </c>
    </row>
    <row r="566" spans="1:25" x14ac:dyDescent="0.3">
      <c r="A566">
        <v>17951</v>
      </c>
      <c r="B566" t="str">
        <f>_xlfn.CONCAT(Tabel1[[#This Row],[personeelsnr]]," ",C566," ",D566)</f>
        <v>17951 Lega Claude</v>
      </c>
      <c r="C566" t="str">
        <f>VLOOKUP(Tabel1[[#This Row],[personeelsnr]],'data hastus'!$A:$C,2,0)</f>
        <v>Lega</v>
      </c>
      <c r="D566" t="str">
        <f>VLOOKUP(Tabel1[[#This Row],[personeelsnr]],'data hastus'!$A:$C,3,0)</f>
        <v>Claude</v>
      </c>
      <c r="E566" t="str">
        <f>VLOOKUP(Tabel1[[#This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SUM(Tabel1[[#This Row],[Januari]:[December]])</f>
        <v>1</v>
      </c>
      <c r="T566" s="3">
        <v>45694</v>
      </c>
      <c r="U566" s="8" t="s">
        <v>991</v>
      </c>
      <c r="V566" s="8"/>
      <c r="W566" s="8">
        <v>1</v>
      </c>
      <c r="X566" t="s">
        <v>207</v>
      </c>
      <c r="Y566" t="s">
        <v>251</v>
      </c>
    </row>
    <row r="567" spans="1:25" x14ac:dyDescent="0.3">
      <c r="A567">
        <v>4419</v>
      </c>
      <c r="B567" t="str">
        <f>_xlfn.CONCAT(Tabel1[[#This Row],[personeelsnr]]," ",C567," ",D567)</f>
        <v>4419 Maelbrancke Eddy</v>
      </c>
      <c r="C567" t="str">
        <f>VLOOKUP(Tabel1[[#This Row],[personeelsnr]],'data hastus'!$A:$C,2,0)</f>
        <v>Maelbrancke</v>
      </c>
      <c r="D567" t="str">
        <f>VLOOKUP(Tabel1[[#This Row],[personeelsnr]],'data hastus'!$A:$C,3,0)</f>
        <v>Eddy</v>
      </c>
      <c r="E567" t="str">
        <f>VLOOKUP(Tabel1[[#This Row],[personeelsnr]],'data hastus'!A:K,11,FALSE)</f>
        <v>Lucie Vande Velde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SUM(Tabel1[[#This Row],[Januari]:[December]])</f>
        <v>1</v>
      </c>
      <c r="T567" s="3">
        <v>45695</v>
      </c>
      <c r="U567" s="8" t="s">
        <v>992</v>
      </c>
      <c r="V567" s="8">
        <v>1</v>
      </c>
      <c r="W567" s="8"/>
      <c r="X567" t="s">
        <v>206</v>
      </c>
      <c r="Y567" t="s">
        <v>167</v>
      </c>
    </row>
    <row r="568" spans="1:25" x14ac:dyDescent="0.3">
      <c r="A568">
        <v>40055</v>
      </c>
      <c r="B568" t="str">
        <f>_xlfn.CONCAT(Tabel1[[#This Row],[personeelsnr]]," ",C568," ",D568)</f>
        <v>40055 Afara Ammar</v>
      </c>
      <c r="C568" t="str">
        <f>VLOOKUP(Tabel1[[#This Row],[personeelsnr]],'data hastus'!$A:$C,2,0)</f>
        <v>Afara</v>
      </c>
      <c r="D568" t="str">
        <f>VLOOKUP(Tabel1[[#This Row],[personeelsnr]],'data hastus'!$A:$C,3,0)</f>
        <v>Ammar</v>
      </c>
      <c r="E568" t="str">
        <f>VLOOKUP(Tabel1[[#This Row],[personeelsnr]],'data hastus'!A:K,11,FALSE)</f>
        <v>Els Vanhoe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SUM(Tabel1[[#This Row],[Januari]:[December]])</f>
        <v>1</v>
      </c>
      <c r="T568" s="3">
        <v>45695</v>
      </c>
      <c r="U568" s="8" t="s">
        <v>993</v>
      </c>
      <c r="V568" s="8">
        <v>1</v>
      </c>
      <c r="W568" s="8"/>
      <c r="X568" t="s">
        <v>206</v>
      </c>
      <c r="Y568" t="s">
        <v>177</v>
      </c>
    </row>
    <row r="569" spans="1:25" x14ac:dyDescent="0.3">
      <c r="A569">
        <v>28737</v>
      </c>
      <c r="B569" t="str">
        <f>_xlfn.CONCAT(Tabel1[[#This Row],[personeelsnr]]," ",C569," ",D569)</f>
        <v>28737 El-Mohamed Mohamed</v>
      </c>
      <c r="C569" t="str">
        <f>VLOOKUP(Tabel1[[#This Row],[personeelsnr]],'data hastus'!$A:$C,2,0)</f>
        <v>El-Mohamed</v>
      </c>
      <c r="D569" t="str">
        <f>VLOOKUP(Tabel1[[#This Row],[personeelsnr]],'data hastus'!$A:$C,3,0)</f>
        <v>Mohamed</v>
      </c>
      <c r="E569" t="str">
        <f>VLOOKUP(Tabel1[[#This Row],[personeelsnr]],'data hastus'!A:K,11,FALSE)</f>
        <v>Lucie Vande Velde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SUM(Tabel1[[#This Row],[Januari]:[December]])</f>
        <v>1</v>
      </c>
      <c r="T569" s="3">
        <v>45698</v>
      </c>
      <c r="U569" s="8" t="s">
        <v>994</v>
      </c>
      <c r="V569" s="8"/>
      <c r="W569" s="8">
        <v>1</v>
      </c>
      <c r="X569" t="s">
        <v>207</v>
      </c>
      <c r="Y569" t="s">
        <v>379</v>
      </c>
    </row>
    <row r="570" spans="1:25" x14ac:dyDescent="0.3">
      <c r="A570">
        <v>25679</v>
      </c>
      <c r="B570" t="str">
        <f>_xlfn.CONCAT(Tabel1[[#This Row],[personeelsnr]]," ",C570," ",D570)</f>
        <v>25679 Vanrenterghem Serge</v>
      </c>
      <c r="C570" t="str">
        <f>VLOOKUP(Tabel1[[#This Row],[personeelsnr]],'data hastus'!$A:$C,2,0)</f>
        <v>Vanrenterghem</v>
      </c>
      <c r="D570" t="str">
        <f>VLOOKUP(Tabel1[[#This Row],[personeelsnr]],'data hastus'!$A:$C,3,0)</f>
        <v>Serge</v>
      </c>
      <c r="E570" t="str">
        <f>VLOOKUP(Tabel1[[#This Row],[personeelsnr]],'data hastus'!A:K,11,FALSE)</f>
        <v>Christoff Rotty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SUM(Tabel1[[#This Row],[Januari]:[December]])</f>
        <v>1</v>
      </c>
      <c r="T570" s="3">
        <v>45699</v>
      </c>
      <c r="U570" s="8" t="s">
        <v>995</v>
      </c>
      <c r="V570" s="8">
        <v>1</v>
      </c>
      <c r="W570" s="8"/>
      <c r="X570" t="s">
        <v>206</v>
      </c>
      <c r="Y570" t="s">
        <v>167</v>
      </c>
    </row>
    <row r="571" spans="1:25" x14ac:dyDescent="0.3">
      <c r="A571">
        <v>40223</v>
      </c>
      <c r="B571" t="str">
        <f>_xlfn.CONCAT(Tabel1[[#This Row],[personeelsnr]]," ",C571," ",D571)</f>
        <v>40223 Teetaert Billy</v>
      </c>
      <c r="C571" t="str">
        <f>VLOOKUP(Tabel1[[#This Row],[personeelsnr]],'data hastus'!$A:$C,2,0)</f>
        <v>Teetaert</v>
      </c>
      <c r="D571" t="str">
        <f>VLOOKUP(Tabel1[[#This Row],[personeelsnr]],'data hastus'!$A:$C,3,0)</f>
        <v>Billy</v>
      </c>
      <c r="E571" t="str">
        <f>VLOOKUP(Tabel1[[#This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SUM(Tabel1[[#This Row],[Januari]:[December]])</f>
        <v>1</v>
      </c>
      <c r="T571" s="3">
        <v>45699</v>
      </c>
      <c r="U571" s="8" t="s">
        <v>996</v>
      </c>
      <c r="V571" s="8">
        <v>1</v>
      </c>
      <c r="W571" s="8"/>
      <c r="X571" t="s">
        <v>206</v>
      </c>
      <c r="Y571" t="s">
        <v>395</v>
      </c>
    </row>
    <row r="572" spans="1:25" x14ac:dyDescent="0.3">
      <c r="A572">
        <v>39267</v>
      </c>
      <c r="B572" t="str">
        <f>_xlfn.CONCAT(Tabel1[[#This Row],[personeelsnr]]," ",C572," ",D572)</f>
        <v>39267 Van Holsbeeck Jens</v>
      </c>
      <c r="C572" t="str">
        <f>VLOOKUP(Tabel1[[#This Row],[personeelsnr]],'data hastus'!$A:$C,2,0)</f>
        <v>Van Holsbeeck</v>
      </c>
      <c r="D572" t="str">
        <f>VLOOKUP(Tabel1[[#This Row],[personeelsnr]],'data hastus'!$A:$C,3,0)</f>
        <v>Jens</v>
      </c>
      <c r="E572" t="str">
        <f>VLOOKUP(Tabel1[[#This Row],[personeelsnr]],'data hastus'!A:K,11,FALSE)</f>
        <v>Christoff Rotty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SUM(Tabel1[[#This Row],[Januari]:[December]])</f>
        <v>1</v>
      </c>
      <c r="T572" s="3">
        <v>45700</v>
      </c>
      <c r="U572" s="8" t="s">
        <v>997</v>
      </c>
      <c r="V572" s="8"/>
      <c r="W572" s="8">
        <v>1</v>
      </c>
      <c r="X572" t="s">
        <v>207</v>
      </c>
      <c r="Y572" t="s">
        <v>183</v>
      </c>
    </row>
    <row r="573" spans="1:25" x14ac:dyDescent="0.3">
      <c r="A573">
        <v>6229</v>
      </c>
      <c r="B573" t="str">
        <f>_xlfn.CONCAT(Tabel1[[#This Row],[personeelsnr]]," ",C573," ",D573)</f>
        <v>6229 De Meyer Antoon</v>
      </c>
      <c r="C573" t="str">
        <f>VLOOKUP(Tabel1[[#This Row],[personeelsnr]],'data hastus'!$A:$C,2,0)</f>
        <v>De Meyer</v>
      </c>
      <c r="D573" t="str">
        <f>VLOOKUP(Tabel1[[#This Row],[personeelsnr]],'data hastus'!$A:$C,3,0)</f>
        <v>Antoon</v>
      </c>
      <c r="E573" t="str">
        <f>VLOOKUP(Tabel1[[#This Row],[personeelsnr]],'data hastus'!A:K,11,FALSE)</f>
        <v>Els Vanhoe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SUM(Tabel1[[#This Row],[Januari]:[December]])</f>
        <v>1</v>
      </c>
      <c r="T573" s="3">
        <v>45701</v>
      </c>
      <c r="U573" s="8" t="s">
        <v>998</v>
      </c>
      <c r="V573" s="8">
        <v>1</v>
      </c>
      <c r="W573" s="8"/>
      <c r="X573" t="s">
        <v>206</v>
      </c>
      <c r="Y573" t="s">
        <v>368</v>
      </c>
    </row>
    <row r="574" spans="1:25" x14ac:dyDescent="0.3">
      <c r="A574">
        <v>37662</v>
      </c>
      <c r="B574" t="str">
        <f>_xlfn.CONCAT(Tabel1[[#This Row],[personeelsnr]]," ",C574," ",D574)</f>
        <v>37662 Van den Meerssche Steven</v>
      </c>
      <c r="C574" t="str">
        <f>VLOOKUP(Tabel1[[#This Row],[personeelsnr]],'data hastus'!$A:$C,2,0)</f>
        <v>Van den Meerssche</v>
      </c>
      <c r="D574" t="str">
        <f>VLOOKUP(Tabel1[[#This Row],[personeelsnr]],'data hastus'!$A:$C,3,0)</f>
        <v>Steven</v>
      </c>
      <c r="E574" t="str">
        <f>VLOOKUP(Tabel1[[#This Row],[personeelsnr]],'data hastus'!A:K,11,FALSE)</f>
        <v>Bart Van Der Beken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SUM(Tabel1[[#This Row],[Januari]:[December]])</f>
        <v>1</v>
      </c>
      <c r="T574" s="3">
        <v>45702</v>
      </c>
      <c r="U574" s="8" t="s">
        <v>999</v>
      </c>
      <c r="V574" s="8">
        <v>1</v>
      </c>
      <c r="W574" s="8"/>
      <c r="X574" t="s">
        <v>206</v>
      </c>
      <c r="Y574" t="s">
        <v>329</v>
      </c>
    </row>
    <row r="575" spans="1:25" x14ac:dyDescent="0.3">
      <c r="A575">
        <v>11236</v>
      </c>
      <c r="B575" t="str">
        <f>_xlfn.CONCAT(Tabel1[[#This Row],[personeelsnr]]," ",C575," ",D575)</f>
        <v>11236 Baert Freddy</v>
      </c>
      <c r="C575" t="str">
        <f>VLOOKUP(Tabel1[[#This Row],[personeelsnr]],'data hastus'!$A:$C,2,0)</f>
        <v>Baert</v>
      </c>
      <c r="D575" t="str">
        <f>VLOOKUP(Tabel1[[#This Row],[personeelsnr]],'data hastus'!$A:$C,3,0)</f>
        <v>Freddy</v>
      </c>
      <c r="E575" t="str">
        <f>VLOOKUP(Tabel1[[#This Row],[personeelsnr]],'data hastus'!A:K,11,FALSE)</f>
        <v>Bart Van Der Beken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SUM(Tabel1[[#This Row],[Januari]:[December]])</f>
        <v>1</v>
      </c>
      <c r="T575" s="3">
        <v>45702</v>
      </c>
      <c r="U575" s="8" t="s">
        <v>1000</v>
      </c>
      <c r="V575" s="8">
        <v>1</v>
      </c>
      <c r="W575" s="8"/>
      <c r="X575" t="s">
        <v>206</v>
      </c>
      <c r="Y575" t="s">
        <v>192</v>
      </c>
    </row>
    <row r="576" spans="1:25" x14ac:dyDescent="0.3">
      <c r="A576">
        <v>41383</v>
      </c>
      <c r="B576" t="str">
        <f>_xlfn.CONCAT(Tabel1[[#This Row],[personeelsnr]]," ",C576," ",D576)</f>
        <v>41383 De Pauw Tony</v>
      </c>
      <c r="C576" t="str">
        <f>VLOOKUP(Tabel1[[#This Row],[personeelsnr]],'data hastus'!$A:$C,2,0)</f>
        <v>De Pauw</v>
      </c>
      <c r="D576" t="str">
        <f>VLOOKUP(Tabel1[[#This Row],[personeelsnr]],'data hastus'!$A:$C,3,0)</f>
        <v>Tony</v>
      </c>
      <c r="E576" t="str">
        <f>VLOOKUP(Tabel1[[#This Row],[personeelsnr]],'data hastus'!A:K,11,FALSE)</f>
        <v>Els Vanhoe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SUM(Tabel1[[#This Row],[Januari]:[December]])</f>
        <v>1</v>
      </c>
      <c r="T576" s="3">
        <v>45702</v>
      </c>
      <c r="U576" s="8" t="s">
        <v>1001</v>
      </c>
      <c r="V576" s="8">
        <v>1</v>
      </c>
      <c r="W576" s="8"/>
      <c r="X576" t="s">
        <v>206</v>
      </c>
      <c r="Y576" t="s">
        <v>237</v>
      </c>
    </row>
    <row r="577" spans="1:25" x14ac:dyDescent="0.3">
      <c r="A577">
        <v>37496</v>
      </c>
      <c r="B577" t="str">
        <f>_xlfn.CONCAT(Tabel1[[#This Row],[personeelsnr]]," ",C577," ",D577)</f>
        <v>37496 Oosterlinck Willy</v>
      </c>
      <c r="C577" t="str">
        <f>VLOOKUP(Tabel1[[#This Row],[personeelsnr]],'data hastus'!$A:$C,2,0)</f>
        <v>Oosterlinck</v>
      </c>
      <c r="D577" t="str">
        <f>VLOOKUP(Tabel1[[#This Row],[personeelsnr]],'data hastus'!$A:$C,3,0)</f>
        <v>Willy</v>
      </c>
      <c r="E577" t="str">
        <f>VLOOKUP(Tabel1[[#This Row],[personeelsnr]],'data hastus'!A:K,11,FALSE)</f>
        <v>Dominique De Clercq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SUM(Tabel1[[#This Row],[Januari]:[December]])</f>
        <v>1</v>
      </c>
      <c r="T577" s="3">
        <v>45702</v>
      </c>
      <c r="U577" s="8" t="s">
        <v>1002</v>
      </c>
      <c r="V577" s="8"/>
      <c r="W577" s="8">
        <v>1</v>
      </c>
      <c r="X577" t="s">
        <v>207</v>
      </c>
      <c r="Y577" t="s">
        <v>257</v>
      </c>
    </row>
    <row r="578" spans="1:25" x14ac:dyDescent="0.3">
      <c r="A578">
        <v>41091</v>
      </c>
      <c r="B578" t="str">
        <f>_xlfn.CONCAT(Tabel1[[#This Row],[personeelsnr]]," ",C578," ",D578)</f>
        <v>41091 Yavas Talha</v>
      </c>
      <c r="C578" t="str">
        <f>VLOOKUP(Tabel1[[#This Row],[personeelsnr]],'data hastus'!$A:$C,2,0)</f>
        <v>Yavas</v>
      </c>
      <c r="D578" t="str">
        <f>VLOOKUP(Tabel1[[#This Row],[personeelsnr]],'data hastus'!$A:$C,3,0)</f>
        <v>Talha</v>
      </c>
      <c r="E578" t="str">
        <f>VLOOKUP(Tabel1[[#This Row],[personeelsnr]],'data hastus'!A:K,11,FALSE)</f>
        <v>Dominique De Clercq</v>
      </c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SUM(Tabel1[[#This Row],[Januari]:[December]])</f>
        <v>1</v>
      </c>
      <c r="T578" s="3">
        <v>45703</v>
      </c>
      <c r="U578" s="8" t="s">
        <v>1003</v>
      </c>
      <c r="V578" s="8">
        <v>1</v>
      </c>
      <c r="W578" s="8"/>
      <c r="X578" t="s">
        <v>206</v>
      </c>
      <c r="Y578" t="s">
        <v>307</v>
      </c>
    </row>
    <row r="579" spans="1:25" x14ac:dyDescent="0.3">
      <c r="A579">
        <v>26199</v>
      </c>
      <c r="B579" t="str">
        <f>_xlfn.CONCAT(Tabel1[[#This Row],[personeelsnr]]," ",C579," ",D579)</f>
        <v>26199 Wauters Franky</v>
      </c>
      <c r="C579" t="str">
        <f>VLOOKUP(Tabel1[[#This Row],[personeelsnr]],'data hastus'!$A:$C,2,0)</f>
        <v>Wauters</v>
      </c>
      <c r="D579" t="str">
        <f>VLOOKUP(Tabel1[[#This Row],[personeelsnr]],'data hastus'!$A:$C,3,0)</f>
        <v>Franky</v>
      </c>
      <c r="E579" t="str">
        <f>VLOOKUP(Tabel1[[#This Row],[personeelsnr]],'data hastus'!A:K,11,FALSE)</f>
        <v>Els Vanhoe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SUM(Tabel1[[#This Row],[Januari]:[December]])</f>
        <v>1</v>
      </c>
      <c r="T579" s="3">
        <v>45703</v>
      </c>
      <c r="U579" s="8" t="s">
        <v>1004</v>
      </c>
      <c r="V579" s="8"/>
      <c r="W579" s="8">
        <v>1</v>
      </c>
      <c r="X579" t="s">
        <v>207</v>
      </c>
      <c r="Y579" t="s">
        <v>323</v>
      </c>
    </row>
    <row r="580" spans="1:25" x14ac:dyDescent="0.3">
      <c r="A580">
        <v>41012</v>
      </c>
      <c r="B580" t="str">
        <f>_xlfn.CONCAT(Tabel1[[#This Row],[personeelsnr]]," ",C580," ",D580)</f>
        <v>41012 Natad Younes</v>
      </c>
      <c r="C580" t="str">
        <f>VLOOKUP(Tabel1[[#This Row],[personeelsnr]],'data hastus'!$A:$C,2,0)</f>
        <v>Natad</v>
      </c>
      <c r="D580" t="str">
        <f>VLOOKUP(Tabel1[[#This Row],[personeelsnr]],'data hastus'!$A:$C,3,0)</f>
        <v>Younes</v>
      </c>
      <c r="E580" t="str">
        <f>VLOOKUP(Tabel1[[#This Row],[personeelsnr]],'data hastus'!A:K,11,FALSE)</f>
        <v>Els Vanhoe</v>
      </c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SUM(Tabel1[[#This Row],[Januari]:[December]])</f>
        <v>1</v>
      </c>
      <c r="T580" s="3">
        <v>45706</v>
      </c>
      <c r="U580" s="8" t="s">
        <v>1005</v>
      </c>
      <c r="V580" s="8">
        <v>1</v>
      </c>
      <c r="W580" s="8"/>
      <c r="X580" t="s">
        <v>206</v>
      </c>
      <c r="Y580" t="s">
        <v>522</v>
      </c>
    </row>
    <row r="581" spans="1:25" x14ac:dyDescent="0.3">
      <c r="A581">
        <v>41032</v>
      </c>
      <c r="B581" t="str">
        <f>_xlfn.CONCAT(Tabel1[[#This Row],[personeelsnr]]," ",C581," ",D581)</f>
        <v>41032 Rocabado Hinojosa Lukas</v>
      </c>
      <c r="C581" t="str">
        <f>VLOOKUP(Tabel1[[#This Row],[personeelsnr]],'data hastus'!$A:$C,2,0)</f>
        <v>Rocabado Hinojosa</v>
      </c>
      <c r="D581" t="str">
        <f>VLOOKUP(Tabel1[[#This Row],[personeelsnr]],'data hastus'!$A:$C,3,0)</f>
        <v>Lukas</v>
      </c>
      <c r="E581" t="str">
        <f>VLOOKUP(Tabel1[[#This Row],[personeelsnr]],'data hastus'!A:K,11,FALSE)</f>
        <v>Els Vanhoe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SUM(Tabel1[[#This Row],[Januari]:[December]])</f>
        <v>1</v>
      </c>
      <c r="T581" s="3">
        <v>45706</v>
      </c>
      <c r="U581" s="8" t="s">
        <v>1006</v>
      </c>
      <c r="V581" s="8">
        <v>1</v>
      </c>
      <c r="W581" s="8"/>
      <c r="X581" t="s">
        <v>206</v>
      </c>
      <c r="Y581" t="s">
        <v>230</v>
      </c>
    </row>
    <row r="582" spans="1:25" x14ac:dyDescent="0.3">
      <c r="A582">
        <v>41162</v>
      </c>
      <c r="B582" t="str">
        <f>_xlfn.CONCAT(Tabel1[[#This Row],[personeelsnr]]," ",C582," ",D582)</f>
        <v>41162 Hoeckman Jeroen</v>
      </c>
      <c r="C582" t="str">
        <f>VLOOKUP(Tabel1[[#This Row],[personeelsnr]],'data hastus'!$A:$C,2,0)</f>
        <v>Hoeckman</v>
      </c>
      <c r="D582" t="str">
        <f>VLOOKUP(Tabel1[[#This Row],[personeelsnr]],'data hastus'!$A:$C,3,0)</f>
        <v>Jeroen</v>
      </c>
      <c r="E582" t="str">
        <f>VLOOKUP(Tabel1[[#This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SUM(Tabel1[[#This Row],[Januari]:[December]])</f>
        <v>1</v>
      </c>
      <c r="T582" s="3">
        <v>45706</v>
      </c>
      <c r="U582" s="8" t="s">
        <v>1007</v>
      </c>
      <c r="V582" s="8">
        <v>1</v>
      </c>
      <c r="W582" s="8"/>
      <c r="X582" t="s">
        <v>206</v>
      </c>
      <c r="Y582" t="s">
        <v>312</v>
      </c>
    </row>
    <row r="583" spans="1:25" x14ac:dyDescent="0.3">
      <c r="A583">
        <v>39660</v>
      </c>
      <c r="B583" t="str">
        <f>_xlfn.CONCAT(Tabel1[[#This Row],[personeelsnr]]," ",C583," ",D583)</f>
        <v>39660 Lloyd Glenn</v>
      </c>
      <c r="C583" t="str">
        <f>VLOOKUP(Tabel1[[#This Row],[personeelsnr]],'data hastus'!$A:$C,2,0)</f>
        <v>Lloyd</v>
      </c>
      <c r="D583" t="str">
        <f>VLOOKUP(Tabel1[[#This Row],[personeelsnr]],'data hastus'!$A:$C,3,0)</f>
        <v>Glenn</v>
      </c>
      <c r="E583" t="str">
        <f>VLOOKUP(Tabel1[[#This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SUM(Tabel1[[#This Row],[Januari]:[December]])</f>
        <v>1</v>
      </c>
      <c r="T583" s="3">
        <v>45707</v>
      </c>
      <c r="U583" s="8" t="s">
        <v>1008</v>
      </c>
      <c r="V583" s="8">
        <v>1</v>
      </c>
      <c r="W583" s="8"/>
      <c r="X583" t="s">
        <v>206</v>
      </c>
      <c r="Y583" t="s">
        <v>194</v>
      </c>
    </row>
    <row r="584" spans="1:25" x14ac:dyDescent="0.3">
      <c r="A584">
        <v>41246</v>
      </c>
      <c r="B584" t="str">
        <f>_xlfn.CONCAT(Tabel1[[#This Row],[personeelsnr]]," ",C584," ",D584)</f>
        <v>41246 Van Holsbeeck Yana</v>
      </c>
      <c r="C584" t="str">
        <f>VLOOKUP(Tabel1[[#This Row],[personeelsnr]],'data hastus'!$A:$C,2,0)</f>
        <v>Van Holsbeeck</v>
      </c>
      <c r="D584" t="str">
        <f>VLOOKUP(Tabel1[[#This Row],[personeelsnr]],'data hastus'!$A:$C,3,0)</f>
        <v>Yana</v>
      </c>
      <c r="E584" t="str">
        <f>VLOOKUP(Tabel1[[#This Row],[personeelsnr]],'data hastus'!A:K,11,FALSE)</f>
        <v>Dominique De Clercq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SUM(Tabel1[[#This Row],[Januari]:[December]])</f>
        <v>1</v>
      </c>
      <c r="T584" s="3">
        <v>45708</v>
      </c>
      <c r="U584" s="8" t="s">
        <v>1009</v>
      </c>
      <c r="V584" s="8">
        <v>1</v>
      </c>
      <c r="W584" s="8"/>
      <c r="X584" t="s">
        <v>206</v>
      </c>
      <c r="Y584" t="s">
        <v>254</v>
      </c>
    </row>
    <row r="585" spans="1:25" x14ac:dyDescent="0.3">
      <c r="A585">
        <v>36569</v>
      </c>
      <c r="B585" t="str">
        <f>_xlfn.CONCAT(Tabel1[[#This Row],[personeelsnr]]," ",C585," ",D585)</f>
        <v>36569 Stroobandt Jonas</v>
      </c>
      <c r="C585" t="str">
        <f>VLOOKUP(Tabel1[[#This Row],[personeelsnr]],'data hastus'!$A:$C,2,0)</f>
        <v>Stroobandt</v>
      </c>
      <c r="D585" t="str">
        <f>VLOOKUP(Tabel1[[#This Row],[personeelsnr]],'data hastus'!$A:$C,3,0)</f>
        <v>Jonas</v>
      </c>
      <c r="E585" t="str">
        <f>VLOOKUP(Tabel1[[#This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SUM(Tabel1[[#This Row],[Januari]:[December]])</f>
        <v>1</v>
      </c>
      <c r="T585" s="3">
        <v>45708</v>
      </c>
      <c r="U585" s="8" t="s">
        <v>1010</v>
      </c>
      <c r="V585" s="8">
        <v>1</v>
      </c>
      <c r="W585" s="8"/>
      <c r="X585" t="s">
        <v>206</v>
      </c>
      <c r="Y585" t="s">
        <v>168</v>
      </c>
    </row>
    <row r="586" spans="1:25" x14ac:dyDescent="0.3">
      <c r="A586">
        <v>39972</v>
      </c>
      <c r="B586" t="str">
        <f>_xlfn.CONCAT(Tabel1[[#This Row],[personeelsnr]]," ",C586," ",D586)</f>
        <v>39972 Repaj Ramazav</v>
      </c>
      <c r="C586" t="s">
        <v>1011</v>
      </c>
      <c r="D586" t="s">
        <v>1012</v>
      </c>
      <c r="E586" t="s">
        <v>187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SUM(Tabel1[[#This Row],[Januari]:[December]])</f>
        <v>1</v>
      </c>
      <c r="T586" s="3">
        <v>45709</v>
      </c>
      <c r="U586" s="8" t="s">
        <v>1013</v>
      </c>
      <c r="V586" s="8">
        <v>1</v>
      </c>
      <c r="W586" s="8"/>
      <c r="X586" t="s">
        <v>206</v>
      </c>
      <c r="Y586" t="s">
        <v>173</v>
      </c>
    </row>
    <row r="587" spans="1:25" x14ac:dyDescent="0.3">
      <c r="A587">
        <v>40744</v>
      </c>
      <c r="B587" t="str">
        <f>_xlfn.CONCAT(Tabel1[[#This Row],[personeelsnr]]," ",C587," ",D587)</f>
        <v>40744 Gözüküçük Ugur</v>
      </c>
      <c r="C587" t="str">
        <f>VLOOKUP(Tabel1[[#This Row],[personeelsnr]],'data hastus'!$A:$C,2,0)</f>
        <v>Gözüküçük</v>
      </c>
      <c r="D587" t="str">
        <f>VLOOKUP(Tabel1[[#This Row],[personeelsnr]],'data hastus'!$A:$C,3,0)</f>
        <v>Ugur</v>
      </c>
      <c r="E587" t="str">
        <f>VLOOKUP(Tabel1[[#This Row],[personeelsnr]],'data hastus'!A:K,11,FALSE)</f>
        <v>Bart Van Der Beken</v>
      </c>
      <c r="F587" s="10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SUM(Tabel1[[#This Row],[Januari]:[December]])</f>
        <v>1</v>
      </c>
      <c r="T587" s="3">
        <v>45709</v>
      </c>
      <c r="U587" s="8" t="s">
        <v>1014</v>
      </c>
      <c r="V587" s="8">
        <v>1</v>
      </c>
      <c r="W587" s="8"/>
      <c r="X587" t="s">
        <v>206</v>
      </c>
      <c r="Y587" t="s">
        <v>178</v>
      </c>
    </row>
    <row r="588" spans="1:25" x14ac:dyDescent="0.3">
      <c r="A588">
        <v>39712</v>
      </c>
      <c r="B588" t="str">
        <f>_xlfn.CONCAT(Tabel1[[#This Row],[personeelsnr]]," ",C588," ",D588)</f>
        <v>39712 Repaj Ramazan</v>
      </c>
      <c r="C588" t="str">
        <f>VLOOKUP(Tabel1[[#This Row],[personeelsnr]],'data hastus'!$A:$C,2,0)</f>
        <v>Repaj</v>
      </c>
      <c r="D588" t="str">
        <f>VLOOKUP(Tabel1[[#This Row],[personeelsnr]],'data hastus'!$A:$C,3,0)</f>
        <v>Ramazan</v>
      </c>
      <c r="E588" t="str">
        <f>VLOOKUP(Tabel1[[#This Row],[personeelsnr]],'data hastus'!A:K,11,FALSE)</f>
        <v>Bart Van Der Beken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SUM(Tabel1[[#This Row],[Januari]:[December]])</f>
        <v>1</v>
      </c>
      <c r="T588" s="3">
        <v>45709</v>
      </c>
      <c r="U588"/>
      <c r="V588" s="8">
        <v>1</v>
      </c>
      <c r="W588"/>
      <c r="X588" t="s">
        <v>206</v>
      </c>
    </row>
    <row r="589" spans="1:25" x14ac:dyDescent="0.3">
      <c r="A589">
        <v>37509</v>
      </c>
      <c r="B589" t="str">
        <f>_xlfn.CONCAT(Tabel1[[#This Row],[personeelsnr]]," ",C589," ",D589)</f>
        <v>37509 Abdulkader Sabah</v>
      </c>
      <c r="C589" t="str">
        <f>VLOOKUP(Tabel1[[#This Row],[personeelsnr]],'data hastus'!$A:$C,2,0)</f>
        <v>Abdulkader</v>
      </c>
      <c r="D589" t="str">
        <f>VLOOKUP(Tabel1[[#This Row],[personeelsnr]],'data hastus'!$A:$C,3,0)</f>
        <v>Sabah</v>
      </c>
      <c r="E589" t="str">
        <f>VLOOKUP(Tabel1[[#This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SUM(Tabel1[[#This Row],[Januari]:[December]])</f>
        <v>1</v>
      </c>
      <c r="T589" s="3">
        <v>45710</v>
      </c>
      <c r="U589" s="8" t="s">
        <v>1015</v>
      </c>
      <c r="V589" s="8">
        <v>1</v>
      </c>
      <c r="W589" s="8"/>
      <c r="X589" t="s">
        <v>206</v>
      </c>
      <c r="Y589" t="s">
        <v>522</v>
      </c>
    </row>
    <row r="590" spans="1:25" x14ac:dyDescent="0.3">
      <c r="A590">
        <v>9999</v>
      </c>
      <c r="B590" t="str">
        <f>_xlfn.CONCAT(Tabel1[[#This Row],[personeelsnr]]," ",C590," ",D590)</f>
        <v>9999 - -</v>
      </c>
      <c r="C590" t="s">
        <v>3388</v>
      </c>
      <c r="D590" t="s">
        <v>3388</v>
      </c>
      <c r="E590" t="s">
        <v>1165</v>
      </c>
      <c r="G590" s="7"/>
      <c r="H590" s="7">
        <v>1</v>
      </c>
      <c r="I590" s="7"/>
      <c r="S590" s="5">
        <f>SUM(Tabel1[[#This Row],[Januari]:[December]])</f>
        <v>1</v>
      </c>
      <c r="T590" s="9">
        <v>45710</v>
      </c>
      <c r="U590" s="8" t="s">
        <v>1016</v>
      </c>
      <c r="V590" s="8">
        <v>1</v>
      </c>
      <c r="W590" s="8"/>
      <c r="X590" t="s">
        <v>206</v>
      </c>
      <c r="Y590" t="s">
        <v>1017</v>
      </c>
    </row>
    <row r="591" spans="1:25" x14ac:dyDescent="0.3">
      <c r="A591">
        <v>32387</v>
      </c>
      <c r="B591" t="str">
        <f>_xlfn.CONCAT(Tabel1[[#This Row],[personeelsnr]]," ",C591," ",D591)</f>
        <v>32387 Meersman Herman</v>
      </c>
      <c r="C591" t="str">
        <f>VLOOKUP(Tabel1[[#This Row],[personeelsnr]],'data hastus'!$A:$C,2,0)</f>
        <v>Meersman</v>
      </c>
      <c r="D591" t="str">
        <f>VLOOKUP(Tabel1[[#This Row],[personeelsnr]],'data hastus'!$A:$C,3,0)</f>
        <v>Herman</v>
      </c>
      <c r="E591" t="str">
        <f>VLOOKUP(Tabel1[[#This Row],[personeelsnr]],'data hastus'!A:K,11,FALSE)</f>
        <v>Steven Storm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SUM(Tabel1[[#This Row],[Januari]:[December]])</f>
        <v>1</v>
      </c>
      <c r="T591" s="3">
        <v>45711</v>
      </c>
      <c r="U591" s="8" t="s">
        <v>1018</v>
      </c>
      <c r="V591" s="8">
        <v>1</v>
      </c>
      <c r="W591" s="8"/>
      <c r="X591" t="s">
        <v>206</v>
      </c>
      <c r="Y591" t="s">
        <v>190</v>
      </c>
    </row>
    <row r="592" spans="1:25" x14ac:dyDescent="0.3">
      <c r="A592">
        <v>40223</v>
      </c>
      <c r="B592" t="str">
        <f>_xlfn.CONCAT(Tabel1[[#This Row],[personeelsnr]]," ",C592," ",D592)</f>
        <v>40223 Teetaert Billy</v>
      </c>
      <c r="C592" t="str">
        <f>VLOOKUP(Tabel1[[#This Row],[personeelsnr]],'data hastus'!$A:$C,2,0)</f>
        <v>Teetaert</v>
      </c>
      <c r="D592" t="str">
        <f>VLOOKUP(Tabel1[[#This Row],[personeelsnr]],'data hastus'!$A:$C,3,0)</f>
        <v>Billy</v>
      </c>
      <c r="E592" t="str">
        <f>VLOOKUP(Tabel1[[#This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SUM(Tabel1[[#This Row],[Januari]:[December]])</f>
        <v>1</v>
      </c>
      <c r="T592" s="3">
        <v>45711</v>
      </c>
      <c r="U592" s="8" t="s">
        <v>1019</v>
      </c>
      <c r="V592" s="8">
        <v>1</v>
      </c>
      <c r="W592" s="8"/>
      <c r="X592" t="s">
        <v>206</v>
      </c>
      <c r="Y592" t="s">
        <v>173</v>
      </c>
    </row>
    <row r="593" spans="1:25" x14ac:dyDescent="0.3">
      <c r="A593">
        <v>9824</v>
      </c>
      <c r="B593" t="str">
        <f>_xlfn.CONCAT(Tabel1[[#This Row],[personeelsnr]]," ",C593," ",D593)</f>
        <v>9824 De Meulenaere Eric</v>
      </c>
      <c r="C593" t="str">
        <f>VLOOKUP(Tabel1[[#This Row],[personeelsnr]],'data hastus'!$A:$C,2,0)</f>
        <v>De Meulenaere</v>
      </c>
      <c r="D593" t="str">
        <f>VLOOKUP(Tabel1[[#This Row],[personeelsnr]],'data hastus'!$A:$C,3,0)</f>
        <v>Eric</v>
      </c>
      <c r="E593" t="str">
        <f>VLOOKUP(Tabel1[[#This Row],[personeelsnr]],'data hastus'!A:K,11,FALSE)</f>
        <v>Steven Storm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SUM(Tabel1[[#This Row],[Januari]:[December]])</f>
        <v>1</v>
      </c>
      <c r="T593" s="3">
        <v>45711</v>
      </c>
      <c r="U593" s="8" t="s">
        <v>1020</v>
      </c>
      <c r="V593" s="8"/>
      <c r="W593" s="8">
        <v>1</v>
      </c>
      <c r="X593" t="s">
        <v>207</v>
      </c>
      <c r="Y593" t="s">
        <v>168</v>
      </c>
    </row>
    <row r="594" spans="1:25" x14ac:dyDescent="0.3">
      <c r="A594">
        <v>30121</v>
      </c>
      <c r="B594" t="str">
        <f>_xlfn.CONCAT(Tabel1[[#This Row],[personeelsnr]]," ",C594," ",D594)</f>
        <v>30121 Simons Andreas</v>
      </c>
      <c r="C594" t="str">
        <f>VLOOKUP(Tabel1[[#This Row],[personeelsnr]],'data hastus'!$A:$C,2,0)</f>
        <v>Simons</v>
      </c>
      <c r="D594" t="str">
        <f>VLOOKUP(Tabel1[[#This Row],[personeelsnr]],'data hastus'!$A:$C,3,0)</f>
        <v>Andreas</v>
      </c>
      <c r="E594" t="str">
        <f>VLOOKUP(Tabel1[[#This Row],[personeelsnr]],'data hastus'!A:K,11,FALSE)</f>
        <v>Christoff Rotty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SUM(Tabel1[[#This Row],[Januari]:[December]])</f>
        <v>1</v>
      </c>
      <c r="T594" s="3">
        <v>45712</v>
      </c>
      <c r="U594" s="8" t="s">
        <v>1021</v>
      </c>
      <c r="V594" s="8">
        <v>1</v>
      </c>
      <c r="W594" s="8"/>
      <c r="X594" t="s">
        <v>206</v>
      </c>
      <c r="Y594" t="s">
        <v>271</v>
      </c>
    </row>
    <row r="595" spans="1:25" x14ac:dyDescent="0.3">
      <c r="A595">
        <v>35397</v>
      </c>
      <c r="B595" t="str">
        <f>_xlfn.CONCAT(Tabel1[[#This Row],[personeelsnr]]," ",C595," ",D595)</f>
        <v>35397 Minbari Ako</v>
      </c>
      <c r="C595" t="str">
        <f>VLOOKUP(Tabel1[[#This Row],[personeelsnr]],'data hastus'!$A:$C,2,0)</f>
        <v>Minbari</v>
      </c>
      <c r="D595" t="str">
        <f>VLOOKUP(Tabel1[[#This Row],[personeelsnr]],'data hastus'!$A:$C,3,0)</f>
        <v>Ako</v>
      </c>
      <c r="E595" t="str">
        <f>VLOOKUP(Tabel1[[#This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SUM(Tabel1[[#This Row],[Januari]:[December]])</f>
        <v>1</v>
      </c>
      <c r="T595" s="3">
        <v>45713</v>
      </c>
      <c r="U595" s="8" t="s">
        <v>1022</v>
      </c>
      <c r="V595" s="8">
        <v>1</v>
      </c>
      <c r="W595" s="8"/>
      <c r="X595" t="s">
        <v>206</v>
      </c>
      <c r="Y595" t="s">
        <v>288</v>
      </c>
    </row>
    <row r="596" spans="1:25" x14ac:dyDescent="0.3">
      <c r="A596">
        <v>40744</v>
      </c>
      <c r="B596" t="str">
        <f>_xlfn.CONCAT(Tabel1[[#This Row],[personeelsnr]]," ",C596," ",D596)</f>
        <v>40744 Gözüküçük Ugur</v>
      </c>
      <c r="C596" t="str">
        <f>VLOOKUP(Tabel1[[#This Row],[personeelsnr]],'data hastus'!$A:$C,2,0)</f>
        <v>Gözüküçük</v>
      </c>
      <c r="D596" t="str">
        <f>VLOOKUP(Tabel1[[#This Row],[personeelsnr]],'data hastus'!$A:$C,3,0)</f>
        <v>Ugur</v>
      </c>
      <c r="E596" t="str">
        <f>VLOOKUP(Tabel1[[#This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SUM(Tabel1[[#This Row],[Januari]:[December]])</f>
        <v>1</v>
      </c>
      <c r="T596" s="3">
        <v>45715</v>
      </c>
      <c r="U596" s="8" t="s">
        <v>1023</v>
      </c>
      <c r="V596" s="8">
        <v>1</v>
      </c>
      <c r="W596" s="8"/>
      <c r="X596" t="s">
        <v>206</v>
      </c>
      <c r="Y596" t="s">
        <v>283</v>
      </c>
    </row>
    <row r="597" spans="1:25" x14ac:dyDescent="0.3">
      <c r="A597">
        <v>39829</v>
      </c>
      <c r="B597" t="str">
        <f>_xlfn.CONCAT(Tabel1[[#This Row],[personeelsnr]]," ",C597," ",D597)</f>
        <v>39829 Demirkaya Serkan</v>
      </c>
      <c r="C597" t="str">
        <f>VLOOKUP(Tabel1[[#This Row],[personeelsnr]],'data hastus'!$A:$C,2,0)</f>
        <v>Demirkaya</v>
      </c>
      <c r="D597" t="str">
        <f>VLOOKUP(Tabel1[[#This Row],[personeelsnr]],'data hastus'!$A:$C,3,0)</f>
        <v>Serkan</v>
      </c>
      <c r="E597" t="str">
        <f>VLOOKUP(Tabel1[[#This Row],[personeelsnr]],'data hastus'!A:K,11,FALSE)</f>
        <v>Lucie Vande Velde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SUM(Tabel1[[#This Row],[Januari]:[December]])</f>
        <v>1</v>
      </c>
      <c r="T597" s="3">
        <v>45715</v>
      </c>
      <c r="U597" s="8" t="s">
        <v>1024</v>
      </c>
      <c r="V597" s="8">
        <v>1</v>
      </c>
      <c r="W597" s="8"/>
      <c r="X597" t="s">
        <v>206</v>
      </c>
      <c r="Y597" t="s">
        <v>168</v>
      </c>
    </row>
    <row r="598" spans="1:25" x14ac:dyDescent="0.3">
      <c r="A598">
        <v>39779</v>
      </c>
      <c r="B598" t="str">
        <f>_xlfn.CONCAT(Tabel1[[#This Row],[personeelsnr]]," ",C598," ",D598)</f>
        <v>39779 Avci Muhammet Abdullah</v>
      </c>
      <c r="C598" t="str">
        <f>VLOOKUP(Tabel1[[#This Row],[personeelsnr]],'data hastus'!$A:$C,2,0)</f>
        <v>Avci</v>
      </c>
      <c r="D598" t="str">
        <f>VLOOKUP(Tabel1[[#This Row],[personeelsnr]],'data hastus'!$A:$C,3,0)</f>
        <v>Muhammet Abdullah</v>
      </c>
      <c r="E598" t="str">
        <f>VLOOKUP(Tabel1[[#This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SUM(Tabel1[[#This Row],[Januari]:[December]])</f>
        <v>1</v>
      </c>
      <c r="T598" s="3">
        <v>45715</v>
      </c>
      <c r="U598" s="8" t="s">
        <v>1025</v>
      </c>
      <c r="V598" s="8">
        <v>1</v>
      </c>
      <c r="W598" s="8"/>
      <c r="X598" t="s">
        <v>206</v>
      </c>
      <c r="Y598" t="s">
        <v>215</v>
      </c>
    </row>
    <row r="599" spans="1:25" x14ac:dyDescent="0.3">
      <c r="A599">
        <v>41092</v>
      </c>
      <c r="B599" t="str">
        <f>_xlfn.CONCAT(Tabel1[[#This Row],[personeelsnr]]," ",C599," ",D599)</f>
        <v>41092 De Keyser Dorien</v>
      </c>
      <c r="C599" t="str">
        <f>VLOOKUP(Tabel1[[#This Row],[personeelsnr]],'data hastus'!$A:$C,2,0)</f>
        <v>De Keyser</v>
      </c>
      <c r="D599" t="str">
        <f>VLOOKUP(Tabel1[[#This Row],[personeelsnr]],'data hastus'!$A:$C,3,0)</f>
        <v>Dorien</v>
      </c>
      <c r="E599" t="str">
        <f>VLOOKUP(Tabel1[[#This Row],[personeelsnr]],'data hastus'!A:K,11,FALSE)</f>
        <v>Dominique De Clercq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SUM(Tabel1[[#This Row],[Januari]:[December]])</f>
        <v>1</v>
      </c>
      <c r="T599" s="3">
        <v>45716</v>
      </c>
      <c r="U599" s="8" t="s">
        <v>1026</v>
      </c>
      <c r="V599" s="8">
        <v>1</v>
      </c>
      <c r="W599" s="8"/>
      <c r="X599" t="s">
        <v>206</v>
      </c>
      <c r="Y599" t="s">
        <v>169</v>
      </c>
    </row>
    <row r="600" spans="1:25" x14ac:dyDescent="0.3">
      <c r="A600" s="15">
        <v>40138</v>
      </c>
      <c r="B600" s="15" t="str">
        <f>_xlfn.CONCAT(Tabel1[[#This Row],[personeelsnr]]," ",C600," ",D600)</f>
        <v>40138 Moerman Tjimmy</v>
      </c>
      <c r="C600" s="15" t="str">
        <f>VLOOKUP(Tabel1[[#This Row],[personeelsnr]],'data hastus'!$A:$C,2,0)</f>
        <v>Moerman</v>
      </c>
      <c r="D600" s="15" t="str">
        <f>VLOOKUP(Tabel1[[#This Row],[personeelsnr]],'data hastus'!$A:$C,3,0)</f>
        <v>Tjimmy</v>
      </c>
      <c r="E600" s="15" t="str">
        <f>VLOOKUP(Tabel1[[#This Row],[personeelsnr]],'data hastus'!A:K,11,FALSE)</f>
        <v>Christoff Rotty</v>
      </c>
      <c r="F600" s="16"/>
      <c r="G600" s="21"/>
      <c r="H600" s="21"/>
      <c r="I600" s="21">
        <v>1</v>
      </c>
      <c r="J600" s="15"/>
      <c r="K600" s="15"/>
      <c r="L600" s="15"/>
      <c r="M600" s="15"/>
      <c r="N600" s="15"/>
      <c r="O600" s="15"/>
      <c r="P600" s="15"/>
      <c r="Q600" s="15"/>
      <c r="R600" s="15"/>
      <c r="S600" s="15">
        <f>SUM(Tabel1[[#This Row],[Januari]:[December]])</f>
        <v>1</v>
      </c>
      <c r="T600" s="22">
        <v>45717</v>
      </c>
      <c r="U600" s="20" t="s">
        <v>1027</v>
      </c>
      <c r="V600" s="8">
        <v>1</v>
      </c>
      <c r="W600" s="20"/>
      <c r="X600" t="s">
        <v>206</v>
      </c>
      <c r="Y600" s="15" t="s">
        <v>243</v>
      </c>
    </row>
    <row r="601" spans="1:25" x14ac:dyDescent="0.3">
      <c r="A601">
        <v>26137</v>
      </c>
      <c r="B601" t="str">
        <f>_xlfn.CONCAT(Tabel1[[#This Row],[personeelsnr]]," ",C601," ",D601)</f>
        <v>26137 Hublau Roland</v>
      </c>
      <c r="C601" t="str">
        <f>VLOOKUP(Tabel1[[#This Row],[personeelsnr]],'data hastus'!$A:$C,2,0)</f>
        <v>Hublau</v>
      </c>
      <c r="D601" t="str">
        <f>VLOOKUP(Tabel1[[#This Row],[personeelsnr]],'data hastus'!$A:$C,3,0)</f>
        <v>Roland</v>
      </c>
      <c r="E601" t="str">
        <f>VLOOKUP(Tabel1[[#This Row],[personeelsnr]],'data hastus'!A:K,11,FALSE)</f>
        <v>Steven Storm</v>
      </c>
      <c r="F601" s="10"/>
      <c r="G601" s="7"/>
      <c r="H601" s="7"/>
      <c r="I601" s="7">
        <v>1</v>
      </c>
      <c r="S601" s="5">
        <f>SUM(Tabel1[[#This Row],[Januari]:[December]])</f>
        <v>1</v>
      </c>
      <c r="T601" s="9">
        <v>45719</v>
      </c>
      <c r="U601" s="8" t="s">
        <v>1028</v>
      </c>
      <c r="V601" s="8">
        <v>1</v>
      </c>
      <c r="W601" s="8"/>
      <c r="X601" t="s">
        <v>206</v>
      </c>
      <c r="Y601" t="s">
        <v>167</v>
      </c>
    </row>
    <row r="602" spans="1:25" x14ac:dyDescent="0.3">
      <c r="A602">
        <v>19520</v>
      </c>
      <c r="B602" t="str">
        <f>_xlfn.CONCAT(Tabel1[[#This Row],[personeelsnr]]," ",C602," ",D602)</f>
        <v>19520 Van Steenbergen Kris</v>
      </c>
      <c r="C602" t="str">
        <f>VLOOKUP(Tabel1[[#This Row],[personeelsnr]],'data hastus'!$A:$C,2,0)</f>
        <v>Van Steenbergen</v>
      </c>
      <c r="D602" t="str">
        <f>VLOOKUP(Tabel1[[#This Row],[personeelsnr]],'data hastus'!$A:$C,3,0)</f>
        <v>Kris</v>
      </c>
      <c r="E602" t="str">
        <f>VLOOKUP(Tabel1[[#This Row],[personeelsnr]],'data hastus'!A:K,11,FALSE)</f>
        <v>Els Dewulf</v>
      </c>
      <c r="F602" s="10"/>
      <c r="G602" s="6"/>
      <c r="H602" s="6"/>
      <c r="I602" s="6">
        <v>1</v>
      </c>
      <c r="J602"/>
      <c r="K602"/>
      <c r="L602"/>
      <c r="M602"/>
      <c r="N602"/>
      <c r="O602"/>
      <c r="P602"/>
      <c r="Q602"/>
      <c r="R602"/>
      <c r="S602">
        <f>SUM(Tabel1[[#This Row],[Januari]:[December]])</f>
        <v>1</v>
      </c>
      <c r="T602" s="3">
        <v>45720</v>
      </c>
      <c r="U602" s="8" t="s">
        <v>1029</v>
      </c>
      <c r="V602" s="8">
        <v>1</v>
      </c>
      <c r="W602" s="8"/>
      <c r="X602" t="s">
        <v>206</v>
      </c>
      <c r="Y602" t="s">
        <v>210</v>
      </c>
    </row>
    <row r="603" spans="1:25" x14ac:dyDescent="0.3">
      <c r="A603">
        <v>40591</v>
      </c>
      <c r="B603" t="str">
        <f>_xlfn.CONCAT(Tabel1[[#This Row],[personeelsnr]]," ",C603," ",D603)</f>
        <v>40591 Hiloui Mahmoud</v>
      </c>
      <c r="C603" t="str">
        <f>VLOOKUP(Tabel1[[#This Row],[personeelsnr]],'data hastus'!$A:$C,2,0)</f>
        <v>Hiloui</v>
      </c>
      <c r="D603" t="str">
        <f>VLOOKUP(Tabel1[[#This Row],[personeelsnr]],'data hastus'!$A:$C,3,0)</f>
        <v>Mahmoud</v>
      </c>
      <c r="E603" t="str">
        <f>VLOOKUP(Tabel1[[#This Row],[personeelsnr]],'data hastus'!A:K,11,FALSE)</f>
        <v>Dominique De Clercq</v>
      </c>
      <c r="F603" s="10"/>
      <c r="G603" s="6"/>
      <c r="H603" s="6"/>
      <c r="I603" s="6">
        <v>1</v>
      </c>
      <c r="J603"/>
      <c r="K603"/>
      <c r="L603"/>
      <c r="M603"/>
      <c r="N603"/>
      <c r="O603"/>
      <c r="P603"/>
      <c r="Q603"/>
      <c r="R603"/>
      <c r="S603">
        <f>SUM(Tabel1[[#This Row],[Januari]:[December]])</f>
        <v>1</v>
      </c>
      <c r="T603" s="3">
        <v>45721</v>
      </c>
      <c r="U603" s="8" t="s">
        <v>1030</v>
      </c>
      <c r="V603" s="8">
        <v>1</v>
      </c>
      <c r="W603" s="8"/>
      <c r="X603" t="s">
        <v>206</v>
      </c>
      <c r="Y603" t="s">
        <v>175</v>
      </c>
    </row>
    <row r="604" spans="1:25" x14ac:dyDescent="0.3">
      <c r="A604">
        <v>34019</v>
      </c>
      <c r="B604" t="str">
        <f>_xlfn.CONCAT(Tabel1[[#This Row],[personeelsnr]]," ",C604," ",D604)</f>
        <v>34019 Hoste Tom</v>
      </c>
      <c r="C604" t="str">
        <f>VLOOKUP(Tabel1[[#This Row],[personeelsnr]],'data hastus'!$A:$C,2,0)</f>
        <v>Hoste</v>
      </c>
      <c r="D604" t="str">
        <f>VLOOKUP(Tabel1[[#This Row],[personeelsnr]],'data hastus'!$A:$C,3,0)</f>
        <v>Tom</v>
      </c>
      <c r="E604" t="str">
        <f>VLOOKUP(Tabel1[[#This Row],[personeelsnr]],'data hastus'!A:K,11,FALSE)</f>
        <v>Christoff Rotty</v>
      </c>
      <c r="F604" s="10"/>
      <c r="G604" s="6"/>
      <c r="H604" s="6"/>
      <c r="I604" s="6">
        <v>1</v>
      </c>
      <c r="J604"/>
      <c r="K604"/>
      <c r="L604"/>
      <c r="M604"/>
      <c r="N604"/>
      <c r="O604"/>
      <c r="P604"/>
      <c r="Q604"/>
      <c r="R604"/>
      <c r="S604">
        <f>SUM(Tabel1[[#This Row],[Januari]:[December]])</f>
        <v>1</v>
      </c>
      <c r="T604" s="3">
        <v>45721</v>
      </c>
      <c r="U604" s="8" t="s">
        <v>1031</v>
      </c>
      <c r="V604" s="8">
        <v>1</v>
      </c>
      <c r="W604" s="8"/>
      <c r="X604" t="s">
        <v>206</v>
      </c>
      <c r="Y604" t="s">
        <v>236</v>
      </c>
    </row>
    <row r="605" spans="1:25" x14ac:dyDescent="0.3">
      <c r="A605">
        <v>41092</v>
      </c>
      <c r="B605" t="str">
        <f>_xlfn.CONCAT(Tabel1[[#This Row],[personeelsnr]]," ",C605," ",D605)</f>
        <v>41092 De Keyser Dorien</v>
      </c>
      <c r="C605" t="str">
        <f>VLOOKUP(Tabel1[[#This Row],[personeelsnr]],'data hastus'!$A:$C,2,0)</f>
        <v>De Keyser</v>
      </c>
      <c r="D605" t="str">
        <f>VLOOKUP(Tabel1[[#This Row],[personeelsnr]],'data hastus'!$A:$C,3,0)</f>
        <v>Dorien</v>
      </c>
      <c r="E605" t="str">
        <f>VLOOKUP(Tabel1[[#This Row],[personeelsnr]],'data hastus'!A:K,11,FALSE)</f>
        <v>Dominique De Clercq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SUM(Tabel1[[#This Row],[Januari]:[December]])</f>
        <v>1</v>
      </c>
      <c r="T605" s="3">
        <v>45722</v>
      </c>
      <c r="U605" s="8" t="s">
        <v>1032</v>
      </c>
      <c r="V605" s="8">
        <v>1</v>
      </c>
      <c r="W605" s="8"/>
      <c r="X605" t="s">
        <v>206</v>
      </c>
      <c r="Y605" t="s">
        <v>304</v>
      </c>
    </row>
    <row r="606" spans="1:25" x14ac:dyDescent="0.3">
      <c r="A606">
        <v>26960</v>
      </c>
      <c r="B606" t="str">
        <f>_xlfn.CONCAT(Tabel1[[#This Row],[personeelsnr]]," ",C606," ",D606)</f>
        <v>26960 Toubadie Mossa</v>
      </c>
      <c r="C606" t="str">
        <f>VLOOKUP(Tabel1[[#This Row],[personeelsnr]],'data hastus'!$A:$C,2,0)</f>
        <v>Toubadie</v>
      </c>
      <c r="D606" t="str">
        <f>VLOOKUP(Tabel1[[#This Row],[personeelsnr]],'data hastus'!$A:$C,3,0)</f>
        <v>Mossa</v>
      </c>
      <c r="E606" t="str">
        <f>VLOOKUP(Tabel1[[#This Row],[personeelsnr]],'data hastus'!A:K,11,FALSE)</f>
        <v>Els Vanhoe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SUM(Tabel1[[#This Row],[Januari]:[December]])</f>
        <v>1</v>
      </c>
      <c r="T606" s="3">
        <v>45722</v>
      </c>
      <c r="U606" s="8" t="s">
        <v>1033</v>
      </c>
      <c r="V606" s="8">
        <v>1</v>
      </c>
      <c r="W606" s="8"/>
      <c r="X606" t="s">
        <v>206</v>
      </c>
      <c r="Y606" t="s">
        <v>252</v>
      </c>
    </row>
    <row r="607" spans="1:25" x14ac:dyDescent="0.3">
      <c r="A607">
        <v>29674</v>
      </c>
      <c r="B607" t="str">
        <f>_xlfn.CONCAT(Tabel1[[#This Row],[personeelsnr]]," ",C607," ",D607)</f>
        <v>29674 Martens Geoffrey</v>
      </c>
      <c r="C607" t="str">
        <f>VLOOKUP(Tabel1[[#This Row],[personeelsnr]],'data hastus'!$A:$C,2,0)</f>
        <v>Martens</v>
      </c>
      <c r="D607" t="str">
        <f>VLOOKUP(Tabel1[[#This Row],[personeelsnr]],'data hastus'!$A:$C,3,0)</f>
        <v>Geoffrey</v>
      </c>
      <c r="E607" t="str">
        <f>VLOOKUP(Tabel1[[#This Row],[personeelsnr]],'data hastus'!A:K,11,FALSE)</f>
        <v>Dominique De Clercq</v>
      </c>
      <c r="F607" s="10"/>
      <c r="G607" s="6"/>
      <c r="H607" s="6"/>
      <c r="I607" s="6">
        <v>1</v>
      </c>
      <c r="J607"/>
      <c r="K607"/>
      <c r="L607"/>
      <c r="M607"/>
      <c r="N607"/>
      <c r="O607"/>
      <c r="P607"/>
      <c r="Q607"/>
      <c r="R607"/>
      <c r="S607">
        <f>SUM(Tabel1[[#This Row],[Januari]:[December]])</f>
        <v>1</v>
      </c>
      <c r="T607" s="3">
        <v>45722</v>
      </c>
      <c r="U607" s="8" t="s">
        <v>1034</v>
      </c>
      <c r="V607" s="8"/>
      <c r="W607" s="8">
        <v>1</v>
      </c>
      <c r="X607" t="s">
        <v>207</v>
      </c>
      <c r="Y607" t="s">
        <v>168</v>
      </c>
    </row>
    <row r="608" spans="1:25" x14ac:dyDescent="0.3">
      <c r="A608">
        <v>16897</v>
      </c>
      <c r="B608" t="str">
        <f>_xlfn.CONCAT(Tabel1[[#This Row],[personeelsnr]]," ",C608," ",D608)</f>
        <v>16897 VandenDaele Andy</v>
      </c>
      <c r="C608" t="str">
        <f>VLOOKUP(Tabel1[[#This Row],[personeelsnr]],'data hastus'!$A:$C,2,0)</f>
        <v>VandenDaele</v>
      </c>
      <c r="D608" t="str">
        <f>VLOOKUP(Tabel1[[#This Row],[personeelsnr]],'data hastus'!$A:$C,3,0)</f>
        <v>Andy</v>
      </c>
      <c r="E608" t="str">
        <f>VLOOKUP(Tabel1[[#This Row],[personeelsnr]],'data hastus'!A:K,11,FALSE)</f>
        <v>Steven Storm</v>
      </c>
      <c r="F608" s="10"/>
      <c r="G608" s="6"/>
      <c r="H608" s="6"/>
      <c r="I608" s="6">
        <v>1</v>
      </c>
      <c r="J608"/>
      <c r="K608"/>
      <c r="L608"/>
      <c r="M608"/>
      <c r="N608"/>
      <c r="O608"/>
      <c r="P608"/>
      <c r="Q608"/>
      <c r="R608"/>
      <c r="S608">
        <f>SUM(Tabel1[[#This Row],[Januari]:[December]])</f>
        <v>1</v>
      </c>
      <c r="T608" s="3">
        <v>45722</v>
      </c>
      <c r="U608" s="8" t="s">
        <v>1035</v>
      </c>
      <c r="V608" s="8">
        <v>1</v>
      </c>
      <c r="W608" s="8"/>
      <c r="X608" t="s">
        <v>206</v>
      </c>
      <c r="Y608" t="s">
        <v>176</v>
      </c>
    </row>
    <row r="609" spans="1:25" x14ac:dyDescent="0.3">
      <c r="A609">
        <v>32091</v>
      </c>
      <c r="B609" t="str">
        <f>_xlfn.CONCAT(Tabel1[[#This Row],[personeelsnr]]," ",C609," ",D609)</f>
        <v>32091 Köroglu Ercan</v>
      </c>
      <c r="C609" t="str">
        <f>VLOOKUP(Tabel1[[#This Row],[personeelsnr]],'data hastus'!$A:$C,2,0)</f>
        <v>Köroglu</v>
      </c>
      <c r="D609" t="str">
        <f>VLOOKUP(Tabel1[[#This Row],[personeelsnr]],'data hastus'!$A:$C,3,0)</f>
        <v>Ercan</v>
      </c>
      <c r="E609" t="str">
        <f>VLOOKUP(Tabel1[[#This Row],[personeelsnr]],'data hastus'!A:K,11,FALSE)</f>
        <v>Kenneth De Rick</v>
      </c>
      <c r="F609" s="10"/>
      <c r="G609" s="6"/>
      <c r="H609" s="6"/>
      <c r="I609" s="6">
        <v>1</v>
      </c>
      <c r="J609"/>
      <c r="K609"/>
      <c r="L609"/>
      <c r="M609"/>
      <c r="N609"/>
      <c r="O609"/>
      <c r="P609"/>
      <c r="Q609"/>
      <c r="R609"/>
      <c r="S609">
        <f>SUM(Tabel1[[#This Row],[Januari]:[December]])</f>
        <v>1</v>
      </c>
      <c r="T609" s="3">
        <v>45722</v>
      </c>
      <c r="U609" s="8" t="s">
        <v>1036</v>
      </c>
      <c r="V609" s="8">
        <v>1</v>
      </c>
      <c r="W609" s="8"/>
      <c r="X609" t="s">
        <v>206</v>
      </c>
      <c r="Y609" t="s">
        <v>167</v>
      </c>
    </row>
    <row r="610" spans="1:25" x14ac:dyDescent="0.3">
      <c r="A610">
        <v>28910</v>
      </c>
      <c r="B610" t="str">
        <f>_xlfn.CONCAT(Tabel1[[#This Row],[personeelsnr]]," ",C610," ",D610)</f>
        <v>28910 Gassa Osmane</v>
      </c>
      <c r="C610" t="str">
        <f>VLOOKUP(Tabel1[[#This Row],[personeelsnr]],'data hastus'!$A:$C,2,0)</f>
        <v>Gassa</v>
      </c>
      <c r="D610" t="str">
        <f>VLOOKUP(Tabel1[[#This Row],[personeelsnr]],'data hastus'!$A:$C,3,0)</f>
        <v>Osmane</v>
      </c>
      <c r="E610" t="str">
        <f>VLOOKUP(Tabel1[[#This Row],[personeelsnr]],'data hastus'!A:K,11,FALSE)</f>
        <v>Bart Van Der Beken</v>
      </c>
      <c r="F610" s="10"/>
      <c r="G610" s="6"/>
      <c r="H610" s="6"/>
      <c r="I610" s="6">
        <v>1</v>
      </c>
      <c r="J610"/>
      <c r="K610"/>
      <c r="L610"/>
      <c r="M610"/>
      <c r="N610"/>
      <c r="O610"/>
      <c r="P610"/>
      <c r="Q610"/>
      <c r="R610"/>
      <c r="S610">
        <f>SUM(Tabel1[[#This Row],[Januari]:[December]])</f>
        <v>1</v>
      </c>
      <c r="T610" s="3">
        <v>45725</v>
      </c>
      <c r="U610" s="8" t="s">
        <v>1037</v>
      </c>
      <c r="V610" s="8">
        <v>1</v>
      </c>
      <c r="W610" s="8"/>
      <c r="X610" t="s">
        <v>206</v>
      </c>
      <c r="Y610" t="s">
        <v>293</v>
      </c>
    </row>
    <row r="611" spans="1:25" x14ac:dyDescent="0.3">
      <c r="A611">
        <v>40939</v>
      </c>
      <c r="B611" t="str">
        <f>_xlfn.CONCAT(Tabel1[[#This Row],[personeelsnr]]," ",C611," ",D611)</f>
        <v>40939 Cisse Sayon</v>
      </c>
      <c r="C611" t="str">
        <f>VLOOKUP(Tabel1[[#This Row],[personeelsnr]],'data hastus'!$A:$C,2,0)</f>
        <v>Cisse</v>
      </c>
      <c r="D611" t="str">
        <f>VLOOKUP(Tabel1[[#This Row],[personeelsnr]],'data hastus'!$A:$C,3,0)</f>
        <v>Sayon</v>
      </c>
      <c r="E611" t="str">
        <f>VLOOKUP(Tabel1[[#This Row],[personeelsnr]],'data hastus'!A:K,11,FALSE)</f>
        <v>Kenneth De Rick</v>
      </c>
      <c r="F611" s="10"/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SUM(Tabel1[[#This Row],[Januari]:[December]])</f>
        <v>1</v>
      </c>
      <c r="T611" s="3">
        <v>45725</v>
      </c>
      <c r="U611" s="8" t="s">
        <v>1038</v>
      </c>
      <c r="V611" s="8">
        <v>1</v>
      </c>
      <c r="W611" s="8"/>
      <c r="X611" t="s">
        <v>206</v>
      </c>
      <c r="Y611" t="s">
        <v>170</v>
      </c>
    </row>
    <row r="612" spans="1:25" x14ac:dyDescent="0.3">
      <c r="A612">
        <v>25487</v>
      </c>
      <c r="B612" t="str">
        <f>_xlfn.CONCAT(Tabel1[[#This Row],[personeelsnr]]," ",C612," ",D612)</f>
        <v>25487 Devos Stefaan</v>
      </c>
      <c r="C612" t="str">
        <f>VLOOKUP(Tabel1[[#This Row],[personeelsnr]],'data hastus'!$A:$C,2,0)</f>
        <v>Devos</v>
      </c>
      <c r="D612" t="str">
        <f>VLOOKUP(Tabel1[[#This Row],[personeelsnr]],'data hastus'!$A:$C,3,0)</f>
        <v>Stefaan</v>
      </c>
      <c r="E612" t="str">
        <f>VLOOKUP(Tabel1[[#This Row],[personeelsnr]],'data hastus'!A:K,11,FALSE)</f>
        <v>Steven Storm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SUM(Tabel1[[#This Row],[Januari]:[December]])</f>
        <v>1</v>
      </c>
      <c r="T612" s="3">
        <v>45725</v>
      </c>
      <c r="U612" s="8" t="s">
        <v>1039</v>
      </c>
      <c r="V612" s="8"/>
      <c r="W612" s="8">
        <v>1</v>
      </c>
      <c r="X612" t="s">
        <v>207</v>
      </c>
      <c r="Y612" t="s">
        <v>378</v>
      </c>
    </row>
    <row r="613" spans="1:25" x14ac:dyDescent="0.3">
      <c r="A613">
        <v>35645</v>
      </c>
      <c r="B613" t="str">
        <f>_xlfn.CONCAT(Tabel1[[#This Row],[personeelsnr]]," ",C613," ",D613)</f>
        <v>35645 Jalili Yaseeb</v>
      </c>
      <c r="C613" t="str">
        <f>VLOOKUP(Tabel1[[#This Row],[personeelsnr]],'data hastus'!$A:$C,2,0)</f>
        <v>Jalili</v>
      </c>
      <c r="D613" t="str">
        <f>VLOOKUP(Tabel1[[#This Row],[personeelsnr]],'data hastus'!$A:$C,3,0)</f>
        <v>Yaseeb</v>
      </c>
      <c r="E613" t="str">
        <f>VLOOKUP(Tabel1[[#This Row],[personeelsnr]],'data hastus'!A:K,11,FALSE)</f>
        <v>Steven Storm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SUM(Tabel1[[#This Row],[Januari]:[December]])</f>
        <v>1</v>
      </c>
      <c r="T613" s="3">
        <v>45726</v>
      </c>
      <c r="U613" s="8" t="s">
        <v>1040</v>
      </c>
      <c r="V613" s="8">
        <v>1</v>
      </c>
      <c r="W613" s="8"/>
      <c r="X613" t="s">
        <v>206</v>
      </c>
      <c r="Y613" t="s">
        <v>201</v>
      </c>
    </row>
    <row r="614" spans="1:25" x14ac:dyDescent="0.3">
      <c r="A614">
        <v>40138</v>
      </c>
      <c r="B614" t="str">
        <f>_xlfn.CONCAT(Tabel1[[#This Row],[personeelsnr]]," ",C614," ",D614)</f>
        <v>40138 Moerman Tjimmy</v>
      </c>
      <c r="C614" t="str">
        <f>VLOOKUP(Tabel1[[#This Row],[personeelsnr]],'data hastus'!$A:$C,2,0)</f>
        <v>Moerman</v>
      </c>
      <c r="D614" t="str">
        <f>VLOOKUP(Tabel1[[#This Row],[personeelsnr]],'data hastus'!$A:$C,3,0)</f>
        <v>Tjimmy</v>
      </c>
      <c r="E614" t="str">
        <f>VLOOKUP(Tabel1[[#This Row],[personeelsnr]],'data hastus'!A:K,11,FALSE)</f>
        <v>Christoff Rotty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SUM(Tabel1[[#This Row],[Januari]:[December]])</f>
        <v>1</v>
      </c>
      <c r="T614" s="3">
        <v>45727</v>
      </c>
      <c r="U614" s="8" t="s">
        <v>1041</v>
      </c>
      <c r="V614" s="8">
        <v>1</v>
      </c>
      <c r="W614" s="8"/>
      <c r="X614" t="s">
        <v>206</v>
      </c>
      <c r="Y614" t="s">
        <v>210</v>
      </c>
    </row>
    <row r="615" spans="1:25" x14ac:dyDescent="0.3">
      <c r="A615">
        <v>39532</v>
      </c>
      <c r="B615" t="str">
        <f>_xlfn.CONCAT(Tabel1[[#This Row],[personeelsnr]]," ",C615," ",D615)</f>
        <v>39532 Sahin Orhan</v>
      </c>
      <c r="C615" t="str">
        <f>VLOOKUP(Tabel1[[#This Row],[personeelsnr]],'data hastus'!$A:$C,2,0)</f>
        <v>Sahin</v>
      </c>
      <c r="D615" t="str">
        <f>VLOOKUP(Tabel1[[#This Row],[personeelsnr]],'data hastus'!$A:$C,3,0)</f>
        <v>Orhan</v>
      </c>
      <c r="E615" t="str">
        <f>VLOOKUP(Tabel1[[#This Row],[personeelsnr]],'data hastus'!A:K,11,FALSE)</f>
        <v>Christoff Rotty</v>
      </c>
      <c r="F615" s="10"/>
      <c r="G615" s="7"/>
      <c r="H615" s="7"/>
      <c r="I615" s="7">
        <v>1</v>
      </c>
      <c r="S615" s="5">
        <f>SUM(Tabel1[[#This Row],[Januari]:[December]])</f>
        <v>1</v>
      </c>
      <c r="T615" s="9">
        <v>45728</v>
      </c>
      <c r="U615" s="8" t="s">
        <v>1042</v>
      </c>
      <c r="V615" s="8">
        <v>1</v>
      </c>
      <c r="W615" s="8"/>
      <c r="X615" t="s">
        <v>206</v>
      </c>
      <c r="Y615" t="s">
        <v>200</v>
      </c>
    </row>
    <row r="616" spans="1:25" x14ac:dyDescent="0.3">
      <c r="A616">
        <v>35379</v>
      </c>
      <c r="B616" t="str">
        <f>_xlfn.CONCAT(Tabel1[[#This Row],[personeelsnr]]," ",C616," ",D616)</f>
        <v>35379 Engels Sam</v>
      </c>
      <c r="C616" t="str">
        <f>VLOOKUP(Tabel1[[#This Row],[personeelsnr]],'data hastus'!$A:$C,2,0)</f>
        <v>Engels</v>
      </c>
      <c r="D616" t="str">
        <f>VLOOKUP(Tabel1[[#This Row],[personeelsnr]],'data hastus'!$A:$C,3,0)</f>
        <v>Sam</v>
      </c>
      <c r="E616" t="str">
        <f>VLOOKUP(Tabel1[[#This Row],[personeelsnr]],'data hastus'!A:K,11,FALSE)</f>
        <v>Els Vanhoe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SUM(Tabel1[[#This Row],[Januari]:[December]])</f>
        <v>1</v>
      </c>
      <c r="T616" s="3">
        <v>45729</v>
      </c>
      <c r="U616" s="8" t="s">
        <v>1043</v>
      </c>
      <c r="V616" s="8">
        <v>1</v>
      </c>
      <c r="W616" s="8"/>
      <c r="X616" t="s">
        <v>206</v>
      </c>
      <c r="Y616" t="s">
        <v>265</v>
      </c>
    </row>
    <row r="617" spans="1:25" x14ac:dyDescent="0.3">
      <c r="A617">
        <v>37662</v>
      </c>
      <c r="B617" t="str">
        <f>_xlfn.CONCAT(Tabel1[[#This Row],[personeelsnr]]," ",C617," ",D617)</f>
        <v>37662 Van den Meerssche Steven</v>
      </c>
      <c r="C617" t="str">
        <f>VLOOKUP(Tabel1[[#This Row],[personeelsnr]],'data hastus'!$A:$C,2,0)</f>
        <v>Van den Meerssche</v>
      </c>
      <c r="D617" t="str">
        <f>VLOOKUP(Tabel1[[#This Row],[personeelsnr]],'data hastus'!$A:$C,3,0)</f>
        <v>Steven</v>
      </c>
      <c r="E617" t="str">
        <f>VLOOKUP(Tabel1[[#This Row],[personeelsnr]],'data hastus'!A:K,11,FALSE)</f>
        <v>Bart Van Der Beken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SUM(Tabel1[[#This Row],[Januari]:[December]])</f>
        <v>1</v>
      </c>
      <c r="T617" s="3">
        <v>45729</v>
      </c>
      <c r="U617" s="8" t="s">
        <v>1044</v>
      </c>
      <c r="V617" s="8">
        <v>1</v>
      </c>
      <c r="W617" s="8"/>
      <c r="X617" t="s">
        <v>206</v>
      </c>
      <c r="Y617" t="s">
        <v>319</v>
      </c>
    </row>
    <row r="618" spans="1:25" x14ac:dyDescent="0.3">
      <c r="A618">
        <v>36635</v>
      </c>
      <c r="B618" t="str">
        <f>_xlfn.CONCAT(Tabel1[[#This Row],[personeelsnr]]," ",C618," ",D618)</f>
        <v>36635 Fadel Husam</v>
      </c>
      <c r="C618" t="str">
        <f>VLOOKUP(Tabel1[[#This Row],[personeelsnr]],'data hastus'!$A:$C,2,0)</f>
        <v>Fadel</v>
      </c>
      <c r="D618" t="str">
        <f>VLOOKUP(Tabel1[[#This Row],[personeelsnr]],'data hastus'!$A:$C,3,0)</f>
        <v>Husam</v>
      </c>
      <c r="E618" t="str">
        <f>VLOOKUP(Tabel1[[#This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SUM(Tabel1[[#This Row],[Januari]:[December]])</f>
        <v>1</v>
      </c>
      <c r="T618" s="3">
        <v>45733</v>
      </c>
      <c r="U618" s="8" t="s">
        <v>1045</v>
      </c>
      <c r="V618" s="8"/>
      <c r="W618" s="8">
        <v>1</v>
      </c>
      <c r="X618" t="s">
        <v>207</v>
      </c>
      <c r="Y618" t="s">
        <v>217</v>
      </c>
    </row>
    <row r="619" spans="1:25" x14ac:dyDescent="0.3">
      <c r="A619">
        <v>41064</v>
      </c>
      <c r="B619" t="str">
        <f>_xlfn.CONCAT(Tabel1[[#This Row],[personeelsnr]]," ",C619," ",D619)</f>
        <v>41064 Ardic Atilla</v>
      </c>
      <c r="C619" t="str">
        <f>VLOOKUP(Tabel1[[#This Row],[personeelsnr]],'data hastus'!$A:$C,2,0)</f>
        <v>Ardic</v>
      </c>
      <c r="D619" t="str">
        <f>VLOOKUP(Tabel1[[#This Row],[personeelsnr]],'data hastus'!$A:$C,3,0)</f>
        <v>Atilla</v>
      </c>
      <c r="E619" t="str">
        <f>VLOOKUP(Tabel1[[#This Row],[personeelsnr]],'data hastus'!A:K,11,FALSE)</f>
        <v>Dominique De Clercq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SUM(Tabel1[[#This Row],[Januari]:[December]])</f>
        <v>1</v>
      </c>
      <c r="T619" s="3">
        <v>45734</v>
      </c>
      <c r="U619" s="8" t="s">
        <v>1046</v>
      </c>
      <c r="V619" s="8">
        <v>1</v>
      </c>
      <c r="W619" s="8"/>
      <c r="X619" t="s">
        <v>206</v>
      </c>
      <c r="Y619" t="s">
        <v>167</v>
      </c>
    </row>
    <row r="620" spans="1:25" x14ac:dyDescent="0.3">
      <c r="A620">
        <v>41012</v>
      </c>
      <c r="B620" t="str">
        <f>_xlfn.CONCAT(Tabel1[[#This Row],[personeelsnr]]," ",C620," ",D620)</f>
        <v>41012 Natad Younes</v>
      </c>
      <c r="C620" t="str">
        <f>VLOOKUP(Tabel1[[#This Row],[personeelsnr]],'data hastus'!$A:$C,2,0)</f>
        <v>Natad</v>
      </c>
      <c r="D620" t="str">
        <f>VLOOKUP(Tabel1[[#This Row],[personeelsnr]],'data hastus'!$A:$C,3,0)</f>
        <v>Younes</v>
      </c>
      <c r="E620" t="str">
        <f>VLOOKUP(Tabel1[[#This Row],[personeelsnr]],'data hastus'!A:K,11,FALSE)</f>
        <v>Els Vanhoe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SUM(Tabel1[[#This Row],[Januari]:[December]])</f>
        <v>1</v>
      </c>
      <c r="T620" s="3">
        <v>45734</v>
      </c>
      <c r="U620" s="8" t="s">
        <v>1047</v>
      </c>
      <c r="V620" s="8">
        <v>1</v>
      </c>
      <c r="W620" s="8"/>
      <c r="X620" t="s">
        <v>206</v>
      </c>
      <c r="Y620" t="s">
        <v>173</v>
      </c>
    </row>
    <row r="621" spans="1:25" x14ac:dyDescent="0.3">
      <c r="A621">
        <v>41092</v>
      </c>
      <c r="B621" t="str">
        <f>_xlfn.CONCAT(Tabel1[[#This Row],[personeelsnr]]," ",C621," ",D621)</f>
        <v>41092 De Keyser Dorien</v>
      </c>
      <c r="C621" t="str">
        <f>VLOOKUP(Tabel1[[#This Row],[personeelsnr]],'data hastus'!$A:$C,2,0)</f>
        <v>De Keyser</v>
      </c>
      <c r="D621" t="str">
        <f>VLOOKUP(Tabel1[[#This Row],[personeelsnr]],'data hastus'!$A:$C,3,0)</f>
        <v>Dorien</v>
      </c>
      <c r="E621" t="str">
        <f>VLOOKUP(Tabel1[[#This Row],[personeelsnr]],'data hastus'!A:K,11,FALSE)</f>
        <v>Dominique De Clercq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SUM(Tabel1[[#This Row],[Januari]:[December]])</f>
        <v>1</v>
      </c>
      <c r="T621" s="3">
        <v>45734</v>
      </c>
      <c r="U621" s="8" t="s">
        <v>1048</v>
      </c>
      <c r="V621" s="8">
        <v>1</v>
      </c>
      <c r="W621" s="8"/>
      <c r="X621" t="s">
        <v>206</v>
      </c>
      <c r="Y621" t="s">
        <v>292</v>
      </c>
    </row>
    <row r="622" spans="1:25" x14ac:dyDescent="0.3">
      <c r="A622">
        <v>35246</v>
      </c>
      <c r="B622" t="str">
        <f>_xlfn.CONCAT(Tabel1[[#This Row],[personeelsnr]]," ",C622," ",D622)</f>
        <v>35246 De Meyer Karel</v>
      </c>
      <c r="C622" t="str">
        <f>VLOOKUP(Tabel1[[#This Row],[personeelsnr]],'data hastus'!$A:$C,2,0)</f>
        <v>De Meyer</v>
      </c>
      <c r="D622" t="str">
        <f>VLOOKUP(Tabel1[[#This Row],[personeelsnr]],'data hastus'!$A:$C,3,0)</f>
        <v>Karel</v>
      </c>
      <c r="E622" t="str">
        <f>VLOOKUP(Tabel1[[#This Row],[personeelsnr]],'data hastus'!A:K,11,FALSE)</f>
        <v>Els Vanhoe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SUM(Tabel1[[#This Row],[Januari]:[December]])</f>
        <v>1</v>
      </c>
      <c r="T622" s="3">
        <v>45734</v>
      </c>
      <c r="U622" s="8" t="s">
        <v>1049</v>
      </c>
      <c r="V622" s="8">
        <v>1</v>
      </c>
      <c r="W622" s="8"/>
      <c r="X622" t="s">
        <v>206</v>
      </c>
      <c r="Y622" t="s">
        <v>244</v>
      </c>
    </row>
    <row r="623" spans="1:25" x14ac:dyDescent="0.3">
      <c r="A623">
        <v>35450</v>
      </c>
      <c r="B623" t="str">
        <f>_xlfn.CONCAT(Tabel1[[#This Row],[personeelsnr]]," ",C623," ",D623)</f>
        <v>35450 Roos Hugo</v>
      </c>
      <c r="C623" t="str">
        <f>VLOOKUP(Tabel1[[#This Row],[personeelsnr]],'data hastus'!$A:$C,2,0)</f>
        <v>Roos</v>
      </c>
      <c r="D623" t="str">
        <f>VLOOKUP(Tabel1[[#This Row],[personeelsnr]],'data hastus'!$A:$C,3,0)</f>
        <v>Hugo</v>
      </c>
      <c r="E623" t="str">
        <f>VLOOKUP(Tabel1[[#This Row],[personeelsnr]],'data hastus'!A:K,11,FALSE)</f>
        <v>Els Dewulf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SUM(Tabel1[[#This Row],[Januari]:[December]])</f>
        <v>1</v>
      </c>
      <c r="T623" s="3">
        <v>45735</v>
      </c>
      <c r="U623" s="8" t="s">
        <v>1050</v>
      </c>
      <c r="V623" s="8">
        <v>1</v>
      </c>
      <c r="W623" s="8"/>
      <c r="X623" t="s">
        <v>206</v>
      </c>
      <c r="Y623" t="s">
        <v>316</v>
      </c>
    </row>
    <row r="624" spans="1:25" x14ac:dyDescent="0.3">
      <c r="A624">
        <v>35216</v>
      </c>
      <c r="B624" t="str">
        <f>_xlfn.CONCAT(Tabel1[[#This Row],[personeelsnr]]," ",C624," ",D624)</f>
        <v>35216 Coban Mehmet</v>
      </c>
      <c r="C624" t="str">
        <f>VLOOKUP(Tabel1[[#This Row],[personeelsnr]],'data hastus'!$A:$C,2,0)</f>
        <v>Coban</v>
      </c>
      <c r="D624" t="str">
        <f>VLOOKUP(Tabel1[[#This Row],[personeelsnr]],'data hastus'!$A:$C,3,0)</f>
        <v>Mehmet</v>
      </c>
      <c r="E624" t="str">
        <f>VLOOKUP(Tabel1[[#This Row],[personeelsnr]],'data hastus'!A:K,11,FALSE)</f>
        <v>Lucie Vande Velde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SUM(Tabel1[[#This Row],[Januari]:[December]])</f>
        <v>1</v>
      </c>
      <c r="T624" s="3">
        <v>45735</v>
      </c>
      <c r="U624" s="8" t="s">
        <v>1051</v>
      </c>
      <c r="V624" s="8">
        <v>1</v>
      </c>
      <c r="W624" s="8"/>
      <c r="X624" t="s">
        <v>206</v>
      </c>
      <c r="Y624" t="s">
        <v>331</v>
      </c>
    </row>
    <row r="625" spans="1:25" x14ac:dyDescent="0.3">
      <c r="A625">
        <v>41520</v>
      </c>
      <c r="B625" t="str">
        <f>_xlfn.CONCAT(Tabel1[[#This Row],[personeelsnr]]," ",C625," ",D625)</f>
        <v>41520 Smets Avery</v>
      </c>
      <c r="C625" t="str">
        <f>VLOOKUP(Tabel1[[#This Row],[personeelsnr]],'data hastus'!$A:$C,2,0)</f>
        <v>Smets</v>
      </c>
      <c r="D625" t="str">
        <f>VLOOKUP(Tabel1[[#This Row],[personeelsnr]],'data hastus'!$A:$C,3,0)</f>
        <v>Avery</v>
      </c>
      <c r="E625" t="str">
        <f>VLOOKUP(Tabel1[[#This Row],[personeelsnr]],'data hastus'!A:K,11,FALSE)</f>
        <v>Christoff Rotty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SUM(Tabel1[[#This Row],[Januari]:[December]])</f>
        <v>1</v>
      </c>
      <c r="T625" s="3">
        <v>45736</v>
      </c>
      <c r="U625" s="8" t="s">
        <v>1052</v>
      </c>
      <c r="V625" s="8">
        <v>1</v>
      </c>
      <c r="W625" s="8"/>
      <c r="X625" t="s">
        <v>206</v>
      </c>
      <c r="Y625" t="s">
        <v>332</v>
      </c>
    </row>
    <row r="626" spans="1:25" x14ac:dyDescent="0.3">
      <c r="A626">
        <v>32611</v>
      </c>
      <c r="B626" t="str">
        <f>_xlfn.CONCAT(Tabel1[[#This Row],[personeelsnr]]," ",C626," ",D626)</f>
        <v>32611 Özer Özgur</v>
      </c>
      <c r="C626" t="str">
        <f>VLOOKUP(Tabel1[[#This Row],[personeelsnr]],'data hastus'!$A:$C,2,0)</f>
        <v>Özer</v>
      </c>
      <c r="D626" t="str">
        <f>VLOOKUP(Tabel1[[#This Row],[personeelsnr]],'data hastus'!$A:$C,3,0)</f>
        <v>Özgur</v>
      </c>
      <c r="E626" t="str">
        <f>VLOOKUP(Tabel1[[#This Row],[personeelsnr]],'data hastus'!A:K,11,FALSE)</f>
        <v>Kenneth De Rick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SUM(Tabel1[[#This Row],[Januari]:[December]])</f>
        <v>1</v>
      </c>
      <c r="T626" s="3">
        <v>45737</v>
      </c>
      <c r="U626" s="8" t="s">
        <v>1053</v>
      </c>
      <c r="V626" s="8">
        <v>1</v>
      </c>
      <c r="W626" s="8"/>
      <c r="X626" t="s">
        <v>206</v>
      </c>
      <c r="Y626" t="s">
        <v>237</v>
      </c>
    </row>
    <row r="627" spans="1:25" x14ac:dyDescent="0.3">
      <c r="A627">
        <v>37809</v>
      </c>
      <c r="B627" t="str">
        <f>_xlfn.CONCAT(Tabel1[[#This Row],[personeelsnr]]," ",C627," ",D627)</f>
        <v>37809 Sturtewagen Kenny</v>
      </c>
      <c r="C627" t="str">
        <f>VLOOKUP(Tabel1[[#This Row],[personeelsnr]],'data hastus'!$A:$C,2,0)</f>
        <v>Sturtewagen</v>
      </c>
      <c r="D627" t="str">
        <f>VLOOKUP(Tabel1[[#This Row],[personeelsnr]],'data hastus'!$A:$C,3,0)</f>
        <v>Kenny</v>
      </c>
      <c r="E627" t="str">
        <f>VLOOKUP(Tabel1[[#This Row],[personeelsnr]],'data hastus'!A:K,11,FALSE)</f>
        <v>Steven Storm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SUM(Tabel1[[#This Row],[Januari]:[December]])</f>
        <v>1</v>
      </c>
      <c r="T627" s="3">
        <v>45740</v>
      </c>
      <c r="U627" s="8" t="s">
        <v>1054</v>
      </c>
      <c r="V627" s="8">
        <v>1</v>
      </c>
      <c r="W627" s="8"/>
      <c r="X627" t="s">
        <v>206</v>
      </c>
      <c r="Y627" t="s">
        <v>175</v>
      </c>
    </row>
    <row r="628" spans="1:25" x14ac:dyDescent="0.3">
      <c r="A628">
        <v>38580</v>
      </c>
      <c r="B628" t="str">
        <f>_xlfn.CONCAT(Tabel1[[#This Row],[personeelsnr]]," ",C628," ",D628)</f>
        <v>38580 Smajla Samet</v>
      </c>
      <c r="C628" t="str">
        <f>VLOOKUP(Tabel1[[#This Row],[personeelsnr]],'data hastus'!$A:$C,2,0)</f>
        <v>Smajla</v>
      </c>
      <c r="D628" t="str">
        <f>VLOOKUP(Tabel1[[#This Row],[personeelsnr]],'data hastus'!$A:$C,3,0)</f>
        <v>Samet</v>
      </c>
      <c r="E628" t="str">
        <f>VLOOKUP(Tabel1[[#This Row],[personeelsnr]],'data hastus'!A:K,11,FALSE)</f>
        <v>Els Dewulf</v>
      </c>
      <c r="F628" s="10"/>
      <c r="G628" s="6"/>
      <c r="H628" s="6"/>
      <c r="I628" s="6">
        <v>1</v>
      </c>
      <c r="J628"/>
      <c r="K628"/>
      <c r="L628"/>
      <c r="M628"/>
      <c r="N628"/>
      <c r="O628"/>
      <c r="P628"/>
      <c r="Q628"/>
      <c r="R628"/>
      <c r="S628">
        <f>SUM(Tabel1[[#This Row],[Januari]:[December]])</f>
        <v>1</v>
      </c>
      <c r="T628" s="3">
        <v>45742</v>
      </c>
      <c r="U628" s="8" t="s">
        <v>1055</v>
      </c>
      <c r="V628" s="8">
        <v>1</v>
      </c>
      <c r="W628" s="8"/>
      <c r="X628" t="s">
        <v>206</v>
      </c>
      <c r="Y628" t="s">
        <v>213</v>
      </c>
    </row>
    <row r="629" spans="1:25" x14ac:dyDescent="0.3">
      <c r="A629">
        <v>37179</v>
      </c>
      <c r="B629" t="str">
        <f>_xlfn.CONCAT(Tabel1[[#This Row],[personeelsnr]]," ",C629," ",D629)</f>
        <v>37179 Bashir Muhammad Salman</v>
      </c>
      <c r="C629" t="str">
        <f>VLOOKUP(Tabel1[[#This Row],[personeelsnr]],'data hastus'!$A:$C,2,0)</f>
        <v>Bashir</v>
      </c>
      <c r="D629" t="str">
        <f>VLOOKUP(Tabel1[[#This Row],[personeelsnr]],'data hastus'!$A:$C,3,0)</f>
        <v>Muhammad Salman</v>
      </c>
      <c r="E629" t="str">
        <f>VLOOKUP(Tabel1[[#This Row],[personeelsnr]],'data hastus'!A:K,11,FALSE)</f>
        <v>Bart Van Der Beken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SUM(Tabel1[[#This Row],[Januari]:[December]])</f>
        <v>1</v>
      </c>
      <c r="T629" s="3">
        <v>45742</v>
      </c>
      <c r="U629" s="8" t="s">
        <v>1056</v>
      </c>
      <c r="V629" s="8">
        <v>1</v>
      </c>
      <c r="W629" s="8"/>
      <c r="X629" t="s">
        <v>206</v>
      </c>
      <c r="Y629" t="s">
        <v>202</v>
      </c>
    </row>
    <row r="630" spans="1:25" x14ac:dyDescent="0.3">
      <c r="A630">
        <v>31118</v>
      </c>
      <c r="B630" t="str">
        <f>_xlfn.CONCAT(Tabel1[[#This Row],[personeelsnr]]," ",C630," ",D630)</f>
        <v>31118 De Sutter Michiel</v>
      </c>
      <c r="C630" t="str">
        <f>VLOOKUP(Tabel1[[#This Row],[personeelsnr]],'data hastus'!$A:$C,2,0)</f>
        <v>De Sutter</v>
      </c>
      <c r="D630" t="str">
        <f>VLOOKUP(Tabel1[[#This Row],[personeelsnr]],'data hastus'!$A:$C,3,0)</f>
        <v>Michiel</v>
      </c>
      <c r="E630" t="str">
        <f>VLOOKUP(Tabel1[[#This Row],[personeelsnr]],'data hastus'!A:K,11,FALSE)</f>
        <v>Els Dewulf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SUM(Tabel1[[#This Row],[Januari]:[December]])</f>
        <v>1</v>
      </c>
      <c r="T630" s="3">
        <v>45743</v>
      </c>
      <c r="U630" s="8" t="s">
        <v>1057</v>
      </c>
      <c r="V630" s="8">
        <v>1</v>
      </c>
      <c r="W630" s="8"/>
      <c r="X630" t="s">
        <v>206</v>
      </c>
      <c r="Y630" t="s">
        <v>522</v>
      </c>
    </row>
    <row r="631" spans="1:25" x14ac:dyDescent="0.3">
      <c r="A631">
        <v>39581</v>
      </c>
      <c r="B631" t="str">
        <f>_xlfn.CONCAT(Tabel1[[#This Row],[personeelsnr]]," ",C631," ",D631)</f>
        <v>39581 Vandenhaute Linus</v>
      </c>
      <c r="C631" t="str">
        <f>VLOOKUP(Tabel1[[#This Row],[personeelsnr]],'data hastus'!$A:$C,2,0)</f>
        <v>Vandenhaute</v>
      </c>
      <c r="D631" t="str">
        <f>VLOOKUP(Tabel1[[#This Row],[personeelsnr]],'data hastus'!$A:$C,3,0)</f>
        <v>Linus</v>
      </c>
      <c r="E631" t="str">
        <f>VLOOKUP(Tabel1[[#This Row],[personeelsnr]],'data hastus'!A:K,11,FALSE)</f>
        <v>Els Dewulf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SUM(Tabel1[[#This Row],[Januari]:[December]])</f>
        <v>1</v>
      </c>
      <c r="T631" s="3">
        <v>45744</v>
      </c>
      <c r="U631" s="8" t="s">
        <v>1058</v>
      </c>
      <c r="V631" s="8">
        <v>1</v>
      </c>
      <c r="W631" s="8"/>
      <c r="X631" t="s">
        <v>206</v>
      </c>
      <c r="Y631" t="s">
        <v>202</v>
      </c>
    </row>
    <row r="632" spans="1:25" x14ac:dyDescent="0.3">
      <c r="A632">
        <v>39581</v>
      </c>
      <c r="B632" t="str">
        <f>_xlfn.CONCAT(Tabel1[[#This Row],[personeelsnr]]," ",C632," ",D632)</f>
        <v>39581 Vandenhaute Linus</v>
      </c>
      <c r="C632" t="str">
        <f>VLOOKUP(Tabel1[[#This Row],[personeelsnr]],'data hastus'!$A:$C,2,0)</f>
        <v>Vandenhaute</v>
      </c>
      <c r="D632" t="str">
        <f>VLOOKUP(Tabel1[[#This Row],[personeelsnr]],'data hastus'!$A:$C,3,0)</f>
        <v>Linus</v>
      </c>
      <c r="E632" t="str">
        <f>VLOOKUP(Tabel1[[#This Row],[personeelsnr]],'data hastus'!A:K,11,FALSE)</f>
        <v>Els Dewulf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SUM(Tabel1[[#This Row],[Januari]:[December]])</f>
        <v>1</v>
      </c>
      <c r="T632" s="3">
        <v>45744</v>
      </c>
      <c r="U632" s="8" t="s">
        <v>1059</v>
      </c>
      <c r="V632" s="8">
        <v>1</v>
      </c>
      <c r="W632" s="8"/>
      <c r="X632" t="s">
        <v>206</v>
      </c>
      <c r="Y632" t="s">
        <v>202</v>
      </c>
    </row>
    <row r="633" spans="1:25" x14ac:dyDescent="0.3">
      <c r="A633">
        <v>36569</v>
      </c>
      <c r="B633" t="str">
        <f>_xlfn.CONCAT(Tabel1[[#This Row],[personeelsnr]]," ",C633," ",D633)</f>
        <v>36569 Stroobandt Jonas</v>
      </c>
      <c r="C633" t="str">
        <f>VLOOKUP(Tabel1[[#This Row],[personeelsnr]],'data hastus'!$A:$C,2,0)</f>
        <v>Stroobandt</v>
      </c>
      <c r="D633" t="str">
        <f>VLOOKUP(Tabel1[[#This Row],[personeelsnr]],'data hastus'!$A:$C,3,0)</f>
        <v>Jonas</v>
      </c>
      <c r="E633" t="str">
        <f>VLOOKUP(Tabel1[[#This Row],[personeelsnr]],'data hastus'!A:K,11,FALSE)</f>
        <v>Els Vanhoe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SUM(Tabel1[[#This Row],[Januari]:[December]])</f>
        <v>1</v>
      </c>
      <c r="T633" s="3">
        <v>45744</v>
      </c>
      <c r="U633" s="8" t="s">
        <v>1060</v>
      </c>
      <c r="V633" s="8">
        <v>1</v>
      </c>
      <c r="W633" s="8"/>
      <c r="X633" t="s">
        <v>206</v>
      </c>
      <c r="Y633" t="s">
        <v>301</v>
      </c>
    </row>
    <row r="634" spans="1:25" x14ac:dyDescent="0.3">
      <c r="A634">
        <v>36358</v>
      </c>
      <c r="B634" t="str">
        <f>_xlfn.CONCAT(Tabel1[[#This Row],[personeelsnr]]," ",C634," ",D634)</f>
        <v>36358 De Nys Elise</v>
      </c>
      <c r="C634" t="str">
        <f>VLOOKUP(Tabel1[[#This Row],[personeelsnr]],'data hastus'!$A:$C,2,0)</f>
        <v>De Nys</v>
      </c>
      <c r="D634" t="str">
        <f>VLOOKUP(Tabel1[[#This Row],[personeelsnr]],'data hastus'!$A:$C,3,0)</f>
        <v>Elise</v>
      </c>
      <c r="E634" t="str">
        <f>VLOOKUP(Tabel1[[#This Row],[personeelsnr]],'data hastus'!A:K,11,FALSE)</f>
        <v>Els Dewulf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SUM(Tabel1[[#This Row],[Januari]:[December]])</f>
        <v>1</v>
      </c>
      <c r="T634" s="3">
        <v>45744</v>
      </c>
      <c r="U634" s="8" t="s">
        <v>1061</v>
      </c>
      <c r="V634" s="8"/>
      <c r="W634" s="8">
        <v>1</v>
      </c>
      <c r="X634" t="s">
        <v>207</v>
      </c>
      <c r="Y634" t="s">
        <v>252</v>
      </c>
    </row>
    <row r="635" spans="1:25" x14ac:dyDescent="0.3">
      <c r="A635">
        <v>31668</v>
      </c>
      <c r="B635" t="str">
        <f>_xlfn.CONCAT(Tabel1[[#This Row],[personeelsnr]]," ",C635," ",D635)</f>
        <v>31668 Weemhof Maurice</v>
      </c>
      <c r="C635" t="str">
        <f>VLOOKUP(Tabel1[[#This Row],[personeelsnr]],'data hastus'!$A:$C,2,0)</f>
        <v>Weemhof</v>
      </c>
      <c r="D635" t="str">
        <f>VLOOKUP(Tabel1[[#This Row],[personeelsnr]],'data hastus'!$A:$C,3,0)</f>
        <v>Maurice</v>
      </c>
      <c r="E635" t="str">
        <f>VLOOKUP(Tabel1[[#This Row],[personeelsnr]],'data hastus'!A:K,11,FALSE)</f>
        <v>Dominique De Clercq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SUM(Tabel1[[#This Row],[Januari]:[December]])</f>
        <v>1</v>
      </c>
      <c r="T635" s="3">
        <v>45745</v>
      </c>
      <c r="U635" s="8" t="s">
        <v>1062</v>
      </c>
      <c r="V635" s="8">
        <v>1</v>
      </c>
      <c r="W635" s="8"/>
      <c r="X635" t="s">
        <v>206</v>
      </c>
      <c r="Y635" t="s">
        <v>167</v>
      </c>
    </row>
    <row r="636" spans="1:25" x14ac:dyDescent="0.3">
      <c r="A636">
        <v>17566</v>
      </c>
      <c r="B636" t="str">
        <f>_xlfn.CONCAT(Tabel1[[#This Row],[personeelsnr]]," ",C636," ",D636)</f>
        <v>17566 Praet Reginald</v>
      </c>
      <c r="C636" t="str">
        <f>VLOOKUP(Tabel1[[#This Row],[personeelsnr]],'data hastus'!$A:$C,2,0)</f>
        <v>Praet</v>
      </c>
      <c r="D636" t="str">
        <f>VLOOKUP(Tabel1[[#This Row],[personeelsnr]],'data hastus'!$A:$C,3,0)</f>
        <v>Reginald</v>
      </c>
      <c r="E636" t="str">
        <f>VLOOKUP(Tabel1[[#This Row],[personeelsnr]],'data hastus'!A:K,11,FALSE)</f>
        <v>Bart Van Der Beken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SUM(Tabel1[[#This Row],[Januari]:[December]])</f>
        <v>1</v>
      </c>
      <c r="T636" s="3">
        <v>45749</v>
      </c>
      <c r="U636" s="8" t="s">
        <v>1063</v>
      </c>
      <c r="V636" s="8"/>
      <c r="W636" s="8">
        <v>1</v>
      </c>
      <c r="X636" t="s">
        <v>207</v>
      </c>
      <c r="Y636" t="s">
        <v>174</v>
      </c>
    </row>
    <row r="637" spans="1:25" x14ac:dyDescent="0.3">
      <c r="A637">
        <v>32620</v>
      </c>
      <c r="B637" t="str">
        <f>_xlfn.CONCAT(Tabel1[[#This Row],[personeelsnr]]," ",C637," ",D637)</f>
        <v>32620 Saey Elias</v>
      </c>
      <c r="C637" t="str">
        <f>VLOOKUP(Tabel1[[#This Row],[personeelsnr]],'data hastus'!$A:$C,2,0)</f>
        <v>Saey</v>
      </c>
      <c r="D637" t="str">
        <f>VLOOKUP(Tabel1[[#This Row],[personeelsnr]],'data hastus'!$A:$C,3,0)</f>
        <v>Elias</v>
      </c>
      <c r="E637" t="str">
        <f>VLOOKUP(Tabel1[[#This Row],[personeelsnr]],'data hastus'!A:K,11,FALSE)</f>
        <v>Els Vanhoe</v>
      </c>
      <c r="F637" s="10"/>
      <c r="G637" s="6"/>
      <c r="H637" s="6"/>
      <c r="I637" s="6"/>
      <c r="J637">
        <v>1</v>
      </c>
      <c r="K637"/>
      <c r="L637"/>
      <c r="M637"/>
      <c r="N637"/>
      <c r="O637"/>
      <c r="P637"/>
      <c r="Q637"/>
      <c r="R637"/>
      <c r="S637">
        <f>SUM(Tabel1[[#This Row],[Januari]:[December]])</f>
        <v>1</v>
      </c>
      <c r="T637" s="3">
        <v>45749</v>
      </c>
      <c r="U637" s="8" t="s">
        <v>1064</v>
      </c>
      <c r="V637" s="8"/>
      <c r="W637" s="8">
        <v>1</v>
      </c>
      <c r="X637" t="s">
        <v>207</v>
      </c>
      <c r="Y637" t="s">
        <v>201</v>
      </c>
    </row>
    <row r="638" spans="1:25" x14ac:dyDescent="0.3">
      <c r="A638">
        <v>38807</v>
      </c>
      <c r="B638" t="str">
        <f>_xlfn.CONCAT(Tabel1[[#This Row],[personeelsnr]]," ",C638," ",D638)</f>
        <v>38807 Dossche Caroline</v>
      </c>
      <c r="C638" t="str">
        <f>VLOOKUP(Tabel1[[#This Row],[personeelsnr]],'data hastus'!$A:$C,2,0)</f>
        <v>Dossche</v>
      </c>
      <c r="D638" t="str">
        <f>VLOOKUP(Tabel1[[#This Row],[personeelsnr]],'data hastus'!$A:$C,3,0)</f>
        <v>Caroline</v>
      </c>
      <c r="E638" t="str">
        <f>VLOOKUP(Tabel1[[#This Row],[personeelsnr]],'data hastus'!A:K,11,FALSE)</f>
        <v>Christoff Rotty</v>
      </c>
      <c r="F638" s="10"/>
      <c r="G638" s="6"/>
      <c r="H638" s="6"/>
      <c r="I638" s="6"/>
      <c r="J638">
        <v>1</v>
      </c>
      <c r="K638"/>
      <c r="L638"/>
      <c r="M638"/>
      <c r="N638"/>
      <c r="O638"/>
      <c r="P638"/>
      <c r="Q638"/>
      <c r="R638"/>
      <c r="S638">
        <f>SUM(Tabel1[[#This Row],[Januari]:[December]])</f>
        <v>1</v>
      </c>
      <c r="T638" s="3">
        <v>45750</v>
      </c>
      <c r="U638" s="8" t="s">
        <v>1065</v>
      </c>
      <c r="V638" s="8">
        <v>1</v>
      </c>
      <c r="W638" s="8"/>
      <c r="X638" t="s">
        <v>206</v>
      </c>
      <c r="Y638" t="s">
        <v>210</v>
      </c>
    </row>
    <row r="639" spans="1:25" x14ac:dyDescent="0.3">
      <c r="A639">
        <v>40939</v>
      </c>
      <c r="B639" t="str">
        <f>_xlfn.CONCAT(Tabel1[[#This Row],[personeelsnr]]," ",C639," ",D639)</f>
        <v>40939 Cisse Sayon</v>
      </c>
      <c r="C639" t="str">
        <f>VLOOKUP(Tabel1[[#This Row],[personeelsnr]],'data hastus'!$A:$C,2,0)</f>
        <v>Cisse</v>
      </c>
      <c r="D639" t="str">
        <f>VLOOKUP(Tabel1[[#This Row],[personeelsnr]],'data hastus'!$A:$C,3,0)</f>
        <v>Sayon</v>
      </c>
      <c r="E639" t="str">
        <f>VLOOKUP(Tabel1[[#This Row],[personeelsnr]],'data hastus'!A:K,11,FALSE)</f>
        <v>Kenneth De Rick</v>
      </c>
      <c r="F639" s="10"/>
      <c r="G639" s="6"/>
      <c r="H639" s="6"/>
      <c r="I639" s="6"/>
      <c r="J639">
        <v>1</v>
      </c>
      <c r="K639"/>
      <c r="L639"/>
      <c r="M639"/>
      <c r="N639"/>
      <c r="O639"/>
      <c r="P639"/>
      <c r="Q639"/>
      <c r="R639"/>
      <c r="S639">
        <f>SUM(Tabel1[[#This Row],[Januari]:[December]])</f>
        <v>1</v>
      </c>
      <c r="T639" s="3">
        <v>45751</v>
      </c>
      <c r="U639" s="8" t="s">
        <v>1066</v>
      </c>
      <c r="V639" s="8">
        <v>1</v>
      </c>
      <c r="W639" s="8"/>
      <c r="X639" t="s">
        <v>206</v>
      </c>
      <c r="Y639" t="s">
        <v>194</v>
      </c>
    </row>
    <row r="640" spans="1:25" x14ac:dyDescent="0.3">
      <c r="A640">
        <v>32951</v>
      </c>
      <c r="B640" t="str">
        <f>_xlfn.CONCAT(Tabel1[[#This Row],[personeelsnr]]," ",C640," ",D640)</f>
        <v>32951 De Bruyne Sonia</v>
      </c>
      <c r="C640" t="str">
        <f>VLOOKUP(Tabel1[[#This Row],[personeelsnr]],'data hastus'!$A:$C,2,0)</f>
        <v>De Bruyne</v>
      </c>
      <c r="D640" t="str">
        <f>VLOOKUP(Tabel1[[#This Row],[personeelsnr]],'data hastus'!$A:$C,3,0)</f>
        <v>Sonia</v>
      </c>
      <c r="E640" t="str">
        <f>VLOOKUP(Tabel1[[#This Row],[personeelsnr]],'data hastus'!A:K,11,FALSE)</f>
        <v>Lucie Vande Velde</v>
      </c>
      <c r="F640" s="10"/>
      <c r="G640" s="6"/>
      <c r="H640" s="6"/>
      <c r="I640" s="6"/>
      <c r="J640">
        <v>1</v>
      </c>
      <c r="K640"/>
      <c r="L640"/>
      <c r="M640"/>
      <c r="N640"/>
      <c r="O640"/>
      <c r="P640"/>
      <c r="Q640"/>
      <c r="R640"/>
      <c r="S640">
        <f>SUM(Tabel1[[#This Row],[Januari]:[December]])</f>
        <v>1</v>
      </c>
      <c r="T640" s="3">
        <v>45751</v>
      </c>
      <c r="U640" s="8" t="s">
        <v>1067</v>
      </c>
      <c r="V640" s="8">
        <v>1</v>
      </c>
      <c r="W640" s="8"/>
      <c r="X640" t="s">
        <v>206</v>
      </c>
      <c r="Y640" t="s">
        <v>194</v>
      </c>
    </row>
    <row r="641" spans="1:25" x14ac:dyDescent="0.3">
      <c r="A641">
        <v>41092</v>
      </c>
      <c r="B641" t="str">
        <f>_xlfn.CONCAT(Tabel1[[#This Row],[personeelsnr]]," ",C641," ",D641)</f>
        <v>41092 De Keyser Dorien</v>
      </c>
      <c r="C641" t="str">
        <f>VLOOKUP(Tabel1[[#This Row],[personeelsnr]],'data hastus'!$A:$C,2,0)</f>
        <v>De Keyser</v>
      </c>
      <c r="D641" t="str">
        <f>VLOOKUP(Tabel1[[#This Row],[personeelsnr]],'data hastus'!$A:$C,3,0)</f>
        <v>Dorien</v>
      </c>
      <c r="E641" t="str">
        <f>VLOOKUP(Tabel1[[#This Row],[personeelsnr]],'data hastus'!A:K,11,FALSE)</f>
        <v>Dominique De Clercq</v>
      </c>
      <c r="F641" s="10"/>
      <c r="G641" s="6"/>
      <c r="H641" s="6"/>
      <c r="I641" s="6"/>
      <c r="J641">
        <v>1</v>
      </c>
      <c r="K641"/>
      <c r="L641"/>
      <c r="M641"/>
      <c r="N641"/>
      <c r="O641"/>
      <c r="P641"/>
      <c r="Q641"/>
      <c r="R641"/>
      <c r="S641">
        <f>SUM(Tabel1[[#This Row],[Januari]:[December]])</f>
        <v>1</v>
      </c>
      <c r="T641" s="3">
        <v>45754</v>
      </c>
      <c r="U641" s="8" t="s">
        <v>1068</v>
      </c>
      <c r="V641" s="8">
        <v>1</v>
      </c>
      <c r="W641" s="8"/>
      <c r="X641" t="s">
        <v>206</v>
      </c>
      <c r="Y641" t="s">
        <v>188</v>
      </c>
    </row>
    <row r="642" spans="1:25" x14ac:dyDescent="0.3">
      <c r="A642">
        <v>35619</v>
      </c>
      <c r="B642" t="str">
        <f>_xlfn.CONCAT(Tabel1[[#This Row],[personeelsnr]]," ",C642," ",D642)</f>
        <v>35619 El Mezroui Zouheir</v>
      </c>
      <c r="C642" t="str">
        <f>VLOOKUP(Tabel1[[#This Row],[personeelsnr]],'data hastus'!$A:$C,2,0)</f>
        <v>El Mezroui</v>
      </c>
      <c r="D642" t="str">
        <f>VLOOKUP(Tabel1[[#This Row],[personeelsnr]],'data hastus'!$A:$C,3,0)</f>
        <v>Zouheir</v>
      </c>
      <c r="E642" t="str">
        <f>VLOOKUP(Tabel1[[#This Row],[personeelsnr]],'data hastus'!A:K,11,FALSE)</f>
        <v>Steven Storm</v>
      </c>
      <c r="F642" s="10"/>
      <c r="G642" s="6"/>
      <c r="H642" s="6"/>
      <c r="I642" s="6"/>
      <c r="J642">
        <v>1</v>
      </c>
      <c r="K642"/>
      <c r="L642"/>
      <c r="M642"/>
      <c r="N642"/>
      <c r="O642"/>
      <c r="P642"/>
      <c r="Q642"/>
      <c r="R642"/>
      <c r="S642">
        <f>SUM(Tabel1[[#This Row],[Januari]:[December]])</f>
        <v>1</v>
      </c>
      <c r="T642" s="3">
        <v>45755</v>
      </c>
      <c r="U642" s="8" t="s">
        <v>1069</v>
      </c>
      <c r="V642" s="8"/>
      <c r="W642" s="8">
        <v>1</v>
      </c>
      <c r="X642" t="s">
        <v>207</v>
      </c>
      <c r="Y642" t="s">
        <v>219</v>
      </c>
    </row>
    <row r="643" spans="1:25" x14ac:dyDescent="0.3">
      <c r="A643">
        <v>39929</v>
      </c>
      <c r="B643" t="str">
        <f>_xlfn.CONCAT(Tabel1[[#This Row],[personeelsnr]]," ",C643," ",D643)</f>
        <v>39929 Staneva Mariyana</v>
      </c>
      <c r="C643" t="str">
        <f>VLOOKUP(Tabel1[[#This Row],[personeelsnr]],'data hastus'!$A:$C,2,0)</f>
        <v>Staneva</v>
      </c>
      <c r="D643" t="str">
        <f>VLOOKUP(Tabel1[[#This Row],[personeelsnr]],'data hastus'!$A:$C,3,0)</f>
        <v>Mariyana</v>
      </c>
      <c r="E643" t="str">
        <f>VLOOKUP(Tabel1[[#This Row],[personeelsnr]],'data hastus'!A:K,11,FALSE)</f>
        <v>Christoff Rotty</v>
      </c>
      <c r="F643" s="10"/>
      <c r="G643" s="6"/>
      <c r="H643" s="6"/>
      <c r="I643" s="6"/>
      <c r="J643">
        <v>1</v>
      </c>
      <c r="K643"/>
      <c r="L643"/>
      <c r="M643"/>
      <c r="N643"/>
      <c r="O643"/>
      <c r="P643"/>
      <c r="Q643"/>
      <c r="R643"/>
      <c r="S643">
        <f>SUM(Tabel1[[#This Row],[Januari]:[December]])</f>
        <v>1</v>
      </c>
      <c r="T643" s="3">
        <v>45756</v>
      </c>
      <c r="U643" s="8" t="s">
        <v>1070</v>
      </c>
      <c r="V643" s="8">
        <v>1</v>
      </c>
      <c r="W643" s="8"/>
      <c r="X643" t="s">
        <v>206</v>
      </c>
      <c r="Y643" t="s">
        <v>277</v>
      </c>
    </row>
    <row r="644" spans="1:25" x14ac:dyDescent="0.3">
      <c r="A644">
        <v>39358</v>
      </c>
      <c r="B644" t="str">
        <f>_xlfn.CONCAT(Tabel1[[#This Row],[personeelsnr]]," ",C644," ",D644)</f>
        <v>39358 Weeks Aracena Jimmy Alexander</v>
      </c>
      <c r="C644" t="str">
        <f>VLOOKUP(Tabel1[[#This Row],[personeelsnr]],'data hastus'!$A:$C,2,0)</f>
        <v>Weeks Aracena</v>
      </c>
      <c r="D644" t="str">
        <f>VLOOKUP(Tabel1[[#This Row],[personeelsnr]],'data hastus'!$A:$C,3,0)</f>
        <v>Jimmy Alexander</v>
      </c>
      <c r="E644" t="str">
        <f>VLOOKUP(Tabel1[[#This Row],[personeelsnr]],'data hastus'!A:K,11,FALSE)</f>
        <v>Christoff Rotty</v>
      </c>
      <c r="F644" s="10"/>
      <c r="G644" s="6"/>
      <c r="H644" s="6"/>
      <c r="I644" s="6"/>
      <c r="J644">
        <v>1</v>
      </c>
      <c r="K644"/>
      <c r="L644"/>
      <c r="M644"/>
      <c r="N644"/>
      <c r="O644"/>
      <c r="P644"/>
      <c r="Q644"/>
      <c r="R644"/>
      <c r="S644">
        <f>SUM(Tabel1[[#This Row],[Januari]:[December]])</f>
        <v>1</v>
      </c>
      <c r="T644" s="3">
        <v>45756</v>
      </c>
      <c r="U644" s="8" t="s">
        <v>1071</v>
      </c>
      <c r="V644" s="8">
        <v>1</v>
      </c>
      <c r="W644" s="8"/>
      <c r="X644" t="s">
        <v>206</v>
      </c>
      <c r="Y644" t="s">
        <v>173</v>
      </c>
    </row>
    <row r="645" spans="1:25" x14ac:dyDescent="0.3">
      <c r="A645">
        <v>38035</v>
      </c>
      <c r="B645" t="str">
        <f>_xlfn.CONCAT(Tabel1[[#This Row],[personeelsnr]]," ",C645," ",D645)</f>
        <v>38035 Simsek Isa</v>
      </c>
      <c r="C645" t="str">
        <f>VLOOKUP(Tabel1[[#This Row],[personeelsnr]],'data hastus'!$A:$C,2,0)</f>
        <v>Simsek</v>
      </c>
      <c r="D645" t="str">
        <f>VLOOKUP(Tabel1[[#This Row],[personeelsnr]],'data hastus'!$A:$C,3,0)</f>
        <v>Isa</v>
      </c>
      <c r="E645" t="str">
        <f>VLOOKUP(Tabel1[[#This Row],[personeelsnr]],'data hastus'!A:K,11,FALSE)</f>
        <v>Bart Van Der Beken</v>
      </c>
      <c r="F645" s="10"/>
      <c r="G645" s="6"/>
      <c r="H645" s="6"/>
      <c r="I645" s="6"/>
      <c r="J645">
        <v>1</v>
      </c>
      <c r="K645"/>
      <c r="L645"/>
      <c r="M645"/>
      <c r="N645"/>
      <c r="O645"/>
      <c r="P645"/>
      <c r="Q645"/>
      <c r="R645"/>
      <c r="S645">
        <f>SUM(Tabel1[[#This Row],[Januari]:[December]])</f>
        <v>1</v>
      </c>
      <c r="T645" s="3">
        <v>45756</v>
      </c>
      <c r="U645" s="8" t="s">
        <v>1072</v>
      </c>
      <c r="V645" s="8">
        <v>1</v>
      </c>
      <c r="W645" s="8"/>
      <c r="X645" t="s">
        <v>206</v>
      </c>
      <c r="Y645" t="s">
        <v>175</v>
      </c>
    </row>
    <row r="646" spans="1:25" x14ac:dyDescent="0.3">
      <c r="A646">
        <v>25679</v>
      </c>
      <c r="B646" t="str">
        <f>_xlfn.CONCAT(Tabel1[[#This Row],[personeelsnr]]," ",C646," ",D646)</f>
        <v>25679 Vanrenterghem Serge</v>
      </c>
      <c r="C646" t="str">
        <f>VLOOKUP(Tabel1[[#This Row],[personeelsnr]],'data hastus'!$A:$C,2,0)</f>
        <v>Vanrenterghem</v>
      </c>
      <c r="D646" t="str">
        <f>VLOOKUP(Tabel1[[#This Row],[personeelsnr]],'data hastus'!$A:$C,3,0)</f>
        <v>Serge</v>
      </c>
      <c r="E646" t="str">
        <f>VLOOKUP(Tabel1[[#This Row],[personeelsnr]],'data hastus'!A:K,11,FALSE)</f>
        <v>Christoff Rotty</v>
      </c>
      <c r="F646" s="10"/>
      <c r="G646" s="6"/>
      <c r="H646" s="6"/>
      <c r="I646" s="6"/>
      <c r="J646">
        <v>1</v>
      </c>
      <c r="K646"/>
      <c r="L646"/>
      <c r="M646"/>
      <c r="N646"/>
      <c r="O646"/>
      <c r="P646"/>
      <c r="Q646"/>
      <c r="R646"/>
      <c r="S646">
        <f>SUM(Tabel1[[#This Row],[Januari]:[December]])</f>
        <v>1</v>
      </c>
      <c r="T646" s="3">
        <v>45756</v>
      </c>
      <c r="U646" s="8" t="s">
        <v>1073</v>
      </c>
      <c r="V646" s="8"/>
      <c r="W646" s="8">
        <v>1</v>
      </c>
      <c r="X646" t="s">
        <v>207</v>
      </c>
      <c r="Y646" t="s">
        <v>168</v>
      </c>
    </row>
    <row r="647" spans="1:25" x14ac:dyDescent="0.3">
      <c r="A647">
        <v>34325</v>
      </c>
      <c r="B647" t="str">
        <f>_xlfn.CONCAT(Tabel1[[#This Row],[personeelsnr]]," ",C647," ",D647)</f>
        <v>34325 Eid Mathyn</v>
      </c>
      <c r="C647" t="str">
        <f>VLOOKUP(Tabel1[[#This Row],[personeelsnr]],'data hastus'!$A:$C,2,0)</f>
        <v>Eid</v>
      </c>
      <c r="D647" t="str">
        <f>VLOOKUP(Tabel1[[#This Row],[personeelsnr]],'data hastus'!$A:$C,3,0)</f>
        <v>Mathyn</v>
      </c>
      <c r="E647" t="str">
        <f>VLOOKUP(Tabel1[[#This Row],[personeelsnr]],'data hastus'!A:K,11,FALSE)</f>
        <v>Steven Storm</v>
      </c>
      <c r="F647" s="10"/>
      <c r="G647" s="6"/>
      <c r="H647" s="6"/>
      <c r="I647" s="6"/>
      <c r="J647">
        <v>1</v>
      </c>
      <c r="K647"/>
      <c r="L647"/>
      <c r="M647"/>
      <c r="N647"/>
      <c r="O647"/>
      <c r="P647"/>
      <c r="Q647"/>
      <c r="R647"/>
      <c r="S647">
        <f>SUM(Tabel1[[#This Row],[Januari]:[December]])</f>
        <v>1</v>
      </c>
      <c r="T647" s="3">
        <v>45757</v>
      </c>
      <c r="U647" s="8" t="s">
        <v>1074</v>
      </c>
      <c r="V647" s="8"/>
      <c r="W647" s="8">
        <v>1</v>
      </c>
      <c r="X647" t="s">
        <v>207</v>
      </c>
      <c r="Y647" t="s">
        <v>351</v>
      </c>
    </row>
    <row r="648" spans="1:25" x14ac:dyDescent="0.3">
      <c r="A648">
        <v>35645</v>
      </c>
      <c r="B648" t="str">
        <f>_xlfn.CONCAT(Tabel1[[#This Row],[personeelsnr]]," ",C648," ",D648)</f>
        <v>35645 Jalili Yaseeb</v>
      </c>
      <c r="C648" t="str">
        <f>VLOOKUP(Tabel1[[#This Row],[personeelsnr]],'data hastus'!$A:$C,2,0)</f>
        <v>Jalili</v>
      </c>
      <c r="D648" t="str">
        <f>VLOOKUP(Tabel1[[#This Row],[personeelsnr]],'data hastus'!$A:$C,3,0)</f>
        <v>Yaseeb</v>
      </c>
      <c r="E648" t="str">
        <f>VLOOKUP(Tabel1[[#This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SUM(Tabel1[[#This Row],[Januari]:[December]])</f>
        <v>1</v>
      </c>
      <c r="T648" s="3">
        <v>45758</v>
      </c>
      <c r="U648" s="8" t="s">
        <v>1075</v>
      </c>
      <c r="V648" s="8">
        <v>1</v>
      </c>
      <c r="W648" s="8"/>
      <c r="X648" t="s">
        <v>206</v>
      </c>
      <c r="Y648" t="s">
        <v>170</v>
      </c>
    </row>
    <row r="649" spans="1:25" x14ac:dyDescent="0.3">
      <c r="A649">
        <v>9158</v>
      </c>
      <c r="B649" t="str">
        <f>_xlfn.CONCAT(Tabel1[[#This Row],[personeelsnr]]," ",C649," ",D649)</f>
        <v>9158 De Weirdt Ronny</v>
      </c>
      <c r="C649" t="str">
        <f>VLOOKUP(Tabel1[[#This Row],[personeelsnr]],'data hastus'!$A:$C,2,0)</f>
        <v>De Weirdt</v>
      </c>
      <c r="D649" t="str">
        <f>VLOOKUP(Tabel1[[#This Row],[personeelsnr]],'data hastus'!$A:$C,3,0)</f>
        <v>Ronny</v>
      </c>
      <c r="E649" t="str">
        <f>VLOOKUP(Tabel1[[#This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SUM(Tabel1[[#This Row],[Januari]:[December]])</f>
        <v>1</v>
      </c>
      <c r="T649" s="3">
        <v>45758</v>
      </c>
      <c r="U649" s="8" t="s">
        <v>1076</v>
      </c>
      <c r="V649" s="8"/>
      <c r="W649" s="8">
        <v>1</v>
      </c>
      <c r="X649" t="s">
        <v>207</v>
      </c>
      <c r="Y649" t="s">
        <v>168</v>
      </c>
    </row>
    <row r="650" spans="1:25" x14ac:dyDescent="0.3">
      <c r="A650">
        <v>36820</v>
      </c>
      <c r="B650" t="str">
        <f>_xlfn.CONCAT(Tabel1[[#This Row],[personeelsnr]]," ",C650," ",D650)</f>
        <v>36820 Haché Philip</v>
      </c>
      <c r="C650" t="str">
        <f>VLOOKUP(Tabel1[[#This Row],[personeelsnr]],'data hastus'!$A:$C,2,0)</f>
        <v>Haché</v>
      </c>
      <c r="D650" t="str">
        <f>VLOOKUP(Tabel1[[#This Row],[personeelsnr]],'data hastus'!$A:$C,3,0)</f>
        <v>Philip</v>
      </c>
      <c r="E650" t="str">
        <f>VLOOKUP(Tabel1[[#This Row],[personeelsnr]],'data hastus'!A:K,11,FALSE)</f>
        <v>Steven Storm</v>
      </c>
      <c r="F650" s="10"/>
      <c r="G650" s="6"/>
      <c r="H650" s="6"/>
      <c r="I650" s="6"/>
      <c r="J650">
        <v>1</v>
      </c>
      <c r="K650"/>
      <c r="L650"/>
      <c r="M650"/>
      <c r="N650"/>
      <c r="O650"/>
      <c r="P650"/>
      <c r="Q650"/>
      <c r="R650"/>
      <c r="S650">
        <f>SUM(Tabel1[[#This Row],[Januari]:[December]])</f>
        <v>1</v>
      </c>
      <c r="T650" s="3">
        <v>45759</v>
      </c>
      <c r="U650" s="8" t="s">
        <v>1077</v>
      </c>
      <c r="V650" s="8">
        <v>1</v>
      </c>
      <c r="W650" s="8"/>
      <c r="X650" t="s">
        <v>206</v>
      </c>
      <c r="Y650" t="s">
        <v>522</v>
      </c>
    </row>
    <row r="651" spans="1:25" x14ac:dyDescent="0.3">
      <c r="A651">
        <v>25733</v>
      </c>
      <c r="B651" t="str">
        <f>_xlfn.CONCAT(Tabel1[[#This Row],[personeelsnr]]," ",C651," ",D651)</f>
        <v>25733 Simsek Abdullah</v>
      </c>
      <c r="C651" t="str">
        <f>VLOOKUP(Tabel1[[#This Row],[personeelsnr]],'data hastus'!$A:$C,2,0)</f>
        <v>Simsek</v>
      </c>
      <c r="D651" t="str">
        <f>VLOOKUP(Tabel1[[#This Row],[personeelsnr]],'data hastus'!$A:$C,3,0)</f>
        <v>Abdullah</v>
      </c>
      <c r="E651" t="str">
        <f>VLOOKUP(Tabel1[[#This Row],[personeelsnr]],'data hastus'!A:K,11,FALSE)</f>
        <v>Els Vanhoe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SUM(Tabel1[[#This Row],[Januari]:[December]])</f>
        <v>1</v>
      </c>
      <c r="T651" s="3">
        <v>45759</v>
      </c>
      <c r="U651" s="8" t="s">
        <v>1078</v>
      </c>
      <c r="V651" s="8"/>
      <c r="W651" s="8">
        <v>1</v>
      </c>
      <c r="X651" t="s">
        <v>207</v>
      </c>
      <c r="Y651" t="s">
        <v>238</v>
      </c>
    </row>
    <row r="652" spans="1:25" x14ac:dyDescent="0.3">
      <c r="A652">
        <v>40443</v>
      </c>
      <c r="B652" t="str">
        <f>_xlfn.CONCAT(Tabel1[[#This Row],[personeelsnr]]," ",C652," ",D652)</f>
        <v>40443 Fakash Mahmoud</v>
      </c>
      <c r="C652" t="str">
        <f>VLOOKUP(Tabel1[[#This Row],[personeelsnr]],'data hastus'!$A:$C,2,0)</f>
        <v>Fakash</v>
      </c>
      <c r="D652" t="str">
        <f>VLOOKUP(Tabel1[[#This Row],[personeelsnr]],'data hastus'!$A:$C,3,0)</f>
        <v>Mahmoud</v>
      </c>
      <c r="E652" t="str">
        <f>VLOOKUP(Tabel1[[#This Row],[personeelsnr]],'data hastus'!A:K,11,FALSE)</f>
        <v>Bart Van Der Beken</v>
      </c>
      <c r="F652" s="10"/>
      <c r="G652" s="6"/>
      <c r="H652" s="6"/>
      <c r="I652" s="6"/>
      <c r="J652">
        <v>1</v>
      </c>
      <c r="K652"/>
      <c r="L652"/>
      <c r="M652"/>
      <c r="N652"/>
      <c r="O652"/>
      <c r="P652"/>
      <c r="Q652"/>
      <c r="R652"/>
      <c r="S652">
        <f>SUM(Tabel1[[#This Row],[Januari]:[December]])</f>
        <v>1</v>
      </c>
      <c r="T652" s="3">
        <v>45762</v>
      </c>
      <c r="U652" s="8" t="s">
        <v>1079</v>
      </c>
      <c r="V652" s="8">
        <v>1</v>
      </c>
      <c r="W652" s="8"/>
      <c r="X652" t="s">
        <v>206</v>
      </c>
      <c r="Y652" t="s">
        <v>372</v>
      </c>
    </row>
    <row r="653" spans="1:25" x14ac:dyDescent="0.3">
      <c r="A653">
        <v>34445</v>
      </c>
      <c r="B653" t="str">
        <f>_xlfn.CONCAT(Tabel1[[#This Row],[personeelsnr]]," ",C653," ",D653)</f>
        <v>34445 Wulleput Illya</v>
      </c>
      <c r="C653" t="str">
        <f>VLOOKUP(Tabel1[[#This Row],[personeelsnr]],'data hastus'!$A:$C,2,0)</f>
        <v>Wulleput</v>
      </c>
      <c r="D653" t="str">
        <f>VLOOKUP(Tabel1[[#This Row],[personeelsnr]],'data hastus'!$A:$C,3,0)</f>
        <v>Illya</v>
      </c>
      <c r="E653" t="str">
        <f>VLOOKUP(Tabel1[[#This Row],[personeelsnr]],'data hastus'!A:K,11,FALSE)</f>
        <v>Dominique De Clercq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SUM(Tabel1[[#This Row],[Januari]:[December]])</f>
        <v>1</v>
      </c>
      <c r="T653" s="3">
        <v>45763</v>
      </c>
      <c r="U653" s="8" t="s">
        <v>1080</v>
      </c>
      <c r="V653" s="8"/>
      <c r="W653" s="8">
        <v>1</v>
      </c>
      <c r="X653" t="s">
        <v>207</v>
      </c>
      <c r="Y653" t="s">
        <v>201</v>
      </c>
    </row>
    <row r="654" spans="1:25" x14ac:dyDescent="0.3">
      <c r="A654">
        <v>37744</v>
      </c>
      <c r="B654" t="str">
        <f>_xlfn.CONCAT(Tabel1[[#This Row],[personeelsnr]]," ",C654," ",D654)</f>
        <v>37744 De Lange Frank</v>
      </c>
      <c r="C654" t="str">
        <f>VLOOKUP(Tabel1[[#This Row],[personeelsnr]],'data hastus'!$A:$C,2,0)</f>
        <v>De Lange</v>
      </c>
      <c r="D654" t="str">
        <f>VLOOKUP(Tabel1[[#This Row],[personeelsnr]],'data hastus'!$A:$C,3,0)</f>
        <v>Frank</v>
      </c>
      <c r="E654" t="str">
        <f>VLOOKUP(Tabel1[[#This Row],[personeelsnr]],'data hastus'!A:K,11,FALSE)</f>
        <v>Dominique De Clercq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SUM(Tabel1[[#This Row],[Januari]:[December]])</f>
        <v>1</v>
      </c>
      <c r="T654" s="3">
        <v>45765</v>
      </c>
      <c r="U654" s="8" t="s">
        <v>1081</v>
      </c>
      <c r="V654" s="8">
        <v>1</v>
      </c>
      <c r="W654" s="8"/>
      <c r="X654" t="s">
        <v>206</v>
      </c>
      <c r="Y654" t="s">
        <v>328</v>
      </c>
    </row>
    <row r="655" spans="1:25" x14ac:dyDescent="0.3">
      <c r="A655">
        <v>41230</v>
      </c>
      <c r="B655" t="str">
        <f>_xlfn.CONCAT(Tabel1[[#This Row],[personeelsnr]]," ",C655," ",D655)</f>
        <v>41230 De Witte Bart</v>
      </c>
      <c r="C655" t="str">
        <f>VLOOKUP(Tabel1[[#This Row],[personeelsnr]],'data hastus'!$A:$C,2,0)</f>
        <v>De Witte</v>
      </c>
      <c r="D655" t="str">
        <f>VLOOKUP(Tabel1[[#This Row],[personeelsnr]],'data hastus'!$A:$C,3,0)</f>
        <v>Bart</v>
      </c>
      <c r="E655" t="str">
        <f>VLOOKUP(Tabel1[[#This Row],[personeelsnr]],'data hastus'!A:K,11,FALSE)</f>
        <v>Dominique De Clercq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SUM(Tabel1[[#This Row],[Januari]:[December]])</f>
        <v>1</v>
      </c>
      <c r="T655" s="3">
        <v>45765</v>
      </c>
      <c r="U655" s="8" t="s">
        <v>1082</v>
      </c>
      <c r="V655" s="8">
        <v>1</v>
      </c>
      <c r="W655" s="8"/>
      <c r="X655" t="s">
        <v>206</v>
      </c>
      <c r="Y655" t="s">
        <v>254</v>
      </c>
    </row>
    <row r="656" spans="1:25" x14ac:dyDescent="0.3">
      <c r="A656">
        <v>21582</v>
      </c>
      <c r="B656" t="str">
        <f>_xlfn.CONCAT(Tabel1[[#This Row],[personeelsnr]]," ",C656," ",D656)</f>
        <v>21582 De Grom Patrick</v>
      </c>
      <c r="C656" t="str">
        <f>VLOOKUP(Tabel1[[#This Row],[personeelsnr]],'data hastus'!$A:$C,2,0)</f>
        <v>De Grom</v>
      </c>
      <c r="D656" t="str">
        <f>VLOOKUP(Tabel1[[#This Row],[personeelsnr]],'data hastus'!$A:$C,3,0)</f>
        <v>Patrick</v>
      </c>
      <c r="E656" t="str">
        <f>VLOOKUP(Tabel1[[#This Row],[personeelsnr]],'data hastus'!A:K,11,FALSE)</f>
        <v>Steven Storm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SUM(Tabel1[[#This Row],[Januari]:[December]])</f>
        <v>1</v>
      </c>
      <c r="T656" s="3">
        <v>45765</v>
      </c>
      <c r="U656" s="8" t="s">
        <v>1083</v>
      </c>
      <c r="V656" s="8"/>
      <c r="W656" s="8">
        <v>1</v>
      </c>
      <c r="X656" t="s">
        <v>207</v>
      </c>
      <c r="Y656" t="s">
        <v>167</v>
      </c>
    </row>
    <row r="657" spans="1:25" x14ac:dyDescent="0.3">
      <c r="A657">
        <v>38938</v>
      </c>
      <c r="B657" t="str">
        <f>_xlfn.CONCAT(Tabel1[[#This Row],[personeelsnr]]," ",C657," ",D657)</f>
        <v>38938 Sedighi Hamid</v>
      </c>
      <c r="C657" t="str">
        <f>VLOOKUP(Tabel1[[#This Row],[personeelsnr]],'data hastus'!$A:$C,2,0)</f>
        <v>Sedighi</v>
      </c>
      <c r="D657" t="str">
        <f>VLOOKUP(Tabel1[[#This Row],[personeelsnr]],'data hastus'!$A:$C,3,0)</f>
        <v>Hamid</v>
      </c>
      <c r="E657" t="str">
        <f>VLOOKUP(Tabel1[[#This Row],[personeelsnr]],'data hastus'!A:K,11,FALSE)</f>
        <v>Lucie Vande Velde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SUM(Tabel1[[#This Row],[Januari]:[December]])</f>
        <v>1</v>
      </c>
      <c r="T657" s="3">
        <v>45765</v>
      </c>
      <c r="U657" s="8" t="s">
        <v>1084</v>
      </c>
      <c r="V657" s="8"/>
      <c r="W657" s="8">
        <v>1</v>
      </c>
      <c r="X657" t="s">
        <v>207</v>
      </c>
      <c r="Y657" t="s">
        <v>257</v>
      </c>
    </row>
    <row r="658" spans="1:25" x14ac:dyDescent="0.3">
      <c r="A658">
        <v>40110</v>
      </c>
      <c r="B658" t="str">
        <f>_xlfn.CONCAT(Tabel1[[#This Row],[personeelsnr]]," ",C658," ",D658)</f>
        <v>40110 Vanlerberghe Sandra</v>
      </c>
      <c r="C658" t="str">
        <f>VLOOKUP(Tabel1[[#This Row],[personeelsnr]],'data hastus'!$A:$C,2,0)</f>
        <v>Vanlerberghe</v>
      </c>
      <c r="D658" t="str">
        <f>VLOOKUP(Tabel1[[#This Row],[personeelsnr]],'data hastus'!$A:$C,3,0)</f>
        <v>Sandra</v>
      </c>
      <c r="E658" t="str">
        <f>VLOOKUP(Tabel1[[#This Row],[personeelsnr]],'data hastus'!A:K,11,FALSE)</f>
        <v>Christoff Rotty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SUM(Tabel1[[#This Row],[Januari]:[December]])</f>
        <v>1</v>
      </c>
      <c r="T658" s="3">
        <v>45766</v>
      </c>
      <c r="U658" s="8" t="s">
        <v>1085</v>
      </c>
      <c r="V658" s="8">
        <v>1</v>
      </c>
      <c r="W658" s="8"/>
      <c r="X658" t="s">
        <v>206</v>
      </c>
      <c r="Y658" t="s">
        <v>204</v>
      </c>
    </row>
    <row r="659" spans="1:25" x14ac:dyDescent="0.3">
      <c r="A659">
        <v>32245</v>
      </c>
      <c r="B659" t="str">
        <f>_xlfn.CONCAT(Tabel1[[#This Row],[personeelsnr]]," ",C659," ",D659)</f>
        <v>32245 Verlinden Bianca</v>
      </c>
      <c r="C659" t="str">
        <f>VLOOKUP(Tabel1[[#This Row],[personeelsnr]],'data hastus'!$A:$C,2,0)</f>
        <v>Verlinden</v>
      </c>
      <c r="D659" t="str">
        <f>VLOOKUP(Tabel1[[#This Row],[personeelsnr]],'data hastus'!$A:$C,3,0)</f>
        <v>Bianca</v>
      </c>
      <c r="E659" t="str">
        <f>VLOOKUP(Tabel1[[#This Row],[personeelsnr]],'data hastus'!A:K,11,FALSE)</f>
        <v>Els Vanhoe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SUM(Tabel1[[#This Row],[Januari]:[December]])</f>
        <v>1</v>
      </c>
      <c r="T659" s="3">
        <v>45766</v>
      </c>
      <c r="U659" s="8" t="s">
        <v>1086</v>
      </c>
      <c r="V659" s="8">
        <v>1</v>
      </c>
      <c r="W659" s="8"/>
      <c r="X659" t="s">
        <v>206</v>
      </c>
      <c r="Y659" t="s">
        <v>170</v>
      </c>
    </row>
    <row r="660" spans="1:25" x14ac:dyDescent="0.3">
      <c r="A660">
        <v>41520</v>
      </c>
      <c r="B660" t="str">
        <f>_xlfn.CONCAT(Tabel1[[#This Row],[personeelsnr]]," ",C660," ",D660)</f>
        <v>41520 Smets Avery</v>
      </c>
      <c r="C660" t="str">
        <f>VLOOKUP(Tabel1[[#This Row],[personeelsnr]],'data hastus'!$A:$C,2,0)</f>
        <v>Smets</v>
      </c>
      <c r="D660" t="str">
        <f>VLOOKUP(Tabel1[[#This Row],[personeelsnr]],'data hastus'!$A:$C,3,0)</f>
        <v>Avery</v>
      </c>
      <c r="E660" t="str">
        <f>VLOOKUP(Tabel1[[#This Row],[personeelsnr]],'data hastus'!A:K,11,FALSE)</f>
        <v>Christoff Rotty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SUM(Tabel1[[#This Row],[Januari]:[December]])</f>
        <v>1</v>
      </c>
      <c r="T660" s="3">
        <v>45766</v>
      </c>
      <c r="U660" s="8" t="s">
        <v>1087</v>
      </c>
      <c r="V660" s="8">
        <v>1</v>
      </c>
      <c r="W660" s="8"/>
      <c r="X660" t="s">
        <v>206</v>
      </c>
      <c r="Y660" t="s">
        <v>347</v>
      </c>
    </row>
    <row r="661" spans="1:25" x14ac:dyDescent="0.3">
      <c r="A661">
        <v>40478</v>
      </c>
      <c r="B661" t="str">
        <f>_xlfn.CONCAT(Tabel1[[#This Row],[personeelsnr]]," ",C661," ",D661)</f>
        <v>40478 Hashimi Ali Mir</v>
      </c>
      <c r="C661" t="str">
        <f>VLOOKUP(Tabel1[[#This Row],[personeelsnr]],'data hastus'!$A:$C,2,0)</f>
        <v>Hashimi</v>
      </c>
      <c r="D661" t="str">
        <f>VLOOKUP(Tabel1[[#This Row],[personeelsnr]],'data hastus'!$A:$C,3,0)</f>
        <v>Ali Mir</v>
      </c>
      <c r="E661" t="str">
        <f>VLOOKUP(Tabel1[[#This Row],[personeelsnr]],'data hastus'!A:K,11,FALSE)</f>
        <v>Bart Van Der Beken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SUM(Tabel1[[#This Row],[Januari]:[December]])</f>
        <v>1</v>
      </c>
      <c r="T661" s="3">
        <v>45769</v>
      </c>
      <c r="U661" s="8" t="s">
        <v>1088</v>
      </c>
      <c r="V661" s="8">
        <v>1</v>
      </c>
      <c r="W661" s="8"/>
      <c r="X661" t="s">
        <v>206</v>
      </c>
      <c r="Y661" t="s">
        <v>336</v>
      </c>
    </row>
    <row r="662" spans="1:25" x14ac:dyDescent="0.3">
      <c r="A662">
        <v>41588</v>
      </c>
      <c r="B662" t="str">
        <f>_xlfn.CONCAT(Tabel1[[#This Row],[personeelsnr]]," ",C662," ",D662)</f>
        <v>41588 Naessens Yves</v>
      </c>
      <c r="C662" t="str">
        <f>VLOOKUP(Tabel1[[#This Row],[personeelsnr]],'data hastus'!$A:$C,2,0)</f>
        <v>Naessens</v>
      </c>
      <c r="D662" t="str">
        <f>VLOOKUP(Tabel1[[#This Row],[personeelsnr]],'data hastus'!$A:$C,3,0)</f>
        <v>Yves</v>
      </c>
      <c r="E662" t="str">
        <f>VLOOKUP(Tabel1[[#This Row],[personeelsnr]],'data hastus'!A:K,11,FALSE)</f>
        <v>Kenneth De Rick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SUM(Tabel1[[#This Row],[Januari]:[December]])</f>
        <v>1</v>
      </c>
      <c r="T662" s="3">
        <v>45769</v>
      </c>
      <c r="U662" s="8" t="s">
        <v>1089</v>
      </c>
      <c r="V662" s="8">
        <v>1</v>
      </c>
      <c r="W662" s="8"/>
      <c r="X662" t="s">
        <v>206</v>
      </c>
      <c r="Y662" t="s">
        <v>310</v>
      </c>
    </row>
    <row r="663" spans="1:25" x14ac:dyDescent="0.3">
      <c r="A663">
        <v>37132</v>
      </c>
      <c r="B663" t="str">
        <f>_xlfn.CONCAT(Tabel1[[#This Row],[personeelsnr]]," ",C663," ",D663)</f>
        <v>37132 Dacic Esmir</v>
      </c>
      <c r="C663" t="str">
        <f>VLOOKUP(Tabel1[[#This Row],[personeelsnr]],'data hastus'!$A:$C,2,0)</f>
        <v>Dacic</v>
      </c>
      <c r="D663" t="str">
        <f>VLOOKUP(Tabel1[[#This Row],[personeelsnr]],'data hastus'!$A:$C,3,0)</f>
        <v>Esmir</v>
      </c>
      <c r="E663" t="str">
        <f>VLOOKUP(Tabel1[[#This Row],[personeelsnr]],'data hastus'!A:K,11,FALSE)</f>
        <v>Dominique De Clercq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SUM(Tabel1[[#This Row],[Januari]:[December]])</f>
        <v>1</v>
      </c>
      <c r="T663" s="3">
        <v>45770</v>
      </c>
      <c r="U663" s="8" t="s">
        <v>1090</v>
      </c>
      <c r="V663" s="8"/>
      <c r="W663" s="8">
        <v>1</v>
      </c>
      <c r="X663" t="s">
        <v>207</v>
      </c>
      <c r="Y663" t="s">
        <v>273</v>
      </c>
    </row>
    <row r="664" spans="1:25" x14ac:dyDescent="0.3">
      <c r="A664">
        <v>33965</v>
      </c>
      <c r="B664" t="str">
        <f>_xlfn.CONCAT(Tabel1[[#This Row],[personeelsnr]]," ",C664," ",D664)</f>
        <v>33965 Van de Gehuchte Gilles</v>
      </c>
      <c r="C664" t="str">
        <f>VLOOKUP(Tabel1[[#This Row],[personeelsnr]],'data hastus'!$A:$C,2,0)</f>
        <v>Van de Gehuchte</v>
      </c>
      <c r="D664" t="str">
        <f>VLOOKUP(Tabel1[[#This Row],[personeelsnr]],'data hastus'!$A:$C,3,0)</f>
        <v>Gilles</v>
      </c>
      <c r="E664" t="str">
        <f>VLOOKUP(Tabel1[[#This Row],[personeelsnr]],'data hastus'!A:K,11,FALSE)</f>
        <v>Kenneth De Rick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SUM(Tabel1[[#This Row],[Januari]:[December]])</f>
        <v>1</v>
      </c>
      <c r="T664" s="3">
        <v>45771</v>
      </c>
      <c r="U664" s="8" t="s">
        <v>1091</v>
      </c>
      <c r="V664" s="8">
        <v>1</v>
      </c>
      <c r="W664" s="8"/>
      <c r="X664" t="s">
        <v>206</v>
      </c>
      <c r="Y664" t="s">
        <v>192</v>
      </c>
    </row>
    <row r="665" spans="1:25" x14ac:dyDescent="0.3">
      <c r="A665">
        <v>38475</v>
      </c>
      <c r="B665" t="str">
        <f>_xlfn.CONCAT(Tabel1[[#This Row],[personeelsnr]]," ",C665," ",D665)</f>
        <v>38475 Verschraegen Katleen</v>
      </c>
      <c r="C665" t="str">
        <f>VLOOKUP(Tabel1[[#This Row],[personeelsnr]],'data hastus'!$A:$C,2,0)</f>
        <v>Verschraegen</v>
      </c>
      <c r="D665" t="str">
        <f>VLOOKUP(Tabel1[[#This Row],[personeelsnr]],'data hastus'!$A:$C,3,0)</f>
        <v>Katleen</v>
      </c>
      <c r="E665" t="str">
        <f>VLOOKUP(Tabel1[[#This Row],[personeelsnr]],'data hastus'!A:K,11,FALSE)</f>
        <v>Els Dewulf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SUM(Tabel1[[#This Row],[Januari]:[December]])</f>
        <v>1</v>
      </c>
      <c r="T665" s="3">
        <v>45771</v>
      </c>
      <c r="U665" s="8" t="s">
        <v>1092</v>
      </c>
      <c r="V665" s="8">
        <v>1</v>
      </c>
      <c r="W665" s="8"/>
      <c r="X665" t="s">
        <v>206</v>
      </c>
      <c r="Y665" t="s">
        <v>241</v>
      </c>
    </row>
    <row r="666" spans="1:25" x14ac:dyDescent="0.3">
      <c r="A666">
        <v>9999</v>
      </c>
      <c r="B666" t="str">
        <f>_xlfn.CONCAT(Tabel1[[#This Row],[personeelsnr]]," ",C666," ",D666)</f>
        <v>9999 - -</v>
      </c>
      <c r="C666" t="s">
        <v>3388</v>
      </c>
      <c r="D666" t="s">
        <v>3388</v>
      </c>
      <c r="E666" t="s">
        <v>1165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SUM(Tabel1[[#This Row],[Januari]:[December]])</f>
        <v>1</v>
      </c>
      <c r="T666" s="3">
        <v>45771</v>
      </c>
      <c r="U666" s="8" t="s">
        <v>1093</v>
      </c>
      <c r="V666" s="8">
        <v>1</v>
      </c>
      <c r="W666" s="8"/>
      <c r="X666" t="s">
        <v>206</v>
      </c>
      <c r="Y666" t="s">
        <v>168</v>
      </c>
    </row>
    <row r="667" spans="1:25" x14ac:dyDescent="0.3">
      <c r="A667">
        <v>33085</v>
      </c>
      <c r="B667" t="str">
        <f>_xlfn.CONCAT(Tabel1[[#This Row],[personeelsnr]]," ",C667," ",D667)</f>
        <v>33085 Van Hoe Ivo</v>
      </c>
      <c r="C667" t="str">
        <f>VLOOKUP(Tabel1[[#This Row],[personeelsnr]],'data hastus'!$A:$C,2,0)</f>
        <v>Van Hoe</v>
      </c>
      <c r="D667" t="str">
        <f>VLOOKUP(Tabel1[[#This Row],[personeelsnr]],'data hastus'!$A:$C,3,0)</f>
        <v>Ivo</v>
      </c>
      <c r="E667" t="str">
        <f>VLOOKUP(Tabel1[[#This Row],[personeelsnr]],'data hastus'!A:K,11,FALSE)</f>
        <v>Kenneth De Rick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SUM(Tabel1[[#This Row],[Januari]:[December]])</f>
        <v>1</v>
      </c>
      <c r="T667" s="3">
        <v>45773</v>
      </c>
      <c r="U667" s="8" t="s">
        <v>1094</v>
      </c>
      <c r="V667" s="8">
        <v>1</v>
      </c>
      <c r="W667" s="8"/>
      <c r="X667" t="s">
        <v>206</v>
      </c>
      <c r="Y667" t="s">
        <v>311</v>
      </c>
    </row>
    <row r="668" spans="1:25" x14ac:dyDescent="0.3">
      <c r="A668">
        <v>40591</v>
      </c>
      <c r="B668" t="str">
        <f>_xlfn.CONCAT(Tabel1[[#This Row],[personeelsnr]]," ",C668," ",D668)</f>
        <v>40591 Hiloui Mahmoud</v>
      </c>
      <c r="C668" t="str">
        <f>VLOOKUP(Tabel1[[#This Row],[personeelsnr]],'data hastus'!$A:$C,2,0)</f>
        <v>Hiloui</v>
      </c>
      <c r="D668" t="str">
        <f>VLOOKUP(Tabel1[[#This Row],[personeelsnr]],'data hastus'!$A:$C,3,0)</f>
        <v>Mahmoud</v>
      </c>
      <c r="E668" t="str">
        <f>VLOOKUP(Tabel1[[#This Row],[personeelsnr]],'data hastus'!A:K,11,FALSE)</f>
        <v>Dominique De Clercq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SUM(Tabel1[[#This Row],[Januari]:[December]])</f>
        <v>1</v>
      </c>
      <c r="T668" s="3">
        <v>45775</v>
      </c>
      <c r="U668" s="8" t="s">
        <v>1095</v>
      </c>
      <c r="V668" s="8">
        <v>1</v>
      </c>
      <c r="W668" s="8"/>
      <c r="X668" t="s">
        <v>206</v>
      </c>
      <c r="Y668" t="s">
        <v>240</v>
      </c>
    </row>
    <row r="669" spans="1:25" x14ac:dyDescent="0.3">
      <c r="A669">
        <v>40134</v>
      </c>
      <c r="B669" t="str">
        <f>_xlfn.CONCAT(Tabel1[[#This Row],[personeelsnr]]," ",C669," ",D669)</f>
        <v>40134 Cardon Sharon</v>
      </c>
      <c r="C669" t="str">
        <f>VLOOKUP(Tabel1[[#This Row],[personeelsnr]],'data hastus'!$A:$C,2,0)</f>
        <v>Cardon</v>
      </c>
      <c r="D669" t="str">
        <f>VLOOKUP(Tabel1[[#This Row],[personeelsnr]],'data hastus'!$A:$C,3,0)</f>
        <v>Sharon</v>
      </c>
      <c r="E669" t="str">
        <f>VLOOKUP(Tabel1[[#This Row],[personeelsnr]],'data hastus'!A:K,11,FALSE)</f>
        <v>Dominique De Clercq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SUM(Tabel1[[#This Row],[Januari]:[December]])</f>
        <v>1</v>
      </c>
      <c r="T669" s="3">
        <v>45775</v>
      </c>
      <c r="U669" s="8" t="s">
        <v>1096</v>
      </c>
      <c r="V669" s="8">
        <v>1</v>
      </c>
      <c r="W669" s="8"/>
      <c r="X669" t="s">
        <v>206</v>
      </c>
      <c r="Y669" t="s">
        <v>261</v>
      </c>
    </row>
    <row r="670" spans="1:25" x14ac:dyDescent="0.3">
      <c r="A670">
        <v>38475</v>
      </c>
      <c r="B670" t="str">
        <f>_xlfn.CONCAT(Tabel1[[#This Row],[personeelsnr]]," ",C670," ",D670)</f>
        <v>38475 Verschraegen Katleen</v>
      </c>
      <c r="C670" t="str">
        <f>VLOOKUP(Tabel1[[#This Row],[personeelsnr]],'data hastus'!$A:$C,2,0)</f>
        <v>Verschraegen</v>
      </c>
      <c r="D670" t="str">
        <f>VLOOKUP(Tabel1[[#This Row],[personeelsnr]],'data hastus'!$A:$C,3,0)</f>
        <v>Katleen</v>
      </c>
      <c r="E670" t="str">
        <f>VLOOKUP(Tabel1[[#This Row],[personeelsnr]],'data hastus'!A:K,11,FALSE)</f>
        <v>Els Dewulf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SUM(Tabel1[[#This Row],[Januari]:[December]])</f>
        <v>1</v>
      </c>
      <c r="T670" s="3">
        <v>45775</v>
      </c>
      <c r="U670" s="8" t="s">
        <v>1097</v>
      </c>
      <c r="V670" s="8">
        <v>1</v>
      </c>
      <c r="W670" s="8"/>
      <c r="X670" t="s">
        <v>206</v>
      </c>
      <c r="Y670" t="s">
        <v>242</v>
      </c>
    </row>
    <row r="671" spans="1:25" x14ac:dyDescent="0.3">
      <c r="A671">
        <v>24155</v>
      </c>
      <c r="B671" t="str">
        <f>_xlfn.CONCAT(Tabel1[[#This Row],[personeelsnr]]," ",C671," ",D671)</f>
        <v>24155 Luttens Koen</v>
      </c>
      <c r="C671" t="str">
        <f>VLOOKUP(Tabel1[[#This Row],[personeelsnr]],'data hastus'!$A:$C,2,0)</f>
        <v>Luttens</v>
      </c>
      <c r="D671" t="str">
        <f>VLOOKUP(Tabel1[[#This Row],[personeelsnr]],'data hastus'!$A:$C,3,0)</f>
        <v>Koen</v>
      </c>
      <c r="E671" t="str">
        <f>VLOOKUP(Tabel1[[#This Row],[personeelsnr]],'data hastus'!A:K,11,FALSE)</f>
        <v>Els Vanhoe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SUM(Tabel1[[#This Row],[Januari]:[December]])</f>
        <v>1</v>
      </c>
      <c r="T671" s="3">
        <v>45776</v>
      </c>
      <c r="U671" s="8" t="s">
        <v>1098</v>
      </c>
      <c r="V671" s="8">
        <v>1</v>
      </c>
      <c r="W671" s="8"/>
      <c r="X671" t="s">
        <v>206</v>
      </c>
      <c r="Y671" t="s">
        <v>396</v>
      </c>
    </row>
    <row r="672" spans="1:25" x14ac:dyDescent="0.3">
      <c r="A672">
        <v>41092</v>
      </c>
      <c r="B672" t="str">
        <f>_xlfn.CONCAT(Tabel1[[#This Row],[personeelsnr]]," ",C672," ",D672)</f>
        <v>41092 De Keyser Dorien</v>
      </c>
      <c r="C672" t="str">
        <f>VLOOKUP(Tabel1[[#This Row],[personeelsnr]],'data hastus'!$A:$C,2,0)</f>
        <v>De Keyser</v>
      </c>
      <c r="D672" t="str">
        <f>VLOOKUP(Tabel1[[#This Row],[personeelsnr]],'data hastus'!$A:$C,3,0)</f>
        <v>Dorien</v>
      </c>
      <c r="E672" t="str">
        <f>VLOOKUP(Tabel1[[#This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SUM(Tabel1[[#This Row],[Januari]:[December]])</f>
        <v>1</v>
      </c>
      <c r="T672" s="3">
        <v>45777</v>
      </c>
      <c r="U672" s="8" t="s">
        <v>1099</v>
      </c>
      <c r="V672" s="8">
        <v>1</v>
      </c>
      <c r="W672" s="8"/>
      <c r="X672" t="s">
        <v>206</v>
      </c>
      <c r="Y672" t="s">
        <v>238</v>
      </c>
    </row>
    <row r="673" spans="1:25" x14ac:dyDescent="0.3">
      <c r="A673">
        <v>37908</v>
      </c>
      <c r="B673" t="str">
        <f>_xlfn.CONCAT(Tabel1[[#This Row],[personeelsnr]]," ",C673," ",D673)</f>
        <v>37908 Vandenberghe Michael</v>
      </c>
      <c r="C673" t="str">
        <f>VLOOKUP(Tabel1[[#This Row],[personeelsnr]],'data hastus'!$A:$C,2,0)</f>
        <v>Vandenberghe</v>
      </c>
      <c r="D673" t="str">
        <f>VLOOKUP(Tabel1[[#This Row],[personeelsnr]],'data hastus'!$A:$C,3,0)</f>
        <v>Michael</v>
      </c>
      <c r="E673" t="str">
        <f>VLOOKUP(Tabel1[[#This Row],[personeelsnr]],'data hastus'!A:K,11,FALSE)</f>
        <v>Steven Storm</v>
      </c>
      <c r="F673" s="10"/>
      <c r="G673" s="6"/>
      <c r="H673" s="6"/>
      <c r="I673" s="6"/>
      <c r="J673" s="11">
        <v>1</v>
      </c>
      <c r="K673"/>
      <c r="L673"/>
      <c r="M673"/>
      <c r="N673"/>
      <c r="O673"/>
      <c r="P673"/>
      <c r="Q673"/>
      <c r="R673"/>
      <c r="S673">
        <f>SUM(Tabel1[[#This Row],[Januari]:[December]])</f>
        <v>1</v>
      </c>
      <c r="T673" s="3">
        <v>45777</v>
      </c>
      <c r="U673" s="8" t="s">
        <v>1100</v>
      </c>
      <c r="V673" s="8">
        <v>1</v>
      </c>
      <c r="W673" s="8"/>
      <c r="X673" t="s">
        <v>206</v>
      </c>
      <c r="Y673" t="s">
        <v>173</v>
      </c>
    </row>
    <row r="674" spans="1:25" x14ac:dyDescent="0.3">
      <c r="A674">
        <v>30967</v>
      </c>
      <c r="B674" t="str">
        <f>_xlfn.CONCAT(Tabel1[[#This Row],[personeelsnr]]," ",C674," ",D674)</f>
        <v>30967 Taser Fatih</v>
      </c>
      <c r="C674" t="str">
        <f>VLOOKUP(Tabel1[[#This Row],[personeelsnr]],'data hastus'!$A:$C,2,0)</f>
        <v>Taser</v>
      </c>
      <c r="D674" t="str">
        <f>VLOOKUP(Tabel1[[#This Row],[personeelsnr]],'data hastus'!$A:$C,3,0)</f>
        <v>Fatih</v>
      </c>
      <c r="E674" t="str">
        <f>VLOOKUP(Tabel1[[#This Row],[personeelsnr]],'data hastus'!A:K,11,FALSE)</f>
        <v>Dominique De Clercq</v>
      </c>
      <c r="F674" s="10"/>
      <c r="G674" s="7"/>
      <c r="H674" s="7"/>
      <c r="I674" s="7"/>
      <c r="K674" s="12">
        <v>1</v>
      </c>
      <c r="S674" s="5">
        <f>SUM(Tabel1[[#This Row],[Januari]:[December]])</f>
        <v>1</v>
      </c>
      <c r="T674" s="9">
        <v>45778</v>
      </c>
      <c r="U674" s="8" t="s">
        <v>1101</v>
      </c>
      <c r="V674" s="8">
        <v>1</v>
      </c>
      <c r="W674" s="8"/>
      <c r="X674" t="s">
        <v>206</v>
      </c>
      <c r="Y674" t="s">
        <v>177</v>
      </c>
    </row>
    <row r="675" spans="1:25" x14ac:dyDescent="0.3">
      <c r="A675">
        <v>40652</v>
      </c>
      <c r="B675" t="str">
        <f>_xlfn.CONCAT(Tabel1[[#This Row],[personeelsnr]]," ",C675," ",D675)</f>
        <v>40652 Van Damme Gilyann</v>
      </c>
      <c r="C675" t="str">
        <f>VLOOKUP(Tabel1[[#This Row],[personeelsnr]],'data hastus'!$A:$C,2,0)</f>
        <v>Van Damme</v>
      </c>
      <c r="D675" t="str">
        <f>VLOOKUP(Tabel1[[#This Row],[personeelsnr]],'data hastus'!$A:$C,3,0)</f>
        <v>Gilyann</v>
      </c>
      <c r="E675" t="str">
        <f>VLOOKUP(Tabel1[[#This Row],[personeelsnr]],'data hastus'!A:K,11,FALSE)</f>
        <v>Els Vanhoe</v>
      </c>
      <c r="F675" s="10"/>
      <c r="G675" s="6"/>
      <c r="H675" s="6"/>
      <c r="I675" s="6"/>
      <c r="J675"/>
      <c r="K675">
        <v>1</v>
      </c>
      <c r="L675"/>
      <c r="M675"/>
      <c r="N675"/>
      <c r="O675"/>
      <c r="P675"/>
      <c r="Q675"/>
      <c r="R675"/>
      <c r="S675">
        <f>SUM(Tabel1[[#This Row],[Januari]:[December]])</f>
        <v>1</v>
      </c>
      <c r="T675" s="3">
        <v>45779</v>
      </c>
      <c r="U675" s="8" t="s">
        <v>1102</v>
      </c>
      <c r="V675" s="8">
        <v>1</v>
      </c>
      <c r="W675" s="8"/>
      <c r="X675" t="s">
        <v>206</v>
      </c>
      <c r="Y675" t="s">
        <v>210</v>
      </c>
    </row>
    <row r="676" spans="1:25" x14ac:dyDescent="0.3">
      <c r="A676">
        <v>4608</v>
      </c>
      <c r="B676" t="str">
        <f>_xlfn.CONCAT(Tabel1[[#This Row],[personeelsnr]]," ",C676," ",D676)</f>
        <v>4608 Steenbrugge Johan</v>
      </c>
      <c r="C676" t="str">
        <f>VLOOKUP(Tabel1[[#This Row],[personeelsnr]],'data hastus'!$A:$C,2,0)</f>
        <v>Steenbrugge</v>
      </c>
      <c r="D676" t="str">
        <f>VLOOKUP(Tabel1[[#This Row],[personeelsnr]],'data hastus'!$A:$C,3,0)</f>
        <v>Johan</v>
      </c>
      <c r="E676" t="str">
        <f>VLOOKUP(Tabel1[[#This Row],[personeelsnr]],'data hastus'!A:K,11,FALSE)</f>
        <v>Lucie Vande Velde</v>
      </c>
      <c r="F676" s="10"/>
      <c r="G676" s="6"/>
      <c r="H676" s="6"/>
      <c r="I676" s="6"/>
      <c r="J676"/>
      <c r="K676">
        <v>1</v>
      </c>
      <c r="L676"/>
      <c r="M676"/>
      <c r="N676"/>
      <c r="O676"/>
      <c r="P676"/>
      <c r="Q676"/>
      <c r="R676"/>
      <c r="S676">
        <f>SUM(Tabel1[[#This Row],[Januari]:[December]])</f>
        <v>1</v>
      </c>
      <c r="T676" s="3">
        <v>45780</v>
      </c>
      <c r="U676" s="8" t="s">
        <v>1103</v>
      </c>
      <c r="V676" s="8">
        <v>1</v>
      </c>
      <c r="W676" s="8"/>
      <c r="X676" t="s">
        <v>206</v>
      </c>
      <c r="Y676" t="s">
        <v>169</v>
      </c>
    </row>
    <row r="677" spans="1:25" x14ac:dyDescent="0.3">
      <c r="A677">
        <v>33965</v>
      </c>
      <c r="B677" t="str">
        <f>_xlfn.CONCAT(Tabel1[[#This Row],[personeelsnr]]," ",C677," ",D677)</f>
        <v>33965 Van de Gehuchte Gilles</v>
      </c>
      <c r="C677" t="str">
        <f>VLOOKUP(Tabel1[[#This Row],[personeelsnr]],'data hastus'!$A:$C,2,0)</f>
        <v>Van de Gehuchte</v>
      </c>
      <c r="D677" t="str">
        <f>VLOOKUP(Tabel1[[#This Row],[personeelsnr]],'data hastus'!$A:$C,3,0)</f>
        <v>Gilles</v>
      </c>
      <c r="E677" t="str">
        <f>VLOOKUP(Tabel1[[#This Row],[personeelsnr]],'data hastus'!A:K,11,FALSE)</f>
        <v>Kenneth De Rick</v>
      </c>
      <c r="F677" s="10"/>
      <c r="G677" s="7"/>
      <c r="H677" s="7"/>
      <c r="I677" s="7"/>
      <c r="K677" s="12">
        <v>1</v>
      </c>
      <c r="S677" s="5">
        <f>SUM(Tabel1[[#This Row],[Januari]:[December]])</f>
        <v>1</v>
      </c>
      <c r="T677" s="9">
        <v>45781</v>
      </c>
      <c r="U677" s="8" t="s">
        <v>1104</v>
      </c>
      <c r="V677" s="8"/>
      <c r="W677" s="8">
        <v>1</v>
      </c>
      <c r="X677" t="s">
        <v>207</v>
      </c>
      <c r="Y677" t="s">
        <v>168</v>
      </c>
    </row>
    <row r="678" spans="1:25" x14ac:dyDescent="0.3">
      <c r="A678">
        <v>38731</v>
      </c>
      <c r="B678" t="str">
        <f>_xlfn.CONCAT(Tabel1[[#This Row],[personeelsnr]]," ",C678," ",D678)</f>
        <v>38731 Ben Sidhom Samir</v>
      </c>
      <c r="C678" t="str">
        <f>VLOOKUP(Tabel1[[#This Row],[personeelsnr]],'data hastus'!$A:$C,2,0)</f>
        <v>Ben Sidhom</v>
      </c>
      <c r="D678" t="str">
        <f>VLOOKUP(Tabel1[[#This Row],[personeelsnr]],'data hastus'!$A:$C,3,0)</f>
        <v>Samir</v>
      </c>
      <c r="E678" t="str">
        <f>VLOOKUP(Tabel1[[#This Row],[personeelsnr]],'data hastus'!A:K,11,FALSE)</f>
        <v>Christoff Rotty</v>
      </c>
      <c r="F678" s="10"/>
      <c r="G678" s="6"/>
      <c r="H678" s="6"/>
      <c r="I678" s="6"/>
      <c r="J678"/>
      <c r="K678">
        <v>1</v>
      </c>
      <c r="L678"/>
      <c r="M678"/>
      <c r="N678"/>
      <c r="O678"/>
      <c r="P678"/>
      <c r="Q678"/>
      <c r="R678"/>
      <c r="S678">
        <f>SUM(Tabel1[[#This Row],[Januari]:[December]])</f>
        <v>1</v>
      </c>
      <c r="T678" s="3">
        <v>45782</v>
      </c>
      <c r="U678" s="8" t="s">
        <v>1105</v>
      </c>
      <c r="V678" s="8">
        <v>1</v>
      </c>
      <c r="W678" s="8"/>
      <c r="X678" t="s">
        <v>206</v>
      </c>
      <c r="Y678" t="s">
        <v>170</v>
      </c>
    </row>
    <row r="679" spans="1:25" x14ac:dyDescent="0.3">
      <c r="A679">
        <v>40938</v>
      </c>
      <c r="B679" t="str">
        <f>_xlfn.CONCAT(Tabel1[[#This Row],[personeelsnr]]," ",C679," ",D679)</f>
        <v>40938 Hasnaoui Nejmeddine</v>
      </c>
      <c r="C679" t="str">
        <f>VLOOKUP(Tabel1[[#This Row],[personeelsnr]],'data hastus'!$A:$C,2,0)</f>
        <v>Hasnaoui</v>
      </c>
      <c r="D679" t="str">
        <f>VLOOKUP(Tabel1[[#This Row],[personeelsnr]],'data hastus'!$A:$C,3,0)</f>
        <v>Nejmeddine</v>
      </c>
      <c r="E679" t="str">
        <f>VLOOKUP(Tabel1[[#This Row],[personeelsnr]],'data hastus'!A:K,11,FALSE)</f>
        <v>Dominique De Clercq</v>
      </c>
      <c r="F679" s="10"/>
      <c r="G679" s="7"/>
      <c r="H679" s="7"/>
      <c r="I679" s="7"/>
      <c r="K679" s="5">
        <v>1</v>
      </c>
      <c r="S679" s="5">
        <f>SUM(Tabel1[[#This Row],[Januari]:[December]])</f>
        <v>1</v>
      </c>
      <c r="T679" s="9">
        <v>45783</v>
      </c>
      <c r="U679" s="8" t="s">
        <v>1106</v>
      </c>
      <c r="V679" s="8">
        <v>1</v>
      </c>
      <c r="W679" s="8"/>
      <c r="X679" t="s">
        <v>206</v>
      </c>
      <c r="Y679" t="s">
        <v>194</v>
      </c>
    </row>
    <row r="680" spans="1:25" x14ac:dyDescent="0.3">
      <c r="A680">
        <v>40652</v>
      </c>
      <c r="B680" t="str">
        <f>_xlfn.CONCAT(Tabel1[[#This Row],[personeelsnr]]," ",C680," ",D680)</f>
        <v>40652 Van Damme Gilyann</v>
      </c>
      <c r="C680" t="str">
        <f>VLOOKUP(Tabel1[[#This Row],[personeelsnr]],'data hastus'!$A:$C,2,0)</f>
        <v>Van Damme</v>
      </c>
      <c r="D680" t="str">
        <f>VLOOKUP(Tabel1[[#This Row],[personeelsnr]],'data hastus'!$A:$C,3,0)</f>
        <v>Gilyann</v>
      </c>
      <c r="E680" t="str">
        <f>VLOOKUP(Tabel1[[#This Row],[personeelsnr]],'data hastus'!A:K,11,FALSE)</f>
        <v>Els Vanhoe</v>
      </c>
      <c r="F680" s="10"/>
      <c r="G680" s="6"/>
      <c r="H680" s="6"/>
      <c r="I680" s="6"/>
      <c r="J680"/>
      <c r="K680">
        <v>1</v>
      </c>
      <c r="L680"/>
      <c r="M680"/>
      <c r="N680"/>
      <c r="O680"/>
      <c r="P680"/>
      <c r="Q680"/>
      <c r="R680"/>
      <c r="S680">
        <f>SUM(Tabel1[[#This Row],[Januari]:[December]])</f>
        <v>1</v>
      </c>
      <c r="T680" s="3">
        <v>45784</v>
      </c>
      <c r="U680" s="8" t="s">
        <v>1107</v>
      </c>
      <c r="V680" s="8">
        <v>1</v>
      </c>
      <c r="W680" s="8"/>
      <c r="X680" t="s">
        <v>206</v>
      </c>
      <c r="Y680" t="s">
        <v>385</v>
      </c>
    </row>
    <row r="681" spans="1:25" x14ac:dyDescent="0.3">
      <c r="A681">
        <v>38931</v>
      </c>
      <c r="B681" t="str">
        <f>_xlfn.CONCAT(Tabel1[[#This Row],[personeelsnr]]," ",C681," ",D681)</f>
        <v>38931 Sancak Eyuphan</v>
      </c>
      <c r="C681" t="str">
        <f>VLOOKUP(Tabel1[[#This Row],[personeelsnr]],'data hastus'!$A:$C,2,0)</f>
        <v>Sancak</v>
      </c>
      <c r="D681" t="str">
        <f>VLOOKUP(Tabel1[[#This Row],[personeelsnr]],'data hastus'!$A:$C,3,0)</f>
        <v>Eyuphan</v>
      </c>
      <c r="E681" t="str">
        <f>VLOOKUP(Tabel1[[#This Row],[personeelsnr]],'data hastus'!A:K,11,FALSE)</f>
        <v>Bart Van Der Beken</v>
      </c>
      <c r="G681" s="6"/>
      <c r="H681" s="6"/>
      <c r="I681" s="6"/>
      <c r="J681"/>
      <c r="K681">
        <v>1</v>
      </c>
      <c r="L681"/>
      <c r="M681"/>
      <c r="N681"/>
      <c r="O681"/>
      <c r="P681"/>
      <c r="Q681"/>
      <c r="R681"/>
      <c r="S681">
        <f>SUM(Tabel1[[#This Row],[Januari]:[December]])</f>
        <v>1</v>
      </c>
      <c r="T681" s="3">
        <v>45786</v>
      </c>
      <c r="U681" s="8" t="s">
        <v>1108</v>
      </c>
      <c r="V681" s="8">
        <v>1</v>
      </c>
      <c r="W681" s="8"/>
      <c r="X681" t="s">
        <v>206</v>
      </c>
      <c r="Y681" t="s">
        <v>393</v>
      </c>
    </row>
    <row r="682" spans="1:25" x14ac:dyDescent="0.3">
      <c r="A682">
        <v>31165</v>
      </c>
      <c r="B682" t="str">
        <f>_xlfn.CONCAT(Tabel1[[#This Row],[personeelsnr]]," ",C682," ",D682)</f>
        <v>31165 Govaerts Sandro</v>
      </c>
      <c r="C682" t="str">
        <f>VLOOKUP(Tabel1[[#This Row],[personeelsnr]],'data hastus'!$A:$C,2,0)</f>
        <v>Govaerts</v>
      </c>
      <c r="D682" t="str">
        <f>VLOOKUP(Tabel1[[#This Row],[personeelsnr]],'data hastus'!$A:$C,3,0)</f>
        <v>Sandro</v>
      </c>
      <c r="E682" t="str">
        <f>VLOOKUP(Tabel1[[#This Row],[personeelsnr]],'data hastus'!A:K,11,FALSE)</f>
        <v>Lucie Vande Velde</v>
      </c>
      <c r="F682" s="10"/>
      <c r="G682" s="6"/>
      <c r="H682" s="6"/>
      <c r="I682" s="6"/>
      <c r="J682"/>
      <c r="K682">
        <v>1</v>
      </c>
      <c r="L682"/>
      <c r="M682"/>
      <c r="N682"/>
      <c r="O682"/>
      <c r="P682"/>
      <c r="Q682"/>
      <c r="R682"/>
      <c r="S682">
        <f>SUM(Tabel1[[#This Row],[Januari]:[December]])</f>
        <v>1</v>
      </c>
      <c r="T682" s="3">
        <v>45787</v>
      </c>
      <c r="U682" s="8" t="s">
        <v>1109</v>
      </c>
      <c r="V682" s="8">
        <v>1</v>
      </c>
      <c r="W682" s="8"/>
      <c r="X682" t="s">
        <v>206</v>
      </c>
      <c r="Y682" t="s">
        <v>298</v>
      </c>
    </row>
    <row r="683" spans="1:25" x14ac:dyDescent="0.3">
      <c r="A683">
        <v>27672</v>
      </c>
      <c r="B683" t="str">
        <f>_xlfn.CONCAT(Tabel1[[#This Row],[personeelsnr]]," ",C683," ",D683)</f>
        <v>27672 Criel Veronique</v>
      </c>
      <c r="C683" t="str">
        <f>VLOOKUP(Tabel1[[#This Row],[personeelsnr]],'data hastus'!$A:$C,2,0)</f>
        <v>Criel</v>
      </c>
      <c r="D683" t="str">
        <f>VLOOKUP(Tabel1[[#This Row],[personeelsnr]],'data hastus'!$A:$C,3,0)</f>
        <v>Veronique</v>
      </c>
      <c r="E683" t="str">
        <f>VLOOKUP(Tabel1[[#This Row],[personeelsnr]],'data hastus'!A:K,11,FALSE)</f>
        <v>Steven Storm</v>
      </c>
      <c r="F683" s="10"/>
      <c r="G683" s="6"/>
      <c r="H683" s="6"/>
      <c r="I683" s="6"/>
      <c r="J683"/>
      <c r="K683">
        <v>1</v>
      </c>
      <c r="L683"/>
      <c r="M683"/>
      <c r="N683"/>
      <c r="O683"/>
      <c r="P683"/>
      <c r="Q683"/>
      <c r="R683"/>
      <c r="S683">
        <f>SUM(Tabel1[[#This Row],[Januari]:[December]])</f>
        <v>1</v>
      </c>
      <c r="T683" s="3">
        <v>45787</v>
      </c>
      <c r="U683" s="8" t="s">
        <v>1110</v>
      </c>
      <c r="V683" s="8"/>
      <c r="W683" s="8">
        <v>1</v>
      </c>
      <c r="X683" t="s">
        <v>207</v>
      </c>
      <c r="Y683" t="s">
        <v>176</v>
      </c>
    </row>
    <row r="684" spans="1:25" x14ac:dyDescent="0.3">
      <c r="A684">
        <v>40138</v>
      </c>
      <c r="B684" t="str">
        <f>_xlfn.CONCAT(Tabel1[[#This Row],[personeelsnr]]," ",C684," ",D684)</f>
        <v>40138 Moerman Tjimmy</v>
      </c>
      <c r="C684" t="str">
        <f>VLOOKUP(Tabel1[[#This Row],[personeelsnr]],'data hastus'!$A:$C,2,0)</f>
        <v>Moerman</v>
      </c>
      <c r="D684" t="str">
        <f>VLOOKUP(Tabel1[[#This Row],[personeelsnr]],'data hastus'!$A:$C,3,0)</f>
        <v>Tjimmy</v>
      </c>
      <c r="E684" t="str">
        <f>VLOOKUP(Tabel1[[#This Row],[personeelsnr]],'data hastus'!A:K,11,FALSE)</f>
        <v>Christoff Rotty</v>
      </c>
      <c r="F684" s="10"/>
      <c r="G684" s="6"/>
      <c r="H684" s="6"/>
      <c r="I684" s="6"/>
      <c r="J684"/>
      <c r="K684">
        <v>1</v>
      </c>
      <c r="L684"/>
      <c r="M684"/>
      <c r="N684"/>
      <c r="O684"/>
      <c r="P684"/>
      <c r="Q684"/>
      <c r="R684"/>
      <c r="S684">
        <f>SUM(Tabel1[[#This Row],[Januari]:[December]])</f>
        <v>1</v>
      </c>
      <c r="T684" s="3">
        <v>45788</v>
      </c>
      <c r="U684" s="8" t="s">
        <v>1111</v>
      </c>
      <c r="V684" s="8">
        <v>1</v>
      </c>
      <c r="W684" s="8"/>
      <c r="X684" t="s">
        <v>206</v>
      </c>
      <c r="Y684" t="s">
        <v>173</v>
      </c>
    </row>
    <row r="685" spans="1:25" x14ac:dyDescent="0.3">
      <c r="A685">
        <v>39856</v>
      </c>
      <c r="B685" t="str">
        <f>_xlfn.CONCAT(Tabel1[[#This Row],[personeelsnr]]," ",C685," ",D685)</f>
        <v>39856 Curukcu Bayram</v>
      </c>
      <c r="C685" t="str">
        <f>VLOOKUP(Tabel1[[#This Row],[personeelsnr]],'data hastus'!$A:$C,2,0)</f>
        <v>Curukcu</v>
      </c>
      <c r="D685" t="str">
        <f>VLOOKUP(Tabel1[[#This Row],[personeelsnr]],'data hastus'!$A:$C,3,0)</f>
        <v>Bayram</v>
      </c>
      <c r="E685" t="str">
        <f>VLOOKUP(Tabel1[[#This Row],[personeelsnr]],'data hastus'!A:K,11,FALSE)</f>
        <v>Kenneth De Rick</v>
      </c>
      <c r="F685" s="10"/>
      <c r="G685" s="6"/>
      <c r="H685" s="6"/>
      <c r="I685" s="6"/>
      <c r="J685"/>
      <c r="K685">
        <v>1</v>
      </c>
      <c r="L685"/>
      <c r="M685"/>
      <c r="N685"/>
      <c r="O685"/>
      <c r="P685"/>
      <c r="Q685"/>
      <c r="R685"/>
      <c r="S685">
        <f>SUM(Tabel1[[#This Row],[Januari]:[December]])</f>
        <v>1</v>
      </c>
      <c r="T685" s="3">
        <v>45790</v>
      </c>
      <c r="U685" s="8" t="s">
        <v>1112</v>
      </c>
      <c r="V685" s="8">
        <v>1</v>
      </c>
      <c r="W685" s="8"/>
      <c r="X685" t="s">
        <v>206</v>
      </c>
      <c r="Y685" t="s">
        <v>196</v>
      </c>
    </row>
    <row r="686" spans="1:25" x14ac:dyDescent="0.3">
      <c r="A686">
        <v>29746</v>
      </c>
      <c r="B686" t="str">
        <f>_xlfn.CONCAT(Tabel1[[#This Row],[personeelsnr]]," ",C686," ",D686)</f>
        <v>29746 Huyse Annicke</v>
      </c>
      <c r="C686" t="str">
        <f>VLOOKUP(Tabel1[[#This Row],[personeelsnr]],'data hastus'!$A:$C,2,0)</f>
        <v>Huyse</v>
      </c>
      <c r="D686" t="str">
        <f>VLOOKUP(Tabel1[[#This Row],[personeelsnr]],'data hastus'!$A:$C,3,0)</f>
        <v>Annicke</v>
      </c>
      <c r="E686" t="str">
        <f>VLOOKUP(Tabel1[[#This Row],[personeelsnr]],'data hastus'!A:K,11,FALSE)</f>
        <v>Bart Van Der Beken</v>
      </c>
      <c r="F686" s="10"/>
      <c r="G686" s="7"/>
      <c r="H686" s="7"/>
      <c r="I686" s="7"/>
      <c r="K686" s="5">
        <v>1</v>
      </c>
      <c r="S686" s="5">
        <f>SUM(Tabel1[[#This Row],[Januari]:[December]])</f>
        <v>1</v>
      </c>
      <c r="T686" s="9">
        <v>45791</v>
      </c>
      <c r="U686" s="8" t="s">
        <v>1113</v>
      </c>
      <c r="V686" s="8">
        <v>1</v>
      </c>
      <c r="W686" s="8"/>
      <c r="X686" t="s">
        <v>206</v>
      </c>
      <c r="Y686" t="s">
        <v>170</v>
      </c>
    </row>
    <row r="687" spans="1:25" x14ac:dyDescent="0.3">
      <c r="A687">
        <v>36428</v>
      </c>
      <c r="B687" t="str">
        <f>_xlfn.CONCAT(Tabel1[[#This Row],[personeelsnr]]," ",C687," ",D687)</f>
        <v>36428 Abdi Shaiye Rashid</v>
      </c>
      <c r="C687" t="str">
        <f>VLOOKUP(Tabel1[[#This Row],[personeelsnr]],'data hastus'!$A:$C,2,0)</f>
        <v>Abdi Shaiye</v>
      </c>
      <c r="D687" t="str">
        <f>VLOOKUP(Tabel1[[#This Row],[personeelsnr]],'data hastus'!$A:$C,3,0)</f>
        <v>Rashid</v>
      </c>
      <c r="E687" t="str">
        <f>VLOOKUP(Tabel1[[#This Row],[personeelsnr]],'data hastus'!A:K,11,FALSE)</f>
        <v>Lucie Vande Velde</v>
      </c>
      <c r="F687" s="10"/>
      <c r="G687" s="7"/>
      <c r="H687" s="7"/>
      <c r="I687" s="7"/>
      <c r="K687" s="5">
        <v>1</v>
      </c>
      <c r="S687" s="5">
        <f>SUM(Tabel1[[#This Row],[Januari]:[December]])</f>
        <v>1</v>
      </c>
      <c r="T687" s="9">
        <v>45792</v>
      </c>
      <c r="U687" s="8" t="s">
        <v>1114</v>
      </c>
      <c r="V687" s="8"/>
      <c r="W687" s="8">
        <v>1</v>
      </c>
      <c r="X687" t="s">
        <v>207</v>
      </c>
      <c r="Y687" t="s">
        <v>167</v>
      </c>
    </row>
    <row r="688" spans="1:25" x14ac:dyDescent="0.3">
      <c r="A688">
        <v>40393</v>
      </c>
      <c r="B688" t="str">
        <f>_xlfn.CONCAT(Tabel1[[#This Row],[personeelsnr]]," ",C688," ",D688)</f>
        <v>40393 Salimova Eydzhan</v>
      </c>
      <c r="C688" t="str">
        <f>VLOOKUP(Tabel1[[#This Row],[personeelsnr]],'data hastus'!$A:$C,2,0)</f>
        <v>Salimova</v>
      </c>
      <c r="D688" t="str">
        <f>VLOOKUP(Tabel1[[#This Row],[personeelsnr]],'data hastus'!$A:$C,3,0)</f>
        <v>Eydzhan</v>
      </c>
      <c r="E688" t="str">
        <f>VLOOKUP(Tabel1[[#This Row],[personeelsnr]],'data hastus'!A:K,11,FALSE)</f>
        <v>Dominique De Clercq</v>
      </c>
      <c r="F688" s="10"/>
      <c r="G688" s="7"/>
      <c r="H688" s="7"/>
      <c r="I688" s="7"/>
      <c r="S688" s="5">
        <f>SUM(Tabel1[[#This Row],[Januari]:[December]])</f>
        <v>0</v>
      </c>
      <c r="T688" s="9">
        <v>45792</v>
      </c>
      <c r="U688" s="8" t="s">
        <v>1115</v>
      </c>
      <c r="V688" s="8">
        <v>1</v>
      </c>
      <c r="W688" s="8"/>
      <c r="X688" t="s">
        <v>206</v>
      </c>
      <c r="Y688" t="s">
        <v>339</v>
      </c>
    </row>
    <row r="689" spans="1:25" x14ac:dyDescent="0.3">
      <c r="A689">
        <v>41230</v>
      </c>
      <c r="B689" t="str">
        <f>_xlfn.CONCAT(Tabel1[[#This Row],[personeelsnr]]," ",C689," ",D689)</f>
        <v>41230 De Witte Bart</v>
      </c>
      <c r="C689" t="str">
        <f>VLOOKUP(Tabel1[[#This Row],[personeelsnr]],'data hastus'!$A:$C,2,0)</f>
        <v>De Witte</v>
      </c>
      <c r="D689" t="str">
        <f>VLOOKUP(Tabel1[[#This Row],[personeelsnr]],'data hastus'!$A:$C,3,0)</f>
        <v>Bart</v>
      </c>
      <c r="E689" t="str">
        <f>VLOOKUP(Tabel1[[#This Row],[personeelsnr]],'data hastus'!A:K,11,FALSE)</f>
        <v>Dominique De Clercq</v>
      </c>
      <c r="F689" s="10"/>
      <c r="G689" s="7"/>
      <c r="H689" s="7"/>
      <c r="I689" s="7"/>
      <c r="K689" s="5">
        <v>1</v>
      </c>
      <c r="S689" s="5">
        <f>SUM(Tabel1[[#This Row],[Januari]:[December]])</f>
        <v>1</v>
      </c>
      <c r="T689" s="9">
        <v>45794</v>
      </c>
      <c r="U689" s="8" t="s">
        <v>1116</v>
      </c>
      <c r="V689" s="8">
        <v>1</v>
      </c>
      <c r="W689" s="8"/>
      <c r="X689" t="s">
        <v>206</v>
      </c>
      <c r="Y689" t="s">
        <v>306</v>
      </c>
    </row>
    <row r="690" spans="1:25" x14ac:dyDescent="0.3">
      <c r="A690">
        <v>41710</v>
      </c>
      <c r="B690" t="str">
        <f>_xlfn.CONCAT(Tabel1[[#This Row],[personeelsnr]]," ",C690," ",D690)</f>
        <v>41710 Ghani Fazal</v>
      </c>
      <c r="C690" t="str">
        <f>VLOOKUP(Tabel1[[#This Row],[personeelsnr]],'data hastus'!$A:$C,2,0)</f>
        <v>Ghani</v>
      </c>
      <c r="D690" t="str">
        <f>VLOOKUP(Tabel1[[#This Row],[personeelsnr]],'data hastus'!$A:$C,3,0)</f>
        <v>Fazal</v>
      </c>
      <c r="E690" t="str">
        <f>VLOOKUP(Tabel1[[#This Row],[personeelsnr]],'data hastus'!A:K,11,FALSE)</f>
        <v>Els Vanhoe</v>
      </c>
      <c r="F690" s="10"/>
      <c r="G690" s="7"/>
      <c r="H690" s="7"/>
      <c r="I690" s="7"/>
      <c r="K690" s="5">
        <v>1</v>
      </c>
      <c r="S690" s="5">
        <f>SUM(Tabel1[[#This Row],[Januari]:[December]])</f>
        <v>1</v>
      </c>
      <c r="T690" s="9">
        <v>45798</v>
      </c>
      <c r="U690" s="8" t="s">
        <v>1117</v>
      </c>
      <c r="V690" s="8">
        <v>1</v>
      </c>
      <c r="W690" s="8"/>
      <c r="X690" t="s">
        <v>206</v>
      </c>
      <c r="Y690" t="s">
        <v>288</v>
      </c>
    </row>
    <row r="691" spans="1:25" x14ac:dyDescent="0.3">
      <c r="A691">
        <v>38648</v>
      </c>
      <c r="B691" t="str">
        <f>_xlfn.CONCAT(Tabel1[[#This Row],[personeelsnr]]," ",C691," ",D691)</f>
        <v>38648 Uckuyulu Muhammet Emin</v>
      </c>
      <c r="C691" t="str">
        <f>VLOOKUP(Tabel1[[#This Row],[personeelsnr]],'data hastus'!$A:$C,2,0)</f>
        <v>Uckuyulu</v>
      </c>
      <c r="D691" t="str">
        <f>VLOOKUP(Tabel1[[#This Row],[personeelsnr]],'data hastus'!$A:$C,3,0)</f>
        <v>Muhammet Emin</v>
      </c>
      <c r="E691" t="str">
        <f>VLOOKUP(Tabel1[[#This Row],[personeelsnr]],'data hastus'!A:K,11,FALSE)</f>
        <v>Lucie Vande Velde</v>
      </c>
      <c r="F691" s="10"/>
      <c r="G691" s="7"/>
      <c r="H691" s="7"/>
      <c r="I691" s="7"/>
      <c r="K691" s="5">
        <v>1</v>
      </c>
      <c r="S691" s="5">
        <f>SUM(Tabel1[[#This Row],[Januari]:[December]])</f>
        <v>1</v>
      </c>
      <c r="T691" s="9">
        <v>45798</v>
      </c>
      <c r="U691" s="8" t="s">
        <v>1118</v>
      </c>
      <c r="V691" s="8"/>
      <c r="W691" s="8">
        <v>1</v>
      </c>
      <c r="X691" t="s">
        <v>207</v>
      </c>
      <c r="Y691" t="s">
        <v>308</v>
      </c>
    </row>
    <row r="692" spans="1:25" x14ac:dyDescent="0.3">
      <c r="A692">
        <v>41671</v>
      </c>
      <c r="B692" t="str">
        <f>_xlfn.CONCAT(Tabel1[[#This Row],[personeelsnr]]," ",C692," ",D692)</f>
        <v>41671 Hasan Salem</v>
      </c>
      <c r="C692" t="str">
        <f>VLOOKUP(Tabel1[[#This Row],[personeelsnr]],'data hastus'!$A:$C,2,0)</f>
        <v>Hasan</v>
      </c>
      <c r="D692" t="str">
        <f>VLOOKUP(Tabel1[[#This Row],[personeelsnr]],'data hastus'!$A:$C,3,0)</f>
        <v>Salem</v>
      </c>
      <c r="E692" t="str">
        <f>VLOOKUP(Tabel1[[#This Row],[personeelsnr]],'data hastus'!A:K,11,FALSE)</f>
        <v>Bart Van Der Beken</v>
      </c>
      <c r="F692" s="10"/>
      <c r="G692" s="7"/>
      <c r="H692" s="7"/>
      <c r="I692" s="7"/>
      <c r="K692" s="5">
        <v>1</v>
      </c>
      <c r="S692" s="5">
        <f>SUM(Tabel1[[#This Row],[Januari]:[December]])</f>
        <v>1</v>
      </c>
      <c r="T692" s="9">
        <v>45799</v>
      </c>
      <c r="U692" s="8" t="s">
        <v>1119</v>
      </c>
      <c r="V692" s="8">
        <v>1</v>
      </c>
      <c r="W692" s="8"/>
      <c r="X692" t="s">
        <v>206</v>
      </c>
      <c r="Y692" t="s">
        <v>201</v>
      </c>
    </row>
    <row r="693" spans="1:25" x14ac:dyDescent="0.3">
      <c r="A693">
        <v>41482</v>
      </c>
      <c r="B693" t="str">
        <f>_xlfn.CONCAT(Tabel1[[#This Row],[personeelsnr]]," ",C693," ",D693)</f>
        <v>41482 Özdemir Osman</v>
      </c>
      <c r="C693" t="str">
        <f>VLOOKUP(Tabel1[[#This Row],[personeelsnr]],'data hastus'!$A:$C,2,0)</f>
        <v>Özdemir</v>
      </c>
      <c r="D693" t="str">
        <f>VLOOKUP(Tabel1[[#This Row],[personeelsnr]],'data hastus'!$A:$C,3,0)</f>
        <v>Osman</v>
      </c>
      <c r="E693" t="str">
        <f>VLOOKUP(Tabel1[[#This Row],[personeelsnr]],'data hastus'!A:K,11,FALSE)</f>
        <v>Bart Van Der Beken</v>
      </c>
      <c r="F693" s="10"/>
      <c r="G693" s="7"/>
      <c r="H693" s="7"/>
      <c r="I693" s="7"/>
      <c r="K693" s="5">
        <v>1</v>
      </c>
      <c r="S693" s="5">
        <f>SUM(Tabel1[[#This Row],[Januari]:[December]])</f>
        <v>1</v>
      </c>
      <c r="T693" s="9">
        <v>45800</v>
      </c>
      <c r="U693" s="8" t="s">
        <v>1120</v>
      </c>
      <c r="V693" s="8">
        <v>1</v>
      </c>
      <c r="W693" s="8"/>
      <c r="X693" t="s">
        <v>206</v>
      </c>
      <c r="Y693" t="s">
        <v>169</v>
      </c>
    </row>
    <row r="694" spans="1:25" x14ac:dyDescent="0.3">
      <c r="A694">
        <v>40278</v>
      </c>
      <c r="B694" t="str">
        <f>_xlfn.CONCAT(Tabel1[[#This Row],[personeelsnr]]," ",C694," ",D694)</f>
        <v>40278 Ates Firat</v>
      </c>
      <c r="C694" t="str">
        <f>VLOOKUP(Tabel1[[#This Row],[personeelsnr]],'data hastus'!$A:$C,2,0)</f>
        <v>Ates</v>
      </c>
      <c r="D694" t="str">
        <f>VLOOKUP(Tabel1[[#This Row],[personeelsnr]],'data hastus'!$A:$C,3,0)</f>
        <v>Firat</v>
      </c>
      <c r="E694" t="str">
        <f>VLOOKUP(Tabel1[[#This Row],[personeelsnr]],'data hastus'!A:K,11,FALSE)</f>
        <v>Christoff Rotty</v>
      </c>
      <c r="F694" s="10"/>
      <c r="G694" s="7"/>
      <c r="H694" s="7"/>
      <c r="I694" s="7"/>
      <c r="K694" s="5">
        <v>1</v>
      </c>
      <c r="S694" s="5">
        <f>SUM(Tabel1[[#This Row],[Januari]:[December]])</f>
        <v>1</v>
      </c>
      <c r="T694" s="9">
        <v>45800</v>
      </c>
      <c r="U694" s="5" t="s">
        <v>1121</v>
      </c>
      <c r="V694" s="8">
        <v>1</v>
      </c>
      <c r="X694" t="s">
        <v>206</v>
      </c>
      <c r="Y694" t="s">
        <v>179</v>
      </c>
    </row>
    <row r="695" spans="1:25" x14ac:dyDescent="0.3">
      <c r="A695">
        <v>15282</v>
      </c>
      <c r="B695" t="str">
        <f>_xlfn.CONCAT(Tabel1[[#This Row],[personeelsnr]]," ",C695," ",D695)</f>
        <v>15282 Marinx Kristoff</v>
      </c>
      <c r="C695" t="str">
        <f>VLOOKUP(Tabel1[[#This Row],[personeelsnr]],'data hastus'!$A:$C,2,0)</f>
        <v>Marinx</v>
      </c>
      <c r="D695" t="str">
        <f>VLOOKUP(Tabel1[[#This Row],[personeelsnr]],'data hastus'!$A:$C,3,0)</f>
        <v>Kristoff</v>
      </c>
      <c r="E695" t="str">
        <f>VLOOKUP(Tabel1[[#This Row],[personeelsnr]],'data hastus'!A:K,11,FALSE)</f>
        <v>Kenneth De Rick</v>
      </c>
      <c r="F695" s="10"/>
      <c r="G695" s="7"/>
      <c r="H695" s="7"/>
      <c r="I695" s="7"/>
      <c r="K695" s="5">
        <v>1</v>
      </c>
      <c r="S695" s="5">
        <f>SUM(Tabel1[[#This Row],[Januari]:[December]])</f>
        <v>1</v>
      </c>
      <c r="T695" s="9">
        <v>45803</v>
      </c>
      <c r="U695" s="8" t="s">
        <v>3280</v>
      </c>
      <c r="V695" s="8"/>
      <c r="W695" s="8">
        <v>1</v>
      </c>
      <c r="X695" t="s">
        <v>207</v>
      </c>
      <c r="Y695" t="s">
        <v>245</v>
      </c>
    </row>
    <row r="696" spans="1:25" x14ac:dyDescent="0.3">
      <c r="A696">
        <v>36438</v>
      </c>
      <c r="B696" t="str">
        <f>_xlfn.CONCAT(Tabel1[[#This Row],[personeelsnr]]," ",C696," ",D696)</f>
        <v>36438 Agil Birol</v>
      </c>
      <c r="C696" t="str">
        <f>VLOOKUP(Tabel1[[#This Row],[personeelsnr]],'data hastus'!$A:$C,2,0)</f>
        <v>Agil</v>
      </c>
      <c r="D696" t="str">
        <f>VLOOKUP(Tabel1[[#This Row],[personeelsnr]],'data hastus'!$A:$C,3,0)</f>
        <v>Birol</v>
      </c>
      <c r="E696" t="str">
        <f>VLOOKUP(Tabel1[[#This Row],[personeelsnr]],'data hastus'!A:K,11,FALSE)</f>
        <v>Bart Van Der Beken</v>
      </c>
      <c r="F696" s="10"/>
      <c r="G696" s="6"/>
      <c r="H696" s="6"/>
      <c r="I696" s="6"/>
      <c r="J696"/>
      <c r="K696">
        <v>1</v>
      </c>
      <c r="L696"/>
      <c r="M696"/>
      <c r="N696"/>
      <c r="O696"/>
      <c r="P696"/>
      <c r="Q696"/>
      <c r="R696"/>
      <c r="S696">
        <f>SUM(Tabel1[[#This Row],[Januari]:[December]])</f>
        <v>1</v>
      </c>
      <c r="T696" s="3">
        <v>45803</v>
      </c>
      <c r="U696" s="8" t="s">
        <v>1122</v>
      </c>
      <c r="V696" s="8"/>
      <c r="W696" s="8">
        <v>1</v>
      </c>
      <c r="X696" t="s">
        <v>207</v>
      </c>
      <c r="Y696" t="s">
        <v>246</v>
      </c>
    </row>
    <row r="697" spans="1:25" x14ac:dyDescent="0.3">
      <c r="A697">
        <v>15412</v>
      </c>
      <c r="B697" t="str">
        <f>_xlfn.CONCAT(Tabel1[[#This Row],[personeelsnr]]," ",C697," ",D697)</f>
        <v>15412 Dhondt Frank</v>
      </c>
      <c r="C697" t="str">
        <f>VLOOKUP(Tabel1[[#This Row],[personeelsnr]],'data hastus'!$A:$C,2,0)</f>
        <v>Dhondt</v>
      </c>
      <c r="D697" t="str">
        <f>VLOOKUP(Tabel1[[#This Row],[personeelsnr]],'data hastus'!$A:$C,3,0)</f>
        <v>Frank</v>
      </c>
      <c r="E697" t="str">
        <f>VLOOKUP(Tabel1[[#This Row],[personeelsnr]],'data hastus'!A:K,11,FALSE)</f>
        <v>Bart Van Der Beken</v>
      </c>
      <c r="F697" s="10"/>
      <c r="G697" s="7"/>
      <c r="H697" s="7"/>
      <c r="I697" s="7"/>
      <c r="L697" s="5">
        <v>1</v>
      </c>
      <c r="S697" s="5">
        <f>SUM(Tabel1[[#This Row],[Januari]:[December]])</f>
        <v>1</v>
      </c>
      <c r="T697" s="9">
        <v>45803</v>
      </c>
      <c r="U697" s="8" t="s">
        <v>1123</v>
      </c>
      <c r="V697" s="8">
        <v>1</v>
      </c>
      <c r="W697" s="8"/>
      <c r="X697" t="s">
        <v>206</v>
      </c>
      <c r="Y697" t="s">
        <v>265</v>
      </c>
    </row>
    <row r="698" spans="1:25" x14ac:dyDescent="0.3">
      <c r="A698">
        <v>40856</v>
      </c>
      <c r="B698" t="str">
        <f>_xlfn.CONCAT(Tabel1[[#This Row],[personeelsnr]]," ",C698," ",D698)</f>
        <v>40856 Neissi Sadegh</v>
      </c>
      <c r="C698" t="str">
        <f>VLOOKUP(Tabel1[[#This Row],[personeelsnr]],'data hastus'!$A:$C,2,0)</f>
        <v>Neissi</v>
      </c>
      <c r="D698" t="str">
        <f>VLOOKUP(Tabel1[[#This Row],[personeelsnr]],'data hastus'!$A:$C,3,0)</f>
        <v>Sadegh</v>
      </c>
      <c r="E698" t="str">
        <f>VLOOKUP(Tabel1[[#This Row],[personeelsnr]],'data hastus'!A:K,11,FALSE)</f>
        <v>Kenneth De Rick</v>
      </c>
      <c r="F698" s="10"/>
      <c r="G698" s="7"/>
      <c r="H698" s="7"/>
      <c r="I698" s="7"/>
      <c r="K698" s="5">
        <v>1</v>
      </c>
      <c r="S698" s="5">
        <f>SUM(Tabel1[[#This Row],[Januari]:[December]])</f>
        <v>1</v>
      </c>
      <c r="T698" s="9">
        <v>45806</v>
      </c>
      <c r="U698" s="8" t="s">
        <v>1124</v>
      </c>
      <c r="V698" s="8">
        <v>1</v>
      </c>
      <c r="W698" s="8"/>
      <c r="X698" t="s">
        <v>206</v>
      </c>
      <c r="Y698" t="s">
        <v>263</v>
      </c>
    </row>
    <row r="699" spans="1:25" x14ac:dyDescent="0.3">
      <c r="A699">
        <v>41619</v>
      </c>
      <c r="B699" t="str">
        <f>_xlfn.CONCAT(Tabel1[[#This Row],[personeelsnr]]," ",C699," ",D699)</f>
        <v>41619 Bachiri Ousama</v>
      </c>
      <c r="C699" t="str">
        <f>VLOOKUP(Tabel1[[#This Row],[personeelsnr]],'data hastus'!$A:$C,2,0)</f>
        <v>Bachiri</v>
      </c>
      <c r="D699" t="str">
        <f>VLOOKUP(Tabel1[[#This Row],[personeelsnr]],'data hastus'!$A:$C,3,0)</f>
        <v>Ousama</v>
      </c>
      <c r="E699" t="str">
        <f>VLOOKUP(Tabel1[[#This Row],[personeelsnr]],'data hastus'!A:K,11,FALSE)</f>
        <v>Bart Van Der Beken</v>
      </c>
      <c r="F699" s="10"/>
      <c r="G699" s="7"/>
      <c r="H699" s="7"/>
      <c r="I699" s="7"/>
      <c r="K699" s="5">
        <v>1</v>
      </c>
      <c r="S699" s="5">
        <f>SUM(Tabel1[[#This Row],[Januari]:[December]])</f>
        <v>1</v>
      </c>
      <c r="T699" s="9">
        <v>45807</v>
      </c>
      <c r="U699" s="8" t="s">
        <v>1125</v>
      </c>
      <c r="V699" s="8">
        <v>1</v>
      </c>
      <c r="W699" s="8"/>
      <c r="X699" t="s">
        <v>206</v>
      </c>
      <c r="Y699" t="s">
        <v>290</v>
      </c>
    </row>
    <row r="700" spans="1:25" x14ac:dyDescent="0.3">
      <c r="A700">
        <v>39927</v>
      </c>
      <c r="B700" t="str">
        <f>_xlfn.CONCAT(Tabel1[[#This Row],[personeelsnr]]," ",C700," ",D700)</f>
        <v>39927 De Wilde Jordy</v>
      </c>
      <c r="C700" t="str">
        <f>VLOOKUP(Tabel1[[#This Row],[personeelsnr]],'data hastus'!$A:$C,2,0)</f>
        <v>De Wilde</v>
      </c>
      <c r="D700" t="str">
        <f>VLOOKUP(Tabel1[[#This Row],[personeelsnr]],'data hastus'!$A:$C,3,0)</f>
        <v>Jordy</v>
      </c>
      <c r="E700" t="str">
        <f>VLOOKUP(Tabel1[[#This Row],[personeelsnr]],'data hastus'!A:K,11,FALSE)</f>
        <v>Christoff Rotty</v>
      </c>
      <c r="F700" s="10"/>
      <c r="G700" s="7"/>
      <c r="H700" s="7"/>
      <c r="I700" s="7"/>
      <c r="K700" s="5">
        <v>1</v>
      </c>
      <c r="S700" s="5">
        <f>SUM(Tabel1[[#This Row],[Januari]:[December]])</f>
        <v>1</v>
      </c>
      <c r="T700" s="9">
        <v>45808</v>
      </c>
      <c r="U700" s="8" t="s">
        <v>1126</v>
      </c>
      <c r="V700" s="8"/>
      <c r="W700" s="8">
        <v>1</v>
      </c>
      <c r="X700" t="s">
        <v>207</v>
      </c>
      <c r="Y700" t="s">
        <v>168</v>
      </c>
    </row>
    <row r="701" spans="1:25" x14ac:dyDescent="0.3">
      <c r="A701">
        <v>41384</v>
      </c>
      <c r="B701" t="str">
        <f>_xlfn.CONCAT(Tabel1[[#This Row],[personeelsnr]]," ",C701," ",D701)</f>
        <v>41384 Hillaert Thimo</v>
      </c>
      <c r="C701" t="str">
        <f>VLOOKUP(Tabel1[[#This Row],[personeelsnr]],'data hastus'!$A:$C,2,0)</f>
        <v>Hillaert</v>
      </c>
      <c r="D701" t="str">
        <f>VLOOKUP(Tabel1[[#This Row],[personeelsnr]],'data hastus'!$A:$C,3,0)</f>
        <v>Thimo</v>
      </c>
      <c r="E701" t="str">
        <f>VLOOKUP(Tabel1[[#This Row],[personeelsnr]],'data hastus'!A:K,11,FALSE)</f>
        <v>Christoff Rotty</v>
      </c>
      <c r="F701" s="10"/>
      <c r="G701" s="7"/>
      <c r="H701" s="7"/>
      <c r="I701" s="7"/>
      <c r="L701" s="5">
        <v>1</v>
      </c>
      <c r="S701" s="5">
        <f>SUM(Tabel1[[#This Row],[Januari]:[December]])</f>
        <v>1</v>
      </c>
      <c r="T701" s="9">
        <v>45810</v>
      </c>
      <c r="U701" s="8" t="s">
        <v>1127</v>
      </c>
      <c r="V701" s="8">
        <v>1</v>
      </c>
      <c r="W701" s="8"/>
      <c r="X701" t="s">
        <v>206</v>
      </c>
      <c r="Y701" t="s">
        <v>190</v>
      </c>
    </row>
    <row r="702" spans="1:25" x14ac:dyDescent="0.3">
      <c r="A702">
        <v>40036</v>
      </c>
      <c r="B702" t="str">
        <f>_xlfn.CONCAT(Tabel1[[#This Row],[personeelsnr]]," ",C702," ",D702)</f>
        <v>40036 Karakaya Oguz</v>
      </c>
      <c r="C702" t="str">
        <f>VLOOKUP(Tabel1[[#This Row],[personeelsnr]],'data hastus'!$A:$C,2,0)</f>
        <v>Karakaya</v>
      </c>
      <c r="D702" t="str">
        <f>VLOOKUP(Tabel1[[#This Row],[personeelsnr]],'data hastus'!$A:$C,3,0)</f>
        <v>Oguz</v>
      </c>
      <c r="E702" t="str">
        <f>VLOOKUP(Tabel1[[#This Row],[personeelsnr]],'data hastus'!A:K,11,FALSE)</f>
        <v>Dominique De Clercq</v>
      </c>
      <c r="F702" s="10"/>
      <c r="G702" s="7"/>
      <c r="H702" s="7"/>
      <c r="I702" s="7"/>
      <c r="L702" s="5">
        <v>1</v>
      </c>
      <c r="S702" s="5">
        <f>SUM(Tabel1[[#This Row],[Januari]:[December]])</f>
        <v>1</v>
      </c>
      <c r="T702" s="9">
        <v>45810</v>
      </c>
      <c r="U702" s="8" t="s">
        <v>1128</v>
      </c>
      <c r="V702" s="8">
        <v>1</v>
      </c>
      <c r="W702" s="8"/>
      <c r="X702" t="s">
        <v>206</v>
      </c>
      <c r="Y702" t="s">
        <v>237</v>
      </c>
    </row>
    <row r="703" spans="1:25" x14ac:dyDescent="0.3">
      <c r="A703">
        <v>40278</v>
      </c>
      <c r="B703" t="str">
        <f>_xlfn.CONCAT(Tabel1[[#This Row],[personeelsnr]]," ",C703," ",D703)</f>
        <v>40278 Ates Firat</v>
      </c>
      <c r="C703" t="str">
        <f>VLOOKUP(Tabel1[[#This Row],[personeelsnr]],'data hastus'!$A:$C,2,0)</f>
        <v>Ates</v>
      </c>
      <c r="D703" t="str">
        <f>VLOOKUP(Tabel1[[#This Row],[personeelsnr]],'data hastus'!$A:$C,3,0)</f>
        <v>Firat</v>
      </c>
      <c r="E703" t="str">
        <f>VLOOKUP(Tabel1[[#This Row],[personeelsnr]],'data hastus'!A:K,11,FALSE)</f>
        <v>Christoff Rotty</v>
      </c>
      <c r="F703" s="10"/>
      <c r="G703" s="7"/>
      <c r="H703" s="7"/>
      <c r="I703" s="7"/>
      <c r="L703" s="5">
        <v>1</v>
      </c>
      <c r="S703" s="5">
        <f>SUM(Tabel1[[#This Row],[Januari]:[December]])</f>
        <v>1</v>
      </c>
      <c r="T703" s="9">
        <v>45810</v>
      </c>
      <c r="U703" s="8" t="s">
        <v>1129</v>
      </c>
      <c r="V703" s="8">
        <v>1</v>
      </c>
      <c r="W703" s="8"/>
      <c r="X703" t="s">
        <v>206</v>
      </c>
      <c r="Y703" t="s">
        <v>260</v>
      </c>
    </row>
    <row r="704" spans="1:25" x14ac:dyDescent="0.3">
      <c r="A704">
        <v>36154</v>
      </c>
      <c r="B704" t="str">
        <f>_xlfn.CONCAT(Tabel1[[#This Row],[personeelsnr]]," ",C704," ",D704)</f>
        <v>36154 De Clercq Sven</v>
      </c>
      <c r="C704" t="str">
        <f>VLOOKUP(Tabel1[[#This Row],[personeelsnr]],'data hastus'!$A:$C,2,0)</f>
        <v>De Clercq</v>
      </c>
      <c r="D704" t="str">
        <f>VLOOKUP(Tabel1[[#This Row],[personeelsnr]],'data hastus'!$A:$C,3,0)</f>
        <v>Sven</v>
      </c>
      <c r="E704" t="str">
        <f>VLOOKUP(Tabel1[[#This Row],[personeelsnr]],'data hastus'!A:K,11,FALSE)</f>
        <v>Lucie Vande Velde</v>
      </c>
      <c r="F704" s="10"/>
      <c r="G704" s="7"/>
      <c r="H704" s="7"/>
      <c r="I704" s="7"/>
      <c r="L704" s="5">
        <v>1</v>
      </c>
      <c r="S704" s="5">
        <f>SUM(Tabel1[[#This Row],[Januari]:[December]])</f>
        <v>1</v>
      </c>
      <c r="T704" s="9">
        <v>45811</v>
      </c>
      <c r="U704" s="8" t="s">
        <v>1130</v>
      </c>
      <c r="V704" s="8"/>
      <c r="W704" s="8">
        <v>1</v>
      </c>
      <c r="X704" t="s">
        <v>207</v>
      </c>
      <c r="Y704" t="s">
        <v>183</v>
      </c>
    </row>
    <row r="705" spans="1:25" x14ac:dyDescent="0.3">
      <c r="A705">
        <v>23918</v>
      </c>
      <c r="B705" t="str">
        <f>_xlfn.CONCAT(Tabel1[[#This Row],[personeelsnr]]," ",C705," ",D705)</f>
        <v>23918 D'Haeyere Bernard</v>
      </c>
      <c r="C705" t="str">
        <f>VLOOKUP(Tabel1[[#This Row],[personeelsnr]],'data hastus'!$A:$C,2,0)</f>
        <v>D'Haeyere</v>
      </c>
      <c r="D705" t="str">
        <f>VLOOKUP(Tabel1[[#This Row],[personeelsnr]],'data hastus'!$A:$C,3,0)</f>
        <v>Bernard</v>
      </c>
      <c r="E705" t="str">
        <f>VLOOKUP(Tabel1[[#This Row],[personeelsnr]],'data hastus'!A:K,11,FALSE)</f>
        <v>Els Vanhoe</v>
      </c>
      <c r="F705" s="10"/>
      <c r="G705" s="7"/>
      <c r="H705" s="7"/>
      <c r="I705" s="7"/>
      <c r="L705" s="5">
        <v>1</v>
      </c>
      <c r="S705" s="5">
        <f>SUM(Tabel1[[#This Row],[Januari]:[December]])</f>
        <v>1</v>
      </c>
      <c r="T705" s="9">
        <v>45811</v>
      </c>
      <c r="U705" s="8" t="s">
        <v>1131</v>
      </c>
      <c r="V705" s="8">
        <v>1</v>
      </c>
      <c r="W705" s="8"/>
      <c r="X705" t="s">
        <v>206</v>
      </c>
      <c r="Y705" t="s">
        <v>337</v>
      </c>
    </row>
    <row r="706" spans="1:25" x14ac:dyDescent="0.3">
      <c r="A706">
        <v>41246</v>
      </c>
      <c r="B706" t="str">
        <f>_xlfn.CONCAT(Tabel1[[#This Row],[personeelsnr]]," ",C706," ",D706)</f>
        <v>41246 Van Holsbeeck Yana</v>
      </c>
      <c r="C706" t="str">
        <f>VLOOKUP(Tabel1[[#This Row],[personeelsnr]],'data hastus'!$A:$C,2,0)</f>
        <v>Van Holsbeeck</v>
      </c>
      <c r="D706" t="str">
        <f>VLOOKUP(Tabel1[[#This Row],[personeelsnr]],'data hastus'!$A:$C,3,0)</f>
        <v>Yana</v>
      </c>
      <c r="E706" t="str">
        <f>VLOOKUP(Tabel1[[#This Row],[personeelsnr]],'data hastus'!A:K,11,FALSE)</f>
        <v>Dominique De Clercq</v>
      </c>
      <c r="F706" s="10"/>
      <c r="G706" s="7"/>
      <c r="H706" s="7"/>
      <c r="I706" s="7"/>
      <c r="L706" s="5">
        <v>1</v>
      </c>
      <c r="S706" s="5">
        <f>SUM(Tabel1[[#This Row],[Januari]:[December]])</f>
        <v>1</v>
      </c>
      <c r="T706" s="9">
        <v>45811</v>
      </c>
      <c r="U706" s="8" t="s">
        <v>1132</v>
      </c>
      <c r="V706" s="8">
        <v>1</v>
      </c>
      <c r="W706" s="8"/>
      <c r="X706" t="s">
        <v>206</v>
      </c>
      <c r="Y706" t="s">
        <v>383</v>
      </c>
    </row>
    <row r="707" spans="1:25" x14ac:dyDescent="0.3">
      <c r="A707">
        <v>41032</v>
      </c>
      <c r="B707" t="str">
        <f>_xlfn.CONCAT(Tabel1[[#This Row],[personeelsnr]]," ",C707," ",D707)</f>
        <v>41032 Rocabado Hinojosa Lukas</v>
      </c>
      <c r="C707" t="str">
        <f>VLOOKUP(Tabel1[[#This Row],[personeelsnr]],'data hastus'!$A:$C,2,0)</f>
        <v>Rocabado Hinojosa</v>
      </c>
      <c r="D707" t="str">
        <f>VLOOKUP(Tabel1[[#This Row],[personeelsnr]],'data hastus'!$A:$C,3,0)</f>
        <v>Lukas</v>
      </c>
      <c r="E707" t="str">
        <f>VLOOKUP(Tabel1[[#This Row],[personeelsnr]],'data hastus'!A:K,11,FALSE)</f>
        <v>Els Vanhoe</v>
      </c>
      <c r="F707" s="10"/>
      <c r="G707" s="7"/>
      <c r="H707" s="7"/>
      <c r="I707" s="7"/>
      <c r="L707" s="5">
        <v>1</v>
      </c>
      <c r="S707" s="5">
        <f>SUM(Tabel1[[#This Row],[Januari]:[December]])</f>
        <v>1</v>
      </c>
      <c r="T707" s="9">
        <v>45813</v>
      </c>
      <c r="U707" s="8" t="s">
        <v>1133</v>
      </c>
      <c r="V707" s="8">
        <v>1</v>
      </c>
      <c r="W707" s="8"/>
      <c r="X707" t="s">
        <v>206</v>
      </c>
      <c r="Y707" t="s">
        <v>169</v>
      </c>
    </row>
    <row r="708" spans="1:25" x14ac:dyDescent="0.3">
      <c r="A708">
        <v>41032</v>
      </c>
      <c r="B708" t="str">
        <f>_xlfn.CONCAT(Tabel1[[#This Row],[personeelsnr]]," ",C708," ",D708)</f>
        <v>41032 Rocabado Hinojosa Lukas</v>
      </c>
      <c r="C708" t="str">
        <f>VLOOKUP(Tabel1[[#This Row],[personeelsnr]],'data hastus'!$A:$C,2,0)</f>
        <v>Rocabado Hinojosa</v>
      </c>
      <c r="D708" t="str">
        <f>VLOOKUP(Tabel1[[#This Row],[personeelsnr]],'data hastus'!$A:$C,3,0)</f>
        <v>Lukas</v>
      </c>
      <c r="E708" t="str">
        <f>VLOOKUP(Tabel1[[#This Row],[personeelsnr]],'data hastus'!A:K,11,FALSE)</f>
        <v>Els Vanhoe</v>
      </c>
      <c r="F708" s="10"/>
      <c r="G708" s="7"/>
      <c r="H708" s="7"/>
      <c r="I708" s="7"/>
      <c r="L708" s="5">
        <v>1</v>
      </c>
      <c r="S708" s="5">
        <f>SUM(Tabel1[[#This Row],[Januari]:[December]])</f>
        <v>1</v>
      </c>
      <c r="T708" s="9">
        <v>45813</v>
      </c>
      <c r="U708" s="8" t="s">
        <v>1134</v>
      </c>
      <c r="V708" s="8">
        <v>1</v>
      </c>
      <c r="W708" s="8"/>
      <c r="X708" t="s">
        <v>206</v>
      </c>
      <c r="Y708" t="s">
        <v>211</v>
      </c>
    </row>
    <row r="709" spans="1:25" x14ac:dyDescent="0.3">
      <c r="A709">
        <v>33965</v>
      </c>
      <c r="B709" t="str">
        <f>_xlfn.CONCAT(Tabel1[[#This Row],[personeelsnr]]," ",C709," ",D709)</f>
        <v>33965 Van de Gehuchte Gilles</v>
      </c>
      <c r="C709" t="str">
        <f>VLOOKUP(Tabel1[[#This Row],[personeelsnr]],'data hastus'!$A:$C,2,0)</f>
        <v>Van de Gehuchte</v>
      </c>
      <c r="D709" t="str">
        <f>VLOOKUP(Tabel1[[#This Row],[personeelsnr]],'data hastus'!$A:$C,3,0)</f>
        <v>Gilles</v>
      </c>
      <c r="E709" t="str">
        <f>VLOOKUP(Tabel1[[#This Row],[personeelsnr]],'data hastus'!A:K,11,FALSE)</f>
        <v>Kenneth De Rick</v>
      </c>
      <c r="F709" s="10"/>
      <c r="G709" s="7"/>
      <c r="H709" s="7"/>
      <c r="I709" s="7"/>
      <c r="N709" s="5">
        <v>1</v>
      </c>
      <c r="S709" s="5">
        <f>SUM(Tabel1[[#This Row],[Januari]:[December]])</f>
        <v>1</v>
      </c>
      <c r="T709" s="9">
        <v>45524</v>
      </c>
      <c r="U709" s="8" t="s">
        <v>1135</v>
      </c>
      <c r="V709" s="8"/>
      <c r="W709" s="8">
        <v>1</v>
      </c>
      <c r="X709" t="s">
        <v>207</v>
      </c>
      <c r="Y709" t="s">
        <v>262</v>
      </c>
    </row>
    <row r="710" spans="1:25" x14ac:dyDescent="0.3">
      <c r="A710" s="15">
        <v>41246</v>
      </c>
      <c r="B710" s="15" t="str">
        <f>_xlfn.CONCAT(Tabel1[[#This Row],[personeelsnr]]," ",C710," ",D710)</f>
        <v>41246 Van Holsbeeck Yana</v>
      </c>
      <c r="C710" s="15" t="str">
        <f>VLOOKUP(Tabel1[[#This Row],[personeelsnr]],'data hastus'!$A:$C,2,0)</f>
        <v>Van Holsbeeck</v>
      </c>
      <c r="D710" s="15" t="str">
        <f>VLOOKUP(Tabel1[[#This Row],[personeelsnr]],'data hastus'!$A:$C,3,0)</f>
        <v>Yana</v>
      </c>
      <c r="E710" s="15" t="str">
        <f>VLOOKUP(Tabel1[[#This Row],[personeelsnr]],'data hastus'!A:K,11,FALSE)</f>
        <v>Dominique De Clercq</v>
      </c>
      <c r="F710" s="16">
        <v>45732</v>
      </c>
      <c r="G710" s="17"/>
      <c r="H710" s="17"/>
      <c r="I710" s="17"/>
      <c r="J710" s="18"/>
      <c r="K710" s="18"/>
      <c r="L710" s="18"/>
      <c r="M710" s="18"/>
      <c r="N710" s="18"/>
      <c r="O710" s="18"/>
      <c r="P710" s="18"/>
      <c r="Q710" s="18"/>
      <c r="R710" s="18"/>
      <c r="S710" s="18">
        <f>SUM(Tabel1[[#This Row],[Januari]:[December]])</f>
        <v>0</v>
      </c>
      <c r="T710" s="19"/>
      <c r="U710" s="20" t="s">
        <v>1136</v>
      </c>
      <c r="V710" s="8">
        <v>1</v>
      </c>
      <c r="W710" s="20"/>
      <c r="X710" t="s">
        <v>206</v>
      </c>
      <c r="Y710" s="15" t="s">
        <v>251</v>
      </c>
    </row>
    <row r="711" spans="1:25" x14ac:dyDescent="0.3">
      <c r="A711">
        <v>38807</v>
      </c>
      <c r="B711" t="str">
        <f>_xlfn.CONCAT(Tabel1[[#This Row],[personeelsnr]]," ",C711," ",D711)</f>
        <v>38807 Dossche Caroline</v>
      </c>
      <c r="C711" t="str">
        <f>VLOOKUP(Tabel1[[#This Row],[personeelsnr]],'data hastus'!$A:$C,2,0)</f>
        <v>Dossche</v>
      </c>
      <c r="D711" t="str">
        <f>VLOOKUP(Tabel1[[#This Row],[personeelsnr]],'data hastus'!$A:$C,3,0)</f>
        <v>Caroline</v>
      </c>
      <c r="E711" t="str">
        <f>VLOOKUP(Tabel1[[#This Row],[personeelsnr]],'data hastus'!A:K,11,FALSE)</f>
        <v>Christoff Rotty</v>
      </c>
      <c r="F711" s="10">
        <v>45718</v>
      </c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SUM(Tabel1[[#This Row],[Januari]:[December]])</f>
        <v>1</v>
      </c>
      <c r="T711" s="3"/>
      <c r="U711" s="8" t="s">
        <v>1137</v>
      </c>
      <c r="V711" s="8">
        <v>1</v>
      </c>
      <c r="W711" s="8"/>
      <c r="X711" t="s">
        <v>206</v>
      </c>
      <c r="Y711" t="s">
        <v>244</v>
      </c>
    </row>
    <row r="712" spans="1:25" x14ac:dyDescent="0.3">
      <c r="A712">
        <v>40744</v>
      </c>
      <c r="B712" t="str">
        <f>_xlfn.CONCAT(Tabel1[[#This Row],[personeelsnr]]," ",C712," ",D712)</f>
        <v>40744 Gözüküçük Ugur</v>
      </c>
      <c r="C712" t="str">
        <f>VLOOKUP(Tabel1[[#This Row],[personeelsnr]],'data hastus'!$A:$C,2,0)</f>
        <v>Gözüküçük</v>
      </c>
      <c r="D712" t="str">
        <f>VLOOKUP(Tabel1[[#This Row],[personeelsnr]],'data hastus'!$A:$C,3,0)</f>
        <v>Ugur</v>
      </c>
      <c r="E712" t="str">
        <f>VLOOKUP(Tabel1[[#This Row],[personeelsnr]],'data hastus'!A:K,11,FALSE)</f>
        <v>Bart Van Der Beken</v>
      </c>
      <c r="F712" s="10">
        <v>45630</v>
      </c>
      <c r="G712" s="6"/>
      <c r="H712" s="6"/>
      <c r="I712" s="6"/>
      <c r="J712"/>
      <c r="K712"/>
      <c r="L712"/>
      <c r="M712"/>
      <c r="N712"/>
      <c r="O712"/>
      <c r="P712"/>
      <c r="Q712"/>
      <c r="R712"/>
      <c r="S712">
        <f>SUM(Tabel1[[#This Row],[Januari]:[December]])</f>
        <v>0</v>
      </c>
      <c r="T712" s="3"/>
      <c r="U712" s="8" t="s">
        <v>902</v>
      </c>
      <c r="V712" s="8">
        <v>1</v>
      </c>
      <c r="W712" s="8"/>
      <c r="X712" t="s">
        <v>206</v>
      </c>
      <c r="Y712" t="s">
        <v>326</v>
      </c>
    </row>
    <row r="713" spans="1:25" x14ac:dyDescent="0.3">
      <c r="A713">
        <v>35490</v>
      </c>
      <c r="B713" t="str">
        <f>_xlfn.CONCAT(Tabel1[[#This Row],[personeelsnr]]," ",C713," ",D713)</f>
        <v>35490 Nguetto Brisco Romeo</v>
      </c>
      <c r="C713" t="str">
        <f>VLOOKUP(Tabel1[[#This Row],[personeelsnr]],'data hastus'!$A:$C,2,0)</f>
        <v>Nguetto</v>
      </c>
      <c r="D713" t="str">
        <f>VLOOKUP(Tabel1[[#This Row],[personeelsnr]],'data hastus'!$A:$C,3,0)</f>
        <v>Brisco Romeo</v>
      </c>
      <c r="E713" t="str">
        <f>VLOOKUP(Tabel1[[#This Row],[personeelsnr]],'data hastus'!A:K,11,FALSE)</f>
        <v>Steven Storm</v>
      </c>
      <c r="F713" s="10">
        <v>45706</v>
      </c>
      <c r="G713" s="6"/>
      <c r="H713" s="6">
        <v>1</v>
      </c>
      <c r="I713" s="6"/>
      <c r="J713"/>
      <c r="K713"/>
      <c r="L713"/>
      <c r="M713"/>
      <c r="N713"/>
      <c r="O713"/>
      <c r="P713"/>
      <c r="Q713"/>
      <c r="R713"/>
      <c r="S713">
        <f>SUM(Tabel1[[#This Row],[Januari]:[December]])</f>
        <v>1</v>
      </c>
      <c r="T713" s="3"/>
      <c r="U713" s="8" t="s">
        <v>1138</v>
      </c>
      <c r="V713" s="8">
        <v>1</v>
      </c>
      <c r="W713" s="8"/>
      <c r="X713" t="s">
        <v>206</v>
      </c>
      <c r="Y713" t="s">
        <v>230</v>
      </c>
    </row>
    <row r="714" spans="1:25" x14ac:dyDescent="0.3">
      <c r="A714">
        <v>39677</v>
      </c>
      <c r="B714" t="str">
        <f>_xlfn.CONCAT(Tabel1[[#This Row],[personeelsnr]]," ",C714," ",D714)</f>
        <v>39677 Tacq Joey</v>
      </c>
      <c r="C714" t="str">
        <f>VLOOKUP(Tabel1[[#This Row],[personeelsnr]],'data hastus'!$A:$C,2,0)</f>
        <v>Tacq</v>
      </c>
      <c r="D714" t="str">
        <f>VLOOKUP(Tabel1[[#This Row],[personeelsnr]],'data hastus'!$A:$C,3,0)</f>
        <v>Joey</v>
      </c>
      <c r="E714" t="str">
        <f>VLOOKUP(Tabel1[[#This Row],[personeelsnr]],'data hastus'!A:K,11,FALSE)</f>
        <v>Kenneth De Rick</v>
      </c>
      <c r="F714" s="10">
        <v>45754</v>
      </c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SUM(Tabel1[[#This Row],[Januari]:[December]])</f>
        <v>1</v>
      </c>
      <c r="T714" s="3"/>
      <c r="U714" s="8" t="s">
        <v>1139</v>
      </c>
      <c r="V714" s="8">
        <v>1</v>
      </c>
      <c r="W714" s="8"/>
      <c r="X714" t="s">
        <v>206</v>
      </c>
      <c r="Y714" t="s">
        <v>302</v>
      </c>
    </row>
    <row r="715" spans="1:25" x14ac:dyDescent="0.3">
      <c r="A715">
        <v>31600</v>
      </c>
      <c r="B715" t="str">
        <f>_xlfn.CONCAT(Tabel1[[#This Row],[personeelsnr]]," ",C715," ",D715)</f>
        <v>31600 Mertens Tom</v>
      </c>
      <c r="C715" t="str">
        <f>VLOOKUP(Tabel1[[#This Row],[personeelsnr]],'data hastus'!$A:$C,2,0)</f>
        <v>Mertens</v>
      </c>
      <c r="D715" t="str">
        <f>VLOOKUP(Tabel1[[#This Row],[personeelsnr]],'data hastus'!$A:$C,3,0)</f>
        <v>Tom</v>
      </c>
      <c r="E715" t="str">
        <f>VLOOKUP(Tabel1[[#This Row],[personeelsnr]],'data hastus'!A:K,11,FALSE)</f>
        <v>Els Dewulf</v>
      </c>
      <c r="F715" s="10">
        <v>45737</v>
      </c>
      <c r="G715" s="6"/>
      <c r="H715" s="6"/>
      <c r="I715" s="6">
        <v>1</v>
      </c>
      <c r="J715"/>
      <c r="K715"/>
      <c r="L715"/>
      <c r="M715"/>
      <c r="N715"/>
      <c r="O715"/>
      <c r="P715"/>
      <c r="Q715"/>
      <c r="R715"/>
      <c r="S715">
        <f>SUM(Tabel1[[#This Row],[Januari]:[December]])</f>
        <v>1</v>
      </c>
      <c r="T715" s="3"/>
      <c r="U715" s="8" t="s">
        <v>1140</v>
      </c>
      <c r="V715" s="8">
        <v>1</v>
      </c>
      <c r="W715" s="8"/>
      <c r="X715" t="s">
        <v>206</v>
      </c>
      <c r="Y715" t="s">
        <v>1141</v>
      </c>
    </row>
    <row r="716" spans="1:25" x14ac:dyDescent="0.3">
      <c r="A716">
        <v>37509</v>
      </c>
      <c r="B716" t="str">
        <f>_xlfn.CONCAT(Tabel1[[#This Row],[personeelsnr]]," ",C716," ",D716)</f>
        <v>37509 Abdulkader Sabah</v>
      </c>
      <c r="C716" t="str">
        <f>VLOOKUP(Tabel1[[#This Row],[personeelsnr]],'data hastus'!$A:$C,2,0)</f>
        <v>Abdulkader</v>
      </c>
      <c r="D716" t="str">
        <f>VLOOKUP(Tabel1[[#This Row],[personeelsnr]],'data hastus'!$A:$C,3,0)</f>
        <v>Sabah</v>
      </c>
      <c r="E716" t="str">
        <f>VLOOKUP(Tabel1[[#This Row],[personeelsnr]],'data hastus'!A:K,11,FALSE)</f>
        <v>Bart Van Der Beken</v>
      </c>
      <c r="F716" s="10">
        <v>45706</v>
      </c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SUM(Tabel1[[#This Row],[Januari]:[December]])</f>
        <v>1</v>
      </c>
      <c r="T716" s="3"/>
      <c r="U716" s="8" t="s">
        <v>1142</v>
      </c>
      <c r="V716" s="8">
        <v>1</v>
      </c>
      <c r="W716" s="8"/>
      <c r="X716" t="s">
        <v>206</v>
      </c>
      <c r="Y716" t="s">
        <v>352</v>
      </c>
    </row>
    <row r="717" spans="1:25" x14ac:dyDescent="0.3">
      <c r="A717">
        <v>37543</v>
      </c>
      <c r="B717" t="str">
        <f>_xlfn.CONCAT(Tabel1[[#This Row],[personeelsnr]]," ",C717," ",D717)</f>
        <v>37543 Öztürk Bilgehan</v>
      </c>
      <c r="C717" t="str">
        <f>VLOOKUP(Tabel1[[#This Row],[personeelsnr]],'data hastus'!$A:$C,2,0)</f>
        <v>Öztürk</v>
      </c>
      <c r="D717" t="str">
        <f>VLOOKUP(Tabel1[[#This Row],[personeelsnr]],'data hastus'!$A:$C,3,0)</f>
        <v>Bilgehan</v>
      </c>
      <c r="E717" t="str">
        <f>VLOOKUP(Tabel1[[#This Row],[personeelsnr]],'data hastus'!A:K,11,FALSE)</f>
        <v>Kenneth De Rick</v>
      </c>
      <c r="F717" s="10">
        <v>45703</v>
      </c>
      <c r="G717" s="6"/>
      <c r="H717" s="6">
        <v>1</v>
      </c>
      <c r="I717" s="6"/>
      <c r="J717"/>
      <c r="K717"/>
      <c r="L717"/>
      <c r="M717"/>
      <c r="N717"/>
      <c r="O717"/>
      <c r="P717"/>
      <c r="Q717"/>
      <c r="R717"/>
      <c r="S717">
        <f>SUM(Tabel1[[#This Row],[Januari]:[December]])</f>
        <v>1</v>
      </c>
      <c r="T717" s="3"/>
      <c r="U717" s="8" t="s">
        <v>1143</v>
      </c>
      <c r="V717" s="8">
        <v>1</v>
      </c>
      <c r="W717" s="8"/>
      <c r="X717" t="s">
        <v>206</v>
      </c>
      <c r="Y717" t="s">
        <v>213</v>
      </c>
    </row>
    <row r="718" spans="1:25" x14ac:dyDescent="0.3">
      <c r="A718">
        <v>39633</v>
      </c>
      <c r="B718" t="str">
        <f>_xlfn.CONCAT(Tabel1[[#This Row],[personeelsnr]]," ",C718," ",D718)</f>
        <v>39633 Duyck Kimberly</v>
      </c>
      <c r="C718" t="str">
        <f>VLOOKUP(Tabel1[[#This Row],[personeelsnr]],'data hastus'!$A:$C,2,0)</f>
        <v>Duyck</v>
      </c>
      <c r="D718" t="str">
        <f>VLOOKUP(Tabel1[[#This Row],[personeelsnr]],'data hastus'!$A:$C,3,0)</f>
        <v>Kimberly</v>
      </c>
      <c r="E718" t="str">
        <f>VLOOKUP(Tabel1[[#This Row],[personeelsnr]],'data hastus'!A:K,11,FALSE)</f>
        <v>Lucie Vande Velde</v>
      </c>
      <c r="F718" s="10">
        <v>45782</v>
      </c>
      <c r="G718" s="6"/>
      <c r="H718" s="6"/>
      <c r="I718" s="6"/>
      <c r="J718"/>
      <c r="K718">
        <v>1</v>
      </c>
      <c r="L718"/>
      <c r="M718"/>
      <c r="N718"/>
      <c r="O718"/>
      <c r="P718"/>
      <c r="Q718"/>
      <c r="R718"/>
      <c r="S718">
        <f>SUM(Tabel1[[#This Row],[Januari]:[December]])</f>
        <v>1</v>
      </c>
      <c r="T718" s="3"/>
      <c r="U718" s="8" t="s">
        <v>1144</v>
      </c>
      <c r="V718" s="8">
        <v>1</v>
      </c>
      <c r="W718" s="8"/>
      <c r="X718" t="s">
        <v>206</v>
      </c>
      <c r="Y718" t="s">
        <v>182</v>
      </c>
    </row>
    <row r="719" spans="1:25" x14ac:dyDescent="0.3">
      <c r="A719">
        <v>39831</v>
      </c>
      <c r="B719" t="str">
        <f>_xlfn.CONCAT(Tabel1[[#This Row],[personeelsnr]]," ",C719," ",D719)</f>
        <v>39831 Dolgiev Mukhamed</v>
      </c>
      <c r="C719" t="str">
        <f>VLOOKUP(Tabel1[[#This Row],[personeelsnr]],'data hastus'!$A:$C,2,0)</f>
        <v>Dolgiev</v>
      </c>
      <c r="D719" t="str">
        <f>VLOOKUP(Tabel1[[#This Row],[personeelsnr]],'data hastus'!$A:$C,3,0)</f>
        <v>Mukhamed</v>
      </c>
      <c r="E719" t="str">
        <f>VLOOKUP(Tabel1[[#This Row],[personeelsnr]],'data hastus'!A:K,11,FALSE)</f>
        <v>Els Dewulf</v>
      </c>
      <c r="F719" s="10">
        <v>45710</v>
      </c>
      <c r="G719" s="6"/>
      <c r="H719" s="6">
        <v>1</v>
      </c>
      <c r="I719" s="6"/>
      <c r="J719"/>
      <c r="K719"/>
      <c r="L719"/>
      <c r="M719"/>
      <c r="N719"/>
      <c r="O719"/>
      <c r="P719"/>
      <c r="Q719"/>
      <c r="R719"/>
      <c r="S719">
        <f>SUM(Tabel1[[#This Row],[Januari]:[December]])</f>
        <v>1</v>
      </c>
      <c r="T719" s="3"/>
      <c r="U719" s="8" t="s">
        <v>1145</v>
      </c>
      <c r="V719" s="8">
        <v>1</v>
      </c>
      <c r="W719" s="8"/>
      <c r="X719" t="s">
        <v>206</v>
      </c>
      <c r="Y719" t="s">
        <v>184</v>
      </c>
    </row>
    <row r="720" spans="1:25" x14ac:dyDescent="0.3">
      <c r="A720">
        <v>37662</v>
      </c>
      <c r="B720" t="str">
        <f>_xlfn.CONCAT(Tabel1[[#This Row],[personeelsnr]]," ",C720," ",D720)</f>
        <v>37662 Van den Meerssche Steven</v>
      </c>
      <c r="C720" t="str">
        <f>VLOOKUP(Tabel1[[#This Row],[personeelsnr]],'data hastus'!$A:$C,2,0)</f>
        <v>Van den Meerssche</v>
      </c>
      <c r="D720" t="str">
        <f>VLOOKUP(Tabel1[[#This Row],[personeelsnr]],'data hastus'!$A:$C,3,0)</f>
        <v>Steven</v>
      </c>
      <c r="E720" t="str">
        <f>VLOOKUP(Tabel1[[#This Row],[personeelsnr]],'data hastus'!A:K,11,FALSE)</f>
        <v>Bart Van Der Beken</v>
      </c>
      <c r="F720" s="10">
        <v>45783</v>
      </c>
      <c r="G720" s="6"/>
      <c r="H720" s="6"/>
      <c r="I720" s="6"/>
      <c r="J720"/>
      <c r="K720">
        <v>1</v>
      </c>
      <c r="L720"/>
      <c r="M720"/>
      <c r="N720"/>
      <c r="O720"/>
      <c r="P720"/>
      <c r="Q720"/>
      <c r="R720"/>
      <c r="S720">
        <f>SUM(Tabel1[[#This Row],[Januari]:[December]])</f>
        <v>1</v>
      </c>
      <c r="T720" s="3"/>
      <c r="U720" s="8" t="s">
        <v>1146</v>
      </c>
      <c r="V720" s="8">
        <v>1</v>
      </c>
      <c r="W720" s="8"/>
      <c r="X720" t="s">
        <v>206</v>
      </c>
      <c r="Y720" t="s">
        <v>169</v>
      </c>
    </row>
    <row r="721" spans="1:25" x14ac:dyDescent="0.3">
      <c r="A721">
        <v>40058</v>
      </c>
      <c r="B721" t="str">
        <f>_xlfn.CONCAT(Tabel1[[#This Row],[personeelsnr]]," ",C721," ",D721)</f>
        <v>40058 Sögüt Can</v>
      </c>
      <c r="C721" t="str">
        <f>VLOOKUP(Tabel1[[#This Row],[personeelsnr]],'data hastus'!$A:$C,2,0)</f>
        <v>Sögüt</v>
      </c>
      <c r="D721" t="str">
        <f>VLOOKUP(Tabel1[[#This Row],[personeelsnr]],'data hastus'!$A:$C,3,0)</f>
        <v>Can</v>
      </c>
      <c r="E721" t="str">
        <f>VLOOKUP(Tabel1[[#This Row],[personeelsnr]],'data hastus'!A:K,11,FALSE)</f>
        <v>Christoff Rotty</v>
      </c>
      <c r="F721" s="10">
        <v>45660</v>
      </c>
      <c r="G721" s="6"/>
      <c r="H721" s="6"/>
      <c r="I721" s="6"/>
      <c r="J721"/>
      <c r="K721"/>
      <c r="L721"/>
      <c r="M721"/>
      <c r="N721"/>
      <c r="O721"/>
      <c r="P721"/>
      <c r="Q721"/>
      <c r="R721"/>
      <c r="S721">
        <f>SUM(Tabel1[[#This Row],[Januari]:[December]])</f>
        <v>0</v>
      </c>
      <c r="T721" s="3"/>
      <c r="U721" s="8" t="s">
        <v>1147</v>
      </c>
      <c r="V721" s="8">
        <v>1</v>
      </c>
      <c r="W721" s="8"/>
      <c r="X721" t="s">
        <v>206</v>
      </c>
      <c r="Y721" t="s">
        <v>188</v>
      </c>
    </row>
    <row r="722" spans="1:25" x14ac:dyDescent="0.3">
      <c r="A722">
        <v>39779</v>
      </c>
      <c r="B722" t="str">
        <f>_xlfn.CONCAT(Tabel1[[#This Row],[personeelsnr]]," ",C722," ",D722)</f>
        <v>39779 Avci Muhammet Abdullah</v>
      </c>
      <c r="C722" t="str">
        <f>VLOOKUP(Tabel1[[#This Row],[personeelsnr]],'data hastus'!$A:$C,2,0)</f>
        <v>Avci</v>
      </c>
      <c r="D722" t="str">
        <f>VLOOKUP(Tabel1[[#This Row],[personeelsnr]],'data hastus'!$A:$C,3,0)</f>
        <v>Muhammet Abdullah</v>
      </c>
      <c r="E722" t="str">
        <f>VLOOKUP(Tabel1[[#This Row],[personeelsnr]],'data hastus'!A:K,11,FALSE)</f>
        <v>Bart Van Der Beken</v>
      </c>
      <c r="F722" s="10">
        <v>45735</v>
      </c>
      <c r="G722" s="6"/>
      <c r="H722" s="6"/>
      <c r="I722" s="6">
        <v>1</v>
      </c>
      <c r="J722"/>
      <c r="K722"/>
      <c r="L722"/>
      <c r="M722"/>
      <c r="N722"/>
      <c r="O722"/>
      <c r="P722"/>
      <c r="Q722"/>
      <c r="R722"/>
      <c r="S722">
        <f>SUM(Tabel1[[#This Row],[Januari]:[December]])</f>
        <v>1</v>
      </c>
      <c r="T722" s="3"/>
      <c r="U722" s="8" t="s">
        <v>1148</v>
      </c>
      <c r="V722" s="8">
        <v>1</v>
      </c>
      <c r="W722" s="8"/>
      <c r="X722" t="s">
        <v>206</v>
      </c>
      <c r="Y722" t="s">
        <v>176</v>
      </c>
    </row>
    <row r="723" spans="1:25" x14ac:dyDescent="0.3">
      <c r="A723">
        <v>23700</v>
      </c>
      <c r="B723" t="str">
        <f>_xlfn.CONCAT(Tabel1[[#This Row],[personeelsnr]]," ",C723," ",D723)</f>
        <v>23700 Byosière Christof</v>
      </c>
      <c r="C723" t="str">
        <f>VLOOKUP(Tabel1[[#This Row],[personeelsnr]],'data hastus'!$A:$C,2,0)</f>
        <v>Byosière</v>
      </c>
      <c r="D723" t="str">
        <f>VLOOKUP(Tabel1[[#This Row],[personeelsnr]],'data hastus'!$A:$C,3,0)</f>
        <v>Christof</v>
      </c>
      <c r="E723" t="str">
        <f>VLOOKUP(Tabel1[[#This Row],[personeelsnr]],'data hastus'!A:K,11,FALSE)</f>
        <v>Dominique De Clercq</v>
      </c>
      <c r="F723" s="10">
        <v>45763</v>
      </c>
      <c r="G723" s="6"/>
      <c r="H723" s="6"/>
      <c r="I723" s="6"/>
      <c r="J723">
        <v>1</v>
      </c>
      <c r="K723"/>
      <c r="L723"/>
      <c r="M723"/>
      <c r="N723"/>
      <c r="O723"/>
      <c r="P723"/>
      <c r="Q723"/>
      <c r="R723"/>
      <c r="S723">
        <f>SUM(Tabel1[[#This Row],[Januari]:[December]])</f>
        <v>1</v>
      </c>
      <c r="T723" s="3"/>
      <c r="U723" s="8" t="s">
        <v>1149</v>
      </c>
      <c r="V723" s="8">
        <v>1</v>
      </c>
      <c r="W723" s="8"/>
      <c r="X723" t="s">
        <v>206</v>
      </c>
      <c r="Y723" t="s">
        <v>168</v>
      </c>
    </row>
    <row r="724" spans="1:25" x14ac:dyDescent="0.3">
      <c r="A724">
        <v>22052</v>
      </c>
      <c r="B724" t="str">
        <f>_xlfn.CONCAT(Tabel1[[#This Row],[personeelsnr]]," ",C724," ",D724)</f>
        <v>22052 Meyvaert Peter</v>
      </c>
      <c r="C724" t="str">
        <f>VLOOKUP(Tabel1[[#This Row],[personeelsnr]],'data hastus'!$A:$C,2,0)</f>
        <v>Meyvaert</v>
      </c>
      <c r="D724" t="str">
        <f>VLOOKUP(Tabel1[[#This Row],[personeelsnr]],'data hastus'!$A:$C,3,0)</f>
        <v>Peter</v>
      </c>
      <c r="E724" t="str">
        <f>VLOOKUP(Tabel1[[#This Row],[personeelsnr]],'data hastus'!A:K,11,FALSE)</f>
        <v>Els Dewulf</v>
      </c>
      <c r="F724" s="10">
        <v>45670</v>
      </c>
      <c r="G724" s="6">
        <v>1</v>
      </c>
      <c r="H724" s="6"/>
      <c r="I724" s="6"/>
      <c r="J724"/>
      <c r="K724"/>
      <c r="L724"/>
      <c r="M724"/>
      <c r="N724"/>
      <c r="O724"/>
      <c r="P724"/>
      <c r="Q724"/>
      <c r="R724"/>
      <c r="S724">
        <f>SUM(Tabel1[[#This Row],[Januari]:[December]])</f>
        <v>1</v>
      </c>
      <c r="T724" s="3"/>
      <c r="U724" s="8" t="s">
        <v>1150</v>
      </c>
      <c r="V724" s="8">
        <v>1</v>
      </c>
      <c r="W724" s="8"/>
      <c r="X724" t="s">
        <v>206</v>
      </c>
      <c r="Y724" t="s">
        <v>184</v>
      </c>
    </row>
    <row r="725" spans="1:25" x14ac:dyDescent="0.3">
      <c r="A725">
        <v>26960</v>
      </c>
      <c r="B725" t="str">
        <f>_xlfn.CONCAT(Tabel1[[#This Row],[personeelsnr]]," ",C725," ",D725)</f>
        <v>26960 Toubadie Mossa</v>
      </c>
      <c r="C725" t="str">
        <f>VLOOKUP(Tabel1[[#This Row],[personeelsnr]],'data hastus'!$A:$C,2,0)</f>
        <v>Toubadie</v>
      </c>
      <c r="D725" t="str">
        <f>VLOOKUP(Tabel1[[#This Row],[personeelsnr]],'data hastus'!$A:$C,3,0)</f>
        <v>Mossa</v>
      </c>
      <c r="E725" t="str">
        <f>VLOOKUP(Tabel1[[#This Row],[personeelsnr]],'data hastus'!A:K,11,FALSE)</f>
        <v>Els Vanhoe</v>
      </c>
      <c r="F725" s="10">
        <v>45798</v>
      </c>
      <c r="G725" s="7"/>
      <c r="H725" s="7"/>
      <c r="I725" s="7"/>
      <c r="K725" s="5">
        <v>1</v>
      </c>
      <c r="S725" s="5">
        <f>SUM(Tabel1[[#This Row],[Januari]:[December]])</f>
        <v>1</v>
      </c>
      <c r="T725" s="23"/>
      <c r="U725" s="8" t="s">
        <v>1151</v>
      </c>
      <c r="V725" s="8">
        <v>1</v>
      </c>
      <c r="W725" s="8"/>
      <c r="X725" t="s">
        <v>206</v>
      </c>
      <c r="Y725" t="s">
        <v>254</v>
      </c>
    </row>
    <row r="726" spans="1:25" x14ac:dyDescent="0.3">
      <c r="A726">
        <v>21509</v>
      </c>
      <c r="B726" t="str">
        <f>_xlfn.CONCAT(Tabel1[[#This Row],[personeelsnr]]," ",C726," ",D726)</f>
        <v>21509 De Craemer Kris</v>
      </c>
      <c r="C726" t="str">
        <f>VLOOKUP(Tabel1[[#This Row],[personeelsnr]],'data hastus'!$A:$C,2,0)</f>
        <v>De Craemer</v>
      </c>
      <c r="D726" t="str">
        <f>VLOOKUP(Tabel1[[#This Row],[personeelsnr]],'data hastus'!$A:$C,3,0)</f>
        <v>Kris</v>
      </c>
      <c r="E726" t="str">
        <f>VLOOKUP(Tabel1[[#This Row],[personeelsnr]],'data hastus'!A:K,11,FALSE)</f>
        <v>Dominique De Clercq</v>
      </c>
      <c r="F726" s="10">
        <v>45684</v>
      </c>
      <c r="G726" s="6"/>
      <c r="H726" s="6"/>
      <c r="I726" s="6"/>
      <c r="J726"/>
      <c r="K726"/>
      <c r="L726"/>
      <c r="M726"/>
      <c r="N726"/>
      <c r="O726"/>
      <c r="P726"/>
      <c r="Q726"/>
      <c r="R726"/>
      <c r="S726">
        <f>SUM(Tabel1[[#This Row],[Januari]:[December]])</f>
        <v>0</v>
      </c>
      <c r="T726" s="3"/>
      <c r="U726" s="8" t="s">
        <v>1152</v>
      </c>
      <c r="V726" s="8"/>
      <c r="W726" s="8">
        <v>1</v>
      </c>
      <c r="X726" t="s">
        <v>207</v>
      </c>
      <c r="Y726" t="s">
        <v>183</v>
      </c>
    </row>
    <row r="727" spans="1:25" x14ac:dyDescent="0.3">
      <c r="A727">
        <v>28737</v>
      </c>
      <c r="B727" t="str">
        <f>_xlfn.CONCAT(Tabel1[[#This Row],[personeelsnr]]," ",C727," ",D727)</f>
        <v>28737 El-Mohamed Mohamed</v>
      </c>
      <c r="C727" t="str">
        <f>VLOOKUP(Tabel1[[#This Row],[personeelsnr]],'data hastus'!$A:$C,2,0)</f>
        <v>El-Mohamed</v>
      </c>
      <c r="D727" t="str">
        <f>VLOOKUP(Tabel1[[#This Row],[personeelsnr]],'data hastus'!$A:$C,3,0)</f>
        <v>Mohamed</v>
      </c>
      <c r="E727" t="str">
        <f>VLOOKUP(Tabel1[[#This Row],[personeelsnr]],'data hastus'!A:K,11,FALSE)</f>
        <v>Lucie Vande Velde</v>
      </c>
      <c r="F727" s="10">
        <v>45715</v>
      </c>
      <c r="G727" s="6"/>
      <c r="H727" s="6">
        <v>1</v>
      </c>
      <c r="I727" s="6"/>
      <c r="J727"/>
      <c r="K727"/>
      <c r="L727"/>
      <c r="M727"/>
      <c r="N727"/>
      <c r="O727"/>
      <c r="P727"/>
      <c r="Q727"/>
      <c r="R727"/>
      <c r="S727">
        <f>SUM(Tabel1[[#This Row],[Januari]:[December]])</f>
        <v>1</v>
      </c>
      <c r="T727" s="3"/>
      <c r="U727" s="8" t="s">
        <v>1153</v>
      </c>
      <c r="V727" s="8"/>
      <c r="W727" s="8">
        <v>1</v>
      </c>
      <c r="X727" t="s">
        <v>207</v>
      </c>
      <c r="Y727" t="s">
        <v>276</v>
      </c>
    </row>
    <row r="728" spans="1:25" x14ac:dyDescent="0.3">
      <c r="A728">
        <v>38740</v>
      </c>
      <c r="B728" t="str">
        <f>_xlfn.CONCAT(Tabel1[[#This Row],[personeelsnr]]," ",C728," ",D728)</f>
        <v>38740 Meskens Anthony</v>
      </c>
      <c r="C728" t="str">
        <f>VLOOKUP(Tabel1[[#This Row],[personeelsnr]],'data hastus'!$A:$C,2,0)</f>
        <v>Meskens</v>
      </c>
      <c r="D728" t="str">
        <f>VLOOKUP(Tabel1[[#This Row],[personeelsnr]],'data hastus'!$A:$C,3,0)</f>
        <v>Anthony</v>
      </c>
      <c r="E728" t="str">
        <f>VLOOKUP(Tabel1[[#This Row],[personeelsnr]],'data hastus'!A:K,11,FALSE)</f>
        <v>Christoff Rotty</v>
      </c>
      <c r="F728" s="10">
        <v>45777</v>
      </c>
      <c r="G728" s="6"/>
      <c r="H728" s="6"/>
      <c r="I728" s="6"/>
      <c r="J728">
        <v>1</v>
      </c>
      <c r="K728"/>
      <c r="L728"/>
      <c r="M728"/>
      <c r="N728"/>
      <c r="O728"/>
      <c r="P728"/>
      <c r="Q728"/>
      <c r="R728"/>
      <c r="S728">
        <f>SUM(Tabel1[[#This Row],[Januari]:[December]])</f>
        <v>1</v>
      </c>
      <c r="T728" s="3"/>
      <c r="U728" s="8" t="s">
        <v>1154</v>
      </c>
      <c r="V728" s="8"/>
      <c r="W728" s="8">
        <v>1</v>
      </c>
      <c r="X728" t="s">
        <v>207</v>
      </c>
      <c r="Y728" t="s">
        <v>294</v>
      </c>
    </row>
    <row r="729" spans="1:25" x14ac:dyDescent="0.3">
      <c r="A729">
        <v>11120</v>
      </c>
      <c r="B729" t="str">
        <f>_xlfn.CONCAT(Tabel1[[#This Row],[personeelsnr]]," ",C729," ",D729)</f>
        <v>11120 De Vrieze Ludo</v>
      </c>
      <c r="C729" t="str">
        <f>VLOOKUP(Tabel1[[#This Row],[personeelsnr]],'data hastus'!$A:$C,2,0)</f>
        <v>De Vrieze</v>
      </c>
      <c r="D729" t="str">
        <f>VLOOKUP(Tabel1[[#This Row],[personeelsnr]],'data hastus'!$A:$C,3,0)</f>
        <v>Ludo</v>
      </c>
      <c r="E729" t="str">
        <f>VLOOKUP(Tabel1[[#This Row],[personeelsnr]],'data hastus'!A:K,11,FALSE)</f>
        <v>Lucie Vande Velde</v>
      </c>
      <c r="F729" s="10">
        <v>45735</v>
      </c>
      <c r="G729" s="6"/>
      <c r="H729" s="6"/>
      <c r="I729" s="6"/>
      <c r="J729"/>
      <c r="K729"/>
      <c r="L729"/>
      <c r="M729"/>
      <c r="N729"/>
      <c r="O729"/>
      <c r="P729"/>
      <c r="Q729"/>
      <c r="R729"/>
      <c r="S729">
        <f>SUM(Tabel1[[#This Row],[Januari]:[December]])</f>
        <v>0</v>
      </c>
      <c r="T729" s="3"/>
      <c r="U729" s="8" t="s">
        <v>1155</v>
      </c>
      <c r="V729" s="8"/>
      <c r="W729" s="8">
        <v>1</v>
      </c>
      <c r="X729" t="s">
        <v>207</v>
      </c>
      <c r="Y729" t="s">
        <v>314</v>
      </c>
    </row>
    <row r="730" spans="1:25" x14ac:dyDescent="0.3">
      <c r="A730">
        <v>35495</v>
      </c>
      <c r="B730" t="str">
        <f>_xlfn.CONCAT(Tabel1[[#This Row],[personeelsnr]]," ",C730," ",D730)</f>
        <v>35495 Razzaz Mahmoud</v>
      </c>
      <c r="C730" t="str">
        <f>VLOOKUP(Tabel1[[#This Row],[personeelsnr]],'data hastus'!$A:$C,2,0)</f>
        <v>Razzaz</v>
      </c>
      <c r="D730" t="str">
        <f>VLOOKUP(Tabel1[[#This Row],[personeelsnr]],'data hastus'!$A:$C,3,0)</f>
        <v>Mahmoud</v>
      </c>
      <c r="E730" t="str">
        <f>VLOOKUP(Tabel1[[#This Row],[personeelsnr]],'data hastus'!A:K,11,FALSE)</f>
        <v>Kenneth De Rick</v>
      </c>
      <c r="F730" s="10">
        <v>45731</v>
      </c>
      <c r="G730" s="6"/>
      <c r="H730" s="6"/>
      <c r="I730" s="6">
        <v>1</v>
      </c>
      <c r="J730"/>
      <c r="K730"/>
      <c r="L730"/>
      <c r="M730"/>
      <c r="N730"/>
      <c r="O730"/>
      <c r="P730"/>
      <c r="Q730"/>
      <c r="R730"/>
      <c r="S730">
        <f>SUM(Tabel1[[#This Row],[Januari]:[December]])</f>
        <v>1</v>
      </c>
      <c r="T730" s="3"/>
      <c r="U730" s="8" t="s">
        <v>1156</v>
      </c>
      <c r="V730" s="8"/>
      <c r="W730" s="8">
        <v>1</v>
      </c>
      <c r="X730" t="s">
        <v>207</v>
      </c>
      <c r="Y730" t="s">
        <v>282</v>
      </c>
    </row>
    <row r="731" spans="1:25" x14ac:dyDescent="0.3">
      <c r="A731">
        <v>19249</v>
      </c>
      <c r="B731" t="str">
        <f>_xlfn.CONCAT(Tabel1[[#This Row],[personeelsnr]]," ",C731," ",D731)</f>
        <v>19249 Odaci Kadir</v>
      </c>
      <c r="C731" t="str">
        <f>VLOOKUP(Tabel1[[#This Row],[personeelsnr]],'data hastus'!$A:$C,2,0)</f>
        <v>Odaci</v>
      </c>
      <c r="D731" t="str">
        <f>VLOOKUP(Tabel1[[#This Row],[personeelsnr]],'data hastus'!$A:$C,3,0)</f>
        <v>Kadir</v>
      </c>
      <c r="E731" t="str">
        <f>VLOOKUP(Tabel1[[#This Row],[personeelsnr]],'data hastus'!A:K,11,FALSE)</f>
        <v>Lucie Vande Velde</v>
      </c>
      <c r="F731" s="10">
        <v>45674</v>
      </c>
      <c r="G731" s="6">
        <v>1</v>
      </c>
      <c r="H731" s="6"/>
      <c r="I731" s="6"/>
      <c r="J731"/>
      <c r="K731"/>
      <c r="L731"/>
      <c r="M731"/>
      <c r="N731"/>
      <c r="O731"/>
      <c r="P731"/>
      <c r="Q731"/>
      <c r="R731"/>
      <c r="S731">
        <f>SUM(Tabel1[[#This Row],[Januari]:[December]])</f>
        <v>1</v>
      </c>
      <c r="T731" s="3"/>
      <c r="U731" s="8" t="s">
        <v>1157</v>
      </c>
      <c r="V731" s="8"/>
      <c r="W731" s="8">
        <v>1</v>
      </c>
      <c r="X731" t="s">
        <v>207</v>
      </c>
      <c r="Y731" t="s">
        <v>275</v>
      </c>
    </row>
    <row r="732" spans="1:25" x14ac:dyDescent="0.3">
      <c r="A732">
        <v>35588</v>
      </c>
      <c r="B732" t="str">
        <f>_xlfn.CONCAT(Tabel1[[#This Row],[personeelsnr]]," ",C732," ",D732)</f>
        <v>35588 Smesman Glenn</v>
      </c>
      <c r="C732" t="str">
        <f>VLOOKUP(Tabel1[[#This Row],[personeelsnr]],'data hastus'!$A:$C,2,0)</f>
        <v>Smesman</v>
      </c>
      <c r="D732" t="str">
        <f>VLOOKUP(Tabel1[[#This Row],[personeelsnr]],'data hastus'!$A:$C,3,0)</f>
        <v>Glenn</v>
      </c>
      <c r="E732" t="str">
        <f>VLOOKUP(Tabel1[[#This Row],[personeelsnr]],'data hastus'!A:K,11,FALSE)</f>
        <v>Lucie Vande Velde</v>
      </c>
      <c r="F732" s="10">
        <v>45675</v>
      </c>
      <c r="G732" s="6">
        <v>1</v>
      </c>
      <c r="H732" s="6"/>
      <c r="I732" s="6"/>
      <c r="J732"/>
      <c r="K732"/>
      <c r="L732"/>
      <c r="M732"/>
      <c r="N732"/>
      <c r="O732"/>
      <c r="P732"/>
      <c r="Q732"/>
      <c r="R732"/>
      <c r="S732">
        <f>SUM(Tabel1[[#This Row],[Januari]:[December]])</f>
        <v>1</v>
      </c>
      <c r="T732" s="3"/>
      <c r="U732" s="8" t="s">
        <v>1158</v>
      </c>
      <c r="V732" s="8"/>
      <c r="W732" s="8">
        <v>1</v>
      </c>
      <c r="X732" t="s">
        <v>207</v>
      </c>
      <c r="Y732" t="s">
        <v>176</v>
      </c>
    </row>
    <row r="733" spans="1:25" x14ac:dyDescent="0.3">
      <c r="A733">
        <v>32002</v>
      </c>
      <c r="B733" t="str">
        <f>_xlfn.CONCAT(Tabel1[[#This Row],[personeelsnr]]," ",C733," ",D733)</f>
        <v>32002 Hasni Helmi</v>
      </c>
      <c r="C733" t="str">
        <f>VLOOKUP(Tabel1[[#This Row],[personeelsnr]],'data hastus'!$A:$C,2,0)</f>
        <v>Hasni</v>
      </c>
      <c r="D733" t="str">
        <f>VLOOKUP(Tabel1[[#This Row],[personeelsnr]],'data hastus'!$A:$C,3,0)</f>
        <v>Helmi</v>
      </c>
      <c r="E733" t="str">
        <f>VLOOKUP(Tabel1[[#This Row],[personeelsnr]],'data hastus'!A:K,11,FALSE)</f>
        <v>Steven Storm</v>
      </c>
      <c r="F733" s="10">
        <v>45773</v>
      </c>
      <c r="G733" s="6"/>
      <c r="H733" s="6"/>
      <c r="I733" s="6"/>
      <c r="J733">
        <v>1</v>
      </c>
      <c r="K733"/>
      <c r="L733"/>
      <c r="M733"/>
      <c r="N733"/>
      <c r="O733"/>
      <c r="P733"/>
      <c r="Q733"/>
      <c r="R733"/>
      <c r="S733">
        <f>SUM(Tabel1[[#This Row],[Januari]:[December]])</f>
        <v>1</v>
      </c>
      <c r="T733" s="3"/>
      <c r="U733" s="8" t="s">
        <v>1159</v>
      </c>
      <c r="V733" s="8"/>
      <c r="W733" s="8">
        <v>1</v>
      </c>
      <c r="X733" t="s">
        <v>207</v>
      </c>
      <c r="Y733" t="s">
        <v>168</v>
      </c>
    </row>
    <row r="734" spans="1:25" x14ac:dyDescent="0.3">
      <c r="A734">
        <v>30119</v>
      </c>
      <c r="B734" t="str">
        <f>_xlfn.CONCAT(Tabel1[[#This Row],[personeelsnr]]," ",C734," ",D734)</f>
        <v>30119 Haerens Tom</v>
      </c>
      <c r="C734" t="str">
        <f>VLOOKUP(Tabel1[[#This Row],[personeelsnr]],'data hastus'!$A:$C,2,0)</f>
        <v>Haerens</v>
      </c>
      <c r="D734" t="str">
        <f>VLOOKUP(Tabel1[[#This Row],[personeelsnr]],'data hastus'!$A:$C,3,0)</f>
        <v>Tom</v>
      </c>
      <c r="E734" t="str">
        <f>VLOOKUP(Tabel1[[#This Row],[personeelsnr]],'data hastus'!A:K,11,FALSE)</f>
        <v>Dominique De Clercq</v>
      </c>
      <c r="F734" s="10">
        <v>45813</v>
      </c>
      <c r="G734" s="7"/>
      <c r="H734" s="7"/>
      <c r="I734" s="7"/>
      <c r="L734" s="5">
        <v>1</v>
      </c>
      <c r="S734" s="5">
        <f>SUM(Tabel1[[#This Row],[Januari]:[December]])</f>
        <v>1</v>
      </c>
      <c r="U734" s="8" t="s">
        <v>1160</v>
      </c>
      <c r="V734" s="24"/>
      <c r="W734" s="24">
        <v>1</v>
      </c>
      <c r="X734" t="s">
        <v>207</v>
      </c>
      <c r="Y734" t="s">
        <v>174</v>
      </c>
    </row>
    <row r="735" spans="1:25" x14ac:dyDescent="0.3">
      <c r="A735">
        <v>41032</v>
      </c>
      <c r="B735" t="str">
        <f>_xlfn.CONCAT(Tabel1[[#This Row],[personeelsnr]]," ",C735," ",D735)</f>
        <v>41032 Rocabado Hinojosa Lukas</v>
      </c>
      <c r="C735" t="str">
        <f>VLOOKUP(Tabel1[[#This Row],[personeelsnr]],'data hastus'!$A:$C,2,0)</f>
        <v>Rocabado Hinojosa</v>
      </c>
      <c r="D735" t="str">
        <f>VLOOKUP(Tabel1[[#This Row],[personeelsnr]],'data hastus'!$A:$C,3,0)</f>
        <v>Lukas</v>
      </c>
      <c r="E735" t="str">
        <f>VLOOKUP(Tabel1[[#This Row],[personeelsnr]],'data hastus'!A:K,11,FALSE)</f>
        <v>Els Vanhoe</v>
      </c>
      <c r="F735" s="10"/>
      <c r="G735" s="7">
        <v>1</v>
      </c>
      <c r="H735" s="7"/>
      <c r="I735" s="7"/>
      <c r="S735" s="5">
        <f>SUM(Tabel1[[#This Row],[Januari]:[December]])</f>
        <v>1</v>
      </c>
      <c r="T735" s="9">
        <v>45666</v>
      </c>
      <c r="U735" s="8" t="s">
        <v>1161</v>
      </c>
      <c r="V735" s="24">
        <v>1</v>
      </c>
      <c r="W735" s="24"/>
      <c r="X735" t="s">
        <v>206</v>
      </c>
      <c r="Y735" t="s">
        <v>174</v>
      </c>
    </row>
    <row r="736" spans="1:25" x14ac:dyDescent="0.3">
      <c r="A736">
        <v>37208</v>
      </c>
      <c r="B736" t="str">
        <f>_xlfn.CONCAT(Tabel1[[#This Row],[personeelsnr]]," ",C736," ",D736)</f>
        <v>37208 Catar Gökhan</v>
      </c>
      <c r="C736" t="str">
        <f>VLOOKUP(Tabel1[[#This Row],[personeelsnr]],'data hastus'!$A:$C,2,0)</f>
        <v>Catar</v>
      </c>
      <c r="D736" t="str">
        <f>VLOOKUP(Tabel1[[#This Row],[personeelsnr]],'data hastus'!$A:$C,3,0)</f>
        <v>Gökhan</v>
      </c>
      <c r="E736" t="str">
        <f>VLOOKUP(Tabel1[[#This Row],[personeelsnr]],'data hastus'!A:K,11,FALSE)</f>
        <v>Kenneth De Rick</v>
      </c>
      <c r="F736" s="10"/>
      <c r="G736" s="7"/>
      <c r="H736" s="7"/>
      <c r="I736" s="7"/>
      <c r="L736" s="5">
        <v>1</v>
      </c>
      <c r="S736" s="5">
        <f>SUM(Tabel1[[#This Row],[Januari]:[December]])</f>
        <v>1</v>
      </c>
      <c r="T736" s="9">
        <v>45815</v>
      </c>
      <c r="U736" s="8" t="s">
        <v>3275</v>
      </c>
      <c r="V736" s="24"/>
      <c r="W736" s="24">
        <v>1</v>
      </c>
      <c r="X736" t="s">
        <v>207</v>
      </c>
      <c r="Y736" t="s">
        <v>167</v>
      </c>
    </row>
    <row r="737" spans="1:25" x14ac:dyDescent="0.3">
      <c r="A737">
        <v>40645</v>
      </c>
      <c r="B737" t="str">
        <f>_xlfn.CONCAT(Tabel1[[#This Row],[personeelsnr]]," ",C737," ",D737)</f>
        <v>40645 Bytebier Jason</v>
      </c>
      <c r="C737" t="str">
        <f>VLOOKUP(Tabel1[[#This Row],[personeelsnr]],'data hastus'!$A:$C,2,0)</f>
        <v>Bytebier</v>
      </c>
      <c r="D737" t="str">
        <f>VLOOKUP(Tabel1[[#This Row],[personeelsnr]],'data hastus'!$A:$C,3,0)</f>
        <v>Jason</v>
      </c>
      <c r="E737" t="str">
        <f>VLOOKUP(Tabel1[[#This Row],[personeelsnr]],'data hastus'!A:K,11,FALSE)</f>
        <v>Els Dewulf</v>
      </c>
      <c r="F737" s="10"/>
      <c r="G737" s="7"/>
      <c r="H737" s="7"/>
      <c r="I737" s="7"/>
      <c r="L737" s="5">
        <v>1</v>
      </c>
      <c r="S737" s="5">
        <f>SUM(Tabel1[[#This Row],[Januari]:[December]])</f>
        <v>1</v>
      </c>
      <c r="T737" s="9">
        <v>45818</v>
      </c>
      <c r="U737" s="8" t="s">
        <v>3276</v>
      </c>
      <c r="V737" s="24">
        <v>1</v>
      </c>
      <c r="W737" s="24"/>
      <c r="X737" t="s">
        <v>206</v>
      </c>
      <c r="Y737" t="s">
        <v>178</v>
      </c>
    </row>
    <row r="738" spans="1:25" x14ac:dyDescent="0.3">
      <c r="A738">
        <v>41064</v>
      </c>
      <c r="B738" t="str">
        <f>_xlfn.CONCAT(Tabel1[[#This Row],[personeelsnr]]," ",C738," ",D738)</f>
        <v>41064 Ardic Atilla</v>
      </c>
      <c r="C738" t="str">
        <f>VLOOKUP(Tabel1[[#This Row],[personeelsnr]],'data hastus'!$A:$C,2,0)</f>
        <v>Ardic</v>
      </c>
      <c r="D738" t="str">
        <f>VLOOKUP(Tabel1[[#This Row],[personeelsnr]],'data hastus'!$A:$C,3,0)</f>
        <v>Atilla</v>
      </c>
      <c r="E738" t="str">
        <f>VLOOKUP(Tabel1[[#This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SUM(Tabel1[[#This Row],[Januari]:[December]])</f>
        <v>1</v>
      </c>
      <c r="T738" s="9">
        <v>45811</v>
      </c>
      <c r="U738" s="8" t="s">
        <v>3277</v>
      </c>
      <c r="V738" s="24">
        <v>1</v>
      </c>
      <c r="W738" s="24"/>
      <c r="X738" t="s">
        <v>206</v>
      </c>
      <c r="Y738" t="s">
        <v>168</v>
      </c>
    </row>
    <row r="739" spans="1:25" x14ac:dyDescent="0.3">
      <c r="A739">
        <v>7746</v>
      </c>
      <c r="B739" t="str">
        <f>_xlfn.CONCAT(Tabel1[[#This Row],[personeelsnr]]," ",C739," ",D739)</f>
        <v>7746 Aelterman Didier</v>
      </c>
      <c r="C739" t="str">
        <f>VLOOKUP(Tabel1[[#This Row],[personeelsnr]],'data hastus'!$A:$C,2,0)</f>
        <v>Aelterman</v>
      </c>
      <c r="D739" t="str">
        <f>VLOOKUP(Tabel1[[#This Row],[personeelsnr]],'data hastus'!$A:$C,3,0)</f>
        <v>Didier</v>
      </c>
      <c r="E739" t="str">
        <f>VLOOKUP(Tabel1[[#This Row],[personeelsnr]],'data hastus'!A:K,11,FALSE)</f>
        <v>Christoff Rotty</v>
      </c>
      <c r="F739" s="10"/>
      <c r="G739" s="7"/>
      <c r="H739" s="7"/>
      <c r="I739" s="7"/>
      <c r="L739" s="5">
        <v>1</v>
      </c>
      <c r="S739" s="5">
        <f>SUM(Tabel1[[#This Row],[Januari]:[December]])</f>
        <v>1</v>
      </c>
      <c r="T739" s="9">
        <v>45820</v>
      </c>
      <c r="U739" s="8" t="s">
        <v>3281</v>
      </c>
      <c r="V739" s="24">
        <v>1</v>
      </c>
      <c r="W739" s="24"/>
      <c r="X739" t="s">
        <v>206</v>
      </c>
      <c r="Y739" t="s">
        <v>3282</v>
      </c>
    </row>
    <row r="740" spans="1:25" x14ac:dyDescent="0.3">
      <c r="A740">
        <v>31150</v>
      </c>
      <c r="B740" t="str">
        <f>_xlfn.CONCAT(Tabel1[[#This Row],[personeelsnr]]," ",C740," ",D740)</f>
        <v>31150 Oueslati Mohamed Ali</v>
      </c>
      <c r="C740" t="str">
        <f>VLOOKUP(Tabel1[[#This Row],[personeelsnr]],'data hastus'!$A:$C,2,0)</f>
        <v>Oueslati</v>
      </c>
      <c r="D740" t="str">
        <f>VLOOKUP(Tabel1[[#This Row],[personeelsnr]],'data hastus'!$A:$C,3,0)</f>
        <v>Mohamed Ali</v>
      </c>
      <c r="E740" t="str">
        <f>VLOOKUP(Tabel1[[#This Row],[personeelsnr]],'data hastus'!A:K,11,FALSE)</f>
        <v>Kenneth De Rick</v>
      </c>
      <c r="F740" s="10"/>
      <c r="G740" s="7"/>
      <c r="H740" s="7"/>
      <c r="I740" s="7"/>
      <c r="L740" s="5">
        <v>1</v>
      </c>
      <c r="S740" s="5">
        <f>SUM(Tabel1[[#This Row],[Januari]:[December]])</f>
        <v>1</v>
      </c>
      <c r="T740" s="9">
        <v>45820</v>
      </c>
      <c r="U740" s="8" t="s">
        <v>3284</v>
      </c>
      <c r="V740" s="24">
        <v>1</v>
      </c>
      <c r="W740" s="24"/>
      <c r="X740" t="s">
        <v>206</v>
      </c>
      <c r="Y740" t="s">
        <v>177</v>
      </c>
    </row>
    <row r="741" spans="1:25" x14ac:dyDescent="0.3">
      <c r="A741">
        <v>39651</v>
      </c>
      <c r="B741" t="str">
        <f>_xlfn.CONCAT(Tabel1[[#This Row],[personeelsnr]]," ",C741," ",D741)</f>
        <v>39651 Kallenbach Sunny</v>
      </c>
      <c r="C741" t="str">
        <f>VLOOKUP(Tabel1[[#This Row],[personeelsnr]],'data hastus'!$A:$C,2,0)</f>
        <v>Kallenbach</v>
      </c>
      <c r="D741" t="str">
        <f>VLOOKUP(Tabel1[[#This Row],[personeelsnr]],'data hastus'!$A:$C,3,0)</f>
        <v>Sunny</v>
      </c>
      <c r="E741" t="str">
        <f>VLOOKUP(Tabel1[[#This Row],[personeelsnr]],'data hastus'!A:K,11,FALSE)</f>
        <v>Kenneth De Rick</v>
      </c>
      <c r="F741" s="10">
        <v>45800</v>
      </c>
      <c r="G741" s="7"/>
      <c r="H741" s="7"/>
      <c r="I741" s="7"/>
      <c r="K741" s="5">
        <v>1</v>
      </c>
      <c r="S741" s="5">
        <f>SUM(Tabel1[[#This Row],[Januari]:[December]])</f>
        <v>1</v>
      </c>
      <c r="T741" s="9">
        <v>45800</v>
      </c>
      <c r="U741" s="8" t="s">
        <v>3286</v>
      </c>
      <c r="V741" s="24">
        <v>1</v>
      </c>
      <c r="W741" s="24"/>
      <c r="X741" t="s">
        <v>206</v>
      </c>
      <c r="Y741" t="s">
        <v>167</v>
      </c>
    </row>
    <row r="742" spans="1:25" x14ac:dyDescent="0.3">
      <c r="A742">
        <v>26695</v>
      </c>
      <c r="B742" t="str">
        <f>_xlfn.CONCAT(Tabel1[[#This Row],[personeelsnr]]," ",C742," ",D742)</f>
        <v>26695 Lippens Miguel</v>
      </c>
      <c r="C742" t="str">
        <f>VLOOKUP(Tabel1[[#This Row],[personeelsnr]],'data hastus'!$A:$C,2,0)</f>
        <v>Lippens</v>
      </c>
      <c r="D742" t="str">
        <f>VLOOKUP(Tabel1[[#This Row],[personeelsnr]],'data hastus'!$A:$C,3,0)</f>
        <v>Miguel</v>
      </c>
      <c r="E742" t="str">
        <f>VLOOKUP(Tabel1[[#This Row],[personeelsnr]],'data hastus'!A:K,11,FALSE)</f>
        <v>Christoff Rotty</v>
      </c>
      <c r="F742" s="10">
        <v>45821</v>
      </c>
      <c r="G742" s="7"/>
      <c r="H742" s="7"/>
      <c r="I742" s="7"/>
      <c r="L742" s="5">
        <v>1</v>
      </c>
      <c r="S742" s="5">
        <f>SUM(Tabel1[[#This Row],[Januari]:[December]])</f>
        <v>1</v>
      </c>
      <c r="T742" s="9">
        <v>45821</v>
      </c>
      <c r="U742" s="8" t="s">
        <v>3287</v>
      </c>
      <c r="V742" s="24">
        <v>1</v>
      </c>
      <c r="W742" s="24"/>
      <c r="X742" t="s">
        <v>206</v>
      </c>
      <c r="Y742" t="s">
        <v>3282</v>
      </c>
    </row>
    <row r="743" spans="1:25" x14ac:dyDescent="0.3">
      <c r="A743">
        <v>36512</v>
      </c>
      <c r="B743" t="str">
        <f>_xlfn.CONCAT(Tabel1[[#This Row],[personeelsnr]]," ",C743," ",D743)</f>
        <v>36512 Van Herreweghe Branco</v>
      </c>
      <c r="C743" t="str">
        <f>VLOOKUP(Tabel1[[#This Row],[personeelsnr]],'data hastus'!$A:$C,2,0)</f>
        <v>Van Herreweghe</v>
      </c>
      <c r="D743" t="str">
        <f>VLOOKUP(Tabel1[[#This Row],[personeelsnr]],'data hastus'!$A:$C,3,0)</f>
        <v>Branco</v>
      </c>
      <c r="E743" t="str">
        <f>VLOOKUP(Tabel1[[#This Row],[personeelsnr]],'data hastus'!A:K,11,FALSE)</f>
        <v>Steven Storm</v>
      </c>
      <c r="F743" s="10"/>
      <c r="G743" s="7"/>
      <c r="H743" s="7"/>
      <c r="I743" s="7"/>
      <c r="L743" s="5">
        <v>1</v>
      </c>
      <c r="S743" s="5">
        <f>SUM(Tabel1[[#This Row],[Januari]:[December]])</f>
        <v>1</v>
      </c>
      <c r="T743" s="9">
        <v>45819</v>
      </c>
      <c r="U743" s="8" t="s">
        <v>3289</v>
      </c>
      <c r="V743" s="24">
        <v>1</v>
      </c>
      <c r="W743" s="24"/>
      <c r="X743" t="s">
        <v>206</v>
      </c>
      <c r="Y743" t="s">
        <v>328</v>
      </c>
    </row>
    <row r="744" spans="1:25" x14ac:dyDescent="0.3">
      <c r="A744">
        <v>36512</v>
      </c>
      <c r="B744" t="str">
        <f>_xlfn.CONCAT(Tabel1[[#This Row],[personeelsnr]]," ",C744," ",D744)</f>
        <v>36512 Van Herreweghe Branco</v>
      </c>
      <c r="C744" t="str">
        <f>VLOOKUP(Tabel1[[#This Row],[personeelsnr]],'data hastus'!$A:$C,2,0)</f>
        <v>Van Herreweghe</v>
      </c>
      <c r="D744" t="str">
        <f>VLOOKUP(Tabel1[[#This Row],[personeelsnr]],'data hastus'!$A:$C,3,0)</f>
        <v>Branco</v>
      </c>
      <c r="E744" t="str">
        <f>VLOOKUP(Tabel1[[#This Row],[personeelsnr]],'data hastus'!A:K,11,FALSE)</f>
        <v>Steven Storm</v>
      </c>
      <c r="F744" s="10"/>
      <c r="G744" s="7"/>
      <c r="H744" s="7"/>
      <c r="I744" s="7"/>
      <c r="J744" s="5">
        <v>1</v>
      </c>
      <c r="S744" s="5">
        <f>SUM(Tabel1[[#This Row],[Januari]:[December]])</f>
        <v>1</v>
      </c>
      <c r="T744" s="9">
        <v>45770</v>
      </c>
      <c r="U744" s="8" t="s">
        <v>3290</v>
      </c>
      <c r="V744" s="24"/>
      <c r="W744" s="24">
        <v>1</v>
      </c>
      <c r="X744" t="s">
        <v>207</v>
      </c>
      <c r="Y744" t="s">
        <v>174</v>
      </c>
    </row>
    <row r="745" spans="1:25" x14ac:dyDescent="0.3">
      <c r="A745">
        <v>38481</v>
      </c>
      <c r="B745" t="str">
        <f>_xlfn.CONCAT(Tabel1[[#This Row],[personeelsnr]]," ",C745," ",D745)</f>
        <v>38481 Sari Devrim</v>
      </c>
      <c r="C745" t="str">
        <f>VLOOKUP(Tabel1[[#This Row],[personeelsnr]],'data hastus'!$A:$C,2,0)</f>
        <v>Sari</v>
      </c>
      <c r="D745" t="str">
        <f>VLOOKUP(Tabel1[[#This Row],[personeelsnr]],'data hastus'!$A:$C,3,0)</f>
        <v>Devrim</v>
      </c>
      <c r="E745" t="str">
        <f>VLOOKUP(Tabel1[[#This Row],[personeelsnr]],'data hastus'!A:K,11,FALSE)</f>
        <v>Kenneth De Rick</v>
      </c>
      <c r="F745" s="10"/>
      <c r="G745" s="7"/>
      <c r="H745" s="7"/>
      <c r="I745" s="7"/>
      <c r="L745" s="5">
        <v>1</v>
      </c>
      <c r="S745" s="5">
        <f>SUM(Tabel1[[#This Row],[Januari]:[December]])</f>
        <v>1</v>
      </c>
      <c r="T745" s="9">
        <v>45812</v>
      </c>
      <c r="U745" s="8" t="s">
        <v>3291</v>
      </c>
      <c r="V745" s="24">
        <v>1</v>
      </c>
      <c r="W745" s="24"/>
      <c r="X745" t="s">
        <v>206</v>
      </c>
      <c r="Y745" t="s">
        <v>3292</v>
      </c>
    </row>
    <row r="746" spans="1:25" x14ac:dyDescent="0.3">
      <c r="A746">
        <v>29746</v>
      </c>
      <c r="B746" t="str">
        <f>_xlfn.CONCAT(Tabel1[[#This Row],[personeelsnr]]," ",C746," ",D746)</f>
        <v>29746 Huyse Annicke</v>
      </c>
      <c r="C746" t="str">
        <f>VLOOKUP(Tabel1[[#This Row],[personeelsnr]],'data hastus'!$A:$C,2,0)</f>
        <v>Huyse</v>
      </c>
      <c r="D746" t="str">
        <f>VLOOKUP(Tabel1[[#This Row],[personeelsnr]],'data hastus'!$A:$C,3,0)</f>
        <v>Annicke</v>
      </c>
      <c r="E746" t="str">
        <f>VLOOKUP(Tabel1[[#This Row],[personeelsnr]],'data hastus'!A:K,11,FALSE)</f>
        <v>Bart Van Der Beken</v>
      </c>
      <c r="F746" s="10">
        <v>45831</v>
      </c>
      <c r="G746" s="7"/>
      <c r="H746" s="7"/>
      <c r="I746" s="7"/>
      <c r="L746" s="5">
        <v>1</v>
      </c>
      <c r="S746" s="5">
        <f>SUM(Tabel1[[#This Row],[Januari]:[December]])</f>
        <v>1</v>
      </c>
      <c r="U746" s="8" t="s">
        <v>3293</v>
      </c>
      <c r="V746" s="24"/>
      <c r="W746" s="24">
        <v>1</v>
      </c>
      <c r="X746" t="s">
        <v>207</v>
      </c>
      <c r="Y746" t="s">
        <v>272</v>
      </c>
    </row>
    <row r="747" spans="1:25" x14ac:dyDescent="0.3">
      <c r="A747">
        <v>38808</v>
      </c>
      <c r="B747" t="str">
        <f>_xlfn.CONCAT(Tabel1[[#This Row],[personeelsnr]]," ",C747," ",D747)</f>
        <v>38808 Wasen Jens</v>
      </c>
      <c r="C747" t="str">
        <f>VLOOKUP(Tabel1[[#This Row],[personeelsnr]],'data hastus'!$A:$C,2,0)</f>
        <v>Wasen</v>
      </c>
      <c r="D747" t="str">
        <f>VLOOKUP(Tabel1[[#This Row],[personeelsnr]],'data hastus'!$A:$C,3,0)</f>
        <v>Jens</v>
      </c>
      <c r="E747" t="str">
        <f>VLOOKUP(Tabel1[[#This Row],[personeelsnr]],'data hastus'!A:K,11,FALSE)</f>
        <v>Els Dewulf</v>
      </c>
      <c r="F747" s="10"/>
      <c r="G747" s="7"/>
      <c r="H747" s="7"/>
      <c r="I747" s="7"/>
      <c r="L747" s="5">
        <v>1</v>
      </c>
      <c r="S747" s="5">
        <f>SUM(Tabel1[[#This Row],[Januari]:[December]])</f>
        <v>1</v>
      </c>
      <c r="T747" s="9">
        <v>45830</v>
      </c>
      <c r="U747" s="8" t="s">
        <v>3294</v>
      </c>
      <c r="V747" s="24">
        <v>1</v>
      </c>
      <c r="W747" s="24"/>
      <c r="X747" t="s">
        <v>206</v>
      </c>
      <c r="Y747" t="s">
        <v>178</v>
      </c>
    </row>
    <row r="748" spans="1:25" x14ac:dyDescent="0.3">
      <c r="A748">
        <v>41721</v>
      </c>
      <c r="B748" t="str">
        <f>_xlfn.CONCAT(Tabel1[[#This Row],[personeelsnr]]," ",C748," ",D748)</f>
        <v>41721 Nolf Philippe</v>
      </c>
      <c r="C748" t="str">
        <f>VLOOKUP(Tabel1[[#This Row],[personeelsnr]],'data hastus'!$A:$C,2,0)</f>
        <v>Nolf</v>
      </c>
      <c r="D748" t="str">
        <f>VLOOKUP(Tabel1[[#This Row],[personeelsnr]],'data hastus'!$A:$C,3,0)</f>
        <v>Philippe</v>
      </c>
      <c r="E748" t="str">
        <f>VLOOKUP(Tabel1[[#This Row],[personeelsnr]],'data hastus'!A:K,11,FALSE)</f>
        <v>Kenneth De Rick</v>
      </c>
      <c r="F748" s="10"/>
      <c r="G748" s="7"/>
      <c r="H748" s="7"/>
      <c r="I748" s="7"/>
      <c r="L748" s="5">
        <v>1</v>
      </c>
      <c r="S748" s="5">
        <f>SUM(Tabel1[[#This Row],[Januari]:[December]])</f>
        <v>1</v>
      </c>
      <c r="T748" s="9">
        <v>45828</v>
      </c>
      <c r="U748" s="8" t="s">
        <v>3295</v>
      </c>
      <c r="V748" s="24">
        <v>1</v>
      </c>
      <c r="W748" s="24"/>
      <c r="X748" t="s">
        <v>206</v>
      </c>
      <c r="Y748" t="s">
        <v>290</v>
      </c>
    </row>
    <row r="749" spans="1:25" x14ac:dyDescent="0.3">
      <c r="A749">
        <v>36426</v>
      </c>
      <c r="B749" t="str">
        <f>_xlfn.CONCAT(Tabel1[[#This Row],[personeelsnr]]," ",C749," ",D749)</f>
        <v>36426 Mohamed Yassin Abdulhamid</v>
      </c>
      <c r="C749" t="str">
        <f>VLOOKUP(Tabel1[[#This Row],[personeelsnr]],'data hastus'!$A:$C,2,0)</f>
        <v>Mohamed Yassin</v>
      </c>
      <c r="D749" t="str">
        <f>VLOOKUP(Tabel1[[#This Row],[personeelsnr]],'data hastus'!$A:$C,3,0)</f>
        <v>Abdulhamid</v>
      </c>
      <c r="E749" t="str">
        <f>VLOOKUP(Tabel1[[#This Row],[personeelsnr]],'data hastus'!A:K,11,FALSE)</f>
        <v>Bart Van Der Beken</v>
      </c>
      <c r="F749" s="10"/>
      <c r="G749" s="7"/>
      <c r="H749" s="7"/>
      <c r="I749" s="7"/>
      <c r="L749" s="5">
        <v>1</v>
      </c>
      <c r="S749" s="5">
        <f>SUM(Tabel1[[#This Row],[Januari]:[December]])</f>
        <v>1</v>
      </c>
      <c r="T749" s="9">
        <v>45828</v>
      </c>
      <c r="U749" s="8" t="s">
        <v>3297</v>
      </c>
      <c r="V749" s="24"/>
      <c r="W749" s="24">
        <v>1</v>
      </c>
      <c r="X749" t="s">
        <v>207</v>
      </c>
      <c r="Y749" t="s">
        <v>223</v>
      </c>
    </row>
    <row r="750" spans="1:25" x14ac:dyDescent="0.3">
      <c r="A750">
        <v>41690</v>
      </c>
      <c r="B750" t="str">
        <f>_xlfn.CONCAT(Tabel1[[#This Row],[personeelsnr]]," ",C750," ",D750)</f>
        <v>41690 Van de Winckel Kelly</v>
      </c>
      <c r="C750" t="str">
        <f>VLOOKUP(Tabel1[[#This Row],[personeelsnr]],'data hastus'!$A:$C,2,0)</f>
        <v>Van de Winckel</v>
      </c>
      <c r="D750" t="str">
        <f>VLOOKUP(Tabel1[[#This Row],[personeelsnr]],'data hastus'!$A:$C,3,0)</f>
        <v>Kelly</v>
      </c>
      <c r="E750" t="str">
        <f>VLOOKUP(Tabel1[[#This Row],[personeelsnr]],'data hastus'!A:K,11,FALSE)</f>
        <v>Els Dewulf</v>
      </c>
      <c r="F750" s="10"/>
      <c r="G750" s="7"/>
      <c r="H750" s="7"/>
      <c r="I750" s="7"/>
      <c r="L750" s="5">
        <v>1</v>
      </c>
      <c r="S750" s="5">
        <f>SUM(Tabel1[[#This Row],[Januari]:[December]])</f>
        <v>1</v>
      </c>
      <c r="T750" s="9">
        <v>45829</v>
      </c>
      <c r="U750" s="8" t="s">
        <v>3298</v>
      </c>
      <c r="V750" s="24">
        <v>1</v>
      </c>
      <c r="W750" s="24"/>
      <c r="X750" t="s">
        <v>206</v>
      </c>
      <c r="Y750" t="s">
        <v>171</v>
      </c>
    </row>
    <row r="751" spans="1:25" x14ac:dyDescent="0.3">
      <c r="A751">
        <v>40478</v>
      </c>
      <c r="B751" t="str">
        <f>_xlfn.CONCAT(Tabel1[[#This Row],[personeelsnr]]," ",C751," ",D751)</f>
        <v>40478 Hashimi Ali Mir</v>
      </c>
      <c r="C751" t="str">
        <f>VLOOKUP(Tabel1[[#This Row],[personeelsnr]],'data hastus'!$A:$C,2,0)</f>
        <v>Hashimi</v>
      </c>
      <c r="D751" t="str">
        <f>VLOOKUP(Tabel1[[#This Row],[personeelsnr]],'data hastus'!$A:$C,3,0)</f>
        <v>Ali Mir</v>
      </c>
      <c r="E751" t="str">
        <f>VLOOKUP(Tabel1[[#This Row],[personeelsnr]],'data hastus'!A:K,11,FALSE)</f>
        <v>Bart Van Der Beken</v>
      </c>
      <c r="F751" s="10"/>
      <c r="G751" s="7"/>
      <c r="H751" s="7"/>
      <c r="I751" s="7"/>
      <c r="L751" s="5">
        <v>1</v>
      </c>
      <c r="S751" s="5">
        <f>SUM(Tabel1[[#This Row],[Januari]:[December]])</f>
        <v>1</v>
      </c>
      <c r="T751" s="9">
        <v>45831</v>
      </c>
      <c r="U751" s="8" t="s">
        <v>3300</v>
      </c>
      <c r="V751" s="24">
        <v>1</v>
      </c>
      <c r="W751" s="24"/>
      <c r="X751" t="s">
        <v>206</v>
      </c>
      <c r="Y751" t="s">
        <v>242</v>
      </c>
    </row>
    <row r="752" spans="1:25" x14ac:dyDescent="0.3">
      <c r="A752">
        <v>26847</v>
      </c>
      <c r="B752" t="str">
        <f>_xlfn.CONCAT(Tabel1[[#This Row],[personeelsnr]]," ",C752," ",D752)</f>
        <v>26847 De Meester David</v>
      </c>
      <c r="C752" t="str">
        <f>VLOOKUP(Tabel1[[#This Row],[personeelsnr]],'data hastus'!$A:$C,2,0)</f>
        <v>De Meester</v>
      </c>
      <c r="D752" t="str">
        <f>VLOOKUP(Tabel1[[#This Row],[personeelsnr]],'data hastus'!$A:$C,3,0)</f>
        <v>David</v>
      </c>
      <c r="E752" t="str">
        <f>VLOOKUP(Tabel1[[#This Row],[personeelsnr]],'data hastus'!A:K,11,FALSE)</f>
        <v>Bart Van Der Beken</v>
      </c>
      <c r="F752" s="10"/>
      <c r="G752" s="7"/>
      <c r="H752" s="7"/>
      <c r="I752" s="7"/>
      <c r="L752" s="5">
        <v>1</v>
      </c>
      <c r="S752" s="5">
        <f>SUM(Tabel1[[#This Row],[Januari]:[December]])</f>
        <v>1</v>
      </c>
      <c r="T752" s="9">
        <v>45828</v>
      </c>
      <c r="U752" s="8" t="s">
        <v>3301</v>
      </c>
      <c r="V752" s="24"/>
      <c r="W752" s="24">
        <v>1</v>
      </c>
      <c r="X752" t="s">
        <v>207</v>
      </c>
      <c r="Y752" t="s">
        <v>167</v>
      </c>
    </row>
    <row r="753" spans="1:25" x14ac:dyDescent="0.3">
      <c r="A753">
        <v>40362</v>
      </c>
      <c r="B753" t="str">
        <f>_xlfn.CONCAT(Tabel1[[#This Row],[personeelsnr]]," ",C753," ",D753)</f>
        <v>40362 Kuru Cetin</v>
      </c>
      <c r="C753" t="str">
        <f>VLOOKUP(Tabel1[[#This Row],[personeelsnr]],'data hastus'!$A:$C,2,0)</f>
        <v>Kuru</v>
      </c>
      <c r="D753" t="str">
        <f>VLOOKUP(Tabel1[[#This Row],[personeelsnr]],'data hastus'!$A:$C,3,0)</f>
        <v>Cetin</v>
      </c>
      <c r="E753" t="str">
        <f>VLOOKUP(Tabel1[[#This Row],[personeelsnr]],'data hastus'!A:K,11,FALSE)</f>
        <v>Kenneth De Rick</v>
      </c>
      <c r="F753" s="10"/>
      <c r="G753" s="7"/>
      <c r="H753" s="7"/>
      <c r="I753" s="7"/>
      <c r="L753" s="5">
        <v>1</v>
      </c>
      <c r="S753" s="5">
        <f>SUM(Tabel1[[#This Row],[Januari]:[December]])</f>
        <v>1</v>
      </c>
      <c r="T753" s="9">
        <v>45833</v>
      </c>
      <c r="U753" s="8" t="s">
        <v>3302</v>
      </c>
      <c r="V753" s="24">
        <v>1</v>
      </c>
      <c r="W753" s="24"/>
      <c r="X753" t="s">
        <v>206</v>
      </c>
      <c r="Y753" t="s">
        <v>372</v>
      </c>
    </row>
    <row r="754" spans="1:25" x14ac:dyDescent="0.3">
      <c r="A754">
        <v>36624</v>
      </c>
      <c r="B754" t="str">
        <f>_xlfn.CONCAT(Tabel1[[#This Row],[personeelsnr]]," ",C754," ",D754)</f>
        <v>36624 De Meulenaere Kurt</v>
      </c>
      <c r="C754" t="str">
        <f>VLOOKUP(Tabel1[[#This Row],[personeelsnr]],'data hastus'!$A:$C,2,0)</f>
        <v>De Meulenaere</v>
      </c>
      <c r="D754" t="str">
        <f>VLOOKUP(Tabel1[[#This Row],[personeelsnr]],'data hastus'!$A:$C,3,0)</f>
        <v>Kurt</v>
      </c>
      <c r="E754" t="str">
        <f>VLOOKUP(Tabel1[[#This Row],[personeelsnr]],'data hastus'!A:K,11,FALSE)</f>
        <v>Dominique De Clercq</v>
      </c>
      <c r="F754" s="10"/>
      <c r="G754" s="7"/>
      <c r="H754" s="7"/>
      <c r="I754" s="7"/>
      <c r="L754" s="5">
        <v>1</v>
      </c>
      <c r="S754" s="5">
        <f>SUM(Tabel1[[#This Row],[Januari]:[December]])</f>
        <v>1</v>
      </c>
      <c r="T754" s="9">
        <v>45829</v>
      </c>
      <c r="U754" s="8" t="s">
        <v>3303</v>
      </c>
      <c r="V754" s="24">
        <v>1</v>
      </c>
      <c r="W754" s="24"/>
      <c r="X754" t="s">
        <v>206</v>
      </c>
      <c r="Y754" t="s">
        <v>281</v>
      </c>
    </row>
    <row r="755" spans="1:25" x14ac:dyDescent="0.3">
      <c r="A755">
        <v>36627</v>
      </c>
      <c r="B755" t="str">
        <f>_xlfn.CONCAT(Tabel1[[#This Row],[personeelsnr]]," ",C755," ",D755)</f>
        <v>36627 Dobbelaere David</v>
      </c>
      <c r="C755" t="str">
        <f>VLOOKUP(Tabel1[[#This Row],[personeelsnr]],'data hastus'!$A:$C,2,0)</f>
        <v>Dobbelaere</v>
      </c>
      <c r="D755" t="str">
        <f>VLOOKUP(Tabel1[[#This Row],[personeelsnr]],'data hastus'!$A:$C,3,0)</f>
        <v>David</v>
      </c>
      <c r="E755" t="str">
        <f>VLOOKUP(Tabel1[[#This Row],[personeelsnr]],'data hastus'!A:K,11,FALSE)</f>
        <v>Els Dewulf</v>
      </c>
      <c r="F755" s="10"/>
      <c r="G755" s="7"/>
      <c r="H755" s="7"/>
      <c r="I755" s="7"/>
      <c r="L755" s="5">
        <v>1</v>
      </c>
      <c r="S755" s="5">
        <f>SUM(Tabel1[[#This Row],[Januari]:[December]])</f>
        <v>1</v>
      </c>
      <c r="T755" s="9">
        <v>45814</v>
      </c>
      <c r="U755" s="8" t="s">
        <v>3304</v>
      </c>
      <c r="V755" s="24"/>
      <c r="W755" s="24">
        <v>1</v>
      </c>
      <c r="X755" t="s">
        <v>207</v>
      </c>
      <c r="Y755" t="s">
        <v>176</v>
      </c>
    </row>
    <row r="756" spans="1:25" x14ac:dyDescent="0.3">
      <c r="A756">
        <v>38634</v>
      </c>
      <c r="B756" t="str">
        <f>_xlfn.CONCAT(Tabel1[[#This Row],[personeelsnr]]," ",C756," ",D756)</f>
        <v>38634 Asskale Zouhir</v>
      </c>
      <c r="C756" t="str">
        <f>VLOOKUP(Tabel1[[#This Row],[personeelsnr]],'data hastus'!$A:$C,2,0)</f>
        <v>Asskale</v>
      </c>
      <c r="D756" t="str">
        <f>VLOOKUP(Tabel1[[#This Row],[personeelsnr]],'data hastus'!$A:$C,3,0)</f>
        <v>Zouhir</v>
      </c>
      <c r="E756" t="str">
        <f>VLOOKUP(Tabel1[[#This Row],[personeelsnr]],'data hastus'!A:K,11,FALSE)</f>
        <v>Bart Van Der Beken</v>
      </c>
      <c r="F756" s="10"/>
      <c r="G756" s="7"/>
      <c r="H756" s="7"/>
      <c r="I756" s="7"/>
      <c r="L756" s="5">
        <v>1</v>
      </c>
      <c r="S756" s="5">
        <f>SUM(Tabel1[[#This Row],[Januari]:[December]])</f>
        <v>1</v>
      </c>
      <c r="T756" s="9">
        <v>45832</v>
      </c>
      <c r="U756" s="8" t="s">
        <v>3306</v>
      </c>
      <c r="V756" s="24"/>
      <c r="W756" s="24">
        <v>1</v>
      </c>
      <c r="X756" t="s">
        <v>207</v>
      </c>
      <c r="Y756" t="s">
        <v>262</v>
      </c>
    </row>
    <row r="757" spans="1:25" x14ac:dyDescent="0.3">
      <c r="A757">
        <v>29646</v>
      </c>
      <c r="B757" t="str">
        <f>_xlfn.CONCAT(Tabel1[[#This Row],[personeelsnr]]," ",C757," ",D757)</f>
        <v>29646 Özer Mesut</v>
      </c>
      <c r="C757" t="str">
        <f>VLOOKUP(Tabel1[[#This Row],[personeelsnr]],'data hastus'!$A:$C,2,0)</f>
        <v>Özer</v>
      </c>
      <c r="D757" t="str">
        <f>VLOOKUP(Tabel1[[#This Row],[personeelsnr]],'data hastus'!$A:$C,3,0)</f>
        <v>Mesut</v>
      </c>
      <c r="E757" t="str">
        <f>VLOOKUP(Tabel1[[#This Row],[personeelsnr]],'data hastus'!A:K,11,FALSE)</f>
        <v>Dominique De Clercq</v>
      </c>
      <c r="F757" s="10">
        <v>45836</v>
      </c>
      <c r="G757" s="7"/>
      <c r="H757" s="7"/>
      <c r="I757" s="7"/>
      <c r="L757" s="5">
        <v>1</v>
      </c>
      <c r="S757" s="5">
        <f>SUM(Tabel1[[#This Row],[Januari]:[December]])</f>
        <v>1</v>
      </c>
      <c r="U757" s="8" t="s">
        <v>3307</v>
      </c>
      <c r="V757" s="24">
        <v>1</v>
      </c>
      <c r="W757" s="24"/>
      <c r="X757" t="s">
        <v>206</v>
      </c>
      <c r="Y757" t="s">
        <v>3308</v>
      </c>
    </row>
    <row r="758" spans="1:25" x14ac:dyDescent="0.3">
      <c r="A758">
        <v>15412</v>
      </c>
      <c r="B758" t="str">
        <f>_xlfn.CONCAT(Tabel1[[#This Row],[personeelsnr]]," ",C758," ",D758)</f>
        <v>15412 Dhondt Frank</v>
      </c>
      <c r="C758" t="str">
        <f>VLOOKUP(Tabel1[[#This Row],[personeelsnr]],'data hastus'!$A:$C,2,0)</f>
        <v>Dhondt</v>
      </c>
      <c r="D758" t="str">
        <f>VLOOKUP(Tabel1[[#This Row],[personeelsnr]],'data hastus'!$A:$C,3,0)</f>
        <v>Frank</v>
      </c>
      <c r="E758" t="str">
        <f>VLOOKUP(Tabel1[[#This Row],[personeelsnr]],'data hastus'!A:K,11,FALSE)</f>
        <v>Bart Van Der Beken</v>
      </c>
      <c r="F758" s="10"/>
      <c r="G758" s="7"/>
      <c r="H758" s="7"/>
      <c r="I758" s="7"/>
      <c r="S758" s="5">
        <f>SUM(Tabel1[[#This Row],[Januari]:[December]])</f>
        <v>0</v>
      </c>
      <c r="T758" s="9">
        <v>45833</v>
      </c>
      <c r="U758" s="8" t="s">
        <v>3309</v>
      </c>
      <c r="V758" s="24">
        <v>1</v>
      </c>
      <c r="W758" s="24"/>
      <c r="X758" t="s">
        <v>206</v>
      </c>
      <c r="Y758" t="s">
        <v>3310</v>
      </c>
    </row>
    <row r="759" spans="1:25" x14ac:dyDescent="0.3">
      <c r="A759">
        <v>38648</v>
      </c>
      <c r="B759" t="str">
        <f>_xlfn.CONCAT(Tabel1[[#This Row],[personeelsnr]]," ",C759," ",D759)</f>
        <v>38648 Uckuyulu Muhammet Emin</v>
      </c>
      <c r="C759" t="str">
        <f>VLOOKUP(Tabel1[[#This Row],[personeelsnr]],'data hastus'!$A:$C,2,0)</f>
        <v>Uckuyulu</v>
      </c>
      <c r="D759" t="str">
        <f>VLOOKUP(Tabel1[[#This Row],[personeelsnr]],'data hastus'!$A:$C,3,0)</f>
        <v>Muhammet Emin</v>
      </c>
      <c r="E759" t="str">
        <f>VLOOKUP(Tabel1[[#This Row],[personeelsnr]],'data hastus'!A:K,11,FALSE)</f>
        <v>Lucie Vande Velde</v>
      </c>
      <c r="F759" s="10"/>
      <c r="G759" s="7"/>
      <c r="H759" s="7"/>
      <c r="I759" s="7"/>
      <c r="M759" s="5">
        <v>1</v>
      </c>
      <c r="S759" s="5">
        <f>SUM(Tabel1[[#This Row],[Januari]:[December]])</f>
        <v>1</v>
      </c>
      <c r="T759" s="9">
        <v>45840</v>
      </c>
      <c r="U759" s="8" t="s">
        <v>3311</v>
      </c>
      <c r="V759" s="24"/>
      <c r="W759" s="24">
        <v>1</v>
      </c>
      <c r="X759" t="s">
        <v>207</v>
      </c>
      <c r="Y759" t="s">
        <v>168</v>
      </c>
    </row>
    <row r="760" spans="1:25" x14ac:dyDescent="0.3">
      <c r="A760">
        <v>21509</v>
      </c>
      <c r="B760" t="str">
        <f>_xlfn.CONCAT(Tabel1[[#This Row],[personeelsnr]]," ",C760," ",D760)</f>
        <v>21509 De Craemer Kris</v>
      </c>
      <c r="C760" t="str">
        <f>VLOOKUP(Tabel1[[#This Row],[personeelsnr]],'data hastus'!$A:$C,2,0)</f>
        <v>De Craemer</v>
      </c>
      <c r="D760" t="str">
        <f>VLOOKUP(Tabel1[[#This Row],[personeelsnr]],'data hastus'!$A:$C,3,0)</f>
        <v>Kris</v>
      </c>
      <c r="E760" t="str">
        <f>VLOOKUP(Tabel1[[#This Row],[personeelsnr]],'data hastus'!A:K,11,FALSE)</f>
        <v>Dominique De Clercq</v>
      </c>
      <c r="F760" s="10"/>
      <c r="G760" s="7"/>
      <c r="H760" s="7"/>
      <c r="I760" s="7"/>
      <c r="M760" s="5">
        <v>1</v>
      </c>
      <c r="S760" s="5">
        <f>SUM(Tabel1[[#This Row],[Januari]:[December]])</f>
        <v>1</v>
      </c>
      <c r="T760" s="9">
        <v>45839</v>
      </c>
      <c r="U760" s="8" t="s">
        <v>3312</v>
      </c>
      <c r="V760" s="24"/>
      <c r="W760" s="24">
        <v>1</v>
      </c>
      <c r="X760" t="s">
        <v>207</v>
      </c>
      <c r="Y760" t="s">
        <v>219</v>
      </c>
    </row>
    <row r="761" spans="1:25" x14ac:dyDescent="0.3">
      <c r="A761">
        <v>4419</v>
      </c>
      <c r="B761" t="str">
        <f>_xlfn.CONCAT(Tabel1[[#This Row],[personeelsnr]]," ",C761," ",D761)</f>
        <v>4419 Maelbrancke Eddy</v>
      </c>
      <c r="C761" t="str">
        <f>VLOOKUP(Tabel1[[#This Row],[personeelsnr]],'data hastus'!$A:$C,2,0)</f>
        <v>Maelbrancke</v>
      </c>
      <c r="D761" t="str">
        <f>VLOOKUP(Tabel1[[#This Row],[personeelsnr]],'data hastus'!$A:$C,3,0)</f>
        <v>Eddy</v>
      </c>
      <c r="E761" t="str">
        <f>VLOOKUP(Tabel1[[#This Row],[personeelsnr]],'data hastus'!A:K,11,FALSE)</f>
        <v>Lucie Vande Velde</v>
      </c>
      <c r="F761" s="10"/>
      <c r="G761" s="7"/>
      <c r="H761" s="7"/>
      <c r="I761" s="7"/>
      <c r="M761" s="5">
        <v>1</v>
      </c>
      <c r="S761" s="5">
        <f>SUM(Tabel1[[#This Row],[Januari]:[December]])</f>
        <v>1</v>
      </c>
      <c r="T761" s="9">
        <v>45839</v>
      </c>
      <c r="U761" s="8" t="s">
        <v>3313</v>
      </c>
      <c r="V761" s="24">
        <v>1</v>
      </c>
      <c r="W761" s="24"/>
      <c r="X761" t="s">
        <v>206</v>
      </c>
      <c r="Y761" t="s">
        <v>3314</v>
      </c>
    </row>
    <row r="762" spans="1:25" x14ac:dyDescent="0.3">
      <c r="A762">
        <v>37542</v>
      </c>
      <c r="B762" t="str">
        <f>_xlfn.CONCAT(Tabel1[[#This Row],[personeelsnr]]," ",C762," ",D762)</f>
        <v>37542 De Tandt Hans</v>
      </c>
      <c r="C762" t="str">
        <f>VLOOKUP(Tabel1[[#This Row],[personeelsnr]],'data hastus'!$A:$C,2,0)</f>
        <v>De Tandt</v>
      </c>
      <c r="D762" t="str">
        <f>VLOOKUP(Tabel1[[#This Row],[personeelsnr]],'data hastus'!$A:$C,3,0)</f>
        <v>Hans</v>
      </c>
      <c r="E762" t="str">
        <f>VLOOKUP(Tabel1[[#This Row],[personeelsnr]],'data hastus'!A:K,11,FALSE)</f>
        <v>Bart Van Der Beken</v>
      </c>
      <c r="F762" s="10"/>
      <c r="G762" s="7"/>
      <c r="H762" s="7"/>
      <c r="I762" s="7"/>
      <c r="M762" s="5">
        <v>1</v>
      </c>
      <c r="S762" s="5">
        <f>SUM(Tabel1[[#This Row],[Januari]:[December]])</f>
        <v>1</v>
      </c>
      <c r="T762" s="9">
        <v>45840</v>
      </c>
      <c r="U762" s="8" t="s">
        <v>3315</v>
      </c>
      <c r="V762" s="24"/>
      <c r="W762" s="24">
        <v>1</v>
      </c>
      <c r="X762" t="s">
        <v>207</v>
      </c>
      <c r="Y762" t="s">
        <v>201</v>
      </c>
    </row>
    <row r="763" spans="1:25" x14ac:dyDescent="0.3">
      <c r="A763">
        <v>4419</v>
      </c>
      <c r="B763" t="str">
        <f>_xlfn.CONCAT(Tabel1[[#This Row],[personeelsnr]]," ",C763," ",D763)</f>
        <v>4419 Maelbrancke Eddy</v>
      </c>
      <c r="C763" t="str">
        <f>VLOOKUP(Tabel1[[#This Row],[personeelsnr]],'data hastus'!$A:$C,2,0)</f>
        <v>Maelbrancke</v>
      </c>
      <c r="D763" t="str">
        <f>VLOOKUP(Tabel1[[#This Row],[personeelsnr]],'data hastus'!$A:$C,3,0)</f>
        <v>Eddy</v>
      </c>
      <c r="E763" t="str">
        <f>VLOOKUP(Tabel1[[#This Row],[personeelsnr]],'data hastus'!A:K,11,FALSE)</f>
        <v>Lucie Vande Velde</v>
      </c>
      <c r="F763" s="10">
        <v>45841</v>
      </c>
      <c r="G763" s="7"/>
      <c r="H763" s="7"/>
      <c r="I763" s="7"/>
      <c r="M763" s="5">
        <v>1</v>
      </c>
      <c r="S763" s="5">
        <f>SUM(Tabel1[[#This Row],[Januari]:[December]])</f>
        <v>1</v>
      </c>
      <c r="U763" s="8" t="s">
        <v>3316</v>
      </c>
      <c r="V763" s="24">
        <v>1</v>
      </c>
      <c r="W763" s="24"/>
      <c r="X763" t="s">
        <v>206</v>
      </c>
      <c r="Y763" t="s">
        <v>3317</v>
      </c>
    </row>
    <row r="764" spans="1:25" x14ac:dyDescent="0.3">
      <c r="A764">
        <v>22416</v>
      </c>
      <c r="B764" t="str">
        <f>_xlfn.CONCAT(Tabel1[[#This Row],[personeelsnr]]," ",C764," ",D764)</f>
        <v>22416 Bicici Abdul Kadir</v>
      </c>
      <c r="C764" t="str">
        <f>VLOOKUP(Tabel1[[#This Row],[personeelsnr]],'data hastus'!$A:$C,2,0)</f>
        <v>Bicici</v>
      </c>
      <c r="D764" t="str">
        <f>VLOOKUP(Tabel1[[#This Row],[personeelsnr]],'data hastus'!$A:$C,3,0)</f>
        <v>Abdul Kadir</v>
      </c>
      <c r="E764" t="str">
        <f>VLOOKUP(Tabel1[[#This Row],[personeelsnr]],'data hastus'!A:K,11,FALSE)</f>
        <v>Christoff Rotty</v>
      </c>
      <c r="F764" s="10"/>
      <c r="G764" s="7"/>
      <c r="H764" s="7"/>
      <c r="I764" s="7"/>
      <c r="M764" s="5">
        <v>1</v>
      </c>
      <c r="S764" s="5">
        <f>SUM(Tabel1[[#This Row],[Januari]:[December]])</f>
        <v>1</v>
      </c>
      <c r="T764" s="9">
        <v>45843</v>
      </c>
      <c r="U764" s="8" t="s">
        <v>3318</v>
      </c>
      <c r="V764" s="24"/>
      <c r="W764" s="24">
        <v>1</v>
      </c>
      <c r="X764" t="s">
        <v>207</v>
      </c>
      <c r="Y764" t="s">
        <v>3319</v>
      </c>
    </row>
    <row r="765" spans="1:25" x14ac:dyDescent="0.3">
      <c r="A765">
        <v>39660</v>
      </c>
      <c r="B765" t="str">
        <f>_xlfn.CONCAT(Tabel1[[#This Row],[personeelsnr]]," ",C765," ",D765)</f>
        <v>39660 Lloyd Glenn</v>
      </c>
      <c r="C765" t="str">
        <f>VLOOKUP(Tabel1[[#This Row],[personeelsnr]],'data hastus'!$A:$C,2,0)</f>
        <v>Lloyd</v>
      </c>
      <c r="D765" t="str">
        <f>VLOOKUP(Tabel1[[#This Row],[personeelsnr]],'data hastus'!$A:$C,3,0)</f>
        <v>Glenn</v>
      </c>
      <c r="E765" t="str">
        <f>VLOOKUP(Tabel1[[#This Row],[personeelsnr]],'data hastus'!A:K,11,FALSE)</f>
        <v>Bart Van Der Beken</v>
      </c>
      <c r="F765" s="10">
        <v>45842</v>
      </c>
      <c r="G765" s="7"/>
      <c r="H765" s="7"/>
      <c r="I765" s="7"/>
      <c r="M765" s="5">
        <v>1</v>
      </c>
      <c r="S765" s="5">
        <f>SUM(Tabel1[[#This Row],[Januari]:[December]])</f>
        <v>1</v>
      </c>
      <c r="U765" s="8" t="s">
        <v>3321</v>
      </c>
      <c r="V765" s="24">
        <v>1</v>
      </c>
      <c r="W765" s="24"/>
      <c r="X765" t="s">
        <v>206</v>
      </c>
      <c r="Y765" t="s">
        <v>3314</v>
      </c>
    </row>
    <row r="766" spans="1:25" x14ac:dyDescent="0.3">
      <c r="A766">
        <v>28737</v>
      </c>
      <c r="B766" t="str">
        <f>_xlfn.CONCAT(Tabel1[[#This Row],[personeelsnr]]," ",C766," ",D766)</f>
        <v>28737 El-Mohamed Mohamed</v>
      </c>
      <c r="C766" t="str">
        <f>VLOOKUP(Tabel1[[#This Row],[personeelsnr]],'data hastus'!$A:$C,2,0)</f>
        <v>El-Mohamed</v>
      </c>
      <c r="D766" t="str">
        <f>VLOOKUP(Tabel1[[#This Row],[personeelsnr]],'data hastus'!$A:$C,3,0)</f>
        <v>Mohamed</v>
      </c>
      <c r="E766" t="str">
        <f>VLOOKUP(Tabel1[[#This Row],[personeelsnr]],'data hastus'!A:K,11,FALSE)</f>
        <v>Lucie Vande Velde</v>
      </c>
      <c r="F766" s="10"/>
      <c r="G766" s="7"/>
      <c r="H766" s="7"/>
      <c r="I766" s="7"/>
      <c r="M766" s="5">
        <v>1</v>
      </c>
      <c r="S766" s="5">
        <f>SUM(Tabel1[[#This Row],[Januari]:[December]])</f>
        <v>1</v>
      </c>
      <c r="T766" s="9">
        <v>45842</v>
      </c>
      <c r="U766" s="8" t="s">
        <v>3322</v>
      </c>
      <c r="V766" s="24">
        <v>1</v>
      </c>
      <c r="W766" s="24"/>
      <c r="X766" t="s">
        <v>206</v>
      </c>
      <c r="Y766" t="s">
        <v>539</v>
      </c>
    </row>
    <row r="767" spans="1:25" x14ac:dyDescent="0.3">
      <c r="A767">
        <v>36569</v>
      </c>
      <c r="B767" t="str">
        <f>_xlfn.CONCAT(Tabel1[[#This Row],[personeelsnr]]," ",C767," ",D767)</f>
        <v>36569 Stroobandt Jonas</v>
      </c>
      <c r="C767" t="str">
        <f>VLOOKUP(Tabel1[[#This Row],[personeelsnr]],'data hastus'!$A:$C,2,0)</f>
        <v>Stroobandt</v>
      </c>
      <c r="D767" t="str">
        <f>VLOOKUP(Tabel1[[#This Row],[personeelsnr]],'data hastus'!$A:$C,3,0)</f>
        <v>Jonas</v>
      </c>
      <c r="E767" t="str">
        <f>VLOOKUP(Tabel1[[#This Row],[personeelsnr]],'data hastus'!A:K,11,FALSE)</f>
        <v>Els Vanhoe</v>
      </c>
      <c r="F767" s="10"/>
      <c r="G767" s="7"/>
      <c r="H767" s="7"/>
      <c r="I767" s="7"/>
      <c r="L767" s="5">
        <v>1</v>
      </c>
      <c r="S767" s="5">
        <f>SUM(Tabel1[[#This Row],[Januari]:[December]])</f>
        <v>1</v>
      </c>
      <c r="T767" s="9">
        <v>45828</v>
      </c>
      <c r="U767" s="8" t="s">
        <v>3323</v>
      </c>
      <c r="V767" s="24"/>
      <c r="W767" s="24">
        <v>1</v>
      </c>
      <c r="X767" t="s">
        <v>207</v>
      </c>
      <c r="Y767" t="s">
        <v>174</v>
      </c>
    </row>
    <row r="768" spans="1:25" x14ac:dyDescent="0.3">
      <c r="A768">
        <v>15088</v>
      </c>
      <c r="B768" t="str">
        <f>_xlfn.CONCAT(Tabel1[[#This Row],[personeelsnr]]," ",C768," ",D768)</f>
        <v>15088 Laute Dirk</v>
      </c>
      <c r="C768" t="str">
        <f>VLOOKUP(Tabel1[[#This Row],[personeelsnr]],'data hastus'!$A:$C,2,0)</f>
        <v>Laute</v>
      </c>
      <c r="D768" t="str">
        <f>VLOOKUP(Tabel1[[#This Row],[personeelsnr]],'data hastus'!$A:$C,3,0)</f>
        <v>Dirk</v>
      </c>
      <c r="E768" t="str">
        <f>VLOOKUP(Tabel1[[#This Row],[personeelsnr]],'data hastus'!A:K,11,FALSE)</f>
        <v>Els Vanhoe</v>
      </c>
      <c r="F768" s="10"/>
      <c r="G768" s="7"/>
      <c r="H768" s="7"/>
      <c r="I768" s="7"/>
      <c r="L768" s="5">
        <v>1</v>
      </c>
      <c r="S768" s="5">
        <f>SUM(Tabel1[[#This Row],[Januari]:[December]])</f>
        <v>1</v>
      </c>
      <c r="T768" s="9">
        <v>45837</v>
      </c>
      <c r="U768" s="8" t="s">
        <v>3324</v>
      </c>
      <c r="V768" s="24">
        <v>1</v>
      </c>
      <c r="W768" s="24"/>
      <c r="X768" t="s">
        <v>206</v>
      </c>
      <c r="Y768" t="s">
        <v>202</v>
      </c>
    </row>
    <row r="769" spans="1:25" x14ac:dyDescent="0.3">
      <c r="A769">
        <v>40745</v>
      </c>
      <c r="B769" t="str">
        <f>_xlfn.CONCAT(Tabel1[[#This Row],[personeelsnr]]," ",C769," ",D769)</f>
        <v>40745 Ivanov Ivan</v>
      </c>
      <c r="C769" t="str">
        <f>VLOOKUP(Tabel1[[#This Row],[personeelsnr]],'data hastus'!$A:$C,2,0)</f>
        <v>Ivanov</v>
      </c>
      <c r="D769" t="str">
        <f>VLOOKUP(Tabel1[[#This Row],[personeelsnr]],'data hastus'!$A:$C,3,0)</f>
        <v>Ivan</v>
      </c>
      <c r="E769" t="str">
        <f>VLOOKUP(Tabel1[[#This Row],[personeelsnr]],'data hastus'!A:K,11,FALSE)</f>
        <v>Bart Van Der Beken</v>
      </c>
      <c r="F769" s="10"/>
      <c r="G769" s="7"/>
      <c r="H769" s="7"/>
      <c r="I769" s="7"/>
      <c r="M769" s="5">
        <v>1</v>
      </c>
      <c r="S769" s="5">
        <f>SUM(Tabel1[[#This Row],[Januari]:[December]])</f>
        <v>1</v>
      </c>
      <c r="T769" s="9">
        <v>45841</v>
      </c>
      <c r="U769" s="8" t="s">
        <v>3325</v>
      </c>
      <c r="V769" s="24">
        <v>1</v>
      </c>
      <c r="W769" s="24"/>
      <c r="X769" t="s">
        <v>206</v>
      </c>
      <c r="Y769" t="s">
        <v>260</v>
      </c>
    </row>
    <row r="770" spans="1:25" x14ac:dyDescent="0.3">
      <c r="A770">
        <v>19917</v>
      </c>
      <c r="B770" t="str">
        <f>_xlfn.CONCAT(Tabel1[[#This Row],[personeelsnr]]," ",C770," ",D770)</f>
        <v>19917 Vandevyvere Frank</v>
      </c>
      <c r="C770" t="str">
        <f>VLOOKUP(Tabel1[[#This Row],[personeelsnr]],'data hastus'!$A:$C,2,0)</f>
        <v>Vandevyvere</v>
      </c>
      <c r="D770" t="str">
        <f>VLOOKUP(Tabel1[[#This Row],[personeelsnr]],'data hastus'!$A:$C,3,0)</f>
        <v>Frank</v>
      </c>
      <c r="E770" t="str">
        <f>VLOOKUP(Tabel1[[#This Row],[personeelsnr]],'data hastus'!A:K,11,FALSE)</f>
        <v>Bart Van Der Beken</v>
      </c>
      <c r="F770" s="10"/>
      <c r="G770" s="7"/>
      <c r="H770" s="7"/>
      <c r="I770" s="7"/>
      <c r="L770" s="5">
        <v>1</v>
      </c>
      <c r="S770" s="5">
        <f>SUM(Tabel1[[#This Row],[Januari]:[December]])</f>
        <v>1</v>
      </c>
      <c r="T770" s="9">
        <v>45831</v>
      </c>
      <c r="U770" s="8" t="s">
        <v>3326</v>
      </c>
      <c r="V770" s="24">
        <v>1</v>
      </c>
      <c r="W770" s="24"/>
      <c r="X770" t="s">
        <v>206</v>
      </c>
      <c r="Y770" t="s">
        <v>202</v>
      </c>
    </row>
    <row r="771" spans="1:25" x14ac:dyDescent="0.3">
      <c r="A771">
        <v>40939</v>
      </c>
      <c r="B771" t="str">
        <f>_xlfn.CONCAT(Tabel1[[#This Row],[personeelsnr]]," ",C771," ",D771)</f>
        <v>40939 Cisse Sayon</v>
      </c>
      <c r="C771" t="str">
        <f>VLOOKUP(Tabel1[[#This Row],[personeelsnr]],'data hastus'!$A:$C,2,0)</f>
        <v>Cisse</v>
      </c>
      <c r="D771" t="str">
        <f>VLOOKUP(Tabel1[[#This Row],[personeelsnr]],'data hastus'!$A:$C,3,0)</f>
        <v>Sayon</v>
      </c>
      <c r="E771" t="str">
        <f>VLOOKUP(Tabel1[[#This Row],[personeelsnr]],'data hastus'!A:K,11,FALSE)</f>
        <v>Kenneth De Rick</v>
      </c>
      <c r="F771" s="10"/>
      <c r="G771" s="7"/>
      <c r="H771" s="7"/>
      <c r="I771" s="7"/>
      <c r="M771" s="5">
        <v>1</v>
      </c>
      <c r="S771" s="5">
        <f>SUM(Tabel1[[#This Row],[Januari]:[December]])</f>
        <v>1</v>
      </c>
      <c r="T771" s="9">
        <v>45843</v>
      </c>
      <c r="U771" s="8" t="s">
        <v>3329</v>
      </c>
      <c r="V771" s="24">
        <v>1</v>
      </c>
      <c r="W771" s="24"/>
      <c r="X771" t="s">
        <v>206</v>
      </c>
      <c r="Y771" t="s">
        <v>175</v>
      </c>
    </row>
    <row r="772" spans="1:25" x14ac:dyDescent="0.3">
      <c r="A772">
        <v>39850</v>
      </c>
      <c r="B772" t="str">
        <f>_xlfn.CONCAT(Tabel1[[#This Row],[personeelsnr]]," ",C772," ",D772)</f>
        <v>39850 Helleputte William</v>
      </c>
      <c r="C772" t="str">
        <f>VLOOKUP(Tabel1[[#This Row],[personeelsnr]],'data hastus'!$A:$C,2,0)</f>
        <v>Helleputte</v>
      </c>
      <c r="D772" t="str">
        <f>VLOOKUP(Tabel1[[#This Row],[personeelsnr]],'data hastus'!$A:$C,3,0)</f>
        <v>William</v>
      </c>
      <c r="E772" t="str">
        <f>VLOOKUP(Tabel1[[#This Row],[personeelsnr]],'data hastus'!A:K,11,FALSE)</f>
        <v>Dominique De Clercq</v>
      </c>
      <c r="F772" s="10"/>
      <c r="G772" s="7"/>
      <c r="H772" s="7"/>
      <c r="I772" s="7"/>
      <c r="L772" s="5">
        <v>1</v>
      </c>
      <c r="S772" s="5">
        <f>SUM(Tabel1[[#This Row],[Januari]:[December]])</f>
        <v>1</v>
      </c>
      <c r="T772" s="9">
        <v>45837</v>
      </c>
      <c r="U772" s="8" t="s">
        <v>3328</v>
      </c>
      <c r="V772" s="24">
        <v>1</v>
      </c>
      <c r="W772" s="24"/>
      <c r="X772" t="s">
        <v>206</v>
      </c>
      <c r="Y772" t="s">
        <v>188</v>
      </c>
    </row>
    <row r="773" spans="1:25" x14ac:dyDescent="0.3">
      <c r="A773">
        <v>32528</v>
      </c>
      <c r="B773" t="str">
        <f>_xlfn.CONCAT(Tabel1[[#This Row],[personeelsnr]]," ",C773," ",D773)</f>
        <v>32528 Benjilali Abdelhak</v>
      </c>
      <c r="C773" t="str">
        <f>VLOOKUP(Tabel1[[#This Row],[personeelsnr]],'data hastus'!$A:$C,2,0)</f>
        <v>Benjilali</v>
      </c>
      <c r="D773" t="str">
        <f>VLOOKUP(Tabel1[[#This Row],[personeelsnr]],'data hastus'!$A:$C,3,0)</f>
        <v>Abdelhak</v>
      </c>
      <c r="E773" t="str">
        <f>VLOOKUP(Tabel1[[#This Row],[personeelsnr]],'data hastus'!A:K,11,FALSE)</f>
        <v>Steven Storm</v>
      </c>
      <c r="F773" s="10"/>
      <c r="G773" s="7"/>
      <c r="H773" s="7"/>
      <c r="I773" s="7"/>
      <c r="M773" s="5">
        <v>1</v>
      </c>
      <c r="S773" s="5">
        <f>SUM(Tabel1[[#This Row],[Januari]:[December]])</f>
        <v>1</v>
      </c>
      <c r="T773" s="9">
        <v>45839</v>
      </c>
      <c r="U773" s="8" t="s">
        <v>3331</v>
      </c>
      <c r="V773" s="24">
        <v>1</v>
      </c>
      <c r="W773" s="24"/>
      <c r="X773" t="s">
        <v>206</v>
      </c>
      <c r="Y773" t="s">
        <v>192</v>
      </c>
    </row>
    <row r="774" spans="1:25" x14ac:dyDescent="0.3">
      <c r="A774">
        <v>18987</v>
      </c>
      <c r="B774" t="str">
        <f>_xlfn.CONCAT(Tabel1[[#This Row],[personeelsnr]]," ",C774," ",D774)</f>
        <v>18987 De Geyter Dolly</v>
      </c>
      <c r="C774" t="str">
        <f>VLOOKUP(Tabel1[[#This Row],[personeelsnr]],'data hastus'!$A:$C,2,0)</f>
        <v>De Geyter</v>
      </c>
      <c r="D774" t="str">
        <f>VLOOKUP(Tabel1[[#This Row],[personeelsnr]],'data hastus'!$A:$C,3,0)</f>
        <v>Dolly</v>
      </c>
      <c r="E774" t="str">
        <f>VLOOKUP(Tabel1[[#This Row],[personeelsnr]],'data hastus'!A:K,11,FALSE)</f>
        <v>Steven Storm</v>
      </c>
      <c r="F774" s="10"/>
      <c r="G774" s="7"/>
      <c r="H774" s="7"/>
      <c r="I774" s="7"/>
      <c r="M774" s="5">
        <v>1</v>
      </c>
      <c r="S774" s="5">
        <f>SUM(Tabel1[[#This Row],[Januari]:[December]])</f>
        <v>1</v>
      </c>
      <c r="T774" s="9">
        <v>45846</v>
      </c>
      <c r="U774" s="8" t="s">
        <v>3332</v>
      </c>
      <c r="V774" s="24"/>
      <c r="W774" s="24">
        <v>1</v>
      </c>
      <c r="X774" t="s">
        <v>207</v>
      </c>
      <c r="Y774" t="s">
        <v>217</v>
      </c>
    </row>
    <row r="775" spans="1:25" x14ac:dyDescent="0.3">
      <c r="A775">
        <v>31776</v>
      </c>
      <c r="B775" t="str">
        <f>_xlfn.CONCAT(Tabel1[[#This Row],[personeelsnr]]," ",C775," ",D775)</f>
        <v>31776 Famelaer Steve</v>
      </c>
      <c r="C775" t="str">
        <f>VLOOKUP(Tabel1[[#This Row],[personeelsnr]],'data hastus'!$A:$C,2,0)</f>
        <v>Famelaer</v>
      </c>
      <c r="D775" t="str">
        <f>VLOOKUP(Tabel1[[#This Row],[personeelsnr]],'data hastus'!$A:$C,3,0)</f>
        <v>Steve</v>
      </c>
      <c r="E775" t="str">
        <f>VLOOKUP(Tabel1[[#This Row],[personeelsnr]],'data hastus'!A:K,11,FALSE)</f>
        <v>Dominique De Clercq</v>
      </c>
      <c r="F775" s="10"/>
      <c r="G775" s="7"/>
      <c r="H775" s="7"/>
      <c r="I775" s="7"/>
      <c r="M775" s="5">
        <v>1</v>
      </c>
      <c r="S775" s="5">
        <f>SUM(Tabel1[[#This Row],[Januari]:[December]])</f>
        <v>1</v>
      </c>
      <c r="T775" s="9">
        <v>45845</v>
      </c>
      <c r="U775" s="8" t="s">
        <v>3333</v>
      </c>
      <c r="V775" s="24">
        <v>1</v>
      </c>
      <c r="W775" s="24"/>
      <c r="X775" t="s">
        <v>206</v>
      </c>
      <c r="Y775" t="s">
        <v>177</v>
      </c>
    </row>
    <row r="776" spans="1:25" x14ac:dyDescent="0.3">
      <c r="A776">
        <v>41859</v>
      </c>
      <c r="B776" t="str">
        <f>_xlfn.CONCAT(Tabel1[[#This Row],[personeelsnr]]," ",C776," ",D776)</f>
        <v>41859 Palit Ramazan</v>
      </c>
      <c r="C776" t="s">
        <v>3335</v>
      </c>
      <c r="D776" t="s">
        <v>1685</v>
      </c>
      <c r="E776" t="s">
        <v>3336</v>
      </c>
      <c r="F776" s="10"/>
      <c r="G776" s="7"/>
      <c r="H776" s="7"/>
      <c r="I776" s="7"/>
      <c r="M776" s="5">
        <v>1</v>
      </c>
      <c r="S776" s="5">
        <f>SUM(Tabel1[[#This Row],[Januari]:[December]])</f>
        <v>1</v>
      </c>
      <c r="T776" s="9">
        <v>45845</v>
      </c>
      <c r="U776" s="8" t="s">
        <v>3337</v>
      </c>
      <c r="V776" s="24">
        <v>1</v>
      </c>
      <c r="W776" s="24"/>
      <c r="X776" t="s">
        <v>206</v>
      </c>
      <c r="Y776" t="s">
        <v>178</v>
      </c>
    </row>
    <row r="777" spans="1:25" x14ac:dyDescent="0.3">
      <c r="A777">
        <v>37439</v>
      </c>
      <c r="B777" t="str">
        <f>_xlfn.CONCAT(Tabel1[[#This Row],[personeelsnr]]," ",C777," ",D777)</f>
        <v>37439 Demirkazik Mustafa</v>
      </c>
      <c r="C777" t="str">
        <f>VLOOKUP(Tabel1[[#This Row],[personeelsnr]],'data hastus'!$A:$C,2,0)</f>
        <v>Demirkazik</v>
      </c>
      <c r="D777" t="str">
        <f>VLOOKUP(Tabel1[[#This Row],[personeelsnr]],'data hastus'!$A:$C,3,0)</f>
        <v>Mustafa</v>
      </c>
      <c r="E777" t="str">
        <f>VLOOKUP(Tabel1[[#This Row],[personeelsnr]],'data hastus'!A:K,11,FALSE)</f>
        <v>Kenneth De Rick</v>
      </c>
      <c r="F777" s="10"/>
      <c r="G777" s="7"/>
      <c r="H777" s="7"/>
      <c r="I777" s="7"/>
      <c r="M777" s="5">
        <v>1</v>
      </c>
      <c r="S777" s="5">
        <f>SUM(Tabel1[[#This Row],[Januari]:[December]])</f>
        <v>1</v>
      </c>
      <c r="T777" s="9">
        <v>45845</v>
      </c>
      <c r="U777" s="8" t="s">
        <v>3338</v>
      </c>
      <c r="V777" s="24">
        <v>1</v>
      </c>
      <c r="W777" s="24"/>
      <c r="X777" t="s">
        <v>206</v>
      </c>
      <c r="Y777" t="s">
        <v>213</v>
      </c>
    </row>
    <row r="778" spans="1:25" x14ac:dyDescent="0.3">
      <c r="A778">
        <v>31668</v>
      </c>
      <c r="B778" t="str">
        <f>_xlfn.CONCAT(Tabel1[[#This Row],[personeelsnr]]," ",C778," ",D778)</f>
        <v>31668 Weemhof Maurice</v>
      </c>
      <c r="C778" t="str">
        <f>VLOOKUP(Tabel1[[#This Row],[personeelsnr]],'data hastus'!$A:$C,2,0)</f>
        <v>Weemhof</v>
      </c>
      <c r="D778" t="str">
        <f>VLOOKUP(Tabel1[[#This Row],[personeelsnr]],'data hastus'!$A:$C,3,0)</f>
        <v>Maurice</v>
      </c>
      <c r="E778" t="str">
        <f>VLOOKUP(Tabel1[[#This Row],[personeelsnr]],'data hastus'!A:K,11,FALSE)</f>
        <v>Dominique De Clercq</v>
      </c>
      <c r="F778" s="10"/>
      <c r="G778" s="7"/>
      <c r="H778" s="7"/>
      <c r="I778" s="7"/>
      <c r="M778" s="5">
        <v>1</v>
      </c>
      <c r="S778" s="5">
        <f>SUM(Tabel1[[#This Row],[Januari]:[December]])</f>
        <v>1</v>
      </c>
      <c r="T778" s="9">
        <v>45848</v>
      </c>
      <c r="U778" s="8" t="s">
        <v>3340</v>
      </c>
      <c r="V778" s="24">
        <v>1</v>
      </c>
      <c r="W778" s="24"/>
      <c r="X778" t="s">
        <v>206</v>
      </c>
      <c r="Y778" t="s">
        <v>178</v>
      </c>
    </row>
    <row r="779" spans="1:25" x14ac:dyDescent="0.3">
      <c r="A779">
        <v>32002</v>
      </c>
      <c r="B779" t="str">
        <f>_xlfn.CONCAT(Tabel1[[#This Row],[personeelsnr]]," ",C779," ",D779)</f>
        <v>32002 Hasni Helmi</v>
      </c>
      <c r="C779" t="str">
        <f>VLOOKUP(Tabel1[[#This Row],[personeelsnr]],'data hastus'!$A:$C,2,0)</f>
        <v>Hasni</v>
      </c>
      <c r="D779" t="str">
        <f>VLOOKUP(Tabel1[[#This Row],[personeelsnr]],'data hastus'!$A:$C,3,0)</f>
        <v>Helmi</v>
      </c>
      <c r="E779" t="str">
        <f>VLOOKUP(Tabel1[[#This Row],[personeelsnr]],'data hastus'!A:K,11,FALSE)</f>
        <v>Steven Storm</v>
      </c>
      <c r="F779" s="10"/>
      <c r="G779" s="7"/>
      <c r="H779" s="7"/>
      <c r="I779" s="7"/>
      <c r="M779" s="5">
        <v>1</v>
      </c>
      <c r="S779" s="5">
        <f>SUM(Tabel1[[#This Row],[Januari]:[December]])</f>
        <v>1</v>
      </c>
      <c r="T779" s="9">
        <v>45848</v>
      </c>
      <c r="U779" s="8" t="s">
        <v>3342</v>
      </c>
      <c r="V779" s="24"/>
      <c r="W779" s="24">
        <v>1</v>
      </c>
      <c r="X779" t="s">
        <v>207</v>
      </c>
      <c r="Y779" t="s">
        <v>3341</v>
      </c>
    </row>
    <row r="780" spans="1:25" x14ac:dyDescent="0.3">
      <c r="A780">
        <v>38633</v>
      </c>
      <c r="B780" t="str">
        <f>_xlfn.CONCAT(Tabel1[[#This Row],[personeelsnr]]," ",C780," ",D780)</f>
        <v>38633 Stomphorst Mattanja</v>
      </c>
      <c r="C780" t="str">
        <f>VLOOKUP(Tabel1[[#This Row],[personeelsnr]],'data hastus'!$A:$C,2,0)</f>
        <v>Stomphorst</v>
      </c>
      <c r="D780" t="str">
        <f>VLOOKUP(Tabel1[[#This Row],[personeelsnr]],'data hastus'!$A:$C,3,0)</f>
        <v>Mattanja</v>
      </c>
      <c r="E780" t="str">
        <f>VLOOKUP(Tabel1[[#This Row],[personeelsnr]],'data hastus'!A:K,11,FALSE)</f>
        <v>Els Dewulf</v>
      </c>
      <c r="F780" s="10"/>
      <c r="G780" s="7"/>
      <c r="H780" s="7"/>
      <c r="I780" s="7"/>
      <c r="L780" s="5">
        <v>1</v>
      </c>
      <c r="S780" s="5">
        <f>SUM(Tabel1[[#This Row],[Januari]:[December]])</f>
        <v>1</v>
      </c>
      <c r="T780" s="9">
        <v>45831</v>
      </c>
      <c r="U780" s="8" t="s">
        <v>3343</v>
      </c>
      <c r="V780" s="24">
        <v>1</v>
      </c>
      <c r="W780" s="24"/>
      <c r="X780" t="s">
        <v>206</v>
      </c>
      <c r="Y780" t="s">
        <v>190</v>
      </c>
    </row>
    <row r="781" spans="1:25" x14ac:dyDescent="0.3">
      <c r="A781">
        <v>12684</v>
      </c>
      <c r="B781" t="str">
        <f>_xlfn.CONCAT(Tabel1[[#This Row],[personeelsnr]]," ",C781," ",D781)</f>
        <v>12684 Van Den Bossche Martine</v>
      </c>
      <c r="C781" t="str">
        <f>VLOOKUP(Tabel1[[#This Row],[personeelsnr]],'data hastus'!$A:$C,2,0)</f>
        <v>Van Den Bossche</v>
      </c>
      <c r="D781" t="str">
        <f>VLOOKUP(Tabel1[[#This Row],[personeelsnr]],'data hastus'!$A:$C,3,0)</f>
        <v>Martine</v>
      </c>
      <c r="E781" t="str">
        <f>VLOOKUP(Tabel1[[#This Row],[personeelsnr]],'data hastus'!A:K,11,FALSE)</f>
        <v>Els Vanhoe</v>
      </c>
      <c r="F781" s="10"/>
      <c r="G781" s="7"/>
      <c r="H781" s="7"/>
      <c r="I781" s="7"/>
      <c r="M781" s="5">
        <v>1</v>
      </c>
      <c r="S781" s="5">
        <f>SUM(Tabel1[[#This Row],[Januari]:[December]])</f>
        <v>1</v>
      </c>
      <c r="T781" s="9">
        <v>45848</v>
      </c>
      <c r="U781" s="8" t="s">
        <v>3344</v>
      </c>
      <c r="V781" s="24">
        <v>1</v>
      </c>
      <c r="W781" s="24"/>
      <c r="X781" t="s">
        <v>206</v>
      </c>
      <c r="Y781" t="s">
        <v>179</v>
      </c>
    </row>
    <row r="782" spans="1:25" x14ac:dyDescent="0.3">
      <c r="A782">
        <v>22877</v>
      </c>
      <c r="B782" t="str">
        <f>_xlfn.CONCAT(Tabel1[[#This Row],[personeelsnr]]," ",C782," ",D782)</f>
        <v>22877 Goossens Gunther</v>
      </c>
      <c r="C782" t="str">
        <f>VLOOKUP(Tabel1[[#This Row],[personeelsnr]],'data hastus'!$A:$C,2,0)</f>
        <v>Goossens</v>
      </c>
      <c r="D782" t="str">
        <f>VLOOKUP(Tabel1[[#This Row],[personeelsnr]],'data hastus'!$A:$C,3,0)</f>
        <v>Gunther</v>
      </c>
      <c r="E782" t="str">
        <f>VLOOKUP(Tabel1[[#This Row],[personeelsnr]],'data hastus'!A:K,11,FALSE)</f>
        <v>Els Dewulf</v>
      </c>
      <c r="F782" s="10"/>
      <c r="G782" s="7"/>
      <c r="H782" s="7"/>
      <c r="I782" s="7"/>
      <c r="M782" s="5">
        <v>1</v>
      </c>
      <c r="S782" s="5">
        <f>SUM(Tabel1[[#This Row],[Januari]:[December]])</f>
        <v>1</v>
      </c>
      <c r="T782" s="9">
        <v>45847</v>
      </c>
      <c r="U782" s="8" t="s">
        <v>3345</v>
      </c>
      <c r="V782" s="24">
        <v>1</v>
      </c>
      <c r="W782" s="24"/>
      <c r="X782" t="s">
        <v>206</v>
      </c>
      <c r="Y782" t="s">
        <v>263</v>
      </c>
    </row>
    <row r="783" spans="1:25" x14ac:dyDescent="0.3">
      <c r="A783">
        <v>4720</v>
      </c>
      <c r="B783" t="str">
        <f>_xlfn.CONCAT(Tabel1[[#This Row],[personeelsnr]]," ",C783," ",D783)</f>
        <v>4720 De Roo Jo</v>
      </c>
      <c r="C783" t="str">
        <f>VLOOKUP(Tabel1[[#This Row],[personeelsnr]],'data hastus'!$A:$C,2,0)</f>
        <v>De Roo</v>
      </c>
      <c r="D783" t="str">
        <f>VLOOKUP(Tabel1[[#This Row],[personeelsnr]],'data hastus'!$A:$C,3,0)</f>
        <v>Jo</v>
      </c>
      <c r="E783" t="str">
        <f>VLOOKUP(Tabel1[[#This Row],[personeelsnr]],'data hastus'!A:K,11,FALSE)</f>
        <v>Els Vanhoe</v>
      </c>
      <c r="F783" s="10"/>
      <c r="G783" s="7"/>
      <c r="H783" s="7"/>
      <c r="I783" s="7"/>
      <c r="M783" s="5">
        <v>1</v>
      </c>
      <c r="S783" s="5">
        <f>SUM(Tabel1[[#This Row],[Januari]:[December]])</f>
        <v>1</v>
      </c>
      <c r="T783" s="9">
        <v>45847</v>
      </c>
      <c r="U783" s="8" t="s">
        <v>3346</v>
      </c>
      <c r="V783" s="24">
        <v>1</v>
      </c>
      <c r="W783" s="24"/>
      <c r="X783" t="s">
        <v>206</v>
      </c>
      <c r="Y783" t="s">
        <v>3347</v>
      </c>
    </row>
    <row r="784" spans="1:25" x14ac:dyDescent="0.3">
      <c r="A784">
        <v>40362</v>
      </c>
      <c r="B784" t="str">
        <f>_xlfn.CONCAT(Tabel1[[#This Row],[personeelsnr]]," ",C784," ",D784)</f>
        <v>40362 Kuru Cetin</v>
      </c>
      <c r="C784" t="str">
        <f>VLOOKUP(Tabel1[[#This Row],[personeelsnr]],'data hastus'!$A:$C,2,0)</f>
        <v>Kuru</v>
      </c>
      <c r="D784" t="str">
        <f>VLOOKUP(Tabel1[[#This Row],[personeelsnr]],'data hastus'!$A:$C,3,0)</f>
        <v>Cetin</v>
      </c>
      <c r="E784" t="str">
        <f>VLOOKUP(Tabel1[[#This Row],[personeelsnr]],'data hastus'!A:K,11,FALSE)</f>
        <v>Kenneth De Rick</v>
      </c>
      <c r="F784" s="10"/>
      <c r="G784" s="7"/>
      <c r="H784" s="7"/>
      <c r="I784" s="7"/>
      <c r="M784" s="5">
        <v>1</v>
      </c>
      <c r="S784" s="5">
        <f>SUM(Tabel1[[#This Row],[Januari]:[December]])</f>
        <v>1</v>
      </c>
      <c r="T784" s="9">
        <v>45848</v>
      </c>
      <c r="U784" s="8" t="s">
        <v>3350</v>
      </c>
      <c r="V784" s="24">
        <v>1</v>
      </c>
      <c r="W784" s="24"/>
      <c r="X784" t="s">
        <v>206</v>
      </c>
      <c r="Y784" t="s">
        <v>242</v>
      </c>
    </row>
    <row r="785" spans="1:25" x14ac:dyDescent="0.3">
      <c r="A785">
        <v>36428</v>
      </c>
      <c r="B785" t="str">
        <f>_xlfn.CONCAT(Tabel1[[#This Row],[personeelsnr]]," ",C785," ",D785)</f>
        <v>36428 Abdi Shaiye Rashid</v>
      </c>
      <c r="C785" t="str">
        <f>VLOOKUP(Tabel1[[#This Row],[personeelsnr]],'data hastus'!$A:$C,2,0)</f>
        <v>Abdi Shaiye</v>
      </c>
      <c r="D785" t="str">
        <f>VLOOKUP(Tabel1[[#This Row],[personeelsnr]],'data hastus'!$A:$C,3,0)</f>
        <v>Rashid</v>
      </c>
      <c r="E785" t="str">
        <f>VLOOKUP(Tabel1[[#This Row],[personeelsnr]],'data hastus'!A:K,11,FALSE)</f>
        <v>Lucie Vande Velde</v>
      </c>
      <c r="F785" s="10"/>
      <c r="G785" s="7"/>
      <c r="H785" s="7"/>
      <c r="I785" s="7"/>
      <c r="M785" s="5">
        <v>1</v>
      </c>
      <c r="S785" s="5">
        <f>SUM(Tabel1[[#This Row],[Januari]:[December]])</f>
        <v>1</v>
      </c>
      <c r="T785" s="9">
        <v>45851</v>
      </c>
      <c r="U785" s="8" t="s">
        <v>3351</v>
      </c>
      <c r="V785" s="24">
        <v>1</v>
      </c>
      <c r="W785" s="24"/>
      <c r="X785" t="s">
        <v>206</v>
      </c>
      <c r="Y785" t="s">
        <v>3352</v>
      </c>
    </row>
    <row r="786" spans="1:25" x14ac:dyDescent="0.3">
      <c r="A786">
        <v>40856</v>
      </c>
      <c r="B786" t="str">
        <f>_xlfn.CONCAT(Tabel1[[#This Row],[personeelsnr]]," ",C786," ",D786)</f>
        <v>40856 Neissi Sadegh</v>
      </c>
      <c r="C786" t="str">
        <f>VLOOKUP(Tabel1[[#This Row],[personeelsnr]],'data hastus'!$A:$C,2,0)</f>
        <v>Neissi</v>
      </c>
      <c r="D786" t="str">
        <f>VLOOKUP(Tabel1[[#This Row],[personeelsnr]],'data hastus'!$A:$C,3,0)</f>
        <v>Sadegh</v>
      </c>
      <c r="E786" t="str">
        <f>VLOOKUP(Tabel1[[#This Row],[personeelsnr]],'data hastus'!A:K,11,FALSE)</f>
        <v>Kenneth De Rick</v>
      </c>
      <c r="F786" s="10"/>
      <c r="G786" s="7"/>
      <c r="H786" s="7"/>
      <c r="I786" s="7"/>
      <c r="M786" s="5">
        <v>1</v>
      </c>
      <c r="S786" s="5">
        <f>SUM(Tabel1[[#This Row],[Januari]:[December]])</f>
        <v>1</v>
      </c>
      <c r="T786" s="9">
        <v>45850</v>
      </c>
      <c r="U786" s="8" t="s">
        <v>3353</v>
      </c>
      <c r="V786" s="24">
        <v>1</v>
      </c>
      <c r="W786" s="24"/>
      <c r="X786" t="s">
        <v>206</v>
      </c>
      <c r="Y786" t="s">
        <v>177</v>
      </c>
    </row>
    <row r="787" spans="1:25" x14ac:dyDescent="0.3">
      <c r="A787">
        <v>36577</v>
      </c>
      <c r="B787" t="str">
        <f>_xlfn.CONCAT(Tabel1[[#This Row],[personeelsnr]]," ",C787," ",D787)</f>
        <v>36577 De Smet Martine</v>
      </c>
      <c r="C787" t="str">
        <f>VLOOKUP(Tabel1[[#This Row],[personeelsnr]],'data hastus'!$A:$C,2,0)</f>
        <v>De Smet</v>
      </c>
      <c r="D787" t="str">
        <f>VLOOKUP(Tabel1[[#This Row],[personeelsnr]],'data hastus'!$A:$C,3,0)</f>
        <v>Martine</v>
      </c>
      <c r="E787" t="str">
        <f>VLOOKUP(Tabel1[[#This Row],[personeelsnr]],'data hastus'!A:K,11,FALSE)</f>
        <v>Els Dewulf</v>
      </c>
      <c r="F787" s="10"/>
      <c r="G787" s="7"/>
      <c r="H787" s="7"/>
      <c r="I787" s="7"/>
      <c r="M787" s="5">
        <v>1</v>
      </c>
      <c r="S787" s="5">
        <f>SUM(Tabel1[[#This Row],[Januari]:[December]])</f>
        <v>1</v>
      </c>
      <c r="T787" s="9">
        <v>45852</v>
      </c>
      <c r="U787" s="8" t="s">
        <v>3354</v>
      </c>
      <c r="V787" s="24">
        <v>1</v>
      </c>
      <c r="W787" s="24"/>
      <c r="X787" t="s">
        <v>206</v>
      </c>
      <c r="Y787" t="s">
        <v>219</v>
      </c>
    </row>
    <row r="788" spans="1:25" x14ac:dyDescent="0.3">
      <c r="A788">
        <v>12684</v>
      </c>
      <c r="B788" t="str">
        <f>_xlfn.CONCAT(Tabel1[[#This Row],[personeelsnr]]," ",C788," ",D788)</f>
        <v>12684 Van Den Bossche Martine</v>
      </c>
      <c r="C788" t="str">
        <f>VLOOKUP(Tabel1[[#This Row],[personeelsnr]],'data hastus'!$A:$C,2,0)</f>
        <v>Van Den Bossche</v>
      </c>
      <c r="D788" t="str">
        <f>VLOOKUP(Tabel1[[#This Row],[personeelsnr]],'data hastus'!$A:$C,3,0)</f>
        <v>Martine</v>
      </c>
      <c r="E788" t="str">
        <f>VLOOKUP(Tabel1[[#This Row],[personeelsnr]],'data hastus'!A:K,11,FALSE)</f>
        <v>Els Vanhoe</v>
      </c>
      <c r="F788" s="10"/>
      <c r="G788" s="7"/>
      <c r="H788" s="7"/>
      <c r="I788" s="7"/>
      <c r="M788" s="5">
        <v>1</v>
      </c>
      <c r="S788" s="5">
        <f>SUM(Tabel1[[#This Row],[Januari]:[December]])</f>
        <v>1</v>
      </c>
      <c r="T788" s="9">
        <v>45853</v>
      </c>
      <c r="U788" s="8" t="s">
        <v>3356</v>
      </c>
      <c r="V788" s="24">
        <v>1</v>
      </c>
      <c r="W788" s="24"/>
      <c r="X788" t="s">
        <v>206</v>
      </c>
      <c r="Y788" t="s">
        <v>305</v>
      </c>
    </row>
    <row r="789" spans="1:25" x14ac:dyDescent="0.3">
      <c r="A789">
        <v>39529</v>
      </c>
      <c r="B789" t="str">
        <f>_xlfn.CONCAT(Tabel1[[#This Row],[personeelsnr]]," ",C789," ",D789)</f>
        <v>39529 Desmet Patricia</v>
      </c>
      <c r="C789" t="str">
        <f>VLOOKUP(Tabel1[[#This Row],[personeelsnr]],'data hastus'!$A:$C,2,0)</f>
        <v>Desmet</v>
      </c>
      <c r="D789" t="str">
        <f>VLOOKUP(Tabel1[[#This Row],[personeelsnr]],'data hastus'!$A:$C,3,0)</f>
        <v>Patricia</v>
      </c>
      <c r="E789" t="str">
        <f>VLOOKUP(Tabel1[[#This Row],[personeelsnr]],'data hastus'!A:K,11,FALSE)</f>
        <v>Christoff Rotty</v>
      </c>
      <c r="F789" s="10">
        <v>45853</v>
      </c>
      <c r="G789" s="7"/>
      <c r="H789" s="7"/>
      <c r="I789" s="7"/>
      <c r="M789" s="5">
        <v>1</v>
      </c>
      <c r="S789" s="5">
        <f>SUM(Tabel1[[#This Row],[Januari]:[December]])</f>
        <v>1</v>
      </c>
      <c r="U789" s="8" t="s">
        <v>3357</v>
      </c>
      <c r="V789" s="24"/>
      <c r="W789" s="24">
        <v>1</v>
      </c>
      <c r="X789" t="s">
        <v>207</v>
      </c>
      <c r="Y789" t="s">
        <v>318</v>
      </c>
    </row>
    <row r="790" spans="1:25" x14ac:dyDescent="0.3">
      <c r="A790">
        <v>19917</v>
      </c>
      <c r="B790" t="str">
        <f>_xlfn.CONCAT(Tabel1[[#This Row],[personeelsnr]]," ",C790," ",D790)</f>
        <v>19917 Vandevyvere Frank</v>
      </c>
      <c r="C790" t="str">
        <f>VLOOKUP(Tabel1[[#This Row],[personeelsnr]],'data hastus'!$A:$C,2,0)</f>
        <v>Vandevyvere</v>
      </c>
      <c r="D790" t="str">
        <f>VLOOKUP(Tabel1[[#This Row],[personeelsnr]],'data hastus'!$A:$C,3,0)</f>
        <v>Frank</v>
      </c>
      <c r="E790" t="str">
        <f>VLOOKUP(Tabel1[[#This Row],[personeelsnr]],'data hastus'!A:K,11,FALSE)</f>
        <v>Bart Van Der Beken</v>
      </c>
      <c r="F790" s="10"/>
      <c r="G790" s="7"/>
      <c r="H790" s="7"/>
      <c r="I790" s="7"/>
      <c r="M790" s="5">
        <v>1</v>
      </c>
      <c r="S790" s="5">
        <f>SUM(Tabel1[[#This Row],[Januari]:[December]])</f>
        <v>1</v>
      </c>
      <c r="T790" s="9">
        <v>45853</v>
      </c>
      <c r="U790" s="8" t="s">
        <v>3358</v>
      </c>
      <c r="V790" s="24">
        <v>1</v>
      </c>
      <c r="W790" s="24"/>
      <c r="X790" t="s">
        <v>206</v>
      </c>
      <c r="Y790" t="s">
        <v>190</v>
      </c>
    </row>
    <row r="791" spans="1:25" x14ac:dyDescent="0.3">
      <c r="A791">
        <v>40223</v>
      </c>
      <c r="B791" t="str">
        <f>_xlfn.CONCAT(Tabel1[[#This Row],[personeelsnr]]," ",C791," ",D791)</f>
        <v>40223 Teetaert Billy</v>
      </c>
      <c r="C791" t="str">
        <f>VLOOKUP(Tabel1[[#This Row],[personeelsnr]],'data hastus'!$A:$C,2,0)</f>
        <v>Teetaert</v>
      </c>
      <c r="D791" t="str">
        <f>VLOOKUP(Tabel1[[#This Row],[personeelsnr]],'data hastus'!$A:$C,3,0)</f>
        <v>Billy</v>
      </c>
      <c r="E791" t="str">
        <f>VLOOKUP(Tabel1[[#This Row],[personeelsnr]],'data hastus'!A:K,11,FALSE)</f>
        <v>Dominique De Clercq</v>
      </c>
      <c r="F791" s="10"/>
      <c r="G791" s="7"/>
      <c r="H791" s="7"/>
      <c r="I791" s="7"/>
      <c r="L791" s="5">
        <v>1</v>
      </c>
      <c r="S791" s="5">
        <f>SUM(Tabel1[[#This Row],[Januari]:[December]])</f>
        <v>1</v>
      </c>
      <c r="T791" s="9">
        <v>45837</v>
      </c>
      <c r="U791" s="8" t="s">
        <v>3359</v>
      </c>
      <c r="V791" s="24">
        <v>1</v>
      </c>
      <c r="W791" s="24"/>
      <c r="X791" t="s">
        <v>206</v>
      </c>
      <c r="Y791" t="s">
        <v>3360</v>
      </c>
    </row>
    <row r="792" spans="1:25" x14ac:dyDescent="0.3">
      <c r="A792">
        <v>30271</v>
      </c>
      <c r="B792" t="str">
        <f>_xlfn.CONCAT(Tabel1[[#This Row],[personeelsnr]]," ",C792," ",D792)</f>
        <v>30271 Bracke Jeroen</v>
      </c>
      <c r="C792" t="str">
        <f>VLOOKUP(Tabel1[[#This Row],[personeelsnr]],'data hastus'!$A:$C,2,0)</f>
        <v>Bracke</v>
      </c>
      <c r="D792" t="str">
        <f>VLOOKUP(Tabel1[[#This Row],[personeelsnr]],'data hastus'!$A:$C,3,0)</f>
        <v>Jeroen</v>
      </c>
      <c r="E792" t="str">
        <f>VLOOKUP(Tabel1[[#This Row],[personeelsnr]],'data hastus'!A:K,11,FALSE)</f>
        <v>Els Dewulf</v>
      </c>
      <c r="F792" s="10"/>
      <c r="G792" s="7"/>
      <c r="H792" s="7"/>
      <c r="I792" s="7"/>
      <c r="M792" s="5">
        <v>1</v>
      </c>
      <c r="S792" s="5">
        <f>SUM(Tabel1[[#This Row],[Januari]:[December]])</f>
        <v>1</v>
      </c>
      <c r="T792" s="9">
        <v>45854</v>
      </c>
      <c r="U792" s="8" t="s">
        <v>3361</v>
      </c>
      <c r="V792" s="24">
        <v>1</v>
      </c>
      <c r="W792" s="24"/>
      <c r="X792" t="s">
        <v>206</v>
      </c>
      <c r="Y792" t="s">
        <v>167</v>
      </c>
    </row>
    <row r="793" spans="1:25" x14ac:dyDescent="0.3">
      <c r="A793">
        <v>11213</v>
      </c>
      <c r="B793" t="str">
        <f>_xlfn.CONCAT(Tabel1[[#This Row],[personeelsnr]]," ",C793," ",D793)</f>
        <v>11213 De Plus Gunter</v>
      </c>
      <c r="C793" t="str">
        <f>VLOOKUP(Tabel1[[#This Row],[personeelsnr]],'data hastus'!$A:$C,2,0)</f>
        <v>De Plus</v>
      </c>
      <c r="D793" t="str">
        <f>VLOOKUP(Tabel1[[#This Row],[personeelsnr]],'data hastus'!$A:$C,3,0)</f>
        <v>Gunter</v>
      </c>
      <c r="E793" t="str">
        <f>VLOOKUP(Tabel1[[#This Row],[personeelsnr]],'data hastus'!A:K,11,FALSE)</f>
        <v>Bart Van Der Beken</v>
      </c>
      <c r="F793" s="10"/>
      <c r="G793" s="7"/>
      <c r="H793" s="7"/>
      <c r="I793" s="7"/>
      <c r="M793" s="5">
        <v>1</v>
      </c>
      <c r="S793" s="5">
        <f>SUM(Tabel1[[#This Row],[Januari]:[December]])</f>
        <v>1</v>
      </c>
      <c r="T793" s="9">
        <v>45862</v>
      </c>
      <c r="U793" s="8" t="s">
        <v>3362</v>
      </c>
      <c r="V793" s="24"/>
      <c r="W793" s="24">
        <v>1</v>
      </c>
      <c r="X793" t="s">
        <v>207</v>
      </c>
      <c r="Y793" t="s">
        <v>3363</v>
      </c>
    </row>
    <row r="794" spans="1:25" x14ac:dyDescent="0.3">
      <c r="A794">
        <v>39581</v>
      </c>
      <c r="B794" t="str">
        <f>_xlfn.CONCAT(Tabel1[[#This Row],[personeelsnr]]," ",C794," ",D794)</f>
        <v>39581 Vandenhaute Linus</v>
      </c>
      <c r="C794" t="str">
        <f>VLOOKUP(Tabel1[[#This Row],[personeelsnr]],'data hastus'!$A:$C,2,0)</f>
        <v>Vandenhaute</v>
      </c>
      <c r="D794" t="str">
        <f>VLOOKUP(Tabel1[[#This Row],[personeelsnr]],'data hastus'!$A:$C,3,0)</f>
        <v>Linus</v>
      </c>
      <c r="E794" t="str">
        <f>VLOOKUP(Tabel1[[#This Row],[personeelsnr]],'data hastus'!A:K,11,FALSE)</f>
        <v>Els Dewulf</v>
      </c>
      <c r="F794" s="10"/>
      <c r="G794" s="7"/>
      <c r="H794" s="7"/>
      <c r="I794" s="7"/>
      <c r="M794" s="5">
        <v>1</v>
      </c>
      <c r="S794" s="5">
        <f>SUM(Tabel1[[#This Row],[Januari]:[December]])</f>
        <v>1</v>
      </c>
      <c r="T794" s="9">
        <v>45861</v>
      </c>
      <c r="U794" s="8" t="s">
        <v>3366</v>
      </c>
      <c r="V794" s="24">
        <v>1</v>
      </c>
      <c r="W794" s="24"/>
      <c r="X794" t="s">
        <v>206</v>
      </c>
      <c r="Y794" t="s">
        <v>184</v>
      </c>
    </row>
    <row r="795" spans="1:25" x14ac:dyDescent="0.3">
      <c r="A795">
        <v>12819</v>
      </c>
      <c r="B795" t="str">
        <f>_xlfn.CONCAT(Tabel1[[#This Row],[personeelsnr]]," ",C795," ",D795)</f>
        <v>12819 Van Eenaeme David</v>
      </c>
      <c r="C795" t="str">
        <f>VLOOKUP(Tabel1[[#This Row],[personeelsnr]],'data hastus'!$A:$C,2,0)</f>
        <v>Van Eenaeme</v>
      </c>
      <c r="D795" t="str">
        <f>VLOOKUP(Tabel1[[#This Row],[personeelsnr]],'data hastus'!$A:$C,3,0)</f>
        <v>David</v>
      </c>
      <c r="E795" t="str">
        <f>VLOOKUP(Tabel1[[#This Row],[personeelsnr]],'data hastus'!A:K,11,FALSE)</f>
        <v>Bart Van Der Beken</v>
      </c>
      <c r="F795" s="10"/>
      <c r="G795" s="7"/>
      <c r="H795" s="7"/>
      <c r="I795" s="7"/>
      <c r="M795" s="5">
        <v>1</v>
      </c>
      <c r="S795" s="5">
        <f>SUM(Tabel1[[#This Row],[Januari]:[December]])</f>
        <v>1</v>
      </c>
      <c r="T795" s="9">
        <v>45863</v>
      </c>
      <c r="U795" s="8" t="s">
        <v>3367</v>
      </c>
      <c r="V795" s="24">
        <v>1</v>
      </c>
      <c r="W795" s="24"/>
      <c r="X795" t="s">
        <v>206</v>
      </c>
      <c r="Y795" t="s">
        <v>208</v>
      </c>
    </row>
    <row r="796" spans="1:25" x14ac:dyDescent="0.3">
      <c r="A796">
        <v>37936</v>
      </c>
      <c r="B796" t="str">
        <f>_xlfn.CONCAT(Tabel1[[#This Row],[personeelsnr]]," ",C796," ",D796)</f>
        <v>37936 Detaeye Alexander</v>
      </c>
      <c r="C796" t="str">
        <f>VLOOKUP(Tabel1[[#This Row],[personeelsnr]],'data hastus'!$A:$C,2,0)</f>
        <v>Detaeye</v>
      </c>
      <c r="D796" t="str">
        <f>VLOOKUP(Tabel1[[#This Row],[personeelsnr]],'data hastus'!$A:$C,3,0)</f>
        <v>Alexander</v>
      </c>
      <c r="E796" t="str">
        <f>VLOOKUP(Tabel1[[#This Row],[personeelsnr]],'data hastus'!A:K,11,FALSE)</f>
        <v>Steven Storm</v>
      </c>
      <c r="F796" s="10"/>
      <c r="G796" s="7"/>
      <c r="H796" s="7"/>
      <c r="I796" s="7"/>
      <c r="M796" s="5">
        <v>1</v>
      </c>
      <c r="S796" s="5">
        <f>SUM(Tabel1[[#This Row],[Januari]:[December]])</f>
        <v>1</v>
      </c>
      <c r="T796" s="9">
        <v>45851</v>
      </c>
      <c r="U796" s="8" t="s">
        <v>3368</v>
      </c>
      <c r="V796" s="24">
        <v>1</v>
      </c>
      <c r="W796" s="24"/>
      <c r="X796" t="s">
        <v>206</v>
      </c>
      <c r="Y796" t="s">
        <v>3369</v>
      </c>
    </row>
    <row r="797" spans="1:25" x14ac:dyDescent="0.3">
      <c r="A797">
        <v>41384</v>
      </c>
      <c r="B797" t="str">
        <f>_xlfn.CONCAT(Tabel1[[#This Row],[personeelsnr]]," ",C797," ",D797)</f>
        <v>41384 Hillaert Thimo</v>
      </c>
      <c r="C797" t="str">
        <f>VLOOKUP(Tabel1[[#This Row],[personeelsnr]],'data hastus'!$A:$C,2,0)</f>
        <v>Hillaert</v>
      </c>
      <c r="D797" t="str">
        <f>VLOOKUP(Tabel1[[#This Row],[personeelsnr]],'data hastus'!$A:$C,3,0)</f>
        <v>Thimo</v>
      </c>
      <c r="E797" t="str">
        <f>VLOOKUP(Tabel1[[#This Row],[personeelsnr]],'data hastus'!A:K,11,FALSE)</f>
        <v>Christoff Rotty</v>
      </c>
      <c r="F797" s="10">
        <v>45864</v>
      </c>
      <c r="G797" s="7"/>
      <c r="H797" s="7"/>
      <c r="I797" s="7"/>
      <c r="M797" s="5">
        <v>1</v>
      </c>
      <c r="S797" s="5">
        <f>SUM(Tabel1[[#This Row],[Januari]:[December]])</f>
        <v>1</v>
      </c>
      <c r="U797" s="8" t="s">
        <v>3371</v>
      </c>
      <c r="V797" s="24">
        <v>1</v>
      </c>
      <c r="W797" s="24"/>
      <c r="X797" t="s">
        <v>206</v>
      </c>
      <c r="Y797" t="s">
        <v>288</v>
      </c>
    </row>
    <row r="798" spans="1:25" x14ac:dyDescent="0.3">
      <c r="A798">
        <v>23918</v>
      </c>
      <c r="B798" t="str">
        <f>_xlfn.CONCAT(Tabel1[[#This Row],[personeelsnr]]," ",C798," ",D798)</f>
        <v>23918 D'Haeyere Bernard</v>
      </c>
      <c r="C798" t="str">
        <f>VLOOKUP(Tabel1[[#This Row],[personeelsnr]],'data hastus'!$A:$C,2,0)</f>
        <v>D'Haeyere</v>
      </c>
      <c r="D798" t="str">
        <f>VLOOKUP(Tabel1[[#This Row],[personeelsnr]],'data hastus'!$A:$C,3,0)</f>
        <v>Bernard</v>
      </c>
      <c r="E798" t="str">
        <f>VLOOKUP(Tabel1[[#This Row],[personeelsnr]],'data hastus'!A:K,11,FALSE)</f>
        <v>Els Vanhoe</v>
      </c>
      <c r="F798" s="10"/>
      <c r="G798" s="7"/>
      <c r="H798" s="7"/>
      <c r="I798" s="7"/>
      <c r="M798" s="5">
        <v>1</v>
      </c>
      <c r="S798" s="5">
        <f>SUM(Tabel1[[#This Row],[Januari]:[December]])</f>
        <v>1</v>
      </c>
      <c r="T798" s="9">
        <v>45862</v>
      </c>
      <c r="U798" s="8" t="s">
        <v>3372</v>
      </c>
      <c r="V798" s="24">
        <v>1</v>
      </c>
      <c r="W798" s="24"/>
      <c r="X798" t="s">
        <v>206</v>
      </c>
      <c r="Y798" t="s">
        <v>178</v>
      </c>
    </row>
    <row r="799" spans="1:25" x14ac:dyDescent="0.3">
      <c r="A799">
        <v>42002</v>
      </c>
      <c r="B799" t="str">
        <f>_xlfn.CONCAT(Tabel1[[#This Row],[personeelsnr]]," ",C799," ",D799)</f>
        <v>42002 Bogaert Kevin</v>
      </c>
      <c r="C799" t="str">
        <f>VLOOKUP(Tabel1[[#This Row],[personeelsnr]],'data hastus'!$A:$C,2,0)</f>
        <v>Bogaert</v>
      </c>
      <c r="D799" t="str">
        <f>VLOOKUP(Tabel1[[#This Row],[personeelsnr]],'data hastus'!$A:$C,3,0)</f>
        <v>Kevin</v>
      </c>
      <c r="E799" t="str">
        <f>VLOOKUP(Tabel1[[#This Row],[personeelsnr]],'data hastus'!A:K,11,FALSE)</f>
        <v>Els Vanhoe</v>
      </c>
      <c r="F799" s="10">
        <v>45862</v>
      </c>
      <c r="G799" s="7"/>
      <c r="H799" s="7"/>
      <c r="I799" s="7"/>
      <c r="M799" s="5">
        <v>1</v>
      </c>
      <c r="S799" s="5">
        <f>SUM(Tabel1[[#This Row],[Januari]:[December]])</f>
        <v>1</v>
      </c>
      <c r="U799" s="8" t="s">
        <v>3374</v>
      </c>
      <c r="V799" s="24">
        <v>1</v>
      </c>
      <c r="W799" s="24"/>
      <c r="X799" t="s">
        <v>206</v>
      </c>
      <c r="Y799" t="s">
        <v>178</v>
      </c>
    </row>
    <row r="800" spans="1:25" x14ac:dyDescent="0.3">
      <c r="A800">
        <v>26331</v>
      </c>
      <c r="B800" t="str">
        <f>_xlfn.CONCAT(Tabel1[[#This Row],[personeelsnr]]," ",C800," ",D800)</f>
        <v>26331 Van Semmertier Pascal</v>
      </c>
      <c r="C800" t="str">
        <f>VLOOKUP(Tabel1[[#This Row],[personeelsnr]],'data hastus'!$A:$C,2,0)</f>
        <v>Van Semmertier</v>
      </c>
      <c r="D800" t="str">
        <f>VLOOKUP(Tabel1[[#This Row],[personeelsnr]],'data hastus'!$A:$C,3,0)</f>
        <v>Pascal</v>
      </c>
      <c r="E800" t="str">
        <f>VLOOKUP(Tabel1[[#This Row],[personeelsnr]],'data hastus'!A:K,11,FALSE)</f>
        <v>Bart Van Der Beken</v>
      </c>
      <c r="F800" s="10"/>
      <c r="G800" s="7"/>
      <c r="H800" s="7"/>
      <c r="I800" s="7"/>
      <c r="M800" s="5">
        <v>1</v>
      </c>
      <c r="S800" s="5">
        <f>SUM(Tabel1[[#This Row],[Januari]:[December]])</f>
        <v>1</v>
      </c>
      <c r="T800" s="9">
        <v>45857</v>
      </c>
      <c r="U800" s="8" t="s">
        <v>3375</v>
      </c>
      <c r="V800" s="24">
        <v>1</v>
      </c>
      <c r="W800" s="24"/>
      <c r="X800" t="s">
        <v>206</v>
      </c>
      <c r="Y800" t="s">
        <v>3376</v>
      </c>
    </row>
    <row r="801" spans="1:25" x14ac:dyDescent="0.3">
      <c r="A801">
        <v>38633</v>
      </c>
      <c r="B801" t="str">
        <f>_xlfn.CONCAT(Tabel1[[#This Row],[personeelsnr]]," ",C801," ",D801)</f>
        <v>38633 Stomphorst Mattanja</v>
      </c>
      <c r="C801" t="str">
        <f>VLOOKUP(Tabel1[[#This Row],[personeelsnr]],'data hastus'!$A:$C,2,0)</f>
        <v>Stomphorst</v>
      </c>
      <c r="D801" t="str">
        <f>VLOOKUP(Tabel1[[#This Row],[personeelsnr]],'data hastus'!$A:$C,3,0)</f>
        <v>Mattanja</v>
      </c>
      <c r="E801" t="str">
        <f>VLOOKUP(Tabel1[[#This Row],[personeelsnr]],'data hastus'!A:K,11,FALSE)</f>
        <v>Els Dewulf</v>
      </c>
      <c r="F801" s="10"/>
      <c r="G801" s="7"/>
      <c r="H801" s="7"/>
      <c r="I801" s="7"/>
      <c r="M801" s="5">
        <v>1</v>
      </c>
      <c r="S801" s="5">
        <f>SUM(Tabel1[[#This Row],[Januari]:[December]])</f>
        <v>1</v>
      </c>
      <c r="T801" s="9">
        <v>45831</v>
      </c>
      <c r="U801" s="8" t="s">
        <v>3377</v>
      </c>
      <c r="V801" s="24">
        <v>1</v>
      </c>
      <c r="W801" s="24"/>
      <c r="X801" t="s">
        <v>206</v>
      </c>
      <c r="Y801" t="s">
        <v>190</v>
      </c>
    </row>
    <row r="802" spans="1:25" x14ac:dyDescent="0.3">
      <c r="A802">
        <v>39673</v>
      </c>
      <c r="B802" t="str">
        <f>_xlfn.CONCAT(Tabel1[[#This Row],[personeelsnr]]," ",C802," ",D802)</f>
        <v>39673 Steurbaut Henri</v>
      </c>
      <c r="C802" t="str">
        <f>VLOOKUP(Tabel1[[#This Row],[personeelsnr]],'data hastus'!$A:$C,2,0)</f>
        <v>Steurbaut</v>
      </c>
      <c r="D802" t="str">
        <f>VLOOKUP(Tabel1[[#This Row],[personeelsnr]],'data hastus'!$A:$C,3,0)</f>
        <v>Henri</v>
      </c>
      <c r="E802" t="str">
        <f>VLOOKUP(Tabel1[[#This Row],[personeelsnr]],'data hastus'!A:K,11,FALSE)</f>
        <v>Els Vanhoe</v>
      </c>
      <c r="F802" s="10"/>
      <c r="G802" s="7"/>
      <c r="H802" s="7"/>
      <c r="I802" s="7"/>
      <c r="M802" s="5">
        <v>1</v>
      </c>
      <c r="S802" s="5">
        <f>SUM(Tabel1[[#This Row],[Januari]:[December]])</f>
        <v>1</v>
      </c>
      <c r="T802" s="9">
        <v>45866</v>
      </c>
      <c r="U802" s="8" t="s">
        <v>3378</v>
      </c>
      <c r="V802" s="24">
        <v>1</v>
      </c>
      <c r="W802" s="24"/>
      <c r="X802" t="s">
        <v>206</v>
      </c>
      <c r="Y802" t="s">
        <v>3379</v>
      </c>
    </row>
    <row r="803" spans="1:25" x14ac:dyDescent="0.3">
      <c r="A803">
        <v>20653</v>
      </c>
      <c r="B803" t="str">
        <f>_xlfn.CONCAT(Tabel1[[#This Row],[personeelsnr]]," ",C803," ",D803)</f>
        <v>20653 Mestdag Marius</v>
      </c>
      <c r="C803" t="str">
        <f>VLOOKUP(Tabel1[[#This Row],[personeelsnr]],'data hastus'!$A:$C,2,0)</f>
        <v>Mestdag</v>
      </c>
      <c r="D803" t="str">
        <f>VLOOKUP(Tabel1[[#This Row],[personeelsnr]],'data hastus'!$A:$C,3,0)</f>
        <v>Marius</v>
      </c>
      <c r="E803" t="str">
        <f>VLOOKUP(Tabel1[[#This Row],[personeelsnr]],'data hastus'!A:K,11,FALSE)</f>
        <v>Bart Van Der Beken</v>
      </c>
      <c r="F803" s="10">
        <v>45867</v>
      </c>
      <c r="G803" s="7"/>
      <c r="H803" s="7"/>
      <c r="I803" s="7"/>
      <c r="M803" s="5">
        <v>1</v>
      </c>
      <c r="S803" s="5">
        <f>SUM(Tabel1[[#This Row],[Januari]:[December]])</f>
        <v>1</v>
      </c>
      <c r="U803" s="8" t="s">
        <v>3380</v>
      </c>
      <c r="V803" s="24"/>
      <c r="W803" s="24">
        <v>1</v>
      </c>
      <c r="X803" t="s">
        <v>207</v>
      </c>
      <c r="Y803" t="s">
        <v>238</v>
      </c>
    </row>
    <row r="804" spans="1:25" x14ac:dyDescent="0.3">
      <c r="A804">
        <v>10782</v>
      </c>
      <c r="B804" t="str">
        <f>_xlfn.CONCAT(Tabel1[[#This Row],[personeelsnr]]," ",C804," ",D804)</f>
        <v>10782 De Kee Ina</v>
      </c>
      <c r="C804" t="str">
        <f>VLOOKUP(Tabel1[[#This Row],[personeelsnr]],'data hastus'!$A:$C,2,0)</f>
        <v>De Kee</v>
      </c>
      <c r="D804" t="str">
        <f>VLOOKUP(Tabel1[[#This Row],[personeelsnr]],'data hastus'!$A:$C,3,0)</f>
        <v>Ina</v>
      </c>
      <c r="E804" t="str">
        <f>VLOOKUP(Tabel1[[#This Row],[personeelsnr]],'data hastus'!A:K,11,FALSE)</f>
        <v>Kenneth De Rick</v>
      </c>
      <c r="F804" s="10">
        <v>45868</v>
      </c>
      <c r="G804" s="7"/>
      <c r="H804" s="7"/>
      <c r="I804" s="7"/>
      <c r="S804" s="5">
        <v>1</v>
      </c>
      <c r="U804" s="8" t="s">
        <v>3381</v>
      </c>
      <c r="V804" s="24"/>
      <c r="W804" s="24">
        <v>1</v>
      </c>
      <c r="X804" t="s">
        <v>207</v>
      </c>
      <c r="Y804" t="s">
        <v>3382</v>
      </c>
    </row>
    <row r="805" spans="1:25" x14ac:dyDescent="0.3">
      <c r="A805">
        <v>18051</v>
      </c>
      <c r="B805" t="str">
        <f>_xlfn.CONCAT(Tabel1[[#This Row],[personeelsnr]]," ",C805," ",D805)</f>
        <v>18051 Van Wittenberge Filip</v>
      </c>
      <c r="C805" t="str">
        <f>VLOOKUP(Tabel1[[#This Row],[personeelsnr]],'data hastus'!$A:$C,2,0)</f>
        <v>Van Wittenberge</v>
      </c>
      <c r="D805" t="str">
        <f>VLOOKUP(Tabel1[[#This Row],[personeelsnr]],'data hastus'!$A:$C,3,0)</f>
        <v>Filip</v>
      </c>
      <c r="E805" t="str">
        <f>VLOOKUP(Tabel1[[#This Row],[personeelsnr]],'data hastus'!A:K,11,FALSE)</f>
        <v>Christoff Rotty</v>
      </c>
      <c r="F805" s="10">
        <v>45863</v>
      </c>
      <c r="G805" s="7"/>
      <c r="H805" s="7"/>
      <c r="I805" s="7"/>
      <c r="M805" s="5">
        <v>1</v>
      </c>
      <c r="S805" s="5">
        <f>SUM(Tabel1[[#This Row],[Januari]:[December]])</f>
        <v>1</v>
      </c>
      <c r="U805" s="8" t="s">
        <v>3389</v>
      </c>
      <c r="V805" s="24"/>
      <c r="W805" s="24">
        <v>1</v>
      </c>
      <c r="X805" t="s">
        <v>207</v>
      </c>
      <c r="Y805" t="s">
        <v>276</v>
      </c>
    </row>
    <row r="806" spans="1:25" x14ac:dyDescent="0.3">
      <c r="A806">
        <v>41162</v>
      </c>
      <c r="B806" t="str">
        <f>_xlfn.CONCAT(Tabel1[[#This Row],[personeelsnr]]," ",C806," ",D806)</f>
        <v>41162 Hoeckman Jeroen</v>
      </c>
      <c r="C806" t="str">
        <f>VLOOKUP(Tabel1[[#This Row],[personeelsnr]],'data hastus'!$A:$C,2,0)</f>
        <v>Hoeckman</v>
      </c>
      <c r="D806" t="str">
        <f>VLOOKUP(Tabel1[[#This Row],[personeelsnr]],'data hastus'!$A:$C,3,0)</f>
        <v>Jeroen</v>
      </c>
      <c r="E806" t="str">
        <f>VLOOKUP(Tabel1[[#This Row],[personeelsnr]],'data hastus'!A:K,11,FALSE)</f>
        <v>Dominique De Clercq</v>
      </c>
      <c r="F806" s="10"/>
      <c r="G806" s="7"/>
      <c r="H806" s="7"/>
      <c r="I806" s="7"/>
      <c r="M806" s="5">
        <v>1</v>
      </c>
      <c r="S806" s="5">
        <f>SUM(Tabel1[[#This Row],[Januari]:[December]])</f>
        <v>1</v>
      </c>
      <c r="T806" s="9">
        <v>45861</v>
      </c>
      <c r="U806" s="8" t="s">
        <v>3390</v>
      </c>
      <c r="V806" s="24">
        <v>1</v>
      </c>
      <c r="W806" s="24"/>
      <c r="X806" t="s">
        <v>206</v>
      </c>
      <c r="Y806" t="s">
        <v>3391</v>
      </c>
    </row>
    <row r="807" spans="1:25" x14ac:dyDescent="0.3">
      <c r="A807">
        <v>40859</v>
      </c>
      <c r="B807" t="str">
        <f>_xlfn.CONCAT(Tabel1[[#This Row],[personeelsnr]]," ",C807," ",D807)</f>
        <v>40859 Yagoub Abdelali</v>
      </c>
      <c r="C807" t="str">
        <f>VLOOKUP(Tabel1[[#This Row],[personeelsnr]],'data hastus'!$A:$C,2,0)</f>
        <v>Yagoub</v>
      </c>
      <c r="D807" t="str">
        <f>VLOOKUP(Tabel1[[#This Row],[personeelsnr]],'data hastus'!$A:$C,3,0)</f>
        <v>Abdelali</v>
      </c>
      <c r="E807" t="str">
        <f>VLOOKUP(Tabel1[[#This Row],[personeelsnr]],'data hastus'!A:K,11,FALSE)</f>
        <v>Els Vanhoe</v>
      </c>
      <c r="F807" s="10"/>
      <c r="G807" s="7"/>
      <c r="H807" s="7"/>
      <c r="I807" s="7"/>
      <c r="N807" s="5">
        <v>1</v>
      </c>
      <c r="S807" s="5">
        <f>SUM(Tabel1[[#This Row],[Januari]:[December]])</f>
        <v>1</v>
      </c>
      <c r="T807" s="9">
        <v>45872</v>
      </c>
      <c r="U807" s="8" t="s">
        <v>3397</v>
      </c>
      <c r="V807" s="24">
        <v>1</v>
      </c>
      <c r="W807" s="24"/>
      <c r="X807" t="s">
        <v>206</v>
      </c>
      <c r="Y807" t="s">
        <v>3395</v>
      </c>
    </row>
    <row r="808" spans="1:25" x14ac:dyDescent="0.3">
      <c r="A808">
        <v>40138</v>
      </c>
      <c r="B808" t="str">
        <f>_xlfn.CONCAT(Tabel1[[#This Row],[personeelsnr]]," ",C808," ",D808)</f>
        <v>40138 Moerman Tjimmy</v>
      </c>
      <c r="C808" t="str">
        <f>VLOOKUP(Tabel1[[#This Row],[personeelsnr]],'data hastus'!$A:$C,2,0)</f>
        <v>Moerman</v>
      </c>
      <c r="D808" t="str">
        <f>VLOOKUP(Tabel1[[#This Row],[personeelsnr]],'data hastus'!$A:$C,3,0)</f>
        <v>Tjimmy</v>
      </c>
      <c r="E808" t="str">
        <f>VLOOKUP(Tabel1[[#This Row],[personeelsnr]],'data hastus'!A:K,11,FALSE)</f>
        <v>Christoff Rotty</v>
      </c>
      <c r="F808" s="10"/>
      <c r="G808" s="7"/>
      <c r="H808" s="7"/>
      <c r="I808" s="7"/>
      <c r="N808" s="5">
        <v>1</v>
      </c>
      <c r="S808" s="5">
        <f>SUM(Tabel1[[#This Row],[Januari]:[December]])</f>
        <v>1</v>
      </c>
      <c r="T808" s="9">
        <v>45871</v>
      </c>
      <c r="U808" s="8" t="s">
        <v>3396</v>
      </c>
      <c r="V808" s="24">
        <v>1</v>
      </c>
      <c r="W808" s="24"/>
      <c r="X808" t="s">
        <v>206</v>
      </c>
      <c r="Y808" t="s">
        <v>173</v>
      </c>
    </row>
  </sheetData>
  <sheetProtection sort="0" autoFilter="0"/>
  <phoneticPr fontId="1" type="noConversion"/>
  <conditionalFormatting sqref="F2:F808">
    <cfRule type="cellIs" dxfId="13" priority="2" operator="equal">
      <formula>0</formula>
    </cfRule>
    <cfRule type="cellIs" dxfId="12" priority="4" operator="between">
      <formula>1</formula>
      <formula>4</formula>
    </cfRule>
    <cfRule type="cellIs" dxfId="11" priority="6" operator="greaterThanOrEqual">
      <formula>5</formula>
    </cfRule>
  </conditionalFormatting>
  <hyperlinks>
    <hyperlink ref="U534" r:id="rId1" display="../../../../../../../:b:/r/teams/CTM-OTGentStad/Shared Documents/General/EAF/CSI(nieuwe sharepoint) 2025/1. Januari/EAF 14012025 5771 Gent melisa kerman.pdf?csf=1&amp;web=1&amp;e=dEk7MG" xr:uid="{1CFB599E-2B5D-424A-90F9-04929CFBCDF4}"/>
    <hyperlink ref="U514" r:id="rId2" display="../../../../../../../:b:/r/teams/CTM-OTGentStad/Shared Documents/General/EAF/CSI(nieuwe sharepoint) 2025/1. Januari/EAF 5048 03012024 Gentsestwg.pdf?csf=1&amp;web=1&amp;e=aFMjJX" xr:uid="{B57782A7-DD6C-4FF0-8EE1-7EAE1255B3B8}"/>
    <hyperlink ref="U516" r:id="rId3" display="../../../../../../../:b:/r/teams/CTM-OTGentStad/Shared Documents/General/EAF/CSI(nieuwe sharepoint) 2025/1. Januari/EAF 5229 Gent 03012025.pdf?csf=1&amp;web=1&amp;e=fYwKWV" xr:uid="{D4981E58-90E0-48FF-9AB6-8C9390203DF5}"/>
    <hyperlink ref="U518" r:id="rId4" display="../../../../../../../:b:/r/teams/CTM-OTGentStad/Shared Documents/General/EAF/CSI(nieuwe sharepoint) 2025/1. Januari/EAF 6312 Brusselsepoortstraat Gent 03012025.pdf?csf=1&amp;web=1&amp;e=gFfkne" xr:uid="{069AB0F3-66D9-443A-A282-BECCE4BC15A4}"/>
    <hyperlink ref="U520" r:id="rId5" display="../../../../../../../:b:/r/teams/CTM-OTGentStad/Shared Documents/General/EAF/CSI(nieuwe sharepoint) 2025/1. Januari/EAF 5051 Gent 04012025.pdf?csf=1&amp;web=1&amp;e=1AOxgI" xr:uid="{86B08B74-62E0-4C35-938B-5D64A5F9C4C1}"/>
    <hyperlink ref="U515" r:id="rId6" display="../../../../../../../:b:/r/teams/CTM-OTGentStad/Shared Documents/General/EAF/CSI(nieuwe sharepoint) 2025/1. Januari/EAF 5048 Gent Sint-Pieters 03012025.pdf?csf=1&amp;web=1&amp;e=MuONUM" xr:uid="{9621D644-6647-4B24-9515-D9AD9ABDC422}"/>
    <hyperlink ref="U524" r:id="rId7" display="../../../../../../../:b:/r/teams/CTM-OTGentStad/Shared Documents/General/EAF/CSI(nieuwe sharepoint) 2025/1. Januari/EAF 5912 Blandijnberg 10012025 Yassine Taibi.pdf?csf=1&amp;web=1&amp;e=ZroY3r" xr:uid="{728C7DA9-15C4-49DA-BC21-A6CEC589ADDE}"/>
    <hyperlink ref="U527" r:id="rId8" display="../../../../../../../:b:/r/teams/CTM-OTGentStad/Shared Documents/General/EAF/CSI(nieuwe sharepoint) 2025/1. Januari/EAF 5328 Gent - E17 12012025 Abdi Shane Rashid.pdf?csf=1&amp;web=1&amp;e=C88Tue" xr:uid="{2314B45A-AE9F-48E2-A63C-E495103DB40C}"/>
    <hyperlink ref="U525" r:id="rId9" display="../../../../../../../:b:/r/teams/CTM-OTGentStad/Shared Documents/General/EAF/CSI(nieuwe sharepoint) 2025/1. Januari/EAF 6366 Gent 10012025.pdf?csf=1&amp;web=1&amp;e=ieg7nu" xr:uid="{8600B27A-5CA9-4F14-8E7F-B165BC47408E}"/>
    <hyperlink ref="U522" r:id="rId10" display="../../../../../../../:b:/r/teams/CTM-OTGentStad/Shared Documents/General/EAF/CSI(nieuwe sharepoint) 2025/1. Januari/EAF 5931 Bevrijdingslaan 08012025 Bruno De Naegel.pdf?csf=1&amp;web=1&amp;e=nKMatl" xr:uid="{266ED411-E9BA-4025-B809-BF681D6EF2C2}"/>
    <hyperlink ref="U523" r:id="rId11" display="../../../../../../../:b:/r/teams/CTM-OTGentStad/Shared Documents/General/EAF/CSI(nieuwe sharepoint) 2025/1. Januari/EAF 5767 Dendermondsesteenweg Gent 10012025.pdf?csf=1&amp;web=1&amp;e=zqEEXT" xr:uid="{C78235D9-3A6E-450F-B0F4-F046F0A6AE7E}"/>
    <hyperlink ref="U526" r:id="rId12" display="../../../../../../../:b:/r/teams/CTM-OTGentStad/Shared Documents/General/EAF/CSI(nieuwe sharepoint) 2025/1. Januari/EAF 5267 Gent 12012025.pdf?csf=1&amp;web=1&amp;e=vHTzlT" xr:uid="{B69270C5-397F-4435-A367-0AE5C10EEF2B}"/>
    <hyperlink ref="U530" r:id="rId13" display="../../../../../../../:b:/r/teams/CTM-OTGentStad/Shared Documents/General/EAF/CSI(nieuwe sharepoint) 2025/1. Januari/EAF 5927 Nieuwe Wandeling Gent 14012025.pdf?csf=1&amp;web=1&amp;e=gHQL1e" xr:uid="{540160B3-0852-41A9-A0E3-4E8C9BD7BF68}"/>
    <hyperlink ref="U528" r:id="rId14" display="../../../../../../../:b:/r/teams/CTM-OTGentStad/Shared Documents/General/EAF/CSI(nieuwe sharepoint) 2025/1. Januari/EAF 5260 Gent De Guchteneerestraat 13012025 Van Damme Glenn.pdf?csf=1&amp;web=1&amp;e=xXyBC8" xr:uid="{0CC1A38B-DB16-4D55-8426-DF5D19ADDB85}"/>
    <hyperlink ref="U532" r:id="rId15" display="../../../../../../../:b:/r/teams/CTM-OTGentStad/Shared Documents/General/EAF/CSI(nieuwe sharepoint) 2025/1. Januari/EAF 5920 Gent 15012025.pdf?csf=1&amp;web=1&amp;e=jfXJr3" xr:uid="{062E854E-6658-4E09-A344-B1220A90EEFC}"/>
    <hyperlink ref="U529" r:id="rId16" display="../../../../../../../:b:/r/teams/CTM-OTGentStad/Shared Documents/General/EAF/CSI(nieuwe sharepoint) 2025/1. Januari/EAF 14012025_2 5912 Gent Stefaan Devos.pdf?csf=1&amp;web=1&amp;e=Fj69fG" xr:uid="{36134205-D14B-46FB-85D7-2DEAC3FEB26A}"/>
    <hyperlink ref="U731" r:id="rId17" display="../../../../../../../:b:/r/teams/CTM-OTGentStad/Shared Documents/General/EAF/CSI(nieuwe sharepoint) 2025/1. Januari/EAF 6337 Gent 17012025.pdf?csf=1&amp;web=1&amp;e=HIde3n" xr:uid="{B7A5B04D-2444-4A69-96EE-429FE1FAEFC1}"/>
    <hyperlink ref="U732" r:id="rId18" display="../../../../../../../:b:/r/teams/CTM-OTGentStad/Shared Documents/General/EAF/CSI(nieuwe sharepoint) 2025/1. Januari/EAF 6356 Gentbrugge 18012025.pdf?csf=1&amp;web=1&amp;e=mefvXc" xr:uid="{3B1FF491-C1E6-43FD-A0C3-057465EB5192}"/>
    <hyperlink ref="U531" r:id="rId19" display="../../../../../../../:b:/r/teams/CTM-OTGentStad/Shared Documents/General/EAF/CSI(nieuwe sharepoint) 2025/1. Januari/EAF 5929 Stelplaats 14012025 Moez El Ouni.pdf?csf=1&amp;web=1&amp;e=SWRkyp" xr:uid="{DD41AFD5-AB3F-42DB-AB80-47004513CB52}"/>
    <hyperlink ref="U533" r:id="rId20" display="../../../../../../../:b:/r/teams/CTM-OTGentStad/Shared Documents/General/EAF/CSI(nieuwe sharepoint) 2025/1. Januari/EAF 6334 15012025 Neuseplein Fatih Taser.pdf?csf=1&amp;web=1&amp;e=amwiDh" xr:uid="{DC73FB35-C850-4CEF-B519-240438EAB3AF}"/>
    <hyperlink ref="U724" r:id="rId21" display="../../../../../../../:b:/r/teams/CTM-OTGentStad/Shared Documents/General/EAF/CSI(nieuwe sharepoint) 2025/1. Januari/EAF 5263 Mariakerke 13012025.pdf?csf=1&amp;web=1&amp;e=qFf0hX" xr:uid="{1AF9CACF-A798-4483-851F-5828A099BE42}"/>
    <hyperlink ref="U542" r:id="rId22" display="../../../../../../../:b:/r/teams/CTM-OTGentStad/Shared Documents/General/EAF/CSI(nieuwe sharepoint) 2025/1. Januari/EAF 5929  Gent 22012025 Jeroen Hoeckman 41162.pdf?csf=1&amp;web=1&amp;e=x1SEBB" xr:uid="{12331B09-F770-408B-A2A6-E5275A41BFAC}"/>
    <hyperlink ref="U538" r:id="rId23" display="../../../../../../../:b:/r/teams/CTM-OTGentStad/Shared Documents/General/EAF/CSI(nieuwe sharepoint) 2025/1. Januari/EAF 6327 Gent 20012025.pdf?csf=1&amp;web=1&amp;e=WhuGZA" xr:uid="{5D3CB4F8-42AD-4A0D-A435-59619EC511FD}"/>
    <hyperlink ref="U539" r:id="rId24" display="../../../../../../../:b:/r/teams/CTM-OTGentStad/Shared Documents/General/EAF/CSI(nieuwe sharepoint) 2025/1. Januari/EAF 5040 Gent 20012025.pdf?csf=1&amp;web=1&amp;e=a9x7Ar" xr:uid="{7CEA8E46-874D-4187-AFCE-E1C5F06EED82}"/>
    <hyperlink ref="U535" r:id="rId25" display="../../../../../../../:b:/r/teams/CTM-OTGentStad/Shared Documents/General/EAF/CSI(nieuwe sharepoint) 2025/1. Januari/EAF 6357 Brusselsesteenweg Gentbrugge 16012025.pdf?csf=1&amp;web=1&amp;e=DzBEL9" xr:uid="{DDAAD296-03F4-4A35-B6E2-015C7FAFC549}"/>
    <hyperlink ref="U543" r:id="rId26" display="../../../../../../../:b:/r/teams/CTM-OTGentStad/Shared Documents/General/EAF/CSI(nieuwe sharepoint) 2025/1. Januari/EAF 6324 Poperingestraat Gent 22012025.pdf?csf=1&amp;web=1&amp;e=eub2gI" xr:uid="{BD2DF3CA-6519-43DF-BD24-680EBEC583CE}"/>
    <hyperlink ref="U721" r:id="rId27" display="../../../../../../../:b:/r/teams/CTM-OTGentStad/Shared Documents/General/EAF/CSI(nieuwe sharepoint) 2025/1. Januari/EAF 5047 Gent 03012025.pdf?csf=1&amp;web=1&amp;e=ycRhDE" xr:uid="{3AD54217-AB8C-48D0-9A63-05351EF31D35}"/>
    <hyperlink ref="U536" r:id="rId28" display="../../../../../../../:b:/r/teams/CTM-OTGentStad/Shared Documents/General/EAF/CSI(nieuwe sharepoint) 2025/1. Januari/EAF 6355 Gent 17012025.pdf?csf=1&amp;web=1&amp;e=nubr3y" xr:uid="{E1ED7CDC-5D75-441D-A627-0521D469430D}"/>
    <hyperlink ref="U544" r:id="rId29" display="../../../../../../../:b:/r/teams/CTM-OTGentStad/Shared Documents/General/EAF/CSI(nieuwe sharepoint) 2025/1. Januari/EAF 6320 Gentbrugge 23012025.pdf?csf=1&amp;web=1&amp;e=RUAru3" xr:uid="{5AC0411E-ACC5-4310-8F6E-F45BB7611D46}"/>
    <hyperlink ref="U546" r:id="rId30" display="../../../../../../../:b:/r/teams/CTM-OTGentStad/Shared Documents/General/EAF/CSI(nieuwe sharepoint) 2025/1. Januari/EAF 6333 Gent 24012025.pdf?csf=1&amp;web=1&amp;e=IBYJmz" xr:uid="{758C2375-3764-4237-851D-A90FFF7D6AC8}"/>
    <hyperlink ref="U545" r:id="rId31" display="../../../../../../../:b:/r/teams/CTM-OTGentStad/Shared Documents/General/EAF/CSI(nieuwe sharepoint) 2025/1. Januari/EAF 6325 Gent 23012025.pdf?csf=1&amp;web=1&amp;e=GBaYyr" xr:uid="{598FA942-41E0-4B1B-827F-E265F5B29B42}"/>
    <hyperlink ref="U726" r:id="rId32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7" r:id="rId33" display="../../../../../../../:b:/r/teams/CTM-OTGentStad/Shared Documents/General/EAF/CSI(nieuwe sharepoint) 2025/1. Januari/EAF 5267 Ledebergplein 27012025 Achraf Cesmeli.pdf?csf=1&amp;web=1&amp;e=c0MQiF" xr:uid="{046AC6FA-FFF2-4F17-AA47-D4B38FFEFCBD}"/>
    <hyperlink ref="U541" r:id="rId34" display="../../../../../../../:b:/r/teams/CTM-OTGentStad/Shared Documents/General/EAF/CSI(nieuwe sharepoint) 2025/1. Januari/EAF 5264 Morekstraat Wondelgem 22.01.2025.pdf?csf=1&amp;web=1&amp;e=hPbgQQ" xr:uid="{B946480A-3C00-49D8-9CB8-3425FF1B9F13}"/>
    <hyperlink ref="U550" r:id="rId35" display="../../../../../../../:b:/r/teams/CTM-OTGentStad/Shared Documents/General/EAF/CSI(nieuwe sharepoint) 2025/1. Januari/EAF 29012025 5763 Gent  Patrick Verschraegen 33640.pdf?csf=1&amp;web=1&amp;e=KM0juh" xr:uid="{874962AE-219A-41FE-91B1-C266E40DF365}"/>
    <hyperlink ref="U549" r:id="rId36" display="../../../../../../../:b:/r/teams/CTM-OTGentStad/Shared Documents/General/EAF/CSI(nieuwe sharepoint) 2025/1. Januari/EAF 5923 Gent Moerman Jimmy 40138 28012025.pdf?csf=1&amp;web=1&amp;e=I6qfcm" xr:uid="{06F20CB6-E0ED-415E-8ADF-CDAA863F46BE}"/>
    <hyperlink ref="U537" r:id="rId37" display="../../../../../../../:b:/r/teams/CTM-OTGentStad/Shared Documents/General/EAF/CSI(nieuwe sharepoint) 2025/1. Januari/EAF 5039 Gent Smet Antoon 8394 20012025.pdf?csf=1&amp;web=1&amp;e=pg5gs7" xr:uid="{0D88375F-477E-4F74-93BE-18FDE5E8D30C}"/>
    <hyperlink ref="U553" r:id="rId38" display="../../../../../../../:b:/r/teams/CTM-OTGentStad/Shared Documents/General/EAF/CSI(nieuwe sharepoint) 2025/1. Januari/EAF 2204 Gent 30012025 40652 Van Damme Gilyanne.pdf?csf=1&amp;web=1&amp;e=y5Sxmd" xr:uid="{09D2E9C4-976D-4BCC-995F-0322466589B4}"/>
    <hyperlink ref="U552" r:id="rId39" display="../../../../../../../:b:/r/teams/CTM-OTGentStad/Shared Documents/General/EAF/CSI(nieuwe sharepoint) 2025/1. Januari/EAF 6368 Zwijnaarde 21424 Verstichel Jethro 29012025.pdf?csf=1&amp;web=1&amp;e=BBQkb0" xr:uid="{203F465D-4638-49A0-8E27-F3B8E53F7562}"/>
    <hyperlink ref="U554" r:id="rId40" display="../../../../../../../:b:/r/teams/CTM-OTGentStad/Shared Documents/General/EAF/CSI(nieuwe sharepoint) 2025/1. Januari/EAF 5053 E17 31012025 Achraf Cesmeli.pdf?csf=1&amp;web=1&amp;e=8dRYZC" xr:uid="{CF4F6ED3-9933-4DB0-8362-8399FC14B702}"/>
    <hyperlink ref="U519" r:id="rId41" display="../../../../../../../:b:/r/teams/CTM-OTGentStad/Shared Documents/General/EAF/CSI(nieuwe sharepoint) 2025/1. Januari/EAF 6311 Gent 03012025.pdf?csf=1&amp;web=1&amp;e=3WPodS" xr:uid="{83086A34-941B-48E9-B4C1-01BEDC8B79B5}"/>
    <hyperlink ref="U555" r:id="rId42" display="../../../../../../../:b:/r/teams/CTM-OTGentStad/Shared Documents/General/EAF/CSI(nieuwe sharepoint) 2025/2. Februari/EAF 5048 E17 parking 01022025.pdf?csf=1&amp;web=1&amp;e=g5k3g8" xr:uid="{FC22F1CE-B824-487A-9D57-D8A407FC135A}"/>
    <hyperlink ref="U556" r:id="rId43" display="../../../../../../../:b:/r/teams/CTM-OTGentStad/Shared Documents/General/EAF/CSI(nieuwe sharepoint) 2025/2. Februari/EAF 6327 Ledeberg Oosterlinck Willy 6327 02022025.pdf?csf=1&amp;web=1&amp;e=4Y3y3I" xr:uid="{6F5FE6BA-2A68-412B-BAB1-7C5B79B43D82}"/>
    <hyperlink ref="U559" r:id="rId44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0" r:id="rId45" display="../../../../../../../:b:/r/teams/CTM-OTGentStad/Shared Documents/General/EAF/CSI(nieuwe sharepoint) 2025/2. Februari/EAF 6314 Gent 12514 De Smet Kenneth 03022025.pdf?csf=1&amp;web=1&amp;e=i4qfzY" xr:uid="{05929581-5DEA-49EB-9B19-21B01E37D9DC}"/>
    <hyperlink ref="U558" r:id="rId46" display="../../../../../../../:b:/r/teams/CTM-OTGentStad/Shared Documents/General/EAF/CSI(nieuwe sharepoint) 2025/2. Februari/EAF 5911 Gent 21424 Verstichel Jethro 03022025.pdf?csf=1&amp;web=1&amp;e=Dm6yZg" xr:uid="{F64E53A4-7C17-46F2-BB91-670CFE110D02}"/>
    <hyperlink ref="U564" r:id="rId47" display="../../../../../../../:b:/r/teams/CTM-OTGentStad/Shared Documents/General/EAF/CSI(nieuwe sharepoint) 2025/2. Februari/EAF 5935 Steenakker 05022025 Dorien De Keyser.pdf?csf=1&amp;web=1&amp;e=sYVzDg" xr:uid="{D78A647F-3E7A-4DC2-9CAD-4A7471D6CC43}"/>
    <hyperlink ref="U557" r:id="rId48" display="../../../../../../../:b:/r/teams/CTM-OTGentStad/Shared Documents/General/EAF/CSI(nieuwe sharepoint) 2025/2. Februari/EAF 5327 Sint-Pietersstation Gent 03.02.2025.pdf?csf=1&amp;web=1&amp;e=7c0JJD" xr:uid="{7BD48853-F625-479E-A1A1-88EAB453F05B}"/>
    <hyperlink ref="U563" r:id="rId49" display="../../../../../../../:b:/r/teams/CTM-OTGentStad/Shared Documents/General/EAF/CSI(nieuwe sharepoint) 2025/2. Februari/EAF 5769 Van Goethemstraat 05022025 Jeroen Hoeckman.pdf?csf=1&amp;web=1&amp;e=6a2R1r" xr:uid="{5708376A-BF23-487C-8D67-64BDF1452B6D}"/>
    <hyperlink ref="U562" r:id="rId50" display="../../../../../../../:b:/r/teams/CTM-OTGentStad/Shared Documents/General/EAF/CSI(nieuwe sharepoint) 2025/2. Februari/EAF 5325 Wittewalle Oostakker 05022025.pdf?csf=1&amp;web=1&amp;e=qSyk4B" xr:uid="{5E919BC2-0599-43B9-BE24-D3F90B3DE058}"/>
    <hyperlink ref="U561" r:id="rId51" display="../../../../../../../:b:/r/teams/CTM-OTGentStad/Shared Documents/General/EAF/CSI(nieuwe sharepoint) 2025/2. Februari/EAF 2199 Deinze 40266 Taibi Yassine 05022025.pdf?csf=1&amp;web=1&amp;e=i6OFji" xr:uid="{39BB9D3B-C30C-4A2E-B4CC-8B370AAC8413}"/>
    <hyperlink ref="U567" r:id="rId52" display="../../../../../../../:b:/r/teams/CTM-OTGentStad/Shared Documents/General/EAF/CSI(nieuwe sharepoint) 2025/2. Februari/EAF 2195 Gent 07022025 4419 Maelbrancke Eddy.pdf?csf=1&amp;web=1&amp;e=HQTBt5" xr:uid="{5B230348-83F3-48E8-9F5B-EF647388C6F9}"/>
    <hyperlink ref="U566" r:id="rId53" display="../../../../../../../:b:/r/teams/CTM-OTGentStad/Shared Documents/General/EAF/CSI(nieuwe sharepoint) 2025/2. Februari/EAF 6317 Gent 06022025 17951 Claude Lega.pdf?csf=1&amp;web=1&amp;e=eK0gGq" xr:uid="{4F61E7BF-3283-4376-AF3B-8BFEDD6BFA9F}"/>
    <hyperlink ref="U569" r:id="rId54" display="../../../../../../../:b:/r/teams/CTM-OTGentStad/Shared Documents/General/EAF/CSI(nieuwe sharepoint) 2025/2. Februari/EAF 6369 Gent Sint-Baafsplein 10022025 El-Mohamed Mohamed.pdf?csf=1&amp;web=1&amp;e=o6cMTL" xr:uid="{560DE760-D072-47D6-96A5-31B00DF9FA33}"/>
    <hyperlink ref="U576" r:id="rId55" display="../../../../../../../:b:/r/teams/CTM-OTGentStad/Shared Documents/General/EAF/CSI(nieuwe sharepoint) 2025/2. Februari/EAF 5909 Antoon Sanderuusstraat 14022025 Tony De Pauw.pdf?csf=1&amp;web=1&amp;e=pO9W6z" xr:uid="{6D3EE414-25E6-473F-BAFB-A2572F2C2BAF}"/>
    <hyperlink ref="U577" r:id="rId56" display="../../../../../../../:b:/r/teams/CTM-OTGentStad/Shared Documents/General/EAF/CSI(nieuwe sharepoint) 2025/2. Februari/EAF 6322 Sint Salvatorstraat 14022025 Willy Oosterlinck.pdf?csf=1&amp;web=1&amp;e=hlfaNB" xr:uid="{2F2DA520-1201-4A3D-A0A6-121DDC97580F}"/>
    <hyperlink ref="U575" r:id="rId57" display="../../../../../../../:b:/r/teams/CTM-OTGentStad/Shared Documents/General/EAF/CSI(nieuwe sharepoint) 2025/2. Februari/EAF 5241 Gentbruggebrug 14.02.2025.pdf?csf=1&amp;web=1&amp;e=gX3QC0" xr:uid="{199D7388-CBE5-4018-97F4-90C4D2BE6342}"/>
    <hyperlink ref="U579" r:id="rId58" display="../../../../../../../:b:/r/teams/CTM-OTGentStad/Shared Documents/General/EAF/CSI(nieuwe sharepoint) 2025/2. Februari/EAF 6364 Koning Albertlaan 15022025 Franky Wauters.pdf?csf=1&amp;web=1&amp;e=stVfhJ" xr:uid="{A56C11D6-4928-48E0-851D-7842E441D4EA}"/>
    <hyperlink ref="U571" r:id="rId59" display="../../../../../../../:b:/r/teams/CTM-OTGentStad/Shared Documents/General/EAF/CSI(nieuwe sharepoint) 2025/2. Februari/EAF 5052 Antoon Catriestraat 11022025 Eva Teetaert.pdf?csf=1&amp;web=1&amp;e=Be65Jd" xr:uid="{6236944E-49D8-497E-ACFA-7587472B372D}"/>
    <hyperlink ref="U717" r:id="rId60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580" r:id="rId61" display="../../../../../../../:b:/r/teams/CTM-OTGentStad/Shared Documents/General/EAF/CSI(nieuwe sharepoint) 2025/2. Februari/EAF 5923 Steendam Gent 18022025.pdf?csf=1&amp;web=1&amp;e=QfJmVX" xr:uid="{831225C0-53C9-4315-9EC5-1896CA6B2DD6}"/>
    <hyperlink ref="U574" r:id="rId62" display="../../../../../../../:b:/r/teams/CTM-OTGentStad/Shared Documents/General/EAF/CSI(nieuwe sharepoint) 2025/2. Februari/EAF 5052 Seghersplein Gent 14022025.pdf?csf=1&amp;web=1&amp;e=0fC15J" xr:uid="{04453C5E-0066-4622-8DB0-EB9D61BE73BA}"/>
    <hyperlink ref="U568" r:id="rId63" display="../../../../../../../:b:/r/teams/CTM-OTGentStad/Shared Documents/General/EAF/CSI(nieuwe sharepoint) 2025/2. Februari/EAF 5261 Sint-Pietersstation Gent 07022025.pdf?csf=1&amp;web=1&amp;e=PUiZhI" xr:uid="{BD1C9343-A5F0-4240-B31A-5614A479839C}"/>
    <hyperlink ref="U582" r:id="rId64" display="../../../../../../../:b:/r/teams/CTM-OTGentStad/Shared Documents/General/EAF/CSI(nieuwe sharepoint) 2025/2. Februari/EAF 5927 Doornzelestraat 18022025 Jeroen Hoeckman.pdf?csf=1&amp;web=1&amp;e=QVGoKV" xr:uid="{B89BDCDE-2CFF-40E2-B90F-35C81DA19C85}"/>
    <hyperlink ref="U578" r:id="rId65" display="../../../../../../../:b:/r/teams/CTM-OTGentStad/Shared Documents/General/EAF/CSI(nieuwe sharepoint) 2025/2. Februari/EAF 5928 Ham 15022025 Yavas Talha 15022025.pdf?csf=1&amp;web=1&amp;e=SZtVAr" xr:uid="{6D910055-853F-49A0-A3E0-CAF8161D2ACD}"/>
    <hyperlink ref="U572" r:id="rId66" display="../../../../../../../:b:/r/teams/CTM-OTGentStad/Shared Documents/General/EAF/CSI(nieuwe sharepoint) 2025/2. Februari/EAF 6317 Gent 12022025 392967 Van Holsbeeck Jens.pdf?csf=1&amp;web=1&amp;e=ccsZHJ" xr:uid="{C416A3B4-A8AE-417D-8150-2068A27863E2}"/>
    <hyperlink ref="U570" r:id="rId67" display="../../../../../../../:b:/r/teams/CTM-OTGentStad/Shared Documents/General/EAF/CSI(nieuwe sharepoint) 2025/2. Februari/EAF 4676 Gent 11022025 25679 Van Renterghem Serge.pdf?csf=1&amp;web=1&amp;e=eCPvXL" xr:uid="{240BD4C7-5AAF-40E5-B177-57883A188EBF}"/>
    <hyperlink ref="U585" r:id="rId68" display="../../../../../../../:b:/r/teams/CTM-OTGentStad/Shared Documents/General/EAF/CSI(nieuwe sharepoint) 2025/2. Februari/EAF 6333 Brusselsesteenweg Gentbrugge 20022025.pdf?csf=1&amp;web=1&amp;e=vnp0RV" xr:uid="{DC135E5D-08AD-4F87-B96F-162AE2999C2B}"/>
    <hyperlink ref="U584" r:id="rId69" display="../../../../../../../:b:/r/teams/CTM-OTGentStad/Shared Documents/General/EAF/CSI(nieuwe sharepoint) 2025/2. Februari/EAF 5916 Doornzelestraat 20022025 Yana Van Holsbeeck.pdf?csf=1&amp;web=1&amp;e=7bbt8A" xr:uid="{E4DAD4DA-91A2-49E5-B549-A874FA848063}"/>
    <hyperlink ref="U587" r:id="rId70" display="../../../../../../../:b:/r/teams/CTM-OTGentStad/Shared Documents/General/EAF/CSI(nieuwe sharepoint) 2025/2. Februari/EAF 5929 Koer stelplaats Gentbrugge 21.02.2025.pdf?csf=1&amp;web=1&amp;e=9V0YIc" xr:uid="{568A9D18-E2D1-43FE-AF3A-2AFAE848F547}"/>
    <hyperlink ref="U593" r:id="rId71" display="../../../../../../../:b:/r/teams/CTM-OTGentStad/Shared Documents/General/EAF/CSI(nieuwe sharepoint) 2025/2. Februari/EAF 6364 Gent 23022025 De Meulenaere Eric 9824.pdf?csf=1&amp;web=1&amp;e=hMsCQ2" xr:uid="{C1E2FE61-DC0F-4D74-A883-CF5FA9F32787}"/>
    <hyperlink ref="U592" r:id="rId72" display="../../../../../../../:b:/r/teams/CTM-OTGentStad/Shared Documents/General/EAF/CSI(nieuwe sharepoint) 2025/2. Februari/EAF 5049 Rooigemlaan 23022025 Billy Teetaert.pdf?csf=1&amp;web=1&amp;e=hdjwpm" xr:uid="{CF1C51A5-BD4F-474D-8ADB-7E0C4E5E80CC}"/>
    <hyperlink ref="U581" r:id="rId73" display="../../../../../../../:b:/r/teams/CTM-OTGentStad/Shared Documents/General/EAF/CSI(nieuwe sharepoint) 2025/2. Februari/EAF 5925 Meulesteedsesteenweg Gent 18022025.pdf?csf=1&amp;web=1&amp;e=zDiOb3" xr:uid="{7BCC532A-80BE-4AA6-AD90-546B721DE651}"/>
    <hyperlink ref="U594" r:id="rId74" display="../../../../../../../:b:/r/teams/CTM-OTGentStad/Shared Documents/General/EAF/CSI(nieuwe sharepoint) 2025/2. Februari/EAF 2206 Gent 24022025 30121 Simons Andreas.pdf?csf=1&amp;web=1&amp;e=LgLSxX" xr:uid="{29791F7B-81F7-4FEE-AEA3-3AC7A1565CFB}"/>
    <hyperlink ref="U565" r:id="rId75" display="../../../../../../../:b:/r/teams/CTM-OTGentStad/Shared Documents/General/EAF/CSI(nieuwe sharepoint) 2025/2. Februari/EAF 2208 Gent 06022025 40856 Neissi Sadegh.pdf?csf=1&amp;web=1&amp;e=gbmZyo" xr:uid="{096CBD2E-2A19-42A8-88DC-8A88177C68F0}"/>
    <hyperlink ref="U591" r:id="rId76" display="../../../../../../../:b:/r/teams/CTM-OTGentStad/Shared Documents/General/EAF/CSI(nieuwe sharepoint) 2025/2. Februari/EAF 23022025 5771 Gent Herman Meersman 32387.pdf?csf=1&amp;web=1&amp;e=x69pKD" xr:uid="{E73AE997-AD9B-4405-90F0-3EFD6BA2309E}"/>
    <hyperlink ref="U713" r:id="rId77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90" r:id="rId78" display="../../../../../../../:b:/r/teams/CTM-OTGentStad/Shared Documents/General/EAF/CSI(nieuwe sharepoint) 2025/2. Februari/EAF 5929 Keizer Karelstraat Gent 22022025.pdf?csf=1&amp;web=1&amp;e=PeWNlT" xr:uid="{65BDAB43-8964-499F-8AD8-2248D34F71DE}"/>
    <hyperlink ref="U583" r:id="rId79" display="../../../../../../../:b:/r/teams/CTM-OTGentStad/Shared Documents/General/EAF/CSI(nieuwe sharepoint) 2025/2. Februari/EAF 2195 Gentsesteenweg Deinze 19.02.2025.pdf?csf=1&amp;web=1&amp;e=7AyK0J" xr:uid="{2952E190-A845-433F-AE4E-923BA5BFE04B}"/>
    <hyperlink ref="U716" r:id="rId80" display="../../../../../../../:b:/r/teams/CTM-OTGentStad/Shared Documents/General/EAF/CSI(nieuwe sharepoint) 2025/2. Februari/EAF 2200 Steinstraat Nazareth 18.02.2025.pdf?csf=1&amp;web=1&amp;e=XcgcnT" xr:uid="{8A6E4A5D-E388-4B89-B3A0-D999B0C6A6FD}"/>
    <hyperlink ref="U589" r:id="rId81" display="../../../../../../../:b:/r/teams/CTM-OTGentStad/Shared Documents/General/EAF/CSI(nieuwe sharepoint) 2025/2. Februari/EAF 5043 Steendam Gent 22.02.2025 om 17u24.pdf?csf=1&amp;web=1&amp;e=xnBRRe" xr:uid="{0C0415FE-4AA7-4C1F-8A80-DB54D33FE444}"/>
    <hyperlink ref="U719" r:id="rId82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599" r:id="rId83" display="../../../../../../../:b:/r/teams/CTM-OTGentStad/Shared Documents/General/EAF/CSI(nieuwe sharepoint) 2025/2. Februari/EAF 2548 Dampoort Gent 28022025.pdf?csf=1&amp;web=1&amp;e=FO65Hj" xr:uid="{7921045D-AAB1-4DF0-9E93-D83FFE86B6F5}"/>
    <hyperlink ref="U596" r:id="rId84" display="../../../../../../../:b:/r/teams/CTM-OTGentStad/Shared Documents/General/EAF/CSI(nieuwe sharepoint) 2025/2. Februari/EAF 2546 Meeuwstraat Gent 27.02.2025.pdf?csf=1&amp;web=1&amp;e=W2Gd34" xr:uid="{F6830616-B196-461E-843D-98B7FA7B354A}"/>
    <hyperlink ref="U597" r:id="rId85" display="../../../../../../../:b:/r/teams/CTM-OTGentStad/Shared Documents/General/EAF/CSI(nieuwe sharepoint) 2025/2. Februari/EAF 5046 Gent Brusselsesteenweg 27022025 Demirkaya Serkan.pdf?csf=1&amp;web=1&amp;e=FTes56" xr:uid="{3FB08C7E-13FB-4DCB-9769-D800CD476B5E}"/>
    <hyperlink ref="U595" r:id="rId86" display="../../../../../../../:b:/r/teams/CTM-OTGentStad/Shared Documents/General/EAF/CSI(nieuwe sharepoint) 2025/2. Februari/EAF 5914 Gent Stapelplein 25.02.2025 Minbari Ako.pdf?csf=1&amp;web=1&amp;e=0HKBPM" xr:uid="{16FFBD82-E382-4CAE-9A0E-115CBAC27C54}"/>
    <hyperlink ref="U586" r:id="rId87" display="../../../../../../../:b:/r/teams/CTM-OTGentStad/Shared Documents/General/EAF/CSI(nieuwe sharepoint) 2025/2. Februari/EAF 5229 Rooigemlaan Gent 21022025.pdf?csf=1&amp;web=1&amp;e=1D4jGJ" xr:uid="{072B7946-DC84-4FA2-A905-4A35170E8F37}"/>
    <hyperlink ref="U573" r:id="rId88" display="../../../../../../../:b:/r/teams/CTM-OTGentStad/Shared Documents/General/EAF/CSI(nieuwe sharepoint) 2025/2. Februari/EAF 5240 Tweekapellenstraat Gentbrugge 13022025 Antoon De Meyer 6229.pdf?csf=1&amp;web=1&amp;e=o2SW5z" xr:uid="{CCC75736-54A8-426E-BE29-38CF8AEEAB0F}"/>
    <hyperlink ref="U602" r:id="rId89" display="../../../../../../../:b:/r/teams/CTM-OTGentStad/Shared Documents/General/EAF/CSI(nieuwe sharepoint) 2025/3. Maart/EAF 2196 Voskenslaan Gent 04032025.pdf?csf=1&amp;web=1&amp;e=oftcHq" xr:uid="{BF893C2D-F7E8-4522-BEE0-D5F138312FBB}"/>
    <hyperlink ref="U614" r:id="rId90" display="../../../../../../../:b:/r/teams/CTM-OTGentStad/Shared Documents/General/EAF/CSI(nieuwe sharepoint) 2025/3. Maart/EAF 5325 Gent 11032025 40138 Tjimmy Moerman.pdf?csf=1&amp;web=1&amp;e=TbjdXl" xr:uid="{B1F7074B-2730-4076-86ED-A916610569C4}"/>
    <hyperlink ref="U600" r:id="rId91" display="../../../../../../../:b:/r/teams/CTM-OTGentStad/Shared Documents/General/EAF/CSI(nieuwe sharepoint) 2025/3. Maart/EAF 01032025 5047 Gent 40138 Tjimmy Moerman.pdf?csf=1&amp;web=1&amp;e=Zv98J9" xr:uid="{D5E11DD4-5A22-4382-BE66-6B0016FC46D9}"/>
    <hyperlink ref="U711" r:id="rId92" display="../../../../../../../:b:/r/teams/CTM-OTGentStad/Shared Documents/General/EAF/CSI(nieuwe sharepoint) 2025/3. Maart/EAF 02032025 5929 Gent 38807 Caroline Dossche.pdf?csf=1&amp;web=1&amp;e=7qhNOM" xr:uid="{A465E747-0086-4B82-8CC1-3D81E8A389FE}"/>
    <hyperlink ref="U603" r:id="rId93" display="../../../../../../../:b:/r/teams/CTM-OTGentStad/Shared Documents/General/EAF/CSI(nieuwe sharepoint) 2025/3. Maart/EAF 05032025 5042 Gent 40591 Mahmoud Hiloui.pdf?csf=1&amp;web=1&amp;e=rnxvpg" xr:uid="{268E9636-C524-4B41-897D-6A79AD8DE56A}"/>
    <hyperlink ref="U604" r:id="rId94" display="../../../../../../../:b:/r/teams/CTM-OTGentStad/Shared Documents/General/EAF/CSI(nieuwe sharepoint) 2025/3. Maart/EAF 05032025 5911 Gent Tom Hoste.pdf?csf=1&amp;web=1&amp;e=8QSyCb" xr:uid="{23AD50EF-3A4A-45FB-B734-060948A55A16}"/>
    <hyperlink ref="U605" r:id="rId95" display="../../../../../../../:b:/r/teams/CTM-OTGentStad/Shared Documents/General/EAF/CSI(nieuwe sharepoint) 2025/3. Maart/EAF 06032025 5909 Gent 41092 Dorien De Keyser.pdf?csf=1&amp;web=1&amp;e=FbvBh0" xr:uid="{7DCAF774-4B2D-4AE8-B4F2-6FA3F9C1E6BC}"/>
    <hyperlink ref="U606" r:id="rId96" display="../../../../../../../:b:/r/teams/CTM-OTGentStad/Shared Documents/General/EAF/CSI(nieuwe sharepoint) 2025/3. Maart/EAF 06032025 5916 Gent 26960 Toubadie Mossa.pdf?csf=1&amp;web=1&amp;e=u8d4kD" xr:uid="{0359A1D1-4EB4-4E58-9B74-54DDC663C028}"/>
    <hyperlink ref="U607" r:id="rId97" display="../../../../../../../:b:/r/teams/CTM-OTGentStad/Shared Documents/General/EAF/CSI(nieuwe sharepoint) 2025/3. Maart/EAF 06032025 6313 Gent 29674 Geoffrey Martens.pdf?csf=1&amp;web=1&amp;e=9Actf9" xr:uid="{E7A2F9EB-12E7-4D2A-93C3-299BF2DAB92F}"/>
    <hyperlink ref="U608" r:id="rId98" display="../../../../../../../:b:/r/teams/CTM-OTGentStad/Shared Documents/General/EAF/CSI(nieuwe sharepoint) 2025/3. Maart/EAF 06032025 6314 Gent 16897 Andy Vandendaele.pdf?csf=1&amp;web=1&amp;e=YVdKFf" xr:uid="{4992310D-F535-46E9-A05F-BBC304DA7FF8}"/>
    <hyperlink ref="U610" r:id="rId99" display="../../../../../../../:b:/r/teams/CTM-OTGentStad/Shared Documents/General/EAF/CSI(nieuwe sharepoint) 2025/3. Maart/EAF 09032025 5040 Gent 28910 Gassa Osmane.pdf?csf=1&amp;web=1&amp;e=7AKEvf" xr:uid="{E38BBD4B-B498-480A-BCB4-AA7FF99B1FDF}"/>
    <hyperlink ref="U611" r:id="rId100" display="../../../../../../../:b:/r/teams/CTM-OTGentStad/Shared Documents/General/EAF/CSI(nieuwe sharepoint) 2025/3. Maart/EAF 09032025 5932 Gent 40939 Cisse Sayon.pdf?csf=1&amp;web=1&amp;e=WtzGZ6" xr:uid="{ED2FDC2F-FB5A-48E2-90D2-A8C4BCE2092D}"/>
    <hyperlink ref="U613" r:id="rId101" display="../../../../../../../:b:/r/teams/CTM-OTGentStad/Shared Documents/General/EAF/CSI(nieuwe sharepoint) 2025/3. Maart/EAF 10032025 5938 Gent 35845 Yaseeb Jalili.pdf?csf=1&amp;web=1&amp;e=n9wMGC" xr:uid="{4D0B4ED5-5BDA-4BF7-98F0-C04F7EB33180}"/>
    <hyperlink ref="U548" r:id="rId102" display="../../../../../../../:b:/r/teams/CTM-OTGentStad/Shared Documents/General/EAF/CSI(nieuwe sharepoint) 2025/1. Januari/EAF 5235 Nieuwe Wandeling Gent 28012025.pdf?csf=1&amp;web=1&amp;e=ebCDgZ" xr:uid="{B36A5047-C7F1-422F-B8B9-ED811835D641}"/>
    <hyperlink ref="U601" r:id="rId103" display="../../../../../../../:b:/r/teams/CTM-OTGentStad/Shared Documents/General/EAF/CSI(nieuwe sharepoint) 2025/3. Maart/EAF 6375 Ferrelaan Gent 03032025 Hublau Roland 26137.pdf?csf=1&amp;web=1&amp;e=7CODAk" xr:uid="{4EE43DC0-FA6D-452C-A8C7-2E765FA84177}"/>
    <hyperlink ref="U517" r:id="rId104" display="../../../../../../../:b:/r/teams/CTM-OTGentStad/Shared Documents/General/EAF/CSI(nieuwe sharepoint) 2025/Koer/EAF 5934 Gentbrugge 03012025.pdf?csf=1&amp;web=1&amp;e=gA3yxE" xr:uid="{46365AE5-05C0-4169-9031-351824568E01}"/>
    <hyperlink ref="U615" r:id="rId105" display="../../../../../../../:b:/r/teams/CTM-OTGentStad/Shared Documents/General/EAF/CSI(nieuwe sharepoint) 2025/3. Maart/EAF 5237 Gent 12032025 39532 Orhan Sahin.pdf?csf=1&amp;web=1&amp;e=nuID64" xr:uid="{91B2390A-051D-4026-B73F-72C0D11BD252}"/>
    <hyperlink ref="U598" r:id="rId106" display="../../../../../../../:b:/r/teams/CTM-OTGentStad/Shared Documents/General/EAF/CSI(nieuwe sharepoint) 2025/2. Februari/EAF 5923 Wondelgem 27022025 39779.pdf?csf=1&amp;web=1&amp;e=PbrmZz" xr:uid="{041EC2D2-8788-4ABB-93AB-6BEFAFCFF960}"/>
    <hyperlink ref="U710" r:id="rId107" display="../../../../../../../:b:/r/teams/CTM-OTGentStad/Shared Documents/General/EAF/CSI(nieuwe sharepoint) 2025/3. Maart/EAF - 5928 - gent - 16032025 41246 Yana van Holsbeeck.pdf?csf=1&amp;web=1&amp;e=X0dmld" xr:uid="{71893970-8305-4CDA-B5DC-87311DA97FDE}"/>
    <hyperlink ref="U617" r:id="rId108" display="../../../../../../../:b:/r/teams/CTM-OTGentStad/Shared Documents/General/EAF/CSI(nieuwe sharepoint) 2025/3. Maart/EAF 5915 Overzet Gent 13032025 Steven Van den Meerssche 37662.pdf?csf=1&amp;web=1&amp;e=xURdTd" xr:uid="{4351D7AD-B441-4A84-940C-4463AF2192EB}"/>
    <hyperlink ref="U727" r:id="rId109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1" r:id="rId110" display="../../../../../../../:b:/r/teams/CTM-OTGentStad/Shared Documents/General/EAF/CSI(nieuwe sharepoint) 2025/1. Januari/EAF 6337 Gent Coupure Rechts 29012025 Odaci Kadir.pdf?csf=1&amp;web=1&amp;e=54sdH5" xr:uid="{88F7C8C1-94D9-4DBB-821A-2AEB46042966}"/>
    <hyperlink ref="U612" r:id="rId111" display="../../../../../../../:b:/r/teams/CTM-OTGentStad/Shared Documents/General/EAF/CSI(nieuwe sharepoint) 2025/3. Maart/EAF 6303 Gent 09032025 25487stefaan Devos.pdf?csf=1&amp;web=1&amp;e=60wyDS" xr:uid="{9D7911FC-7623-4A9A-81F9-05BECF778F90}"/>
    <hyperlink ref="U619" r:id="rId112" display="../../../../../../../:b:/r/teams/CTM-OTGentStad/Shared Documents/General/EAF/CSI(nieuwe sharepoint) 2025/3. Maart/EAF 2549 - gent - 18032025 Ardic Attila.pdf?csf=1&amp;web=1&amp;e=FCNiEY" xr:uid="{03C97974-B397-4D7F-9D66-A3C3AF4A083B}"/>
    <hyperlink ref="U621" r:id="rId113" display="../../../../../../../:b:/r/teams/CTM-OTGentStad/Shared Documents/General/EAF/CSI(nieuwe sharepoint) 2025/3. Maart/EAF 5770 Gent 19032025 410092 Dorien De Keyser.pdf?csf=1&amp;web=1&amp;e=jshoDl" xr:uid="{40CEABA9-2897-482E-9D80-121B188BEC32}"/>
    <hyperlink ref="U729" r:id="rId114" display="../../../../../../../:b:/r/teams/CTM-OTGentStad/Shared Documents/General/EAF/CSI(nieuwe sharepoint) 2025/3. Maart/EAF 6322 Wondelgem Liefkensstraat 19032025 De Vrieze Ludo.pdf?csf=1&amp;web=1&amp;e=HfnT4Q" xr:uid="{D1BC7518-347F-454E-A865-2B3D0F8671FB}"/>
    <hyperlink ref="U618" r:id="rId115" display="../../../../../../../:b:/r/teams/CTM-OTGentStad/Shared Documents/General/EAF/CSI(nieuwe sharepoint) 2025/3. Maart/EAF 6331 Gent 17032025 36635 FAdel Husan.pdf?csf=1&amp;web=1&amp;e=fV1Fsh" xr:uid="{B62D715B-4562-47C3-826F-475EACAF9FD4}"/>
    <hyperlink ref="U620" r:id="rId116" display="../../../../../../../:b:/r/teams/CTM-OTGentStad/Shared Documents/General/EAF/CSI(nieuwe sharepoint) 2025/3. Maart/EAF 5045 Rooigemlaan Gent 18032025.pdf?csf=1&amp;web=1&amp;e=T64n4k" xr:uid="{0CF9E680-6B2A-4297-84FD-89E8603FA45E}"/>
    <hyperlink ref="U624" r:id="rId117" display="../../../../../../../:b:/r/teams/CTM-OTGentStad/Shared Documents/General/EAF/CSI(nieuwe sharepoint) 2025/3. Maart/EAF 5924 gent 19032025 35216 Coban Mehmet.pdf?csf=1&amp;web=1&amp;e=LnTQMo" xr:uid="{B15B2A71-5371-4A79-8317-D138ED6E46EC}"/>
    <hyperlink ref="U623" r:id="rId118" display="../../../../../../../:b:/r/teams/CTM-OTGentStad/Shared Documents/General/EAF/CSI(nieuwe sharepoint) 2025/3. Maart/EAF 4665 gent 19032025 35450 Hugo Roos.pdf?csf=1&amp;web=1&amp;e=iOTNKk" xr:uid="{95F64FC0-CD3F-4745-A08D-BB8AB7F1D3B1}"/>
    <hyperlink ref="U730" r:id="rId119" display="../../../../../../../:b:/r/teams/CTM-OTGentStad/Shared Documents/General/EAF/CSI(nieuwe sharepoint) 2025/3. Maart/EAF 6326 gent 15032025 35495 Mahmoud.pdf?csf=1&amp;web=1&amp;e=j97H5s" xr:uid="{F70690DC-44FF-4C25-9383-0FDBCDB7523F}"/>
    <hyperlink ref="U625" r:id="rId120" display="../../../../../../../:b:/r/teams/CTM-OTGentStad/Shared Documents/General/EAF/CSI(nieuwe sharepoint) 2025/3. Maart/EAF 8138 gent 20032025 41520 Avery smets.pdf?csf=1&amp;web=1&amp;e=noogwJ" xr:uid="{C7FCE89E-C35C-4EB2-95B5-9BAB5722733C}"/>
    <hyperlink ref="U722" r:id="rId121" display="../../../../../../../:b:/r/teams/CTM-OTGentStad/Shared Documents/General/EAF/CSI(nieuwe sharepoint) 2025/3. Maart/EAF 5054 Hoveniersstraat Ledeberg Gent 19.03.2025 Avci Muhammet Abdullah 39779.pdf?csf=1&amp;web=1&amp;e=paxGlY" xr:uid="{59C004E4-197D-42F0-BCAF-108E41BACE51}"/>
    <hyperlink ref="U609" r:id="rId122" display="../../../../../../../:b:/r/teams/CTM-OTGentStad/Shared Documents/General/EAF/CSI(nieuwe sharepoint) 2025/3. Maart/EAF 5911 Gent 06032025 32091 Ercan Koroglu.pdf?csf=1&amp;web=1&amp;e=0NA2d0" xr:uid="{43F532C1-9DAA-4869-A427-180251A1D374}"/>
    <hyperlink ref="U622" r:id="rId123" display="../../../../../../../:b:/r/teams/CTM-OTGentStad/Shared Documents/General/EAF/CSI(nieuwe sharepoint) 2025/3. Maart/EAF 5922 Kartuizerlaan Gent 18.03.2025 De Meyer Karel 35246.pdf?csf=1&amp;web=1&amp;e=uxB3tw" xr:uid="{9FA02E7F-3DDF-4E6B-AC70-FAB4A65E0949}"/>
    <hyperlink ref="U715" r:id="rId124" display="../../../../../../../:b:/r/teams/CTM-OTGentStad/Shared Documents/General/EAF/CSI(nieuwe sharepoint) 2025/3. Maart/EAF 2197 Gent 25032025 31600 Tom Mertens.pdf?csf=1&amp;web=1&amp;e=VNHTbI" xr:uid="{296B5AA7-A1FE-4025-9EEC-1642ED162003}"/>
    <hyperlink ref="U628" r:id="rId125" display="../../../../../../../:b:/r/teams/CTM-OTGentStad/Shared Documents/General/EAF/CSI(nieuwe sharepoint) 2025/3. Maart/EAF 5043 Rooigemlaan - Drongensesteenweg Gent 26032025.pdf?csf=1&amp;web=1&amp;e=RAkEqq" xr:uid="{3D7ED0CA-032C-4F94-9F3B-9F0478CEAD40}"/>
    <hyperlink ref="U632" r:id="rId126" display="../../../../../../:b:/r/teams/CTM-OTGentStad/Shared Documents/General/EAF/CSI(nieuwe sharepoint) 2025/3. Maart/EAF 5261 Morekstraat Gent 28032025.pdf?csf=1&amp;web=1&amp;e=KT7IyD" xr:uid="{2BAC9326-C8AE-41DA-BB39-C4B262356381}"/>
    <hyperlink ref="U629" r:id="rId127" display="../../../../../../:b:/r/teams/CTM-OTGentStad/Shared Documents/General/EAF/CSI(nieuwe sharepoint) 2025/3. Maart/EAF 5266 Wondelgem 26032025 37179.pdf?csf=1&amp;web=1&amp;e=Z1YyKX" xr:uid="{CCD518DC-D22A-4CC7-AC04-E80703BB9FB8}"/>
    <hyperlink ref="U635" r:id="rId128" display="../../../../../../:b:/r/teams/CTM-OTGentStad/Shared Documents/General/EAF/CSI(nieuwe sharepoint) 2025/3. Maart/EAF 5918 Gent 24032025 30668 Maurice Weemhof.pdf?csf=1&amp;web=1&amp;e=wJB9Vw" xr:uid="{C5E3FFF2-A29C-4E69-90EF-376EF1B9F6A6}"/>
    <hyperlink ref="U631" r:id="rId129" display="../../../../../../:b:/r/teams/CTM-OTGentStad/Shared Documents/General/EAF/CSI(nieuwe sharepoint) 2025/3. Maart/EAF 39581 5261  Gent 28032025 39581 Linus Vandenhoute.pdf?csf=1&amp;web=1&amp;e=1OENdK" xr:uid="{B0E199BA-E5B5-47ED-A805-0A87F345C406}"/>
    <hyperlink ref="U627" r:id="rId130" display="../../../../../../:b:/r/teams/CTM-OTGentStad/Shared Documents/General/EAF/CSI(nieuwe sharepoint) 2025/3. Maart/EAF 5235 Gent 24032025 37809 Kenny Sturtewagen.pdf?csf=1&amp;web=1&amp;e=57Llsk" xr:uid="{FD504669-50E1-4A74-B463-7019C622CC87}"/>
    <hyperlink ref="U633" r:id="rId131" display="../../../../../../:b:/r/teams/CTM-OTGentStad/Shared Documents/General/EAF/CSI(nieuwe sharepoint) 2025/3. Maart/EAF 6325 Gent 28032025 36569 Jonas Stroobandt.pdf?csf=1&amp;web=1&amp;e=K9fwuM" xr:uid="{E355EB20-8ADA-4C0E-A13D-7512E5C203A6}"/>
    <hyperlink ref="U626" r:id="rId132" display="../../../../../../:b:/r/teams/CTM-OTGentStad/Shared Documents/General/EAF/CSI(nieuwe sharepoint) 2025/3. Maart/EAF 5922 Gent 21032025 32611 Ozer Ozgur.pdf?csf=1&amp;web=1&amp;e=vqskPh" xr:uid="{07D969C4-87C6-4311-BE3F-CC0EC8329078}"/>
    <hyperlink ref="U630" r:id="rId133" display="../../../../../../:b:/r/teams/CTM-OTGentStad/Shared Documents/General/EAF/CSI(nieuwe sharepoint) 2025/3. Maart/EAF 5922 Gent 21032025 31118 Michiel de sutter.pdf?csf=1&amp;web=1&amp;e=xa9ejQ" xr:uid="{8D56E14D-9D9D-4DC5-843A-229EB739E6CD}"/>
    <hyperlink ref="U637" r:id="rId134" display="../../../../../../:b:/r/teams/CTM-OTGentStad/Shared Documents/General/EAF/CSI(nieuwe sharepoint) 2025/4. April/EAF 6329 Botermarkt Ledeberg 02042025.pdf?csf=1&amp;web=1&amp;e=QAwW4O" xr:uid="{128FBA85-AD69-429E-9850-71F2303EA24D}"/>
    <hyperlink ref="U616" r:id="rId135" display="../../../../../../:b:/r/teams/CTM-OTGentStad/Shared Documents/General/EAF/CSI(nieuwe sharepoint) 2025/3. Maart/EAF 5240 Gent 13032025 35379 Sam Engels.pdf?csf=1&amp;web=1&amp;e=3HjgKI" xr:uid="{453BF651-5828-49D6-B487-371EFE4F20F1}"/>
    <hyperlink ref="U634" r:id="rId136" display="../../../../../../:b:/r/teams/CTM-OTGentStad/Shared Documents/General/EAF/CSI(nieuwe sharepoint) 2025/3. Maart/EAF 6370 Gent 28032025 36358 Elise Denys.pdf?csf=1&amp;web=1&amp;e=pJo8IT" xr:uid="{CC3265F0-3734-4B66-AD6A-56F951B8B453}"/>
    <hyperlink ref="U636" r:id="rId137" display="../../../../../../:b:/r/teams/CTM-OTGentStad/Shared Documents/General/EAF/CSI(nieuwe sharepoint) 2025/4. April/EAF 6324 Zwijnaardsesteenweg Gent 02.04.2025 Reginald Praet 17566.pdf?csf=1&amp;web=1&amp;e=hBUc3S" xr:uid="{990B2EA0-4C92-4CAC-ACA4-B876FD675773}"/>
    <hyperlink ref="U640" r:id="rId138" display="../../../../../../:b:/r/teams/CTM-OTGentStad/Shared Documents/General/EAF/CSI(nieuwe sharepoint) 2025/4. April/EAF 2198 Gent 04042025 32951 Sonia De Bruyne.pdf?csf=1&amp;web=1&amp;e=OwKi2s" xr:uid="{55B95E89-CCC0-4584-98C8-56EFAD27656B}"/>
    <hyperlink ref="U638" r:id="rId139" display="../../../../../../:b:/r/teams/CTM-OTGentStad/Shared Documents/General/EAF/CSI(nieuwe sharepoint) 2025/4. April/EAF 5046 Gent 03042025 38807 Caroline Dossche.pdf?csf=1&amp;web=1&amp;e=jHx1lm" xr:uid="{831F5785-5CA0-4648-92B6-50F15D29F5A1}"/>
    <hyperlink ref="U641" r:id="rId140" display="../../../../../../:b:/r/teams/CTM-OTGentStad/Shared Documents/General/EAF/CSI(nieuwe sharepoint) 2025/4. April/EAF 5766 Hoogstraat Gent 07042025.pdf?csf=1&amp;web=1&amp;e=GE90n4" xr:uid="{0DC2F3C1-C0FA-4A4F-9D90-6F689B815DE0}"/>
    <hyperlink ref="U639" r:id="rId141" display="../../../../../../:b:/r/teams/CTM-OTGentStad/Shared Documents/General/EAF/CSI(nieuwe sharepoint) 2025/4. April/EAF 2198 Deinze 04042025 40939 Cisse Sayon.pdf?csf=1&amp;web=1&amp;e=HfmvPV" xr:uid="{CAB4608C-2ABA-452D-9B7F-5116D98D85F6}"/>
    <hyperlink ref="U643" r:id="rId142" display="../../../../../../:b:/r/teams/CTM-OTGentStad/Shared Documents/General/EAF/CSI(nieuwe sharepoint) 2025/4. April/EAF 2197 Gent 09042025 39929 Mariyana Staneva.pdf?csf=1&amp;web=1&amp;e=Vttp01" xr:uid="{8468852A-5664-491D-9992-35987A609E2C}"/>
    <hyperlink ref="U646" r:id="rId143" display="../../../../../../:b:/r/teams/CTM-OTGentStad/Shared Documents/General/EAF/CSI(nieuwe sharepoint) 2025/4. April/EAF 6308 gent 09042025 25679 Serge Van Rentergem.pdf?csf=1&amp;web=1&amp;e=za7Sf2" xr:uid="{0717FED1-F0CF-4E71-AB5E-D86B12277C18}"/>
    <hyperlink ref="U642" r:id="rId144" display="../../../../../../:b:/r/teams/CTM-OTGentStad/Shared Documents/General/EAF/CSI(nieuwe sharepoint) 2025/4. April/EAF 08042025 6306 Gent Zouheir El Mezroui 35619.pdf?csf=1&amp;web=1&amp;e=lPWbfO" xr:uid="{DBE2D4D1-F3F3-4217-B129-3E4142763D1B}"/>
    <hyperlink ref="U712" r:id="rId145" display="../../../../../../:b:/r/teams/CTM-OTGentStad/Shared Documents/General/EAF/CSI(nieuwe sharepoint)2024/12. December/EAF 04122024 Ugur.pdf?csf=1&amp;web=1&amp;e=qdPAIb" xr:uid="{CB022626-A31F-436C-8A5F-3D6CF3501448}"/>
    <hyperlink ref="U644" r:id="rId146" display="../../../../../../:b:/r/teams/CTM-OTGentStad/Shared Documents/General/EAF/CSI(nieuwe sharepoint) 2025/4. April/EAF 5238 Gent 09042025 39358 Jimmy weeks Arcena.pdf?csf=1&amp;web=1&amp;e=cqosLV" xr:uid="{73C764C1-0484-4DA0-9B52-2507BE1D4C8F}"/>
    <hyperlink ref="U648" r:id="rId147" display="../../../../../../:b:/r/teams/CTM-OTGentStad/Shared Documents/General/EAF/CSI(nieuwe sharepoint) 2025/4. April/EAF 11042025 5238 Gent  Jaseeb Jalili 35645.pdf?csf=1&amp;web=1&amp;e=RLgwcS" xr:uid="{93E5EEEB-25F1-4209-93DE-0E6CAB7422C3}"/>
    <hyperlink ref="U650" r:id="rId148" display="../../../../../../:b:/r/teams/CTM-OTGentStad/Shared Documents/General/EAF/CSI(nieuwe sharepoint) 2025/4. April/EAF 12042025 5229 Gent  Philip Hach%C3%A9 36820.pdf?csf=1&amp;web=1&amp;e=Yei0fK" xr:uid="{4651F613-D1B3-4780-AE0A-155A4D18C80C}"/>
    <hyperlink ref="U649" r:id="rId149" display="../../../../../../:b:/r/teams/CTM-OTGentStad/Shared Documents/General/EAF/CSI(nieuwe sharepoint) 2025/4. April/EAF 6373 Gent - Brusselsesteenweg 11042025 De Weirdt Ronny 9158.pdf?csf=1&amp;web=1&amp;e=IuAyAi" xr:uid="{34B59BBD-E275-4E5F-A1C6-80E6842722B1}"/>
    <hyperlink ref="U645" r:id="rId150" display="../../../../../../:b:/r/teams/CTM-OTGentStad/Shared Documents/General/EAF/CSI(nieuwe sharepoint) 2025/4. April/EAF 5765 Gent Nieuwe Wandeling 09042025 Isa Simsek 38035.pdf?csf=1&amp;web=1&amp;e=hKAWsc" xr:uid="{39A67D6A-AFFE-4C0E-A51A-4B4730A1E109}"/>
    <hyperlink ref="U653" r:id="rId151" display="../../../../../../:b:/r/teams/CTM-OTGentStad/Shared Documents/General/EAF/CSI(nieuwe sharepoint) 2025/4. April/EAF 6357 gent Hundelgemsesteenweg 16-04-2025 Wulleput Illya 34445.pdf?csf=1&amp;web=1&amp;e=jpLotd" xr:uid="{30E1AFEC-1201-400D-A1A8-460CFF340D6D}"/>
    <hyperlink ref="U651" r:id="rId152" display="../../../../../../:b:/r/teams/CTM-OTGentStad/Shared Documents/General/EAF/CSI(nieuwe sharepoint) 2025/4. April/EAF 6329 Gent Muidebrug 12-04-2025 Simsek Abdullah 25733.pdf?csf=1&amp;web=1&amp;e=Uv1vjf" xr:uid="{C9A88CC2-9990-4B63-A335-0E95A0AEFDD8}"/>
    <hyperlink ref="U652" r:id="rId153" display="../../../../../../:b:/r/teams/CTM-OTGentStad/Shared Documents/General/EAF/CSI(nieuwe sharepoint) 2025/4. April/EAF 5767 Noordstraat Gent 15.05.2025 Mahmoud Fakash 40443.pdf?csf=1&amp;web=1&amp;e=X844NG" xr:uid="{68CD3651-31C8-4878-8795-667846B3A02B}"/>
    <hyperlink ref="U723" r:id="rId154" display="../../../../../../:b:/r/teams/CTM-OTGentStad/Shared Documents/General/EAF/CSI(nieuwe sharepoint) 2025/4. April/EAF 5235 Arsenaal 16042025 Christof Byosi%C3%A8re.pdf?csf=1&amp;web=1&amp;e=pMhFi6" xr:uid="{D9F35CB4-28C2-4352-8CA9-5BD76BF7C3CF}"/>
    <hyperlink ref="U656" r:id="rId155" display="../../../../../../:b:/r/teams/CTM-OTGentStad/Shared Documents/General/EAF/CSI(nieuwe sharepoint) 2025/4. April/EAF 6305 GENT 18042025 21582 Patrick De Grom.pdf?csf=1&amp;web=1&amp;e=pAMbDe" xr:uid="{622AA24F-6BFC-4BEF-B106-14CC16EB7519}"/>
    <hyperlink ref="U662" r:id="rId156" display="../../../../../../:b:/r/teams/CTM-OTGentStad/Shared Documents/General/EAF/CSI(nieuwe sharepoint) 2025/4. April/EAF 7897 GENT 22042025 41588 Naessens Yves.pdf?csf=1&amp;web=1&amp;e=c6KW1m" xr:uid="{CB359C38-43F4-4918-A7A7-79D94031893A}"/>
    <hyperlink ref="U654" r:id="rId157" display="../../../../../../:b:/r/teams/CTM-OTGentStad/Shared Documents/General/EAF/CSI(nieuwe sharepoint) 2025/4. April/EAF 5325 Baarle Dorp 18042025.pdf?csf=1&amp;web=1&amp;e=OBWyM3" xr:uid="{DA4D7010-527D-4965-8826-D22E04D533FB}"/>
    <hyperlink ref="U659" r:id="rId158" display="../../../../../../:b:/r/teams/CTM-OTGentStad/Shared Documents/General/EAF/CSI(nieuwe sharepoint) 2025/4. April/EAF 5918 E17 19042025.pdf?csf=1&amp;web=1&amp;e=ddXFRF" xr:uid="{281284E4-187F-4E5A-93CB-D0EA9CCB2D6D}"/>
    <hyperlink ref="U661" r:id="rId159" display="../../../../../../:b:/r/teams/CTM-OTGentStad/Shared Documents/General/EAF/CSI(nieuwe sharepoint) 2025/4. April/EAF 5772 Gent 220425 401478 Hashimi.pdf?csf=1&amp;web=1&amp;e=pSmOVh" xr:uid="{BD98FC81-8681-4E28-806F-D81B65A3DD1F}"/>
    <hyperlink ref="U658" r:id="rId160" display="../../../../../../:b:/r/teams/CTM-OTGentStad/Shared Documents/General/EAF/CSI(nieuwe sharepoint) 2025/4. April/EAF 2197 Gent 19042025 40110 Sandra Vanlerberghe.pdf?csf=1&amp;web=1&amp;e=lKsXRJ" xr:uid="{93065FD1-6315-40DB-A2AE-E72E69AD8F4C}"/>
    <hyperlink ref="U665" r:id="rId161" display="../../../../../../:b:/r/teams/CTM-OTGentStad/Shared Documents/General/EAF/CSI(nieuwe sharepoint) 2025/4. April/EAF 5933 Gent Verenigde Natieslaan 24-4-25 Katleen Verschraegen.pdf?csf=1&amp;web=1&amp;e=W4WgbW" xr:uid="{A262538C-BED7-4CB1-9258-0CCE19EEAA80}"/>
    <hyperlink ref="U647" r:id="rId162" display="../../../../../../:b:/r/teams/CTM-OTGentStad/Shared Documents/General/EAF/CSI(nieuwe sharepoint) 2025/4. April/EAF 10042025 6364 Gent Mathyn Eid 34325.pdf?csf=1&amp;web=1&amp;e=tv0xVJ" xr:uid="{605A6788-E91B-4EFC-BA3A-5E0A7FE6343E}"/>
    <hyperlink ref="U663" r:id="rId163" display="../../../../../../:b:/r/teams/CTM-OTGentStad/Shared Documents/General/EAF/CSI(nieuwe sharepoint) 2025/4. April/EAF 6320 Gent 23042025 37132 Esmir.pdf?csf=1&amp;web=1&amp;e=8ZGw7K" xr:uid="{C0710D01-0C74-411E-9A58-A21824D603B9}"/>
    <hyperlink ref="U660" r:id="rId164" display="../../../../../../:b:/r/teams/CTM-OTGentStad/Shared Documents/General/EAF/CSI(nieuwe sharepoint) 2025/4. April/EAF 5919 Gent 19042025 41520 Avery Smets.pdf?csf=1&amp;web=1&amp;e=FMnrwt" xr:uid="{0D75DF1A-E2F5-4D56-8D77-2992E705043A}"/>
    <hyperlink ref="U664" r:id="rId165" display="../../../../../../:b:/r/teams/CTM-OTGentStad/Shared Documents/General/EAF/CSI(nieuwe sharepoint) 2025/4. April/EAF 5917 Gent 24042025 33965 Van De Gehuchte Gilles.pdf?csf=1&amp;web=1&amp;e=sFGscw" xr:uid="{0DD0C807-C323-4D03-ABB8-DAABFD9A982C}"/>
    <hyperlink ref="U655" r:id="rId166" display="../../../../../../:b:/r/teams/CTM-OTGentStad/Shared Documents/General/EAF/CSI(nieuwe sharepoint) 2025/4. April/EAF 5910 Gent 18042025 41230 Bart De witte.pdf?csf=1&amp;web=1&amp;e=9PgaMv" xr:uid="{DBBD8C8A-1B9F-4718-B3B9-153E4BB7A87B}"/>
    <hyperlink ref="U666" r:id="rId167" display="../../../../../../:b:/r/teams/CTM-OTGentStad/Shared Documents/General/EAF/CSI(nieuwe sharepoint) 2025/4. April/EAF 8232 Brusselsesteenweg Gentbrugge 24.04.2025 Herkat Mohammed 41605.pdf?csf=1&amp;web=1&amp;e=mlR4mg" xr:uid="{44CAA571-71CA-4990-BB6B-D6E189D8F00A}"/>
    <hyperlink ref="U668" r:id="rId168" display="../../../../../../:b:/r/teams/CTM-OTGentStad/Shared Documents/General/EAF/CSI(nieuwe sharepoint) 2025/4. April/EAF 2208 Gent 28042025 40591 Mahmoud.pdf?csf=1&amp;web=1&amp;e=rNjEo3" xr:uid="{0BFBBE6B-F6E4-42DA-9A89-DAE76D3779FD}"/>
    <hyperlink ref="U667" r:id="rId169" display="../../../../../../:b:/r/teams/CTM-OTGentStad/Shared Documents/General/EAF/CSI(nieuwe sharepoint) 2025/4. April/EAF 2198 26042025 Gent 33085 Ivo Van Hoe.pdf?csf=1&amp;web=1&amp;e=IVkV32" xr:uid="{9CE26E2F-C6DC-47ED-BA61-83E5481D72EC}"/>
    <hyperlink ref="U670" r:id="rId170" display="../../../../../../:b:/r/teams/CTM-OTGentStad/Shared Documents/General/EAF/CSI(nieuwe sharepoint) 2025/4. April/EAF 5930 Gent 28042025 38475 Kathleen Verschraegen.pdf?csf=1&amp;web=1&amp;e=okaeLs" xr:uid="{4FD3F857-9834-49D7-AB22-BF20F210260A}"/>
    <hyperlink ref="U657" r:id="rId171" display="../../../../../../:b:/r/teams/CTM-OTGentStad/Shared Documents/General/EAF/CSI(nieuwe sharepoint) 2025/4. April/EAF 6339 Sint Salvatorstraat 18-04-2025 Sedighi Hamid 38938.pdf?csf=1&amp;web=1&amp;e=07bv7z" xr:uid="{719E84FA-3C42-4F9A-BA3A-680915201CC4}"/>
    <hyperlink ref="U728" r:id="rId172" display="../../../../../../:b:/r/teams/CTM-OTGentStad/Shared Documents/General/EAF/CSI(nieuwe sharepoint) 2025/4. April/EAF 6322 Gent 30042025 38740 Anthony Meskens.pdf?csf=1&amp;web=1&amp;e=SyduVe" xr:uid="{62C59BD3-9C8B-4B38-8BA2-AEE23FBF7F12}"/>
    <hyperlink ref="U673" r:id="rId173" display="../../../../../../:b:/r/teams/CTM-OTGentStad/Shared Documents/General/EAF/CSI(nieuwe sharepoint) 2025/4. April/EAF5054 Rooigemlaan 30042025 Michael Vandenberghe.pdf?csf=1&amp;web=1&amp;e=UggWDV" xr:uid="{10C1FF5C-F069-4AC9-A223-4A57B53DEE35}"/>
    <hyperlink ref="U672" r:id="rId174" display="../../../../../../:b:/r/teams/CTM-OTGentStad/Shared Documents/General/EAF/CSI(nieuwe sharepoint) 2025/4. April/EAF 5912 Meulesteedsesteenweg 30042025 Dorien De Keyser.pdf?csf=1&amp;web=1&amp;e=T0xayI" xr:uid="{F4E30168-3D51-42B3-BE8F-75386D00780B}"/>
    <hyperlink ref="U676" r:id="rId175" display="../../../../../../:b:/r/teams/CTM-OTGentStad/Shared Documents/General/EAF/CSI(nieuwe sharepoint) 2025/5. Mei/EAF 2208 Dampoort eigen bedding 05-05-2025 Steenbrugge Johan 4608.pdf?csf=1&amp;web=1&amp;e=HTezdX" xr:uid="{C14AE8C0-F37A-49EF-93A0-4F71A47C2B08}"/>
    <hyperlink ref="U540" r:id="rId176" display="../../../../../../../:b:/r/teams/CTM-OTGentStad/Shared Documents/General/EAF/CSI(nieuwe sharepoint) 2025/1. Januari/EAF 5922 Sanderuustraat 21012025 Henri Steurbaut.pdf?csf=1&amp;web=1&amp;e=SkYWTr" xr:uid="{91A79747-AF08-4BFD-9DB7-5C2495A93589}"/>
    <hyperlink ref="U678" r:id="rId177" display="../../../../../../:b:/r/teams/CTM-OTGentStad/Shared Documents/General/EAF/CSI(nieuwe sharepoint) 2025/5. Mei/EAF 5053 Gent 06052025 38731 Ben Samir Sidhom.pdf?csf=1&amp;web=1&amp;e=GUlShf" xr:uid="{DC6CBE1C-5C31-499A-9FC0-5036708B2B97}"/>
    <hyperlink ref="U671" r:id="rId178" display="../../../../../../:b:/r/teams/CTM-OTGentStad/Shared Documents/General/EAF/CSI(nieuwe sharepoint) 2025/4. April/EAF 6368 Edelsteenstraat 29042025.pdf?csf=1&amp;web=1&amp;e=VaHigG" xr:uid="{B8F5118C-938B-4408-8F9A-18D1C30335DE}"/>
    <hyperlink ref="U720" r:id="rId179" display="../../../../../../:b:/r/teams/CTM-OTGentStad/Shared Documents/General/EAF/CSI(nieuwe sharepoint) 2025/5. Mei/EAF 5044 Dampoort 06052025.pdf?csf=1&amp;web=1&amp;e=KTyUDv" xr:uid="{EC1D8566-2247-4BB6-B551-567CF0AD38D2}"/>
    <hyperlink ref="U718" r:id="rId180" display="../../../../../../:b:/r/teams/CTM-OTGentStad/Shared Documents/General/EAF/CSI(nieuwe sharepoint) 2025/5. Mei/EAF 4667 Gent Koning Albertlaan 05-05-2025 39633 Duyck Kimberly.pdf?csf=1&amp;web=1&amp;e=m7uD1p" xr:uid="{D92BBE6F-D4EE-4F39-92F4-EE8138DBBB60}"/>
    <hyperlink ref="U680" r:id="rId181" display="../../../../../../:b:/r/teams/CTM-OTGentStad/Shared Documents/General/EAF/CSI(nieuwe sharepoint) 2025/5. Mei/EAF 2196 Gentsesteenweg Deinze 07052025.pdf?csf=1&amp;web=1&amp;e=HRpbEN" xr:uid="{86523E34-8CDA-4F01-8CB6-D03E00692935}"/>
    <hyperlink ref="U675" r:id="rId182" display="../../../../../../:b:/r/teams/CTM-OTGentStad/Shared Documents/General/EAF/CSI(nieuwe sharepoint) 2025/5. Mei/EAF 2198 Voskenslaan 02052025.pdf?csf=1&amp;web=1&amp;e=JQU2ot" xr:uid="{ABE69FB6-64FF-482D-9C9D-B784C65842AE}"/>
    <hyperlink ref="U681" r:id="rId183" display="../../../../../../:b:/r/teams/CTM-OTGentStad/Shared Documents/General/EAF/CSI(nieuwe sharepoint) 2025/5. Mei/EAF 4678 Gent 09052025 38931 Sancak.pdf?csf=1&amp;web=1&amp;e=IvnNTK" xr:uid="{523DEC3D-FA25-405D-B068-8325F0F527C7}"/>
    <hyperlink ref="U684" r:id="rId184" display="../../../../../../:b:/r/teams/CTM-OTGentStad/Shared Documents/General/EAF/CSI(nieuwe sharepoint) 2025/5. Mei/EAF 5047 Einde Were Gent 11052025.pdf?csf=1&amp;web=1&amp;e=q55fGv" xr:uid="{04AFDDF9-03FB-49FB-9591-CBB58B8A7D36}"/>
    <hyperlink ref="U682" r:id="rId185" display="../../../../../../:b:/r/teams/CTM-OTGentStad/Shared Documents/General/EAF/CSI(nieuwe sharepoint) 2025/5. Mei/EAF 5048 Sint-Amandsberg Lijnmolenstraat 10-05-2025 Sandro Govaerts.pdf?csf=1&amp;web=1&amp;e=iQFa9l" xr:uid="{7F2FD90D-674A-4CD3-9D6B-354EA1729231}"/>
    <hyperlink ref="U685" r:id="rId186" display="../../../../../../:b:/r/teams/CTM-OTGentStad/Shared Documents/General/EAF/CSI(nieuwe sharepoint) 2025/5. Mei/EAF 5265 Gent 13052025.pdf?csf=1&amp;web=1&amp;e=wGhFqH" xr:uid="{CBB9D07F-6752-42BC-A0D5-94894C1BC49F}"/>
    <hyperlink ref="U733" r:id="rId187" display="../../../../../../:b:/r/teams/CTM-OTGentStad/Shared Documents/General/EAF/CSI(nieuwe sharepoint) 2025/4. April/EAF 6372 Gent 26042025 32002 Helmi Hasni.pdf?csf=1&amp;web=1&amp;e=zNuI0v" xr:uid="{09559C2F-F6AC-4EC1-B315-16F74F04AA2E}"/>
    <hyperlink ref="U674" r:id="rId188" display="../../../../../../:b:/r/teams/CTM-OTGentStad/Shared Documents/General/EAF/CSI(nieuwe sharepoint) 2025/5. Mei/EAF Gent 01052025 30967.pdf?csf=1&amp;web=1&amp;e=WyOgNA" xr:uid="{52A15D5F-180B-4E3D-A1DB-41696D6BAD6D}"/>
    <hyperlink ref="U677" r:id="rId189" display="../../../../../../:b:/r/teams/CTM-OTGentStad/Shared Documents/General/EAF/CSI(nieuwe sharepoint) 2025/5. Mei/EAF 6325 Gent 04052025 Gent 33965 Gilles van de Gehuchte.pdf?csf=1&amp;web=1&amp;e=Useogf" xr:uid="{59650C3F-37BC-41D4-B92B-D189E660492A}"/>
    <hyperlink ref="U714" r:id="rId190" display="../../../../../../:b:/r/teams/CTM-OTGentStad/Shared Documents/General/EAF/CSI(nieuwe sharepoint) 2025/4. April/EAF 2197 Gent 07042025.pdf?csf=1&amp;web=1&amp;e=1wA1rr" xr:uid="{F24BECB2-D818-4BEE-97B0-A140D5751F3F}"/>
    <hyperlink ref="U683" r:id="rId191" display="../../../../../../:b:/r/teams/CTM-OTGentStad/Shared Documents/General/EAF/CSI(nieuwe sharepoint) 2025/5. Mei/EAF10052025 6311 Gent  Veronique Criel 27672.pdf?csf=1&amp;web=1&amp;e=4lzI34" xr:uid="{D445878E-19B2-4CAA-996B-40D7872D7B14}"/>
    <hyperlink ref="U687" r:id="rId192" display="../../../../../../:b:/r/teams/CTM-OTGentStad/Shared Documents/General/EAF/CSI(nieuwe sharepoint) 2025/5. Mei/EAF 6367 Gent 15052025 36428 Abdi Shaiye.pdf?csf=1&amp;web=1&amp;e=M3kcRx" xr:uid="{AA918BD8-1FDD-45D0-9A92-68D83FD78150}"/>
    <hyperlink ref="U679" r:id="rId193" display="../../../../../../:b:/r/teams/CTM-OTGentStad/Shared Documents/General/EAF/CSI(nieuwe sharepoint) 2025/5. Mei/EAF Gent 06052025 40938 Nejmeddine Hasnaoui.pdf?csf=1&amp;web=1&amp;e=C97cEj" xr:uid="{19F6C3E3-BB9B-4B85-AF2A-3585DEAADED4}"/>
    <hyperlink ref="U669" r:id="rId194" display="../../../../../../:b:/r/teams/CTM-OTGentStad/Shared Documents/General/EAF/CSI(nieuwe sharepoint) 2025/4. April/EAF 5770 Gent 28042025 40134 Sharon Cardon.pdf?csf=1&amp;web=1&amp;e=M3EQgY" xr:uid="{02BD7ABA-DB07-41B7-B8B3-96BE73ADACE4}"/>
    <hyperlink ref="U689" r:id="rId195" display="../../../../../../:b:/r/teams/CTM-OTGentStad/Shared Documents/General/EAF/CSI(nieuwe sharepoint) 2025/5. Mei/EAF 5924 Gent 17052025 41230 Bart De Witte.pdf?csf=1&amp;web=1&amp;e=IMRgoH" xr:uid="{3EBE8504-A3B7-4300-8277-A754A89389F9}"/>
    <hyperlink ref="U690" r:id="rId196" display="../../../../../../:b:/r/teams/CTM-OTGentStad/Shared Documents/General/EAF/CSI(nieuwe sharepoint) 2025/5. Mei/EAF 2546 Gent 21052025 41710 Ghani Fazal.pdf?csf=1&amp;web=1&amp;e=Wk9HcY" xr:uid="{1D5F25E3-C01B-44D5-9A87-EB1E54C86044}"/>
    <hyperlink ref="U691" r:id="rId197" display="../../../../../../:b:/r/teams/CTM-OTGentStad/Shared Documents/General/EAF/CSI(nieuwe sharepoint) 2025/5. Mei/EAF 6333 Gent 21052025 38648  Emin.pdf?csf=1&amp;web=1&amp;e=bvfr9s" xr:uid="{8773D6E3-AEB0-496F-9578-CEF67B723484}"/>
    <hyperlink ref="U693" r:id="rId198" display="../../../../../../:b:/r/teams/CTM-OTGentStad/Shared Documents/General/EAF/CSI(nieuwe sharepoint) 2025/5. Mei/EAF 5928 Gent 23052025 41482.pdf?csf=1&amp;web=1&amp;e=v3ulSn" xr:uid="{E76D6731-749D-494C-84F6-16B4A66EEAF2}"/>
    <hyperlink ref="U692" r:id="rId199" display="../../../../../../:b:/r/teams/CTM-OTGentStad/Shared Documents/General/EAF/CSI(nieuwe sharepoint) 2025/5. Mei/EAF 8232 Lembergsesteenweg Merelbeke 22.05.2025 Hasan Salem 41671.pdf?csf=1&amp;web=1&amp;e=pOwbrm" xr:uid="{EFF762BE-81EA-41F5-A0C2-0F384596E7AA}"/>
    <hyperlink ref="U686" r:id="rId200" display="../../../../../../:b:/r/teams/CTM-OTGentStad/Shared Documents/General/EAF/CSI(nieuwe sharepoint) 2025/5. Mei/EAF 5231 Parking 2 stelplaats E-17 14.05.2025 Annicke Huyse 29746.pdf?csf=1&amp;web=1&amp;e=iK99mh" xr:uid="{09C9E935-862B-4C0F-AB70-E5682327E345}"/>
    <hyperlink ref="U696" r:id="rId201" display="../../../../../../:b:/r/teams/CTM-OTGentStad/Shared Documents/General/EAF/CSI(nieuwe sharepoint) 2025/5. Mei/EAF 6314 gent 26052025 36438.pdf?csf=1&amp;web=1&amp;e=UHNisa" xr:uid="{FAA157B9-C843-4E98-984A-083863126976}"/>
    <hyperlink ref="U725" r:id="rId202" display="../../../../../../:b:/r/teams/CTM-OTGentStad/Shared Documents/General/EAF/CSI(nieuwe sharepoint) 2025/5. Mei/EAF 5935 Gent 21052025 26960 Mossa Toubadie.pdf?csf=1&amp;web=1&amp;e=Wgg6qW" xr:uid="{12086F2D-BEEB-44E7-A7EB-3F817A74706B}"/>
    <hyperlink ref="U698" r:id="rId203" display="../../../../../../:b:/r/teams/CTM-OTGentStad/Shared Documents/General/EAF/CSI(nieuwe sharepoint) 2025/5. Mei/EAF 5630 Gent 29052025 40856.pdf?csf=1&amp;web=1&amp;e=JZClaW" xr:uid="{6C607B89-C26B-40C6-A9D3-023E8D376FA4}"/>
    <hyperlink ref="U700" r:id="rId204" display="../../../../../../:b:/r/teams/CTM-OTGentStad/Shared Documents/General/EAF/CSI(nieuwe sharepoint) 2025/5. Mei/EAF 6355 Gent 31052025 39927 Jordy Dewilde.pdf?csf=1&amp;web=1&amp;e=8wj3ZG" xr:uid="{8285D684-429B-4813-B2E3-0E105A892892}"/>
    <hyperlink ref="U701" r:id="rId205" display="../../../../../../:b:/r/teams/CTM-OTGentStad/Shared Documents/General/EAF/CSI(nieuwe sharepoint) 2025/6. Juni/EAF 5489 Gent 02062025 41384 Thimo Hillaert.pdf?csf=1&amp;web=1&amp;e=MR6m7A" xr:uid="{58F0370A-0A9A-4880-B7AF-7AD6FDCC2E6E}"/>
    <hyperlink ref="U63" r:id="rId206" display="../../../../../../:b:/r/teams/CTM-OTGentStad/Shared Documents/General/EAF/CSI(nieuwe sharepoint)2024/EAF  5229 Rabot 17022024.pdf?csf=1&amp;web=1&amp;e=QUxajH" xr:uid="{B4180AB7-A400-47AD-8C9B-C2EDF97A862F}"/>
    <hyperlink ref="U338" r:id="rId207" display="../../../../../../:b:/r/teams/CTM-OTGentStad/Shared Documents/General/EAF/CSI(nieuwe sharepoint)2024/EAF 2195 Gent 01092024.pdf?csf=1&amp;web=1&amp;e=25nO3B" xr:uid="{2E366246-A9E3-4E65-A21A-4C06D853A66B}"/>
    <hyperlink ref="U482" r:id="rId208" display="../../../../../../:b:/r/teams/CTM-OTGentStad/Shared Documents/General/EAF/CSI(nieuwe sharepoint)2024/EAF 2195 Gent 07122024.pdf?csf=1&amp;web=1&amp;e=MnfQ3B" xr:uid="{AABF485B-931E-422B-9A83-00A02D56D258}"/>
    <hyperlink ref="U392" r:id="rId209" display="../../../../../../:b:/r/teams/CTM-OTGentStad/Shared Documents/General/EAF/CSI(nieuwe sharepoint)2024/EAF 2195 Gent 08102024.pdf?csf=1&amp;web=1&amp;e=O9N5JS" xr:uid="{B4FB6BA7-97F5-49AC-9711-B0532DB4EA99}"/>
    <hyperlink ref="U512" r:id="rId210" display="../../../../../../:b:/r/teams/CTM-OTGentStad/Shared Documents/General/EAF/CSI(nieuwe sharepoint)2024/EAF 2195 Ledebergplein Ledeberg 30.12.2024.pdf?csf=1&amp;web=1&amp;e=GzZaFP" xr:uid="{2C42BA70-5FCB-4CE3-8EE5-3B286D160B8F}"/>
    <hyperlink ref="U326" r:id="rId211" display="../../../../../../:b:/r/teams/CTM-OTGentStad/Shared Documents/General/EAF/CSI(nieuwe sharepoint)2024/EAF 2196 Brusselsesteenweg Gentbrugge 19082024.pdf?csf=1&amp;web=1&amp;e=10X8vL" xr:uid="{A929ABE0-EC8A-48A6-B941-295E656B2572}"/>
    <hyperlink ref="U474" r:id="rId212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13" display="../../../../../../:b:/r/teams/CTM-OTGentStad/Shared Documents/General/EAF/CSI(nieuwe sharepoint)2024/EAF 2196 Gent 05032024.pdf?csf=1&amp;web=1&amp;e=EIJBgo" xr:uid="{90156A50-D0E9-44C9-A10D-40FA17C9B19A}"/>
    <hyperlink ref="U102" r:id="rId214" display="../../../../../../:b:/r/teams/CTM-OTGentStad/Shared Documents/General/EAF/CSI(nieuwe sharepoint)2024/EAF 2196 Gent 12032024.pdf?csf=1&amp;web=1&amp;e=cN6naC" xr:uid="{DB171F03-9BC8-4BA2-871D-5D25CDF42499}"/>
    <hyperlink ref="U79" r:id="rId215" display="../../../../../../:b:/r/teams/CTM-OTGentStad/Shared Documents/General/EAF/CSI(nieuwe sharepoint)2024/EAF 2196 Gent 29022024.pdf?csf=1&amp;web=1&amp;e=GQSZCM" xr:uid="{4A4D7A44-3347-41F0-8F10-650B8D3C2427}"/>
    <hyperlink ref="U38" r:id="rId216" display="../../../../../../:b:/r/teams/CTM-OTGentStad/Shared Documents/General/EAF/CSI(nieuwe sharepoint)2024/EAF 2196 Gentbrugge 31012024.pdf?csf=1&amp;web=1&amp;e=d1oG1t" xr:uid="{5B35D89C-A150-4C53-BE1F-F0A17C554A35}"/>
    <hyperlink ref="U448" r:id="rId217" display="../../../../../../:b:/r/teams/CTM-OTGentStad/Shared Documents/General/EAF/CSI(nieuwe sharepoint)2024/EAF 2197 Bevrijdingslaan Gent 14112024.pdf?csf=1&amp;web=1&amp;e=fb8Ldo" xr:uid="{E5F931FF-9695-4EE2-A837-A40CEAA8165F}"/>
    <hyperlink ref="U263" r:id="rId218" display="../../../../../../:b:/r/teams/CTM-OTGentStad/Shared Documents/General/EAF/CSI(nieuwe sharepoint)2024/EAF 2197 Blaisantvest Gent 25062024.pdf?csf=1&amp;web=1&amp;e=z1RwKQ" xr:uid="{6934A06B-9142-4FF9-96B3-1CE9E108BFF2}"/>
    <hyperlink ref="U120" r:id="rId219" display="../../../../../../:b:/r/teams/CTM-OTGentStad/Shared Documents/General/EAF/CSI(nieuwe sharepoint)2024/EAF 2198 Destelbergen 22032024.pdf?csf=1&amp;web=1&amp;e=yEPfdX" xr:uid="{FF751939-C669-4E18-83B0-79ACC08399F5}"/>
    <hyperlink ref="U68" r:id="rId220" display="../../../../../../:b:/r/teams/CTM-OTGentStad/Shared Documents/General/EAF/CSI(nieuwe sharepoint)2024/EAF 2198 Gent 20022024.pdf?csf=1&amp;web=1&amp;e=eSmhav" xr:uid="{CEC7951E-46AD-46F9-853A-CD9DF280D5B6}"/>
    <hyperlink ref="U376" r:id="rId221" display="../../../../../../:b:/r/teams/CTM-OTGentStad/Shared Documents/General/EAF/CSI(nieuwe sharepoint)2024/EAF 2198 Gent 23092024 Vandenhaute Linus.pdf?csf=1&amp;web=1&amp;e=E9UV3v" xr:uid="{83235E30-8E18-428A-B198-4D2411FF8DA8}"/>
    <hyperlink ref="U74" r:id="rId222" display="../../../../../../:b:/r/teams/CTM-OTGentStad/Shared Documents/General/EAF/CSI(nieuwe sharepoint)2024/EAF 2199 Brugsepoort 23022024.pdf?csf=1&amp;web=1&amp;e=ked6Ze" xr:uid="{EA83E9A5-19F8-4C77-A573-38986FEF4E07}"/>
    <hyperlink ref="U83" r:id="rId223" display="../../../../../../:b:/r/teams/CTM-OTGentStad/Shared Documents/General/EAF/CSI(nieuwe sharepoint)2024/EAF 2200 Brugsepoortstraat 01032024.pdf?csf=1&amp;web=1&amp;e=nwbPYd" xr:uid="{26370D2C-B489-4982-8CBB-61A5637FF203}"/>
    <hyperlink ref="U47" r:id="rId224" display="../../../../../../:b:/r/teams/CTM-OTGentStad/Shared Documents/General/EAF/CSI(nieuwe sharepoint)2024/EAF 2200 Gent 04022024.pdf?csf=1&amp;web=1&amp;e=iDFIyx" xr:uid="{4D149DE9-FFA3-4DC9-8BCC-D8244B34CF01}"/>
    <hyperlink ref="U265" r:id="rId225" display="../../../../../../:b:/r/teams/CTM-OTGentStad/Shared Documents/General/EAF/CSI(nieuwe sharepoint)2024/EAF 2200 Gent 26062024.pdf?csf=1&amp;web=1&amp;e=MDRG2e" xr:uid="{A71B7548-4994-4F69-85C3-56512F0913CF}"/>
    <hyperlink ref="U417" r:id="rId226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227" display="../../../../../../:b:/r/teams/CTM-OTGentStad/Shared Documents/General/EAF/CSI(nieuwe sharepoint)2024/EAF 2201 Gent 22032024.pdf?csf=1&amp;web=1&amp;e=Amq7wG" xr:uid="{236041F7-A030-4424-BDCA-F973BBBF56A7}"/>
    <hyperlink ref="U226" r:id="rId228" display="../../../../../../:b:/r/teams/CTM-OTGentStad/Shared Documents/General/EAF/CSI(nieuwe sharepoint)2024/EAF 2201 Gentbrugge 02062024.pdf?csf=1&amp;web=1&amp;e=6GZuMz" xr:uid="{B6F4A4D4-8294-4AE9-B922-F56A5EFC9386}"/>
    <hyperlink ref="U88" r:id="rId229" display="../../../../../../:b:/r/teams/CTM-OTGentStad/Shared Documents/General/EAF/CSI(nieuwe sharepoint)2024/EAF 2201 Korenmarkt 02032024.pdf?csf=1&amp;web=1&amp;e=OitAvJ" xr:uid="{661959CD-E91D-4539-B962-09A71C8F29B4}"/>
    <hyperlink ref="U316" r:id="rId230" display="../../../../../../:b:/r/teams/CTM-OTGentStad/Shared Documents/General/EAF/CSI(nieuwe sharepoint)2024/EAF 2202 Gent 03082024 36512.pdf?csf=1&amp;web=1&amp;e=kQ9UZP" xr:uid="{B77391D1-DA1D-4D60-8EA6-17A140CCD076}"/>
    <hyperlink ref="U139" r:id="rId231" display="../../../../../../:b:/r/teams/CTM-OTGentStad/Shared Documents/General/EAF/CSI(nieuwe sharepoint)2024/EAF 2202 Kleine Schuurstraat 04042024.pdf?csf=1&amp;web=1&amp;e=dMVMY8" xr:uid="{A29AC82F-D61A-446C-9D0E-8E54827B0E90}"/>
    <hyperlink ref="U399" r:id="rId232" display="../../../../../../:b:/r/teams/CTM-OTGentStad/Shared Documents/General/EAF/CSI(nieuwe sharepoint)2024/EAF 2203 Sint-Gerolfstraat Drongen 12102024.pdf?csf=1&amp;web=1&amp;e=NC3rTr" xr:uid="{A17B3120-3DF3-41D6-AB40-AED0763029EF}"/>
    <hyperlink ref="U276" r:id="rId233" display="../../../../../../:b:/r/teams/CTM-OTGentStad/Shared Documents/General/EAF/CSI(nieuwe sharepoint)2024/EAF 2204 Gent 05072024.pdf?csf=1&amp;web=1&amp;e=dmUarL" xr:uid="{3EF9DC50-CEC5-4402-AC75-37D9A8ED455F}"/>
    <hyperlink ref="U119" r:id="rId234" display="../../../../../../:b:/r/teams/CTM-OTGentStad/Shared Documents/General/EAF/CSI(nieuwe sharepoint)2024/EAF 2204 Gent 21032024.pdf?csf=1&amp;web=1&amp;e=juWhWD" xr:uid="{6191E183-FDD5-4651-8942-BF8401BAA669}"/>
    <hyperlink ref="U115" r:id="rId235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7" r:id="rId236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237" display="../../../../../../:b:/r/teams/CTM-OTGentStad/Shared Documents/General/EAF/CSI(nieuwe sharepoint)2024/EAF 2205 Brugsepoort Gent 04052024.pdf?csf=1&amp;web=1&amp;e=BpqhvW" xr:uid="{4C0A9A84-6FF6-4C17-BADE-D62B43818262}"/>
    <hyperlink ref="U431" r:id="rId238" display="../../../../../../:b:/r/teams/CTM-OTGentStad/Shared Documents/General/EAF/CSI(nieuwe sharepoint)2024/EAF 2205 Gent 04112024.pdf?csf=1&amp;web=1&amp;e=aQ3br9" xr:uid="{E2CED5A5-87F3-4FBA-BA87-34468F28FF5A}"/>
    <hyperlink ref="U6" r:id="rId239" display="../../../../../../:b:/r/teams/CTM-OTGentStad/Shared Documents/General/EAF/CSI(nieuwe sharepoint)2024/EAF 2205 Gent 08012024.pdf?csf=1&amp;web=1&amp;e=ZSuauE" xr:uid="{A925E715-93A4-4D70-A1C6-0DB3E2A2151F}"/>
    <hyperlink ref="U401" r:id="rId240" display="../../../../../../:b:/r/teams/CTM-OTGentStad/Shared Documents/General/EAF/CSI(nieuwe sharepoint)2024/EAF 2205 Gent 14102024 Inge Dejonckheere.pdf?csf=1&amp;web=1&amp;e=wbghTc" xr:uid="{C8D9D8CE-0A44-4089-9652-A37D1E0B7558}"/>
    <hyperlink ref="U382" r:id="rId241" display="../../../../../../:b:/r/teams/CTM-OTGentStad/Shared Documents/General/EAF/CSI(nieuwe sharepoint)2024/EAF 2205 Gent 26092024 Hesters Sylvie.pdf?csf=1&amp;web=1&amp;e=Fqny5y" xr:uid="{67C47B24-095E-4B1B-9AA2-51A10E4838C3}"/>
    <hyperlink ref="U429" r:id="rId242" display="../../../../../../:b:/r/teams/CTM-OTGentStad/Shared Documents/General/EAF/CSI(nieuwe sharepoint)2024/EAF 2206 Drongen 02112024 Johan VDbulcke.pdf?csf=1&amp;web=1&amp;e=sr7PwO" xr:uid="{CAB5AA12-37DF-455F-8DDB-B786F3E09212}"/>
    <hyperlink ref="U98" r:id="rId243" display="../../../../../../:b:/r/teams/CTM-OTGentStad/Shared Documents/General/EAF/CSI(nieuwe sharepoint)2024/EAF 2207 Dampoort 08032024.pdf?csf=1&amp;web=1&amp;e=IQfrQ4" xr:uid="{C475BA45-8B6A-416F-8C57-5B92A11B8F61}"/>
    <hyperlink ref="U323" r:id="rId244" display="../../../../../../:b:/r/teams/CTM-OTGentStad/Shared Documents/General/EAF/CSI(nieuwe sharepoint)2024/EAF 2207 Dampoort 14082024.pdf?csf=1&amp;web=1&amp;e=uzPcCI" xr:uid="{5E5520F3-C982-46BF-BB96-F3D8F5185B42}"/>
    <hyperlink ref="U130" r:id="rId245" display="../../../../../../:b:/r/teams/CTM-OTGentStad/Shared Documents/General/EAF/CSI(nieuwe sharepoint)2024/EAF 2207 E17 26032024 De Bruyne Sonia.pdf?csf=1&amp;web=1&amp;e=10WiQd" xr:uid="{96A1398F-6FFA-43C9-9381-94D0549C5D53}"/>
    <hyperlink ref="U20" r:id="rId246" display="../../../../../../:b:/r/teams/CTM-OTGentStad/Shared Documents/General/EAF/CSI(nieuwe sharepoint)2024/EAF 2207 Gent 17012024.pdf?csf=1&amp;web=1&amp;e=9t4Fii" xr:uid="{213074A8-713D-4AE9-8A78-8D3C20C7A351}"/>
    <hyperlink ref="U262" r:id="rId247" display="../../../../../../:b:/r/teams/CTM-OTGentStad/Shared Documents/General/EAF/CSI(nieuwe sharepoint)2024/EAF 2207 Gent 24062024.pdf?csf=1&amp;web=1&amp;e=ASeGvq" xr:uid="{69DEB2B3-50E4-484F-95F8-A420E882DF61}"/>
    <hyperlink ref="U303" r:id="rId248" display="../../../../../../:b:/r/teams/CTM-OTGentStad/Shared Documents/General/EAF/CSI(nieuwe sharepoint)2024/EAF 2207 Gent 25072024.pdf?csf=1&amp;web=1&amp;e=09gg6T" xr:uid="{C3F8E8C3-BFB5-436A-AB88-73315943B78D}"/>
    <hyperlink ref="U71" r:id="rId249" display="../../../../../../:b:/r/teams/CTM-OTGentStad/Shared Documents/General/EAF/CSI(nieuwe sharepoint)2024/EAF 2207 Gent Kortrijksesteenweg 22012024.pdf?csf=1&amp;web=1&amp;e=CH2kKv" xr:uid="{FE2EE9EB-4CE8-4842-8BE1-78C267F62279}"/>
    <hyperlink ref="U215" r:id="rId250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251" display="../../../../../../:b:/r/teams/CTM-OTGentStad/Shared Documents/General/EAF/CSI(nieuwe sharepoint)2024/EAF 2207 Gent Sint Pieters 28112024 Sharon Cardon.pdf?csf=1&amp;web=1&amp;e=8eFdKP" xr:uid="{6378AF05-9DE7-4D27-B323-4375870DE11E}"/>
    <hyperlink ref="U207" r:id="rId252" display="../../../../../../:b:/r/teams/CTM-OTGentStad/Shared Documents/General/EAF/CSI(nieuwe sharepoint)2024/EAF 2207 Kortrijksesteenweg Gent 17052024.pdf?csf=1&amp;web=1&amp;e=cIeR9O" xr:uid="{CF711121-5465-40C6-B061-740F82036EA3}"/>
    <hyperlink ref="U418" r:id="rId253" display="../../../../../../:b:/r/teams/CTM-OTGentStad/Shared Documents/General/EAF/CSI(nieuwe sharepoint)2024/EAF 2207 Oostakker 24102024  Roos Hugo.pdf?csf=1&amp;web=1&amp;e=DGpjp2" xr:uid="{D8489008-6264-465B-A460-8F474A8CA382}"/>
    <hyperlink ref="U373" r:id="rId254" display="../../../../../../:b:/r/teams/CTM-OTGentStad/Shared Documents/General/EAF/CSI(nieuwe sharepoint)2024/EAF 2207 Oostakker Dorp 19092024.pdf?csf=1&amp;web=1&amp;e=UWS1Pk" xr:uid="{573952F3-DBE9-4F5C-BE85-6D20ED351E83}"/>
    <hyperlink ref="U702" r:id="rId255" display="../../../../../../:b:/r/teams/CTM-OTGentStad/Shared Documents/General/EAF/CSI(nieuwe sharepoint) 2025/6. Juni/EAF 5931 Gent 02062025 40036 Oguz Karakaya.pdf?csf=1&amp;web=1&amp;e=DATZOL" xr:uid="{25741265-B065-4402-909F-CC44E68CFB09}"/>
    <hyperlink ref="U39" r:id="rId256" display="../../../../../../:b:/r/teams/CTM-OTGentStad/Shared Documents/General/EAF/CSI(nieuwe sharepoint)2024/EAF 2208 Blaisantvest 31012024.pdf?csf=1&amp;web=1&amp;e=66eMgm" xr:uid="{EDF0B086-4096-4499-9B2B-4D49CB489BA3}"/>
    <hyperlink ref="U434" r:id="rId257" display="../../../../../../:b:/r/teams/CTM-OTGentStad/Shared Documents/General/EAF/CSI(nieuwe sharepoint)2024/EAF 2208 Gent 05112024.pdf?csf=1&amp;web=1&amp;e=TI1GO7" xr:uid="{346D789A-339B-4958-87E1-6561ADAC1E10}"/>
    <hyperlink ref="U208" r:id="rId258" display="../../../../../../:b:/r/teams/CTM-OTGentStad/Shared Documents/General/EAF/CSI(nieuwe sharepoint)2024/EAF 2208 Gent 21052024.pdf?csf=1&amp;web=1&amp;e=T5k9Cx" xr:uid="{0B392919-7127-4459-9ACF-ED20404FB329}"/>
    <hyperlink ref="U307" r:id="rId259" display="../../../../../../:b:/r/teams/CTM-OTGentStad/Shared Documents/General/EAF/CSI(nieuwe sharepoint)2024/EAF 2208 Gent 29072024.pdf?csf=1&amp;web=1&amp;e=VcIP6k" xr:uid="{15DA83F1-50C2-4FAE-A901-DFA2789FE9B1}"/>
    <hyperlink ref="U327" r:id="rId260" display="../../../../../../:b:/r/teams/CTM-OTGentStad/Shared Documents/General/EAF/CSI(nieuwe sharepoint)2024/EAF 2208 stelplaats E-17 19.08.2024.pdf?csf=1&amp;web=1&amp;e=GtdNiU" xr:uid="{A801C6CB-CD13-4E40-93D0-C0E4A18B8037}"/>
    <hyperlink ref="U435" r:id="rId261" display="../../../../../../:b:/r/teams/CTM-OTGentStad/Shared Documents/General/EAF/CSI(nieuwe sharepoint)2024/EAF 2546 Gent 06112024.pdf?csf=1&amp;web=1&amp;e=cWMjpe" xr:uid="{477A62E0-78FE-44F9-AA49-A022A9BC841C}"/>
    <hyperlink ref="U332" r:id="rId262" display="../../../../../../:b:/r/teams/CTM-OTGentStad/Shared Documents/General/EAF/CSI(nieuwe sharepoint)2024/EAF 2546 wondelgemstation 26082024 Mekdad Ali.pdf?csf=1&amp;web=1&amp;e=pgRgJ2" xr:uid="{B84A489A-797F-4AF9-8672-1F4731852169}"/>
    <hyperlink ref="U510" r:id="rId263" display="../../../../../../:b:/r/teams/CTM-OTGentStad/Shared Documents/General/EAF/CSI(nieuwe sharepoint)2024/EAF 2548 Gent 28122024.pdf?csf=1&amp;web=1&amp;e=zK5dZd" xr:uid="{85AE4104-460D-49C6-83E5-AB21C15D7CFB}"/>
    <hyperlink ref="U222" r:id="rId264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265" display="../../../../../../:b:/r/teams/CTM-OTGentStad/Shared Documents/General/EAF/CSI(nieuwe sharepoint)2024/EAF 2548 stelplaats Gentbrugge 11102024.pdf?csf=1&amp;web=1&amp;e=R0LOpr" xr:uid="{424A95DC-38A4-4725-BC44-292A55A71654}"/>
    <hyperlink ref="U407" r:id="rId266" display="../../../../../../:b:/r/teams/CTM-OTGentStad/Shared Documents/General/EAF/CSI(nieuwe sharepoint)2024/EAF 2548 Tolhuislaan 17.10.2024.pdf?csf=1&amp;web=1&amp;e=up7NZq" xr:uid="{024FAD3E-3E08-4BD7-96FF-042BACB13647}"/>
    <hyperlink ref="U99" r:id="rId267" display="../../../../../../:b:/r/teams/CTM-OTGentStad/Shared Documents/General/EAF/CSI(nieuwe sharepoint)2024/EAF 2549 08022024.pdf?csf=1&amp;web=1&amp;e=yX2pXM" xr:uid="{BD707E83-174D-4740-B201-A7E1164D28CB}"/>
    <hyperlink ref="U55" r:id="rId268" display="../../../../../../:b:/r/teams/CTM-OTGentStad/Shared Documents/General/EAF/CSI(nieuwe sharepoint)2024/EAF 2549 Gent 08022024.pdf?csf=1&amp;web=1&amp;e=nayJ8h" xr:uid="{F00FB837-15FF-4769-BE20-DDA656C3F864}"/>
    <hyperlink ref="U91" r:id="rId269" display="../../../../../../:b:/r/teams/CTM-OTGentStad/Shared Documents/General/EAF/CSI(nieuwe sharepoint)2024/EAF 4666 De Pintelaan 05032024 Duyck Kimberley.pdf?csf=1&amp;web=1&amp;e=4DKtbV" xr:uid="{C90AE292-F94C-4FD6-82F4-758F1A1A109F}"/>
    <hyperlink ref="U340" r:id="rId270" display="../../../../../../:b:/r/teams/CTM-OTGentStad/Shared Documents/General/EAF/CSI(nieuwe sharepoint)2024/EAF 4666 Ottergemsesteenweg Gent 03092024.pdf?csf=1&amp;web=1&amp;e=s9Ij6m" xr:uid="{18A50BDF-BD1A-4993-A899-0344F2719D8A}"/>
    <hyperlink ref="U156" r:id="rId271" display="../../../../../../:b:/r/teams/CTM-OTGentStad/Shared Documents/General/EAF/CSI(nieuwe sharepoint)2024/EAF 4678 Gent 17042024.pdf?csf=1&amp;web=1&amp;e=sIQOQu" xr:uid="{6F45FB09-66F6-48AD-8D10-14545D84E36D}"/>
    <hyperlink ref="U464" r:id="rId272" display="../../../../../../:b:/r/teams/CTM-OTGentStad/Shared Documents/General/EAF/CSI(nieuwe sharepoint)2024/EAF 4678 Gent 26112024.pdf?csf=1&amp;web=1&amp;e=WvmnW0" xr:uid="{3066308C-EEA5-4A4B-B15D-142BACA89E6D}"/>
    <hyperlink ref="U499" r:id="rId273" display="../../../../../../:b:/r/teams/CTM-OTGentStad/Shared Documents/General/EAF/CSI(nieuwe sharepoint)2024/EAF 5039 Oostakker 20122024.pdf?csf=1&amp;web=1&amp;e=GxSYyj" xr:uid="{11472B66-C184-4071-9D9C-93CA4F9AA4C6}"/>
    <hyperlink ref="U104" r:id="rId274" display="../../../../../../:b:/r/teams/CTM-OTGentStad/Shared Documents/General/EAF/CSI(nieuwe sharepoint)2024/EAF 5040 Dampoort 13032024.pdf?csf=1&amp;web=1&amp;e=D8AKad" xr:uid="{9EACD41D-3718-4C46-B381-8B0AF7E36345}"/>
    <hyperlink ref="U60" r:id="rId275" display="../../../../../../:b:/r/teams/CTM-OTGentStad/Shared Documents/General/EAF/CSI(nieuwe sharepoint)2024/EAF 5040 Gent 15022024.pdf?csf=1&amp;web=1&amp;e=RDY6Mt" xr:uid="{64E71FA1-8B7B-4BD8-AA4D-9543C132963C}"/>
    <hyperlink ref="U149" r:id="rId276" display="../../../../../../:b:/r/teams/CTM-OTGentStad/Shared Documents/General/EAF/CSI(nieuwe sharepoint)2024/EAF 5040 Heuvelpoort 11042024 Middernacht Andy.pdf?csf=1&amp;web=1&amp;e=uaT6ms" xr:uid="{83D9B1FB-3F77-4B46-B398-4DE0E3B08435}"/>
    <hyperlink ref="U252" r:id="rId277" display="../../../../../../:b:/r/teams/CTM-OTGentStad/Shared Documents/General/EAF/CSI(nieuwe sharepoint)2024/EAF 5040 Steendam Gent 15062024.pdf?csf=1&amp;web=1&amp;e=fGqMom" xr:uid="{824C5CEB-CF25-445F-8A81-F84E2C350AD0}"/>
    <hyperlink ref="U469" r:id="rId278" display="../../../../../../:b:/r/teams/CTM-OTGentStad/Shared Documents/General/EAF/CSI(nieuwe sharepoint)2024/EAF 5041 Dampoort 30112024 Sharon Cardon.pdf?csf=1&amp;web=1&amp;e=ekktSr" xr:uid="{0F57B737-8C6D-4B50-B78C-4873126A4414}"/>
    <hyperlink ref="U231" r:id="rId279" display="../../../../../../:b:/r/teams/CTM-OTGentStad/Shared Documents/General/EAF/CSI(nieuwe sharepoint)2024/EAf 5041 Gent 05062024.pdf?csf=1&amp;web=1&amp;e=JDP1Zg" xr:uid="{B6C0D64D-2E8C-4159-9362-2A8DF677A5FF}"/>
    <hyperlink ref="U368" r:id="rId280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281" display="../../../../../../:b:/r/teams/CTM-OTGentStad/Shared Documents/General/EAF/CSI(nieuwe sharepoint)2024/EAF 5042 Gent 25102024.pdf?csf=1&amp;web=1&amp;e=uJPXsP" xr:uid="{7E33B54D-BC54-4EC7-AA28-92C5A8378909}"/>
    <hyperlink ref="U330" r:id="rId282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283" display="../../../../../../:b:/r/teams/CTM-OTGentStad/Shared Documents/General/EAF/CSI(nieuwe sharepoint)2024/EAF 5043 gent oprit R4-N60 03122024 Smet Antoon.pdf?csf=1&amp;web=1&amp;e=B1dzvV" xr:uid="{4B203AC5-4F6C-4F98-ABE4-7B038ACD3F1D}"/>
    <hyperlink ref="U100" r:id="rId284" display="../../../../../../:b:/r/teams/CTM-OTGentStad/Shared Documents/General/EAF/CSI(nieuwe sharepoint)2024/EAF 5043 GSP 08032024 De Bruyne Sonia.pdf?csf=1&amp;web=1&amp;e=dD8i4V" xr:uid="{6D4E50B6-16EA-4F70-B325-4301D2910128}"/>
    <hyperlink ref="U51" r:id="rId285" display="../../../../../../:b:/r/teams/CTM-OTGentStad/Shared Documents/General/EAF/CSI(nieuwe sharepoint)2024/EAF 5044 Gent 05022024.pdf?csf=1&amp;web=1&amp;e=yey2sa" xr:uid="{194BA9E2-5B87-4648-92FD-C91A6AA98F76}"/>
    <hyperlink ref="U42" r:id="rId286" display="../../../../../../:b:/r/teams/CTM-OTGentStad/Shared Documents/General/EAF/CSI(nieuwe sharepoint)2024/EAF 5044 Gent deel 1.pdf?csf=1&amp;web=1&amp;e=IZggyy" xr:uid="{37D11D34-718C-4238-AFE7-431E55E64F9C}"/>
    <hyperlink ref="U336" r:id="rId287" display="../../../../../../:b:/r/teams/CTM-OTGentStad/Shared Documents/General/EAF/CSI(nieuwe sharepoint)2024/EAF 5044 Oostakker 31082024.pdf?csf=1&amp;web=1&amp;e=j9uLxZ" xr:uid="{4E05077D-CD21-402C-B3C9-5E4314A8A454}"/>
    <hyperlink ref="U283" r:id="rId288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289" display="../../../../../../:b:/r/teams/CTM-OTGentStad/Shared Documents/General/EAF/CSI(nieuwe sharepoint)2024/EAF 5045 Gent 12012024.pdf?csf=1&amp;web=1&amp;e=ivd5RU" xr:uid="{3A22C16C-607A-4FC2-8A8D-24743345E1B8}"/>
    <hyperlink ref="U495" r:id="rId290" display="../../../../../../:b:/r/teams/CTM-OTGentStad/Shared Documents/General/EAF/CSI(nieuwe sharepoint)2024/EAF 5045 Gent 17122024.pdf?csf=1&amp;web=1&amp;e=kzrcYs" xr:uid="{564B8D95-A97B-4623-99E6-3B4192928165}"/>
    <hyperlink ref="U76" r:id="rId291" display="../../../../../../:b:/r/teams/CTM-OTGentStad/Shared Documents/General/EAF/CSI(nieuwe sharepoint)2024/EAF 5045 Gent 28022024.pdf?csf=1&amp;web=1&amp;e=wvDOGb" xr:uid="{369E236B-8E52-4428-85B7-91A323A63F6D}"/>
    <hyperlink ref="U32" r:id="rId292" display="../../../../../../:b:/r/teams/CTM-OTGentStad/Shared Documents/General/EAF/CSI(nieuwe sharepoint)2024/EAF 5046 Oostakker 25012024.pdf?csf=1&amp;web=1&amp;e=vOY63e" xr:uid="{6E74240E-2337-46C7-B8D4-CC8E54D01985}"/>
    <hyperlink ref="U356" r:id="rId293" display="../../../../../../:b:/r/teams/CTM-OTGentStad/Shared Documents/General/EAF/CSI(nieuwe sharepoint)2024/EAF 5046 Sint-Bernadettestraat 24092024 Willy Oosterlinck.pdf?csf=1&amp;web=1&amp;e=ndR8eI" xr:uid="{A3546CDB-FDF9-4985-9DE5-E1652176332C}"/>
    <hyperlink ref="U274" r:id="rId294" display="../../../../../../:b:/r/teams/CTM-OTGentStad/Shared Documents/General/EAF/CSI(nieuwe sharepoint)2024/EAF 5047 Gent Sint-Pietersstation 04072024.pdf?csf=1&amp;web=1&amp;e=w3uplh" xr:uid="{DFFC8348-AD0F-4A2C-B31D-AC83FF60E3B2}"/>
    <hyperlink ref="U204" r:id="rId295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296" display="../../../../../../:b:/r/teams/CTM-OTGentStad/Shared Documents/General/EAF/CSI(nieuwe sharepoint)2024/EAF 5048 Brugsepoort 10012024.pdf?csf=1&amp;web=1&amp;e=efMJXy" xr:uid="{339F33FE-F791-408B-AE55-8342C40CB9F9}"/>
    <hyperlink ref="U462" r:id="rId297" display="../../../../../../:b:/r/teams/CTM-OTGentStad/Shared Documents/General/EAF/CSI(nieuwe sharepoint)2024/EAF 5048 Gent 23112024.pdf?csf=1&amp;web=1&amp;e=0ID7Th" xr:uid="{FE567F82-C048-49E2-938A-504FF18DC235}"/>
    <hyperlink ref="U141" r:id="rId298" display="../../../../../../:b:/r/teams/CTM-OTGentStad/Shared Documents/General/EAF/CSI(nieuwe sharepoint)2024/EAF 5048 Trollyloods Gentburgge 27042024.pdf?csf=1&amp;web=1&amp;e=l7s9op" xr:uid="{07E718B1-7EC4-4B38-B197-07A5B95843C2}"/>
    <hyperlink ref="U33" r:id="rId299" display="../../../../../../:b:/r/teams/CTM-OTGentStad/Shared Documents/General/EAF/CSI(nieuwe sharepoint)2024/EAF 5048 Zwijnaarde 25012024.pdf?csf=1&amp;web=1&amp;e=4uelUO" xr:uid="{89B485B8-75D3-4E72-AC08-A30631C9FE67}"/>
    <hyperlink ref="U290" r:id="rId300" display="../../../../../../:b:/r/teams/CTM-OTGentStad/Shared Documents/General/EAF/CSI(nieuwe sharepoint)2024/EAF 5049 Gent 13072024.pdf?csf=1&amp;web=1&amp;e=SsboXc" xr:uid="{4ADFF32A-5B91-4408-BBB8-BC8D8127379E}"/>
    <hyperlink ref="U10" r:id="rId301" display="../../../../../../:b:/r/teams/CTM-OTGentStad/Shared Documents/General/EAF/CSI(nieuwe sharepoint)2024/EAF 5049 Opgeeistlaan 11012024.pdf?csf=1&amp;web=1&amp;e=upU8ce" xr:uid="{970A9D7E-1DAC-4B35-B1D7-404FBB2700E6}"/>
    <hyperlink ref="U470" r:id="rId302" display="../../../../../../:b:/r/teams/CTM-OTGentStad/Shared Documents/General/EAF/CSI(nieuwe sharepoint)2024/EAF 5049 Trolleyloods Gentbrugge 30112024.pdf?csf=1&amp;web=1&amp;e=DDkLJB" xr:uid="{6E36E6AD-37BB-4F07-83C9-F80A39F38CF6}"/>
    <hyperlink ref="U101" r:id="rId303" display="../../../../../../:b:/r/teams/CTM-OTGentStad/Shared Documents/General/EAF/CSI(nieuwe sharepoint)2024/EAF 5050 Land van Waaslaan 09032024 Smet Antoon.pdf?csf=1&amp;web=1&amp;e=pBWhBR" xr:uid="{78B09EE1-963E-444F-95E9-4D07F6794479}"/>
    <hyperlink ref="U243" r:id="rId304" display="../../../../../../:b:/r/teams/CTM-OTGentStad/Shared Documents/General/EAF/CSI(nieuwe sharepoint)2024/EAF 5051 Gent 11062024.pdf?csf=1&amp;web=1&amp;e=lridOg" xr:uid="{F8C16BEA-33A4-43A1-8C9F-79DC2D51A4B3}"/>
    <hyperlink ref="U458" r:id="rId305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306" display="../../../../../../:b:/r/teams/CTM-OTGentStad/Shared Documents/General/EAF/CSI(nieuwe sharepoint)2024/EAF 5052 Gent 03092024.pdf?csf=1&amp;web=1&amp;e=j6GWuh" xr:uid="{684C05EF-CC93-4893-9326-FB1FC46BB253}"/>
    <hyperlink ref="U219" r:id="rId307" display="../../../../../../:b:/r/teams/CTM-OTGentStad/Shared Documents/General/EAF/CSI(nieuwe sharepoint)2024/EAF 5052 Gent 28052024.pdf?csf=1&amp;web=1&amp;e=wMFLOS" xr:uid="{5791140D-0988-44F6-A08D-F3FF696C698A}"/>
    <hyperlink ref="U378" r:id="rId308" display="../../../../../../:b:/r/teams/CTM-OTGentStad/Shared Documents/General/EAF/CSI(nieuwe sharepoint)2024/EAF 5052 Voskenslaan 24092024.pdf?csf=1&amp;web=1&amp;e=vLM2rs" xr:uid="{C48F1089-E222-47D9-AEBD-654E6EE58E73}"/>
    <hyperlink ref="U322" r:id="rId309" display="../../../../../../:b:/r/teams/CTM-OTGentStad/Shared Documents/General/EAF/CSI(nieuwe sharepoint)2024/EAF 5053  5272 Trollyloods Gentbrugge 11062024.pdf?csf=1&amp;web=1&amp;e=YXfgDM" xr:uid="{EC9997A5-5559-4569-81D5-0B999BB539C4}"/>
    <hyperlink ref="U142" r:id="rId310" display="../../../../../../:b:/r/teams/CTM-OTGentStad/Shared Documents/General/EAF/CSI(nieuwe sharepoint)2024/EAF 5053 Gent 07042024.pdf?csf=1&amp;web=1&amp;e=RjO14u" xr:uid="{DC6550E3-99CC-4FC8-A081-BB5F1C15BBF0}"/>
    <hyperlink ref="U306" r:id="rId311" display="../../../../../../:b:/r/teams/CTM-OTGentStad/Shared Documents/General/EAF/CSI(nieuwe sharepoint)2024/EAF 5053 Gent 27072024.pdf?csf=1&amp;web=1&amp;e=OiWWi6" xr:uid="{1282E241-D234-40F1-9C10-A3627664D753}"/>
    <hyperlink ref="U507" r:id="rId312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313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314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315" display="../../../../../../:b:/r/teams/CTM-OTGentStad/Shared Documents/General/EAF/CSI(nieuwe sharepoint)2024/EAF 5054 Gent 15112024.pdf?csf=1&amp;web=1&amp;e=20cD2D" xr:uid="{4C2A26BE-4D23-4B19-81DB-0FD1CB4EC899}"/>
    <hyperlink ref="U258" r:id="rId316" display="../../../../../../:b:/r/teams/CTM-OTGentStad/Shared Documents/General/EAF/CSI(nieuwe sharepoint)2024/EAF 5214 Gent 18062024.pdf?csf=1&amp;web=1&amp;e=ftFyER" xr:uid="{BEAA269B-10DF-4C60-A7E2-BA717F0C7BDF}"/>
    <hyperlink ref="U238" r:id="rId317" display="../../../../../../:b:/r/teams/CTM-OTGentStad/Shared Documents/General/EAF/CSI(nieuwe sharepoint)2024/EAF 5214 Gentbrugge 10062024.pdf?csf=1&amp;web=1&amp;e=ZkRs3H" xr:uid="{0EA5F3C5-3AF6-4C69-94EC-7F11B6A9E5D2}"/>
    <hyperlink ref="U195" r:id="rId318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319" display="../../../../../../:b:/r/teams/CTM-OTGentStad/Shared Documents/General/EAF/CSI(nieuwe sharepoint)2024/EAF 5219 Gent 07042024.pdf?csf=1&amp;web=1&amp;e=m4ESW6" xr:uid="{142430E9-C7DA-40A3-B64D-58AF211C0695}"/>
    <hyperlink ref="U162" r:id="rId320" display="../../../../../../:b:/r/teams/CTM-OTGentStad/Shared Documents/General/EAF/CSI(nieuwe sharepoint)2024/EAF 5229 Gent 19042024.pdf?csf=1&amp;web=1&amp;e=AhHiqm" xr:uid="{1B1C376D-E6C9-4990-BC36-F202F63CCD48}"/>
    <hyperlink ref="U415" r:id="rId321" display="../../../../../../:b:/r/teams/CTM-OTGentStad/Shared Documents/General/EAF/CSI(nieuwe sharepoint)2024/EAF 5229 Gent 23102024.pdf?csf=1&amp;web=1&amp;e=ESKx5N" xr:uid="{F16DA9F8-02C0-4D52-8B77-7B79EA874012}"/>
    <hyperlink ref="U196" r:id="rId322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323" display="../../../../../../:b:/r/teams/CTM-OTGentStad/Shared Documents/General/EAF/CSI(nieuwe sharepoint)2024/EAF 5230 Gent 28022024.pdf?csf=1&amp;web=1&amp;e=yDFaaM" xr:uid="{EC5A4AFA-661A-49EB-B968-2F1F560586E1}"/>
    <hyperlink ref="U493" r:id="rId324" display="../../../../../../:b:/r/teams/CTM-OTGentStad/Shared Documents/General/EAF/CSI(nieuwe sharepoint)2024/EAF 5230 Sint-Amandsberg  16122024.pdf?csf=1&amp;web=1&amp;e=ph7Ndy" xr:uid="{36E1F487-1A61-4764-8AF0-FBEC7960DDA7}"/>
    <hyperlink ref="U37" r:id="rId325" display="../../../../../../:b:/r/teams/CTM-OTGentStad/Shared Documents/General/EAF/CSI(nieuwe sharepoint)2024/EAF 5232 Gent 30012024.pdf?csf=1&amp;web=1&amp;e=rgbBDo" xr:uid="{872A0446-8C50-44C9-8112-444475A3004F}"/>
    <hyperlink ref="U351" r:id="rId326" display="../../../../../../:b:/r/teams/CTM-OTGentStad/Shared Documents/General/EAF/CSI(nieuwe sharepoint)2024/EAF 5233 Drongen 06092024.pdf?csf=1&amp;web=1&amp;e=GIoRc2" xr:uid="{F42AA0C2-BCEC-47BE-9D36-0777A3E629D3}"/>
    <hyperlink ref="U400" r:id="rId327" display="../../../../../../:b:/r/teams/CTM-OTGentStad/Shared Documents/General/EAF/CSI(nieuwe sharepoint)2024/EAF 5233 E17 13102024 Sahin Orhan.pdf?csf=1&amp;web=1&amp;e=LqDC9n" xr:uid="{4CE8DE9A-BE9D-4BAA-B603-1850CFBED817}"/>
    <hyperlink ref="U84" r:id="rId328" display="../../../../../../:b:/r/teams/CTM-OTGentStad/Shared Documents/General/EAF/CSI(nieuwe sharepoint)2024/EAF 5233 Drongsesteenweg 01032024.pdf?csf=1&amp;web=1&amp;e=f0bLD0" xr:uid="{15240598-88FB-48CB-AD07-399E0612C37E}"/>
    <hyperlink ref="U75" r:id="rId329" display="../../../../../../:b:/r/teams/CTM-OTGentStad/Shared Documents/General/EAF/CSI(nieuwe sharepoint)2024/EAF 5233 Wondelgem 27022024.pdf?csf=1&amp;web=1&amp;e=VUObQu" xr:uid="{CC06F139-05E8-4789-85CF-6148D0544C8C}"/>
    <hyperlink ref="U110" r:id="rId330" display="../../../../../../:b:/r/teams/CTM-OTGentStad/Shared Documents/General/EAF/CSI(nieuwe sharepoint)2024/EAF 5235 Gent 18032024.pdf?csf=1&amp;web=1&amp;e=aqQ2Fu" xr:uid="{FC818F25-B6C8-4218-8689-0C16F729D7E9}"/>
    <hyperlink ref="U80" r:id="rId331" display="../../../../../../:b:/r/teams/CTM-OTGentStad/Shared Documents/General/EAF/CSI(nieuwe sharepoint)2024/EAF 5235 Kouter Gent 29022024.pdf?csf=1&amp;web=1&amp;e=mb4LtY" xr:uid="{C6246465-6C1C-4B83-A73E-8D938327AD59}"/>
    <hyperlink ref="U144" r:id="rId332" display="../../../../../../:b:/r/teams/CTM-OTGentStad/Shared Documents/General/EAF/CSI(nieuwe sharepoint)2024/EAF 5236 Gent 08042024.pdf?csf=1&amp;web=1&amp;e=9TBxOY" xr:uid="{92F197F1-E1C8-4380-9DD3-E15ABF138817}"/>
    <hyperlink ref="U53" r:id="rId333" display="../../../../../../:b:/r/teams/CTM-OTGentStad/Shared Documents/General/EAF/CSI(nieuwe sharepoint)2024/EAF 5237 Begijnhoflaan 07022024.pdf?csf=1&amp;web=1&amp;e=uBdiuT" xr:uid="{57FEEE40-B95E-4D18-8CAC-5B696997F569}"/>
    <hyperlink ref="U147" r:id="rId334" display="../../../../../../:b:/r/teams/CTM-OTGentStad/Shared Documents/General/EAF/CSI(nieuwe sharepoint)2024/EAF 5237 Gent 09042024.pdf?csf=1&amp;web=1&amp;e=LzaWuc" xr:uid="{22BA3454-9282-42BF-9442-46E48BA1BBF5}"/>
    <hyperlink ref="U491" r:id="rId335" display="../../../../../../:b:/r/teams/CTM-OTGentStad/Shared Documents/General/EAF/CSI(nieuwe sharepoint)2024/EAF 5237 Nieuwe Wandeling Gent 14122024.pdf?csf=1&amp;web=1&amp;e=2ZG3Tn" xr:uid="{D898A5F8-8ED0-483E-902A-B9513D0393B9}"/>
    <hyperlink ref="U145" r:id="rId336" display="../../../../../../:b:/r/teams/CTM-OTGentStad/Shared Documents/General/EAF/CSI(nieuwe sharepoint)2024/EAF 5238 Brugsepoort Gent 08042024.pdf?csf=1&amp;web=1&amp;e=IkZZS2" xr:uid="{107AA107-4FF8-45A1-9801-901570F66CF6}"/>
    <hyperlink ref="U227" r:id="rId337" display="../../../../../../:b:/r/teams/CTM-OTGentStad/Shared Documents/General/EAF/CSI(nieuwe sharepoint)2024/EAF 5238 Dampoortstraat 02062024.pdf?csf=1&amp;web=1&amp;e=KplfVG" xr:uid="{82C3C673-B106-4861-A164-5A196C83972E}"/>
    <hyperlink ref="U441" r:id="rId338" display="../../../../../../:b:/r/teams/CTM-OTGentStad/Shared Documents/General/EAF/CSI(nieuwe sharepoint)2024/EAF 5239 Alfons Braeckmankaan 09112024 Willy Oosterlinck.pdf?csf=1&amp;web=1&amp;e=AKhNz8" xr:uid="{C35FBF20-0D28-4A87-92C1-DFFB7B663F08}"/>
    <hyperlink ref="U318" r:id="rId339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340" display="../../../../../../:b:/r/teams/CTM-OTGentStad/Shared Documents/General/EAF/CSI(nieuwe sharepoint)2024/EAF 5239 Dampoort Gent 28092024.pdf?csf=1&amp;web=1&amp;e=2ecVKf" xr:uid="{0F88B24E-E58A-404B-B81A-4AB15657A82B}"/>
    <hyperlink ref="U364" r:id="rId341" display="../../../../../../:b:/r/teams/CTM-OTGentStad/Shared Documents/General/EAF/CSI(nieuwe sharepoint)2024/EAF 5239 Gent 39929 Staneva mariyana 14092024.pdf?csf=1&amp;web=1&amp;e=hMWWGb" xr:uid="{686A188A-2DA7-4B83-B913-C23137E77163}"/>
    <hyperlink ref="U151" r:id="rId342" display="../../../../../../:b:/r/teams/CTM-OTGentStad/Shared Documents/General/EAF/CSI(nieuwe sharepoint)2024/EAF 5239 Gent Brugsepoortstraat 12042024.pdf?csf=1&amp;web=1&amp;e=kfYcDQ" xr:uid="{F101ABC3-319B-4F1C-B964-417DC607D610}"/>
    <hyperlink ref="U487" r:id="rId343" display="../../../../../../:b:/r/teams/CTM-OTGentStad/Shared Documents/General/EAF/CSI(nieuwe sharepoint)2024/EAF 5239 Ledeberg 12122024.pdf?csf=1&amp;web=1&amp;e=mdSGoo" xr:uid="{76C035DD-FA0C-4F7C-BC9E-47B244C46548}"/>
    <hyperlink ref="U343" r:id="rId344" display="../../../../../../:b:/r/teams/CTM-OTGentStad/Shared Documents/General/EAF/CSI(nieuwe sharepoint)2024/EAF 5240 Gent 03092024 Atilla Ayidil.pdf?csf=1&amp;web=1&amp;e=g4RcZR" xr:uid="{57BF8AC5-1EE1-48FF-9540-37C9F9E77AF5}"/>
    <hyperlink ref="U111" r:id="rId345" display="../../../../../../:b:/r/teams/CTM-OTGentStad/Shared Documents/General/EAF/CSI(nieuwe sharepoint)2024/EAF 5240 Gent 18032024.pdf?csf=1&amp;web=1&amp;e=6Fvho6" xr:uid="{9D5E120C-A866-44ED-B6DF-EB9789082281}"/>
    <hyperlink ref="U463" r:id="rId346" display="../../../../../../:b:/r/teams/CTM-OTGentStad/Shared Documents/General/EAF/CSI(nieuwe sharepoint)2024/EAF 5240 Gent 23112024.pdf?csf=1&amp;web=1&amp;e=xHFfD7" xr:uid="{B534E512-FB1C-4BFD-AFFE-60C50F72B9EB}"/>
    <hyperlink ref="U409" r:id="rId347" display="../../../../../../:b:/r/teams/CTM-OTGentStad/Shared Documents/General/EAF/CSI(nieuwe sharepoint)2024/EAF 5240 Hoogstraat Gent 19.10.2024.pdf?csf=1&amp;web=1&amp;e=iYJzsc" xr:uid="{46AC0B2D-F923-4170-8924-0C6990A9508E}"/>
    <hyperlink ref="U160" r:id="rId348" display="../../../../../../:b:/r/teams/CTM-OTGentStad/Shared Documents/General/EAF/CSI(nieuwe sharepoint)2024/EAF 5240 Koning Albertlaan Gent 18012024.pdf?csf=1&amp;web=1&amp;e=GwvnVk" xr:uid="{E96BA914-631F-4DD1-A2CD-235512895942}"/>
    <hyperlink ref="U367" r:id="rId349" display="../../../../../../:b:/r/teams/CTM-OTGentStad/Shared Documents/General/EAF/CSI(nieuwe sharepoint)2024/EAF 5240 Nieuwe Wandeling Gent 15092024.pdf?csf=1&amp;web=1&amp;e=ybJXsr" xr:uid="{82DF405D-D5D8-4B78-AE31-0D254885B5F9}"/>
    <hyperlink ref="U300" r:id="rId350" display="../../../../../../:b:/r/teams/CTM-OTGentStad/Shared Documents/General/EAF/CSI(nieuwe sharepoint)2024/EAF 5240 Nieuwebosstraat 52 Gent 24.07.2024.pdf?csf=1&amp;web=1&amp;e=rSy4pR" xr:uid="{A981F4A2-09BD-461A-AFB7-CC5C884FD674}"/>
    <hyperlink ref="U301" r:id="rId351" display="../../../../../../:b:/r/teams/CTM-OTGentStad/Shared Documents/General/EAF/CSI(nieuwe sharepoint)2024/EAF 5240 Sint Amandsberg 24012024.pdf?csf=1&amp;web=1&amp;e=zHuKrP" xr:uid="{11DA0475-1561-428F-9D96-D3A3BCB37EED}"/>
    <hyperlink ref="U64" r:id="rId352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353" display="../../../../../../:b:/r/teams/CTM-OTGentStad/Shared Documents/General/EAF/CSI(nieuwe sharepoint)2024/EAF 5241 Gent Neermeerkaai 24042024.pdf?csf=1&amp;web=1&amp;e=hXwGLz" xr:uid="{DD19F197-679B-47C0-BE93-1D3BA9C723E8}"/>
    <hyperlink ref="U478" r:id="rId354" display="../../../../../../:b:/r/teams/CTM-OTGentStad/Shared Documents/General/EAF/CSI(nieuwe sharepoint)2024/EAF 5241 Gentbrugge 04122024.pdf?csf=1&amp;web=1&amp;e=f5ThUQ" xr:uid="{7D310F5C-0361-4788-B63B-2A829813B77A}"/>
    <hyperlink ref="U410" r:id="rId355" display="../../../../../../:b:/r/teams/CTM-OTGentStad/Shared Documents/General/EAF/CSI(nieuwe sharepoint)2024/EAF 5258 Rooigemlaan Gent  19.10.2024.pdf?csf=1&amp;web=1&amp;e=wNw2xP" xr:uid="{629E6FBD-E70C-4299-B41D-38B33769A026}"/>
    <hyperlink ref="U369" r:id="rId356" display="../../../../../../:b:/r/teams/CTM-OTGentStad/Shared Documents/General/EAF/CSI(nieuwe sharepoint)2024/EAF 5259 Drongensesteenweg 16092024 Nohut Baki.pdf?csf=1&amp;web=1&amp;e=c6BSsH" xr:uid="{97F0F5B8-393F-473E-AE4A-47F56D84819B}"/>
    <hyperlink ref="U35" r:id="rId357" display="../../../../../../:b:/r/teams/CTM-OTGentStad/Shared Documents/General/EAF/CSI(nieuwe sharepoint)2024/EAF 5260 Gent 28012024.pdf?csf=1&amp;web=1&amp;e=5Sz9tz" xr:uid="{6EE06DA0-3107-4B76-B2A6-5B362B5D2DA6}"/>
    <hyperlink ref="U314" r:id="rId358" display="../../../../../../:b:/r/teams/CTM-OTGentStad/Shared Documents/General/EAF/CSI(nieuwe sharepoint)2024/EAF 5260 Gentbrugge 02082024.pdf?csf=1&amp;web=1&amp;e=LndmuV" xr:uid="{090568B8-35D5-41F6-AD4C-F6D3F5D2F30C}"/>
    <hyperlink ref="U209" r:id="rId359" display="../../../../../../:b:/r/teams/CTM-OTGentStad/Shared Documents/General/EAF/CSI(nieuwe sharepoint)2024/EAF 5260 Gentbrugge 21052024.pdf?csf=1&amp;web=1&amp;e=WUdDW0" xr:uid="{DA041EFD-D168-4AFF-8423-558D7A8198CD}"/>
    <hyperlink ref="U430" r:id="rId360" display="../../../../../../:b:/r/teams/CTM-OTGentStad/Shared Documents/General/EAF/CSI(nieuwe sharepoint)2024/EAF 5260 Groeningewijk Gentbrugge 02112024.pdf?csf=1&amp;web=1&amp;e=PFNT1e" xr:uid="{B67A3E86-BD7D-432F-ABA0-61F4041E7D9A}"/>
    <hyperlink ref="U452" r:id="rId361" display="../../../../../../:b:/r/teams/CTM-OTGentStad/Shared Documents/General/EAF/CSI(nieuwe sharepoint)2024/EAF 5260 Hoogstraat Gent 17072024.pdf?csf=1&amp;web=1&amp;e=0DYXJ9" xr:uid="{80D2D0B5-01F0-4FB6-9CC9-EC959F6F1C09}"/>
    <hyperlink ref="U483" r:id="rId362" display="../../../../../../:b:/r/teams/CTM-OTGentStad/Shared Documents/General/EAF/CSI(nieuwe sharepoint)2024/EAF 5261 Brugsepoort Gent 09122024.pdf?csf=1&amp;web=1&amp;e=2klFr2" xr:uid="{F7B4B502-E0D9-4986-AE5D-2F347AE41E9A}"/>
    <hyperlink ref="U170" r:id="rId363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364" display="../../../../../../:b:/r/teams/CTM-OTGentStad/Shared Documents/General/EAF/CSI(nieuwe sharepoint)2024/EAF 5261 Gent 02022024.pdf?csf=1&amp;web=1&amp;e=KQ3nxn" xr:uid="{0751FBF0-F200-4ED5-B5F1-0D2822456AF1}"/>
    <hyperlink ref="U348" r:id="rId365" display="../../../../../../:b:/r/teams/CTM-OTGentStad/Shared Documents/General/EAF/CSI(nieuwe sharepoint)2024/EAF 5261 Groeningewijk Gentbrugge 05092024.pdf?csf=1&amp;web=1&amp;e=Tu5tpk" xr:uid="{D1A4051F-D2BC-4C0C-81AE-1A3883EDE667}"/>
    <hyperlink ref="U92" r:id="rId366" display="../../../../../../:b:/r/teams/CTM-OTGentStad/Shared Documents/General/EAF/CSI(nieuwe sharepoint)2024/EAF 5262 Rooigemlaan 05032024 Uckuyulu Muhammet Emin.pdf?csf=1&amp;web=1&amp;e=DR3usW" xr:uid="{DBFAC93B-E557-4287-9E45-F2B6C0C1FBC6}"/>
    <hyperlink ref="U313" r:id="rId367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368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369" display="../../../../../../:b:/r/teams/CTM-OTGentStad/Shared Documents/General/EAF/CSI(nieuwe sharepoint)2024/EAF 5264 Gent 29012024.pdf?csf=1&amp;web=1&amp;e=pIPNJC" xr:uid="{3DF5E2C2-BF06-4246-87EB-CE2FE8673AF8}"/>
    <hyperlink ref="U349" r:id="rId370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371" display="../../../../../../:b:/r/teams/CTM-OTGentStad/Shared Documents/General/EAF/CSI(nieuwe sharepoint)2024/EAF 5265 Drongen 20012024.pdf?csf=1&amp;web=1&amp;e=zjZNH1" xr:uid="{5D8CB038-766F-4079-A253-9B24F16A0648}"/>
    <hyperlink ref="U292" r:id="rId372" display="../../../../../../:b:/r/teams/CTM-OTGentStad/Shared Documents/General/EAF/CSI(nieuwe sharepoint)2024/EAF 5265 Gent 17072024.pdf?csf=1&amp;web=1&amp;e=OFkISe" xr:uid="{7A74395B-63C5-4519-8F7C-B43378ABA3A3}"/>
    <hyperlink ref="U444" r:id="rId373" display="../../../../../../:b:/r/teams/CTM-OTGentStad/Shared Documents/General/EAF/CSI(nieuwe sharepoint)2024/EAF 5265 Gent Gentbruggestraat 12112024 Kartal Kadir.pdf?csf=1&amp;web=1&amp;e=yJcQ4r" xr:uid="{D6274123-0668-4C47-BBB2-6D240FB01567}"/>
    <hyperlink ref="U239" r:id="rId374" display="../../../../../../:b:/r/teams/CTM-OTGentStad/Shared Documents/General/EAF/CSI(nieuwe sharepoint)2024/EAF 5266 Gent Dampoort 10062024.pdf?csf=1&amp;web=1&amp;e=6j42Wr" xr:uid="{C50F2398-B4C7-4ECF-9CCB-0521DED21615}"/>
    <hyperlink ref="U93" r:id="rId375" display="../../../../../../:b:/r/teams/CTM-OTGentStad/Shared Documents/General/EAF/CSI(nieuwe sharepoint)2024/EAF 5266 Ledebergplein 05032024 Gilles vdGehuchte 33965.pdf?csf=1&amp;web=1&amp;e=Zl3vnq" xr:uid="{7FF61670-713A-4C83-8422-84E3F4DAB32A}"/>
    <hyperlink ref="U216" r:id="rId376" display="../../../../../../:b:/r/teams/CTM-OTGentStad/Shared Documents/General/EAF/CSI(nieuwe sharepoint)2024/EAF 5267 Dampoort 24052024.pdf?csf=1&amp;web=1&amp;e=IKXRT1" xr:uid="{D8883898-C0C3-40CC-8905-74816792152C}"/>
    <hyperlink ref="U9" r:id="rId377" display="../../../../../../:b:/r/teams/CTM-OTGentStad/Shared Documents/General/EAF/CSI(nieuwe sharepoint)2024/EAF 5267 Gent 10012024.pdf?csf=1&amp;web=1&amp;e=bPITiu" xr:uid="{4E6F5EB9-1AFF-4587-AE4C-5DA7ACD6281E}"/>
    <hyperlink ref="U370" r:id="rId378" display="../../../../../../:b:/r/teams/CTM-OTGentStad/Shared Documents/General/EAF/CSI(nieuwe sharepoint)2024/EAF 5267 Gentbrugge Groeningewijk 16092024 Legon Frederik.pdf?csf=1&amp;web=1&amp;e=wk4Etp" xr:uid="{C76FB57F-91AD-4C9B-BE06-73D8D05A9C28}"/>
    <hyperlink ref="U272" r:id="rId379" display="../../../../../../:b:/r/teams/CTM-OTGentStad/Shared Documents/General/EAF/CSI(nieuwe sharepoint)2024/EAF 5270 Afrit E17 op E40 08072024.pdf?csf=1&amp;web=1&amp;e=SC8SiN" xr:uid="{D601228B-287C-4D16-92E4-A755DDC32521}"/>
    <hyperlink ref="U113" r:id="rId380" display="../../../../../../:b:/r/teams/CTM-OTGentStad/Shared Documents/General/EAF/CSI(nieuwe sharepoint)2024/EAF 5272 Gent 19032024.pdf?csf=1&amp;web=1&amp;e=7WQ7o1" xr:uid="{B957B02F-263F-49B8-B2A8-F249018E5CEC}"/>
    <hyperlink ref="U293" r:id="rId381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382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383" display="../../../../../../:b:/r/teams/CTM-OTGentStad/Shared Documents/General/EAF/CSI(nieuwe sharepoint)2024/EAF 5273 Drongen 29022024.pdf?csf=1&amp;web=1&amp;e=Pwy5lm" xr:uid="{BB2EDCEC-E525-4266-A4C8-8AC6B34E4F60}"/>
    <hyperlink ref="U202" r:id="rId384" display="../../../../../../:b:/r/teams/CTM-OTGentStad/Shared Documents/General/EAF/CSI(nieuwe sharepoint)2024/EAF 5273 Gent 13052024.pdf?csf=1&amp;web=1&amp;e=bde5MQ" xr:uid="{5DB7283B-7F6F-424B-A9EA-972F12502937}"/>
    <hyperlink ref="U29" r:id="rId385" display="../../../../../../:b:/r/teams/CTM-OTGentStad/Shared Documents/General/EAF/CSI(nieuwe sharepoint)2024/EAF 5273 Gent 23012024.pdf?csf=1&amp;web=1&amp;e=zXlPrR" xr:uid="{59B18075-A3D7-40BB-8275-57AF7D3A7251}"/>
    <hyperlink ref="U357" r:id="rId386" display="../../../../../../:b:/r/teams/CTM-OTGentStad/Shared Documents/General/EAF/CSI(nieuwe sharepoint)2024/EAF 5273 Gentbrugge 08092024.pdf?csf=1&amp;web=1&amp;e=yFSCzw" xr:uid="{83123703-5206-4665-9670-638ED57D180D}"/>
    <hyperlink ref="U486" r:id="rId387" display="../../../../../../:b:/r/teams/CTM-OTGentStad/Shared Documents/General/EAF/CSI(nieuwe sharepoint)2024/EAF 5273 Hovernierstraat Ledeberg 10122024.pdf?csf=1&amp;web=1&amp;e=mVaACu" xr:uid="{B6D8AB26-89F9-4E1D-B7F7-2F14A228B65C}"/>
    <hyperlink ref="U270" r:id="rId388" display="../../../../../../:b:/r/teams/CTM-OTGentStad/Shared Documents/General/EAF/CSI(nieuwe sharepoint)2024/EAF 5273 Wondelgem 01072024.pdf?csf=1&amp;web=1&amp;e=l3AN29" xr:uid="{C6106ACC-3CEE-4584-BE4A-CB131F6D2EDC}"/>
    <hyperlink ref="U240" r:id="rId389" display="../../../../../../:b:/r/teams/CTM-OTGentStad/Shared Documents/General/EAF/CSI(nieuwe sharepoint)2024/EAF 5273 Wondelgem 10062024.pdf?csf=1&amp;web=1&amp;e=Dxn0VL" xr:uid="{F8200934-60BE-4DDA-8164-EBBE2852AF53}"/>
    <hyperlink ref="U488" r:id="rId390" display="../../../../../../:b:/r/teams/CTM-OTGentStad/Shared Documents/General/EAF/CSI(nieuwe sharepoint)2024/EAF 5276 Drongensesteenweg Gent 12122024.pdf?csf=1&amp;web=1&amp;e=ufckTu" xr:uid="{AFE55EA5-B19A-4EF5-95C8-E38FFA4E7FB3}"/>
    <hyperlink ref="U359" r:id="rId391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392" display="../../../../../../:b:/r/teams/CTM-OTGentStad/Shared Documents/General/EAF/CSI(nieuwe sharepoint)2024/EAF 5324 Martelaarslaan Gent 14.09.2024.pdf?csf=1&amp;web=1&amp;e=NMY58O" xr:uid="{80B084A7-BFFB-4BD7-B257-5656B6ABC759}"/>
    <hyperlink ref="U502" r:id="rId393" display="../../../../../../:b:/r/teams/CTM-OTGentStad/Shared Documents/General/EAF/CSI(nieuwe sharepoint)2024/EAF 5325 Drongen 21122024.pdf?csf=1&amp;web=1&amp;e=YQsH1N" xr:uid="{FE819C6A-CBB2-4A8F-A9CE-39A917EFC711}"/>
    <hyperlink ref="U62" r:id="rId394" display="../../../../../../:b:/r/teams/CTM-OTGentStad/Shared Documents/General/EAF/CSI(nieuwe sharepoint)2024/EAF 5326 Gent 16022024.pdf?csf=1&amp;web=1&amp;e=5ULpIl" xr:uid="{C39B2E04-3040-4444-8723-0242A8F29D67}"/>
    <hyperlink ref="U40" r:id="rId395" display="../../../../../../:b:/r/teams/CTM-OTGentStad/Shared Documents/General/EAF/CSI(nieuwe sharepoint)2024/EAF 5326 Gent 31012024.pdf?csf=1&amp;web=1&amp;e=i10RHa" xr:uid="{C3CA11C4-E758-484B-AAFA-71708436344D}"/>
    <hyperlink ref="U449" r:id="rId396" display="../../../../../../:b:/r/teams/CTM-OTGentStad/Shared Documents/General/EAF/CSI(nieuwe sharepoint)2024/EAF 5326 Gent 141122024.pdf?csf=1&amp;web=1&amp;e=yDV6ZW" xr:uid="{52138DDE-B010-4A88-A73C-8511E9CC5D84}"/>
    <hyperlink ref="U45" r:id="rId397" display="../../../../../../:b:/r/teams/CTM-OTGentStad/Shared Documents/General/EAF/CSI(nieuwe sharepoint)2024/EAF 5326 Gent Dampoort 03022024.pdf?csf=1&amp;web=1&amp;e=tGC44K" xr:uid="{0FA57C8A-55F0-49D0-8245-6DA39A492453}"/>
    <hyperlink ref="U224" r:id="rId398" display="../../../../../../:b:/r/teams/CTM-OTGentStad/Shared Documents/General/EAF/CSI(nieuwe sharepoint)2024/EAF 5326 Rooigemlaan Gent 30052024.pdf?csf=1&amp;web=1&amp;e=5AR7LW" xr:uid="{1F2AF07C-12EB-4380-BB14-F622D4D2E6B8}"/>
    <hyperlink ref="U232" r:id="rId399" display="../../../../../../:b:/r/teams/CTM-OTGentStad/Shared Documents/General/EAF/CSI(nieuwe sharepoint)2024/EAF 5327 05062024.pdf?csf=1&amp;web=1&amp;e=8mABkX" xr:uid="{71DB21F1-31E2-444E-85E3-7677E4B0468A}"/>
    <hyperlink ref="U198" r:id="rId400" display="../../../../../../:b:/r/teams/CTM-OTGentStad/Shared Documents/General/EAF/CSI(nieuwe sharepoint)2024/EAF 5327 Dampoort Gent 11052024.pdf?csf=1&amp;web=1&amp;e=2jmNbB" xr:uid="{214C7832-9A0B-4662-B595-1A5A7ED2DFB8}"/>
    <hyperlink ref="U103" r:id="rId401" display="../../../../../../:b:/r/teams/CTM-OTGentStad/Shared Documents/General/EAF/CSI(nieuwe sharepoint)2024/EAF 5327 Gent 12032024.pdf?csf=1&amp;web=1&amp;e=waZJbc" xr:uid="{4D4D7900-CDCB-460A-A010-9E850BDEE291}"/>
    <hyperlink ref="U236" r:id="rId402" display="../../../../../../:b:/r/teams/CTM-OTGentStad/Shared Documents/General/EAF/CSI(nieuwe sharepoint)2024/EAF 5327 Gent Fraterplein 07062024.pdf?csf=1&amp;web=1&amp;e=vVta9L" xr:uid="{3EC7782D-1782-4F70-8B1A-ABCDDD3BD6AC}"/>
    <hyperlink ref="U347" r:id="rId403" display="../../../../../../:b:/r/teams/CTM-OTGentStad/Shared Documents/General/EAF/CSI(nieuwe sharepoint)2024/EAF 5327 Ledeberg 04092024.pdf?csf=1&amp;web=1&amp;e=0wLizx" xr:uid="{6CEE7D51-D555-45A6-A445-463BC0E0D82D}"/>
    <hyperlink ref="U442" r:id="rId404" display="../../../../../../:b:/r/teams/CTM-OTGentStad/Shared Documents/General/EAF/CSI(nieuwe sharepoint)2024/EAF 5327 Morekstraat Wondelgem 09112024.pdf?csf=1&amp;web=1&amp;e=C5bi8b" xr:uid="{77D7CDF0-7819-4669-8E1C-541415AB7331}"/>
    <hyperlink ref="U26" r:id="rId405" display="../../../../../../:b:/r/teams/CTM-OTGentStad/Shared Documents/General/EAF/CSI(nieuwe sharepoint)2024/EAF 5327 Wondelgem 20012024.pdf?csf=1&amp;web=1&amp;e=iEEbE2" xr:uid="{D8EAF54B-EFB3-46A7-B40D-20A20504AB98}"/>
    <hyperlink ref="U344" r:id="rId406" display="../../../../../../:b:/r/teams/CTM-OTGentStad/Shared Documents/General/EAF/CSI(nieuwe sharepoint)2024/EAF 5328 Drieselstraat Gent 03.09.2024.pdf?csf=1&amp;web=1&amp;e=BvQsRY" xr:uid="{529A32D0-CADE-4CAD-80C4-675470E45984}"/>
    <hyperlink ref="U704" r:id="rId407" display="../../../../../../:b:/r/teams/CTM-OTGentStad/Shared Documents/General/EAF/CSI(nieuwe sharepoint) 2025/6. Juni/EAF 6356 Gent 03062025 36154 Sven Declercq.pdf?csf=1&amp;web=1&amp;e=RngxgJ" xr:uid="{B6C347D2-7A97-4C5B-872D-057BBC9C31EC}"/>
    <hyperlink ref="U245" r:id="rId408" display="../../../../../../:b:/r/teams/CTM-OTGentStad/Shared Documents/General/EAF/CSI(nieuwe sharepoint)2024/EAF 5328 Gent 12062024.pdf?csf=1&amp;web=1&amp;e=P4QFUM" xr:uid="{D0E3AE83-0764-4CD3-9361-5B1D1A2632C8}"/>
    <hyperlink ref="U41" r:id="rId409" display="../../../../../../:b:/r/teams/CTM-OTGentStad/Shared Documents/General/EAF/CSI(nieuwe sharepoint)2024/EAF 5359 Mariakerke 31012024.pdf?csf=1&amp;web=1&amp;e=8iHQYj" xr:uid="{FE6B3864-717F-483B-84F6-CC3013C4BDB8}"/>
    <hyperlink ref="U266" r:id="rId410" display="../../../../../../:b:/r/teams/CTM-OTGentStad/Shared Documents/General/EAF/CSI(nieuwe sharepoint)2024/EAF 5359 Snellaertplein 26062024.pdf?csf=1&amp;web=1&amp;e=EWYDi9" xr:uid="{2AB4268C-F3F7-4044-AE1A-8A70B3A3B8C0}"/>
    <hyperlink ref="U506" r:id="rId411" display="../../../../../../:b:/r/teams/CTM-OTGentStad/Shared Documents/General/EAF/CSI(nieuwe sharepoint)2024/EAF 5360 Brugsesteenweg Gent 23122024.pdf?csf=1&amp;web=1&amp;e=blDlCj" xr:uid="{E091A8BA-883A-4B1D-9DD4-EB049555215A}"/>
    <hyperlink ref="U197" r:id="rId412" display="../../../../../../:b:/r/teams/CTM-OTGentStad/Shared Documents/General/EAF/CSI(nieuwe sharepoint)2024/EAF 5360 Gent 08052024.pdf?csf=1&amp;web=1&amp;e=3Q9fBi" xr:uid="{E39EDF1F-A898-4440-BF78-D7511308A975}"/>
    <hyperlink ref="U299" r:id="rId413" display="../../../../../../:b:/r/teams/CTM-OTGentStad/Shared Documents/General/EAF/CSI(nieuwe sharepoint)2024/EAF 5360 Gent 27032024.pdf?csf=1&amp;web=1&amp;e=aJuojI" xr:uid="{F77C63FF-9FE3-4196-8D70-5ACDF398E60E}"/>
    <hyperlink ref="U433" r:id="rId414" display="../../../../../../:b:/r/teams/CTM-OTGentStad/Shared Documents/General/EAF/CSI(nieuwe sharepoint)2024/EAF 5360 Gent Mariakerke 04112024 Jessica Bral.pdf?csf=1&amp;web=1&amp;e=pm8Mo8" xr:uid="{ADC460CA-527A-44AA-A580-501D885AB814}"/>
    <hyperlink ref="U21" r:id="rId415" display="../../../../../../:b:/r/teams/CTM-OTGentStad/Shared Documents/General/EAF/CSI(nieuwe sharepoint)2024/EAF 5360 Hoogstraat Gent 17012024.pdf?csf=1&amp;web=1&amp;e=Dj3JtM" xr:uid="{CFB4E6F4-F0B8-4336-8AE7-5C28A756BDDE}"/>
    <hyperlink ref="U427" r:id="rId416" display="../../../../../../:b:/r/teams/CTM-OTGentStad/Shared Documents/General/EAF/CSI(nieuwe sharepoint)2024/EAF 5360 Nieuwe Wandeling Gent 30102024.pdf?csf=1&amp;web=1&amp;e=ddxbec" xr:uid="{1BBCCAD9-675C-47D7-99E7-3DF3B9BD3F25}"/>
    <hyperlink ref="U61" r:id="rId417" display="../../../../../../:b:/r/teams/CTM-OTGentStad/Shared Documents/General/EAF/CSI(nieuwe sharepoint)2024/EAF 5361 Gent 15022024.pdf?csf=1&amp;web=1&amp;e=kW90Jf" xr:uid="{1C53B007-E749-42F0-86CB-CAF5D1A3FD2D}"/>
    <hyperlink ref="U213" r:id="rId418" display="../../../../../../:b:/r/teams/CTM-OTGentStad/Shared Documents/General/EAF/CSI(nieuwe sharepoint)2024/EAF 5361 Gent 23052024.pdf?csf=1&amp;web=1&amp;e=esyHQm" xr:uid="{90C911D5-D98D-4DB6-B4AF-5B5A34837E8A}"/>
    <hyperlink ref="U273" r:id="rId419" display="../../../../../../:b:/r/teams/CTM-OTGentStad/Shared Documents/General/EAF/CSI(nieuwe sharepoint)2024/EAF 5361 Rabot 02072024.pdf?csf=1&amp;web=1&amp;e=EEwi0O" xr:uid="{35AE54F1-E757-4F2E-8CB7-F6A8416AC419}"/>
    <hyperlink ref="U34" r:id="rId420" display="../../../../../../:b:/r/teams/CTM-OTGentStad/Shared Documents/General/EAF/CSI(nieuwe sharepoint)2024/EAF 5365 Gent 26012024.pdf?csf=1&amp;web=1&amp;e=QN3O87" xr:uid="{435391C4-4389-4071-92C9-A93C6932EE1E}"/>
    <hyperlink ref="U176" r:id="rId421" display="../../../../../../:b:/r/teams/CTM-OTGentStad/Shared Documents/General/EAF/CSI(nieuwe sharepoint)2024/EAF 5367 Brugsepoort 29-4-24 Vanden Bulcke Johan.pdf?csf=1&amp;web=1&amp;e=HKghTH" xr:uid="{ADB55088-29A7-4B20-9AFD-C6A44166387B}"/>
    <hyperlink ref="U188" r:id="rId422" display="../../../../../../:b:/r/teams/CTM-OTGentStad/Shared Documents/General/EAF/CSI(nieuwe sharepoint)2024/EAF 5367 Gent 04052024.pdf?csf=1&amp;web=1&amp;e=YuScoI" xr:uid="{CDEF445E-C192-4EE4-9B67-CBAFE90C10D5}"/>
    <hyperlink ref="U234" r:id="rId423" display="../../../../../../:b:/r/teams/CTM-OTGentStad/Shared Documents/General/EAF/CSI(nieuwe sharepoint)2024/EAF 5367 Gent 06062024.pdf?csf=1&amp;web=1&amp;e=McAZGf" xr:uid="{8C2E3171-4D8E-4EDB-A828-2FCC0ABB6F5A}"/>
    <hyperlink ref="U413" r:id="rId424" display="../../../../../../:b:/r/teams/CTM-OTGentStad/Shared Documents/General/EAF/CSI(nieuwe sharepoint)2024/EAF 5367 Gent 22102024.pdf?csf=1&amp;web=1&amp;e=LVW3LL" xr:uid="{2BF9F1EC-295A-433E-BDDD-952C8C15BADB}"/>
    <hyperlink ref="U302" r:id="rId425" display="../../../../../../:b:/r/teams/CTM-OTGentStad/Shared Documents/General/EAF/CSI(nieuwe sharepoint)2024/EAF 5367 Gent 24072024.pdf?csf=1&amp;web=1&amp;e=ltsuHk" xr:uid="{E216F7A9-AF42-4982-BA22-C9E34FC263C7}"/>
    <hyperlink ref="U189" r:id="rId426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427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428" display="../../../../../../:b:/r/teams/CTM-OTGentStad/Shared Documents/General/EAF/CSI(nieuwe sharepoint)2024/EAF 5369 Gent 01042024.pdf?csf=1&amp;web=1&amp;e=xW5W74" xr:uid="{CC2F902B-0745-43EB-9123-B932862326AE}"/>
    <hyperlink ref="U44" r:id="rId429" display="../../../../../../:b:/r/teams/CTM-OTGentStad/Shared Documents/General/EAF/CSI(nieuwe sharepoint)2024/EAF 5369 Gent 02022024.pdf?csf=1&amp;web=1&amp;e=RwySmv" xr:uid="{9B9F6456-13C4-4144-A04B-9C11B22581F2}"/>
    <hyperlink ref="U358" r:id="rId430" display="../../../../../../:b:/r/teams/CTM-OTGentStad/Shared Documents/General/EAF/CSI(nieuwe sharepoint)2024/EAF 5369 Gent 09092024.pdf?csf=1&amp;web=1&amp;e=EKxThx" xr:uid="{BD0E99D5-6527-4A36-AC9C-FEAE888A9FC4}"/>
    <hyperlink ref="U269" r:id="rId431" display="../../../../../../:b:/r/teams/CTM-OTGentStad/Shared Documents/General/EAF/CSI(nieuwe sharepoint)2024/EAF 5369 GEnt 29062024.pdf?csf=1&amp;web=1&amp;e=5PTssr" xr:uid="{73AB86D2-9859-4FC4-9C68-95CB1B70A3FD}"/>
    <hyperlink ref="U109" r:id="rId432" display="../../../../../../:b:/r/teams/CTM-OTGentStad/Shared Documents/General/EAF/CSI(nieuwe sharepoint)2024/EAF 5372 Gent 14032024.pdf?csf=1&amp;web=1&amp;e=EtsYdB" xr:uid="{AE33083B-9039-4752-9D2A-FB363FAA767C}"/>
    <hyperlink ref="U163" r:id="rId433" display="../../../../../../:b:/r/teams/CTM-OTGentStad/Shared Documents/General/EAF/CSI(nieuwe sharepoint)2024/EAF 5372 Gent 19042024.pdf?csf=1&amp;web=1&amp;e=lGY92b" xr:uid="{2C5F34AB-2196-4289-8F4E-2E923D6E8426}"/>
    <hyperlink ref="U2" r:id="rId434" display="../../../../../../:b:/r/teams/CTM-OTGentStad/Shared Documents/General/EAF/CSI(nieuwe sharepoint)2024/EAF 5376 E17 05012024.pdf?csf=1&amp;web=1&amp;e=fDdhVf" xr:uid="{005C1CFD-602D-4819-8A76-5F1163DF83FA}"/>
    <hyperlink ref="U72" r:id="rId435" display="../../../../../../:b:/r/teams/CTM-OTGentStad/Shared Documents/General/EAF/CSI(nieuwe sharepoint)2024/EAF 5376 E17 22022024.pdf?csf=1&amp;web=1&amp;e=zECSLM" xr:uid="{6536CC7E-A956-4FD0-8134-39D8B145D6CE}"/>
    <hyperlink ref="U135" r:id="rId436" display="../../../../../../:b:/r/teams/CTM-OTGentStad/Shared Documents/General/EAF/CSI(nieuwe sharepoint)2024/EAF 5376 Gent 31032024.pdf?csf=1&amp;web=1&amp;e=0n8M7F" xr:uid="{08CDC4B2-77DF-4681-8441-9A23A12FC4F6}"/>
    <hyperlink ref="U46" r:id="rId437" display="../../../../../../:b:/r/teams/CTM-OTGentStad/Shared Documents/General/EAF/CSI(nieuwe sharepoint)2024/EAF 5376 Koremarkt 03022024.pdf?csf=1&amp;web=1&amp;e=kKCeod" xr:uid="{37235B0A-023F-452B-8A60-D385C160089E}"/>
    <hyperlink ref="U329" r:id="rId438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7" r:id="rId439" display="../../../../../../:b:/r/teams/CTM-OTGentStad/Shared Documents/General/EAF/CSI(nieuwe sharepoint)2024/EAF 5763 Gentbrugge 26062024.pdf?csf=1&amp;web=1&amp;e=dKWpID" xr:uid="{7C0B5AB5-2BDA-4B76-9635-FA18AC578BF9}"/>
    <hyperlink ref="U146" r:id="rId440" display="../../../../../../:b:/r/teams/CTM-OTGentStad/Shared Documents/General/EAF/CSI(nieuwe sharepoint)2024/EAF 5764 Driebeek 08042024.pdf?csf=1&amp;web=1&amp;e=kwxRyw" xr:uid="{20C56189-5D21-4CDC-BED0-4DD042CEC560}"/>
    <hyperlink ref="U248" r:id="rId441" display="../../../../../../:b:/r/teams/CTM-OTGentStad/Shared Documents/General/EAF/CSI(nieuwe sharepoint)2024/EAF 5764 Gent 13062024.pdf?csf=1&amp;web=1&amp;e=QFoHNP" xr:uid="{27BAF88A-1717-43EC-93B3-3E04D633A8E7}"/>
    <hyperlink ref="U271" r:id="rId442" display="../../../../../../:b:/r/teams/CTM-OTGentStad/Shared Documents/General/EAF/CSI(nieuwe sharepoint)2024/EAF 5764 Octrooiplein Gent 01.07.2024.pdf?csf=1&amp;web=1&amp;e=gH27G5" xr:uid="{F4285674-8BBE-4AD1-9935-E0EF1FBC3AA7}"/>
    <hyperlink ref="U489" r:id="rId443" display="../../../../../../:b:/r/teams/CTM-OTGentStad/Shared Documents/General/EAF/CSI(nieuwe sharepoint)2024/EAF 5764 Sint-Pietersnieuwstraat Gent 12122024.pdf?csf=1&amp;web=1&amp;e=GuvJod" xr:uid="{9489E54C-110F-43D7-B9DD-021720A0D345}"/>
    <hyperlink ref="U372" r:id="rId444" display="../../../../../../:b:/r/teams/CTM-OTGentStad/Shared Documents/General/EAF/CSI(nieuwe sharepoint)2024/EAF 5765 Gent 17092024.pdf?csf=1&amp;web=1&amp;e=ZbypcB" xr:uid="{1AAE3371-A3CA-46BE-816D-D96A42DDE9E3}"/>
    <hyperlink ref="U496" r:id="rId445" display="../../../../../../:b:/r/teams/CTM-OTGentStad/Shared Documents/General/EAF/CSI(nieuwe sharepoint)2024/EAF 5765 Gent 18122024.pdf?csf=1&amp;web=1&amp;e=vfzKhd" xr:uid="{327B46C7-AAD7-471A-8396-8D7756505435}"/>
    <hyperlink ref="U177" r:id="rId446" display="../../../../../../:b:/r/teams/CTM-OTGentStad/Shared Documents/General/EAF/CSI(nieuwe sharepoint)2024/EAF 5765 Gent 29042024.pdf?csf=1&amp;web=1&amp;e=9TzZCx" xr:uid="{18973B25-B212-4678-AD92-A6F615B36F5A}"/>
    <hyperlink ref="U136" r:id="rId447" display="../../../../../../:b:/r/teams/CTM-OTGentStad/Shared Documents/General/EAF/CSI(nieuwe sharepoint)2024/EAF 5765 Gent 31032024.pdf?csf=1&amp;web=1&amp;e=fdRt8x" xr:uid="{803BFBBA-2094-40D2-B90F-9EBE110462E1}"/>
    <hyperlink ref="U94" r:id="rId448" display="../../../../../../:b:/r/teams/CTM-OTGentStad/Shared Documents/General/EAF/CSI(nieuwe sharepoint)2024/EAF 5765 Gentbrugge 05032024.pdf?csf=1&amp;web=1&amp;e=cyphOF" xr:uid="{973D6D55-1832-4460-85B8-8A83E5FDB087}"/>
    <hyperlink ref="U157" r:id="rId449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450" display="../../../../../../:b:/r/teams/CTM-OTGentStad/Shared Documents/General/EAF/CSI(nieuwe sharepoint)2024/EAF 5766 Lammerstraat 03092024.pdf?csf=1&amp;web=1&amp;e=cqwJ9W" xr:uid="{712897C0-61B2-4FE1-809A-169D35C65CF6}"/>
    <hyperlink ref="U466" r:id="rId451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452" display="../../../../../../:b:/r/teams/CTM-OTGentStad/Shared Documents/General/EAF/CSI(nieuwe sharepoint)2024/EAF 5767 Gent 23042024 De Wilde Jordy 39927.pdf?csf=1&amp;web=1&amp;e=hd0LZ6" xr:uid="{E1C472D4-0978-4058-8716-9E980588C5B2}"/>
    <hyperlink ref="U497" r:id="rId453" display="../../../../../../:b:/r/teams/CTM-OTGentStad/Shared Documents/General/EAF/CSI(nieuwe sharepoint)2024/EAF 5767 Steendam Gent 18.12.2024.pdf?csf=1&amp;web=1&amp;e=XVFDwI" xr:uid="{4C0DA69D-FB64-4C20-99EF-5CE38A0D6EAB}"/>
    <hyperlink ref="U17" r:id="rId454" display="../../../../../../:b:/r/teams/CTM-OTGentStad/Shared Documents/General/EAF/CSI(nieuwe sharepoint)2024/EAF 5768 GEnt 15012024.pdf?csf=1&amp;web=1&amp;e=8w2RoB" xr:uid="{07BE8381-0679-405D-844E-F0D06D086D29}"/>
    <hyperlink ref="U374" r:id="rId455" display="../../../../../../:b:/r/teams/CTM-OTGentStad/Shared Documents/General/EAF/CSI(nieuwe sharepoint)2024/EAF 5768 Gent 21092024.pdf?csf=1&amp;web=1&amp;e=SCccII" xr:uid="{38F70451-4885-4AEA-9191-B1C7D092F664}"/>
    <hyperlink ref="U419" r:id="rId456" display="../../../../../../:b:/r/teams/CTM-OTGentStad/Shared Documents/General/EAF/CSI(nieuwe sharepoint)2024/EAF 5768 Gent 24102024.pdf?csf=1&amp;web=1&amp;e=hZcqTA" xr:uid="{1DFD0E5D-10CA-43AE-925B-86362B8DCB75}"/>
    <hyperlink ref="U428" r:id="rId457" display="../../../../../../:b:/r/teams/CTM-OTGentStad/Shared Documents/General/EAF/CSI(nieuwe sharepoint)2024/EAF 5769 Gent Dampoort 30102024 De Keyzer Jan.pdf?csf=1&amp;web=1&amp;e=cTVgDR" xr:uid="{067B8925-433C-423F-AA38-A05B96551CC4}"/>
    <hyperlink ref="U467" r:id="rId458" display="../../../../../../:b:/r/teams/CTM-OTGentStad/Shared Documents/General/EAF/CSI(nieuwe sharepoint)2024/EAF 5770 E17 parking 1 29112024.pdf?csf=1&amp;web=1&amp;e=UHSFcC" xr:uid="{AADB0B12-94B1-4DF6-9962-733043F44C0C}"/>
    <hyperlink ref="U277" r:id="rId459" display="../../../../../../:b:/r/teams/CTM-OTGentStad/Shared Documents/General/EAF/CSI(nieuwe sharepoint)2024/EAF 5771 Gent 05072024.pdf?csf=1&amp;web=1&amp;e=BebpUR" xr:uid="{58B7D1DE-4BD4-41E7-9F47-DB7031F5B813}"/>
    <hyperlink ref="U445" r:id="rId460" display="../../../../../../:b:/r/teams/CTM-OTGentStad/Shared Documents/General/EAF/CSI(nieuwe sharepoint)2024/EAF 5771 Gent 12102024.pdf?csf=1&amp;web=1&amp;e=9avnHM" xr:uid="{F5FC9A9B-C2BF-4D7A-BA49-828CF424E979}"/>
    <hyperlink ref="U279" r:id="rId461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462" display="../../../../../../:b:/r/teams/CTM-OTGentStad/Shared Documents/General/EAF/CSI(nieuwe sharepoint)2024/EAF 5909 Gentbrugge 05092024.pdf?csf=1&amp;web=1&amp;e=VcfhqJ" xr:uid="{08479A51-23A3-4BD3-88B5-D6401B2D43AF}"/>
    <hyperlink ref="U304" r:id="rId463" display="../../../../../../:b:/r/teams/CTM-OTGentStad/Shared Documents/General/EAF/CSI(nieuwe sharepoint)2024/EAF 5910 Damport Octrooiplein 25.07.2024.pdf?csf=1&amp;web=1&amp;e=DdHFwD" xr:uid="{4909083A-4B6B-4CB8-8DF0-772D4147EF78}"/>
    <hyperlink ref="U89" r:id="rId464" display="../../../../../../:b:/r/teams/CTM-OTGentStad/Shared Documents/General/EAF/CSI(nieuwe sharepoint)2024/EAF 5910 Gent 02032024.pdf?csf=1&amp;web=1&amp;e=Hf67hC" xr:uid="{EEBB9E04-48FE-4172-841E-CE887FC37C64}"/>
    <hyperlink ref="U251" r:id="rId465" display="../../../../../../:b:/r/teams/CTM-OTGentStad/Shared Documents/General/EAF/CSI(nieuwe sharepoint)2024/EAF 5910 GEnt 14062024.pdf?csf=1&amp;web=1&amp;e=CTqTIp" xr:uid="{3650FCD1-99C6-4EF7-B335-AE48A35FE915}"/>
    <hyperlink ref="U380" r:id="rId466" display="../../../../../../:b:/r/teams/CTM-OTGentStad/Shared Documents/General/EAF/CSI(nieuwe sharepoint)2024/EAF 5910 Meulesteedsesteenweg 25092024.pdf?csf=1&amp;web=1&amp;e=7VEYr1" xr:uid="{8133B147-4223-47FD-8971-7A3B52D7AE85}"/>
    <hyperlink ref="U406" r:id="rId467" display="../../../../../../:b:/r/teams/CTM-OTGentStad/Shared Documents/General/EAF/CSI(nieuwe sharepoint)2024/EAF 5911 Gentbruggebrug Gent 15102024.pdf?csf=1&amp;web=1&amp;e=c6tEA9" xr:uid="{C376F98A-ECB4-4E78-85DD-D9B2768855FC}"/>
    <hyperlink ref="U362" r:id="rId468" display="../../../../../../:b:/r/teams/CTM-OTGentStad/Shared Documents/General/EAF/CSI(nieuwe sharepoint)2024/EAF 5913 Gent stelplaats 11092024 Sedighi Hamid.pdf?csf=1&amp;web=1&amp;e=mENvlf" xr:uid="{9CF73DFE-093C-4ED9-AD70-2C951A08E2D9}"/>
    <hyperlink ref="U200" r:id="rId469" display="../../../../../../:b:/r/teams/CTM-OTGentStad/Shared Documents/General/EAF/CSI(nieuwe sharepoint)2024/EAF 5913 Gentbrugge stelplaats 12052024 Robert Hurd.pdf?csf=1&amp;web=1&amp;e=Y2iwZ8" xr:uid="{4660EB04-D875-414C-A0CE-DB631A07264C}"/>
    <hyperlink ref="U246" r:id="rId470" display="../../../../../../:b:/r/teams/CTM-OTGentStad/Shared Documents/General/EAF/CSI(nieuwe sharepoint)2024/EAF 5913 Wondelgembrug 12062024.pdf?csf=1&amp;web=1&amp;e=Wyng8S" xr:uid="{101DE239-0092-4892-9E2E-A3C2273DB5A9}"/>
    <hyperlink ref="U498" r:id="rId471" display="../../../../../../:b:/r/teams/CTM-OTGentStad/Shared Documents/General/EAF/CSI(nieuwe sharepoint)2024/EAF 5914 Gent 19122024.pdf?csf=1&amp;web=1&amp;e=JvjLeO" xr:uid="{FE3D820A-6C1F-4BD2-8F06-5A3FA626E5F8}"/>
    <hyperlink ref="U508" r:id="rId472" display="../../../../../../:b:/r/teams/CTM-OTGentStad/Shared Documents/General/EAF/CSI(nieuwe sharepoint)2024/EAF 5914 Gent 26122024 Moez El Ouni.pdf?csf=1&amp;web=1&amp;e=3EZnf0" xr:uid="{FF8EE383-FF07-483C-BA5D-708925A62D77}"/>
    <hyperlink ref="U387" r:id="rId473" display="../../../../../../:b:/r/teams/CTM-OTGentStad/Shared Documents/General/EAF/CSI(nieuwe sharepoint)2024/EAF 5914 Melle 02102024.pdf?csf=1&amp;web=1&amp;e=hdlJ2K" xr:uid="{0940389D-3265-4D90-864D-CA05D7A6FFCB}"/>
    <hyperlink ref="U454" r:id="rId474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475" display="../../../../../../:b:/r/teams/CTM-OTGentStad/Shared Documents/General/EAF/CSI(nieuwe sharepoint)2024/EAF 5915 Kunstlaan Gent 28102024.pdf?csf=1&amp;web=1&amp;e=JWz3rt" xr:uid="{2B7BF50C-4818-4FBC-806B-F4CC40C05039}"/>
    <hyperlink ref="U335" r:id="rId476" display="../../../../../../:b:/r/teams/CTM-OTGentStad/Shared Documents/General/EAF/CSI(nieuwe sharepoint)2024/EAF 5915 Molenstraat 30082024.pdf?csf=1&amp;web=1&amp;e=xQJbsC" xr:uid="{AD059D9C-A997-4FB6-9B41-F7003B5BCB18}"/>
    <hyperlink ref="U423" r:id="rId477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478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479" display="../../../../../../:b:/r/teams/CTM-OTGentStad/Shared Documents/General/EAF/CSI(nieuwe sharepoint)2024/EAF 5917 Gent 08102024.pdf?csf=1&amp;web=1&amp;e=n328Pj" xr:uid="{2250E414-68BB-41B9-B24A-E931F0690BF5}"/>
    <hyperlink ref="U203" r:id="rId480" display="../../../../../../:b:/r/teams/CTM-OTGentStad/Shared Documents/General/EAF/CSI(nieuwe sharepoint)2024/EAF 5917 Gent 13052024 Beeckman Nico.pdf?csf=1&amp;web=1&amp;e=nwRTHL" xr:uid="{FE5660A0-21C9-4D89-B3C8-622461BFA2D6}"/>
    <hyperlink ref="U210" r:id="rId481" display="../../../../../../:b:/r/teams/CTM-OTGentStad/Shared Documents/General/EAF/CSI(nieuwe sharepoint)2024/EAF 5917 Gent 21052024 Eva Teetaert.pdf?csf=1&amp;web=1&amp;e=0yT36N" xr:uid="{439ADA6F-C138-4661-8173-1C54B6B36704}"/>
    <hyperlink ref="U253" r:id="rId482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483" display="../../../../../../:b:/r/teams/CTM-OTGentStad/Shared Documents/General/EAF/CSI(nieuwe sharepoint)2024/EAF 5917 Melle 22012024.pdf?csf=1&amp;web=1&amp;e=tFSEiQ" xr:uid="{55983FB4-DCF4-4F84-8D73-76577FEEC01B}"/>
    <hyperlink ref="U328" r:id="rId484" display="../../../../../../:b:/r/teams/CTM-OTGentStad/Shared Documents/General/EAF/CSI(nieuwe sharepoint)2024/EAF 5917 Steendam Gent 21082024.pdf?csf=1&amp;web=1&amp;e=0Ma29K" xr:uid="{9F08C87D-1EAD-467D-B6B1-E27AB5D6FC91}"/>
    <hyperlink ref="U105" r:id="rId485" display="../../../../../../:b:/r/teams/CTM-OTGentStad/Shared Documents/General/EAF/CSI(nieuwe sharepoint)2024/EAF 5917 Wondelgem 13032024.pdf?csf=1&amp;web=1&amp;e=1pWjWI" xr:uid="{6544B0D0-8D7A-44BC-9498-6A910CC5661F}"/>
    <hyperlink ref="U355" r:id="rId486" display="../../../../../../:b:/r/teams/CTM-OTGentStad/Shared Documents/General/EAF/CSI(nieuwe sharepoint)2024/EAF 5917 Wondelgem station 07.09.2024.pdf?csf=1&amp;web=1&amp;e=3grMCG" xr:uid="{EED29C3C-6C37-4E66-B085-D014173BFADE}"/>
    <hyperlink ref="U48" r:id="rId487" display="../../../../../../:b:/r/teams/CTM-OTGentStad/Shared Documents/General/EAF/CSI(nieuwe sharepoint)2024/EAF 5919 Gent 04022024.pdf?csf=1&amp;web=1&amp;e=zjN1rb" xr:uid="{380AAA65-2FC3-4AA6-9B0A-8976E57FB493}"/>
    <hyperlink ref="U59" r:id="rId488" display="../../../../../../:b:/r/teams/CTM-OTGentStad/Shared Documents/General/EAF/CSI(nieuwe sharepoint)2024/EAF 5919 Gent 14022024 tweede ongeval .pdf?csf=1&amp;web=1&amp;e=BPHK9f" xr:uid="{9E546354-829D-4198-9E01-E054793BAAA7}"/>
    <hyperlink ref="U402" r:id="rId489" display="../../../../../../:b:/r/teams/CTM-OTGentStad/Shared Documents/General/EAF/CSI(nieuwe sharepoint)2024/EAF 5919 Gent De Pintenlaan 14102024.pdf?csf=1&amp;web=1&amp;e=iepGKv" xr:uid="{1990CA22-D765-423A-95AE-DEAC88E1F45A}"/>
    <hyperlink ref="U193" r:id="rId490" display="../../../../../../:b:/r/teams/CTM-OTGentStad/Shared Documents/General/EAF/CSI(nieuwe sharepoint)2024/EAF 5920 Damvalleistraat Gent 06052024.pdf?csf=1&amp;web=1&amp;e=dneJfa" xr:uid="{ECBBB372-B7D1-4716-A359-3171751D06BD}"/>
    <hyperlink ref="U394" r:id="rId491" display="../../../../../../:b:/r/teams/CTM-OTGentStad/Shared Documents/General/EAF/CSI(nieuwe sharepoint)2024/EAF 5920 Gent 09102024.pdf?csf=1&amp;web=1&amp;e=zIQxX2" xr:uid="{CB1C74E1-55CB-4421-B533-F9A10F857D79}"/>
    <hyperlink ref="U22" r:id="rId492" display="../../../../../../:b:/r/teams/CTM-OTGentStad/Shared Documents/General/EAF/CSI(nieuwe sharepoint)2024/EAF 5920 Gent 17012024.pdf?csf=1&amp;web=1&amp;e=yXwX7o" xr:uid="{AA316053-562B-4340-8757-915539A7DB1E}"/>
    <hyperlink ref="U352" r:id="rId493" display="../../../../../../:b:/r/teams/CTM-OTGentStad/Shared Documents/General/EAF/CSI(nieuwe sharepoint)2024/EAF 5921 Gent 06092024.pdf?csf=1&amp;web=1&amp;e=ET4Ni6" xr:uid="{CC4D6F3C-CE49-4F27-8C8D-29F90B458AEF}"/>
    <hyperlink ref="U161" r:id="rId494" display="../../../../../../:b:/r/teams/CTM-OTGentStad/Shared Documents/General/EAF/CSI(nieuwe sharepoint)2024/EAF 5921 Gent A.Sanderusstraat 18042024 Roos Hugo.pdf?csf=1&amp;web=1&amp;e=gLIupB" xr:uid="{83348790-4FED-4496-BA99-D8629C86016C}"/>
    <hyperlink ref="U191" r:id="rId495" display="../../../../../../:b:/r/teams/CTM-OTGentStad/Shared Documents/General/EAF/CSI(nieuwe sharepoint)2024/EAF 5921 Gent Dampoort 05052024.pdf?csf=1&amp;web=1&amp;e=0Q22TJ" xr:uid="{33C9FB16-D534-4A4D-9272-3D3BF13BF988}"/>
    <hyperlink ref="U703" r:id="rId496" display="../../../../../../:b:/r/teams/CTM-OTGentStad/Shared Documents/General/EAF/CSI(nieuwe sharepoint) 2025/6. Juni/EAF 5236 Gent 02062025 40278 Ates Firat.pdf?csf=1&amp;web=1&amp;e=s3Scse" xr:uid="{F0100D22-ADBF-4444-BF68-3CA7ECE9CB49}"/>
    <hyperlink ref="U183" r:id="rId497" display="../../../../../../:b:/r/teams/CTM-OTGentStad/Shared Documents/General/EAF/CSI(nieuwe sharepoint)2024/EAF 5922 Gent 01052024.pdf?csf=1&amp;web=1&amp;e=NNTyTB" xr:uid="{1E69D9E9-CCB1-4FAA-8223-AF1ACBF055ED}"/>
    <hyperlink ref="U281" r:id="rId498" display="../../../../../../:b:/r/teams/CTM-OTGentStad/Shared Documents/General/EAF/CSI(nieuwe sharepoint)2024/EAF 5922 Gent 07072024.pdf?csf=1&amp;web=1&amp;e=9c2iFu" xr:uid="{765DFA5D-8691-4903-9649-1451146FFC14}"/>
    <hyperlink ref="U315" r:id="rId499" display="../../../../../../:b:/r/teams/CTM-OTGentStad/Shared Documents/General/EAF/CSI(nieuwe sharepoint)2024/EAF 5924 Dampoort Gent 02082024.pdf?csf=1&amp;web=1&amp;e=ogMhjI" xr:uid="{D6C3FB8E-0C36-444C-B34F-EE26360AE687}"/>
    <hyperlink ref="U346" r:id="rId500" display="../../../../../../:b:/r/teams/CTM-OTGentStad/Shared Documents/General/EAF/CSI(nieuwe sharepoint)2024/EAF 5924 Gent 03092024.pdf?csf=1&amp;web=1&amp;e=0iaMwL" xr:uid="{55390CE4-A4A6-4AF9-AABC-D1E13BA39F9C}"/>
    <hyperlink ref="U225" r:id="rId501" display="../../../../../../:b:/r/teams/CTM-OTGentStad/Shared Documents/General/EAF/CSI(nieuwe sharepoint)2024/EAF 5925 Gent 30052024 39907.pdf?csf=1&amp;web=1&amp;e=oYfmrK" xr:uid="{56C03297-5189-48BC-9F6C-EEC065D018FD}"/>
    <hyperlink ref="U337" r:id="rId502" display="../../../../../../:b:/r/teams/CTM-OTGentStad/Shared Documents/General/EAF/CSI(nieuwe sharepoint)2024/EAF 5925 Gent 31082024.pdf?csf=1&amp;web=1&amp;e=wcsOQa" xr:uid="{9AD9A43D-95A1-41EC-967A-10C4083175C1}"/>
    <hyperlink ref="U460" r:id="rId503" display="../../../../../../:b:/r/teams/CTM-OTGentStad/Shared Documents/General/EAF/CSI(nieuwe sharepoint)2024/EAF 5926 Gent Poel 22112024 De Bruyne Sonia.pdf?csf=1&amp;web=1&amp;e=y93dio" xr:uid="{A11B612B-E0AD-4E7D-95B5-753A496DC00D}"/>
    <hyperlink ref="U24" r:id="rId504" display="../../../../../../:b:/r/teams/CTM-OTGentStad/Shared Documents/General/EAF/CSI(nieuwe sharepoint)2024/EAF 5926 Gent Tolhuislaan 19012024.pdf?csf=1&amp;web=1&amp;e=iCmD1r" xr:uid="{44BA67B5-D7E5-47EC-A655-81A8C36C803C}"/>
    <hyperlink ref="U31" r:id="rId505" display="../../../../../../:b:/r/teams/CTM-OTGentStad/Shared Documents/General/EAF/CSI(nieuwe sharepoint)2024/EAF 5926 Gent Zuid 24012024.pdf?csf=1&amp;web=1&amp;e=3qd6T7" xr:uid="{50F303C2-A58C-41AD-86A7-06A092CD30D5}"/>
    <hyperlink ref="U287" r:id="rId506" display="../../../../../../:b:/r/teams/CTM-OTGentStad/Shared Documents/General/EAF/CSI(nieuwe sharepoint)2024/EAF 5927 Gent 11072024.pdf?csf=1&amp;web=1&amp;e=8LSfTn" xr:uid="{B76BA60D-E151-42EA-B4F2-0F8F6171032E}"/>
    <hyperlink ref="U152" r:id="rId507" display="../../../../../../:b:/r/teams/CTM-OTGentStad/Shared Documents/General/EAF/CSI(nieuwe sharepoint)2024/EAF 5927 Gent 12042024 Dejonckheere Els.pdf?csf=1&amp;web=1&amp;e=xdCvsi" xr:uid="{0922DD05-6000-4DB2-AC2E-E8FF2F2C1180}"/>
    <hyperlink ref="U70" r:id="rId508" display="../../../../../../:b:/r/teams/CTM-OTGentStad/Shared Documents/General/EAF/CSI(nieuwe sharepoint)2024/EAF 5927 Gent 21022024.pdf?csf=1&amp;web=1&amp;e=6VXNIn" xr:uid="{0BD34A3D-2A0A-491D-82A6-6F602912683B}"/>
    <hyperlink ref="U153" r:id="rId509" display="../../../../../../:b:/r/teams/CTM-OTGentStad/Shared Documents/General/EAF/CSI(nieuwe sharepoint)2024/EAF 5928 Gent 13042024.pdf?csf=1&amp;web=1&amp;e=4Pgjj7" xr:uid="{5E3796BC-F5D3-4FF1-8CED-2F96288725CC}"/>
    <hyperlink ref="U172" r:id="rId510" display="../../../../../../:b:/r/teams/CTM-OTGentStad/Shared Documents/General/EAF/CSI(nieuwe sharepoint)2024/EAF 5928 Gent 23042024.pdf?csf=1&amp;web=1&amp;e=GwaF1A" xr:uid="{92408512-A385-4C17-A25B-9E17ABCB0A06}"/>
    <hyperlink ref="U154" r:id="rId511" display="../../../../../../:b:/r/teams/CTM-OTGentStad/Shared Documents/General/EAF/CSI(nieuwe sharepoint)2024/EAF 5928 Tolhuislaan Gent 14042024.pdf?csf=1&amp;web=1&amp;e=9YTsKJ" xr:uid="{00ACAF27-11EB-4660-81DF-F3C9DC9C7F7F}"/>
    <hyperlink ref="U49" r:id="rId512" display="../../../../../../:b:/r/teams/CTM-OTGentStad/Shared Documents/General/EAF/CSI(nieuwe sharepoint)2024/EAF 5929 Glasgowstraat Gent 23102024 Vonck Freddy.pdf?csf=1&amp;web=1&amp;e=FsmkSv" xr:uid="{656948DA-4C0E-4770-897C-9BB6C7F5046F}"/>
    <hyperlink ref="U324" r:id="rId513" display="../../../../../../:b:/r/teams/CTM-OTGentStad/Shared Documents/General/EAF/CSI(nieuwe sharepoint)2024/EAF 5929 Muidebrug Gent 14.08.2024.pdf?csf=1&amp;web=1&amp;e=nFlISJ" xr:uid="{282136ED-7774-47F7-AACB-2644C0F23AFE}"/>
    <hyperlink ref="U317" r:id="rId514" display="../../../../../../:b:/r/teams/CTM-OTGentStad/Shared Documents/General/EAF/CSI(nieuwe sharepoint)2024/EAF 5929 Muidepoort Gent 03082024.pdf?csf=1&amp;web=1&amp;e=j8Sd4y" xr:uid="{21F1C4D7-829B-47F8-B5B0-B41BBD06C0BF}"/>
    <hyperlink ref="U311" r:id="rId515" display="../../../../../../:b:/r/teams/CTM-OTGentStad/Shared Documents/General/EAF/CSI(nieuwe sharepoint)2024/EAF 5930 Gent 30072024.pdf?csf=1&amp;web=1&amp;e=Qr6wuu" xr:uid="{29269ECB-F016-4131-B0C1-8029727B91BE}"/>
    <hyperlink ref="U446" r:id="rId516" display="../../../../../../:b:/r/teams/CTM-OTGentStad/Shared Documents/General/EAF/CSI(nieuwe sharepoint)2024/EAF 5931 Gent 13112024.pdf?csf=1&amp;web=1&amp;e=zRTGuL" xr:uid="{06653386-9903-4D3B-AE80-CBC00A2FADBA}"/>
    <hyperlink ref="U158" r:id="rId517" display="../../../../../../:b:/r/teams/CTM-OTGentStad/Shared Documents/General/EAF/CSI(nieuwe sharepoint)2024/EAF 5931 Gent 17042024.pdf?csf=1&amp;web=1&amp;e=ag8FSy" xr:uid="{6FB3FA81-75E1-4AD2-8324-21B7C5A83AEB}"/>
    <hyperlink ref="U334" r:id="rId518" display="../../../../../../:b:/r/teams/CTM-OTGentStad/Shared Documents/General/EAF/CSI(nieuwe sharepoint)2024/EAF 5931 Gent 29082024.pdf?csf=1&amp;web=1&amp;e=8QmiSg" xr:uid="{64B4B0E0-C95B-40F7-83CE-CDFEE271B186}"/>
    <hyperlink ref="U235" r:id="rId519" display="../../../../../../:b:/r/teams/CTM-OTGentStad/Shared Documents/General/EAF/CSI(nieuwe sharepoint)2024/EAF 5931 Zwijnaardsesteenweg Gent 06.07.2024.pdf?csf=1&amp;web=1&amp;e=ol0oua" xr:uid="{3625ECD0-05C3-46D8-B29F-845151CCAAAF}"/>
    <hyperlink ref="U408" r:id="rId520" display="../../../../../../:b:/r/teams/CTM-OTGentStad/Shared Documents/General/EAF/CSI(nieuwe sharepoint)2024/EAF 5932 Gent 18102024.pdf?csf=1&amp;web=1&amp;e=NS6bxW" xr:uid="{CF3D86AB-A65F-4981-BDA6-E5F6A1DD7391}"/>
    <hyperlink ref="U386" r:id="rId521" display="../../../../../../:b:/r/teams/CTM-OTGentStad/Shared Documents/General/EAF/CSI(nieuwe sharepoint)2024/EAF 5933 Gent 28092024.pdf?csf=1&amp;web=1&amp;e=0sjfhv" xr:uid="{5357BB62-3038-4E43-9E56-4FDAE63AE808}"/>
    <hyperlink ref="U261" r:id="rId522" display="../../../../../../:b:/r/teams/CTM-OTGentStad/Shared Documents/General/EAF/CSI(nieuwe sharepoint)2024/EAF 5933 Gentbrugge 22062024.pdf?csf=1&amp;web=1&amp;e=V5kETm" xr:uid="{B656E3CF-DEC0-41BF-84DC-E808F0B83EB2}"/>
    <hyperlink ref="U366" r:id="rId523" display="../../../../../../:b:/r/teams/CTM-OTGentStad/Shared Documents/General/EAF/CSI(nieuwe sharepoint)2024/EAF 5933 Gontrodestraat Melle 14092024.pdf?csf=1&amp;web=1&amp;e=BalgZb" xr:uid="{54298FDD-64A7-46E4-8DC7-5556002FA0BF}"/>
    <hyperlink ref="U298" r:id="rId524" display="../../../../../../:b:/r/teams/CTM-OTGentStad/Shared Documents/General/EAF/CSI(nieuwe sharepoint)2024/EAF 5933 Stelplaats Gentbrugge 20072024.pdf?csf=1&amp;web=1&amp;e=FamZBX" xr:uid="{5460B05F-7100-471C-9B6F-5AE4E5BCC0AC}"/>
    <hyperlink ref="U194" r:id="rId525" display="../../../../../../:b:/r/teams/CTM-OTGentStad/Shared Documents/General/EAF/CSI(nieuwe sharepoint)2024/EAF 5936 Dendermondsesteenweg 06052024.pdf?csf=1&amp;web=1&amp;e=YzKV0d" xr:uid="{1534D9D6-D0ED-4491-A6D0-9566B00139E8}"/>
    <hyperlink ref="U259" r:id="rId526" display="../../../../../../:b:/r/teams/CTM-OTGentStad/Shared Documents/General/EAF/CSI(nieuwe sharepoint)2024/EAF 5936 Gent 14062024.pdf?csf=1&amp;web=1&amp;e=QqcAsu" xr:uid="{90497A2E-4DCF-4F9E-BD8E-CFC8A3A09B05}"/>
    <hyperlink ref="U57" r:id="rId527" display="../../../../../../:b:/r/teams/CTM-OTGentStad/Shared Documents/General/EAF/CSI(nieuwe sharepoint)2024/EAF 5936 Gentburgge stelplaats 03022024.pdf?csf=1&amp;web=1&amp;e=Y7MjUI" xr:uid="{61793F77-1B06-4576-BCC9-8BB81898185C}"/>
    <hyperlink ref="U381" r:id="rId528" display="../../../../../../:b:/r/teams/CTM-OTGentStad/Shared Documents/General/EAF/CSI(nieuwe sharepoint)2024/EAF 5936 Melle 25092024.pdf?csf=1&amp;web=1&amp;e=ULi3T9" xr:uid="{F4B9E33F-6872-4684-A1E0-5C78217D8443}"/>
    <hyperlink ref="U30" r:id="rId529" display="../../../../../../:b:/r/teams/CTM-OTGentStad/Shared Documents/General/EAF/CSI(nieuwe sharepoint)2024/EAF 5937 Gent 23012024.pdf?csf=1&amp;web=1&amp;e=X16AxW" xr:uid="{7A4B0627-2498-406F-9332-575FC96F6463}"/>
    <hyperlink ref="U14" r:id="rId530" display="../../../../../../:b:/r/teams/CTM-OTGentStad/Shared Documents/General/EAF/CSI(nieuwe sharepoint)2024/EAF 5937 Gentburgge 12012024.pdf?csf=1&amp;web=1&amp;e=xKJ9hg" xr:uid="{5EE13D50-8CFB-4908-BBBF-D509DCE45810}"/>
    <hyperlink ref="U205" r:id="rId531" display="../../../../../../:b:/r/teams/CTM-OTGentStad/Shared Documents/General/EAF/CSI(nieuwe sharepoint)2024/EAF 5938 Muidepoort Gent 16052024.pdf?csf=1&amp;web=1&amp;e=b51H46" xr:uid="{D7735C0E-A6C5-482D-B8F9-A16192324B2F}"/>
    <hyperlink ref="U294" r:id="rId532" display="../../../../../../:b:/r/teams/CTM-OTGentStad/Shared Documents/General/EAF/CSI(nieuwe sharepoint)2024/EAF 6302 Gent Zuid 18072024.pdf?csf=1&amp;web=1&amp;e=UGRMUB" xr:uid="{BA867025-E333-493C-BFAA-3DB1F56F5548}"/>
    <hyperlink ref="U447" r:id="rId53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534" display="../../../../../../:b:/r/teams/CTM-OTGentStad/Shared Documents/General/EAF/CSI(nieuwe sharepoint)2024/EAF 6303 Gent 23032024.pdf?csf=1&amp;web=1&amp;e=NqglJb" xr:uid="{0639A3A5-82B9-4CE2-9A60-DC9944D19B85}"/>
    <hyperlink ref="U185" r:id="rId535" display="../../../../../../:b:/r/teams/CTM-OTGentStad/Shared Documents/General/EAF/CSI(nieuwe sharepoint)2024/EAF 6305 Gent 02052024 Demirarik Mustafa.pdf?csf=1&amp;web=1&amp;e=bxWzqb" xr:uid="{2B49E4D2-2154-4FBB-BB4D-A8BD4ED3A1E7}"/>
    <hyperlink ref="U291" r:id="rId53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20" r:id="rId537" display="../../../../../../:b:/r/teams/CTM-OTGentStad/Shared Documents/General/EAF/CSI(nieuwe sharepoint)2024/EAF 6309 Brusselsesteenweg 08082024.pdf?csf=1&amp;web=1&amp;e=MbY7iJ" xr:uid="{30865120-756D-4B8E-B1E3-58EF89660A22}"/>
    <hyperlink ref="U360" r:id="rId538" display="../../../../../../:b:/r/teams/CTM-OTGentStad/Shared Documents/General/EAF/CSI(nieuwe sharepoint)2024/EAF 6309 Gent Rabotstraat 10092024 Glenn Smesman.pdf?csf=1&amp;web=1&amp;e=sQzuwt" xr:uid="{EB1DC9C2-2F6F-4EC1-94D8-4E54E43D665A}"/>
    <hyperlink ref="U7" r:id="rId539" display="../../../../../../:b:/r/teams/CTM-OTGentStad/Shared Documents/General/EAF/CSI(nieuwe sharepoint)2024/EAF 6309 Gentbrugge 08012024.pdf?csf=1&amp;web=1&amp;e=uf1oeB" xr:uid="{525E4D21-DCA3-44E9-90F6-DC74AF5597A6}"/>
    <hyperlink ref="U411" r:id="rId540" display="../../../../../../:b:/r/teams/CTM-OTGentStad/Shared Documents/General/EAF/CSI(nieuwe sharepoint)2024/EAF 6309 Gentburgge 21102024.pdf?csf=1&amp;web=1&amp;e=HjOmRs" xr:uid="{733D9FB4-D4FE-486B-BEE6-5869E05D0C01}"/>
    <hyperlink ref="U268" r:id="rId54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542" display="../../../../../../:b:/r/teams/CTM-OTGentStad/Shared Documents/General/EAF/CSI(nieuwe sharepoint)2024/EAF 6310 Gent 22112024.pdf?csf=1&amp;web=1&amp;e=ycEeVa" xr:uid="{A76C89B6-F2FB-4788-B5F2-9F58711B2B2C}"/>
    <hyperlink ref="U333" r:id="rId543" display="../../../../../../:b:/r/teams/CTM-OTGentStad/Shared Documents/General/EAF/CSI(nieuwe sharepoint)2024/EAF 6312 Zwijnaardsesteenweg 26082024.pdf?csf=1&amp;web=1&amp;e=88t8ZY" xr:uid="{B7A50DF1-A7B5-4ECB-B9DB-D93CE410654F}"/>
    <hyperlink ref="U403" r:id="rId544" display="../../../../../../:b:/r/teams/CTM-OTGentStad/Shared Documents/General/EAF/CSI(nieuwe sharepoint)2024/EAF 6313 Albertlaan 14102024 Peter De Craene.pdf?csf=1&amp;web=1&amp;e=3ApSX0" xr:uid="{3DCD0A75-7D1F-463B-AB29-16E66DC3EA24}"/>
    <hyperlink ref="U503" r:id="rId545" display="../../../../../../:b:/r/teams/CTM-OTGentStad/Shared Documents/General/EAF/CSI(nieuwe sharepoint)2024/EAF 6314 Gent 21122024.pdf?csf=1&amp;web=1&amp;e=LZkx29" xr:uid="{87B08E6E-EED1-4A85-8D98-1F9AB20C58BC}"/>
    <hyperlink ref="U186" r:id="rId54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547" display="../../../../../../:b:/r/teams/CTM-OTGentStad/Shared Documents/General/EAF/CSI(nieuwe sharepoint)2024/EAF 6314 Gravensteen 19112024 Tom Vandaele_1.pdf?csf=1&amp;web=1&amp;e=RsaAUC" xr:uid="{4249E846-2CAB-40A1-98D1-C8AE0938E3B6}"/>
    <hyperlink ref="U106" r:id="rId54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549" display="../../../../../../:b:/r/teams/CTM-OTGentStad/Shared Documents/General/EAF/CSI(nieuwe sharepoint)2024/EAF 6314 Poperingestraat 19112024 Farhad.pdf?csf=1&amp;web=1&amp;e=rJdpKF" xr:uid="{63B4F5BC-68EE-4E81-A227-839704D6EA8E}"/>
    <hyperlink ref="U404" r:id="rId550" display="../../../../../../:b:/r/teams/CTM-OTGentStad/Shared Documents/General/EAF/CSI(nieuwe sharepoint)2024/EAF 6316 Gent 14102024.pdf?csf=1&amp;web=1&amp;e=fSTYhN" xr:uid="{FC7EC304-609B-44C8-9C81-332B140E78E5}"/>
    <hyperlink ref="U133" r:id="rId551" display="../../../../../../:b:/r/teams/CTM-OTGentStad/Shared Documents/General/EAF/CSI(nieuwe sharepoint)2024/EAF 6317 Wondelgem 29032024.pdf?csf=1&amp;web=1&amp;e=jVZc4e" xr:uid="{B443C951-8278-4C5F-A905-43C39B277335}"/>
    <hyperlink ref="U439" r:id="rId552" display="../../../../../../:b:/r/teams/CTM-OTGentStad/Shared Documents/General/EAF/CSI(nieuwe sharepoint)2024/EAF 6318 Gentbrugge 08112024.pdf?csf=1&amp;web=1&amp;e=mWDhW2" xr:uid="{F06534EA-26D0-4AFF-A844-C4E9F31500E7}"/>
    <hyperlink ref="U453" r:id="rId553" display="../../../../../../:b:/r/teams/CTM-OTGentStad/Shared Documents/General/EAF/CSI(nieuwe sharepoint)2024/EAF 6319 Gent 18112024.pdf?csf=1&amp;web=1&amp;e=Hfgwen" xr:uid="{B1108F83-47AC-412F-8BD7-FA1A1BD4F77D}"/>
    <hyperlink ref="U377" r:id="rId554" display="../../../../../../:b:/r/teams/CTM-OTGentStad/Shared Documents/General/EAF/CSI(nieuwe sharepoint)2024/EAF 6319 Gent 23092024.pdf?csf=1&amp;web=1&amp;e=NdgTcc" xr:uid="{1E544F17-152A-480E-9922-7EF0D976D6AE}"/>
    <hyperlink ref="U484" r:id="rId555" display="../../../../../../:b:/r/teams/CTM-OTGentStad/Shared Documents/General/EAF/CSI(nieuwe sharepoint)2024/EAF 6320 Griendeplein 9122024 Kenny Vanderstock.pdf?csf=1&amp;web=1&amp;e=0FD5aK" xr:uid="{16671670-0FCD-44CB-B871-6270497E88CA}"/>
    <hyperlink ref="U220" r:id="rId55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557" display="../../../../../../:b:/r/teams/CTM-OTGentStad/Shared Documents/General/EAF/CSI(nieuwe sharepoint)2024/EAF 6321 Gentbrugge 21122024.pdf?csf=1&amp;web=1&amp;e=iBNMu8" xr:uid="{9F2A07A0-3CD8-470A-A0B6-85F22C8A1348}"/>
    <hyperlink ref="U3" r:id="rId558" display="../../../../../../:b:/r/teams/CTM-OTGentStad/Shared Documents/General/EAF/CSI(nieuwe sharepoint)2024/EAF 6322 Hovenierstraat Ledeberg 05012024.pdf?csf=1&amp;web=1&amp;e=vFe7av" xr:uid="{BB3E34E9-5269-48D0-8DD7-F3AE231EF10A}"/>
    <hyperlink ref="U321" r:id="rId55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560" display="../../../../../../:b:/r/teams/CTM-OTGentStad/Shared Documents/General/EAF/CSI(nieuwe sharepoint)2024/EAF 6323 Wondelgem 07022024.pdf?csf=1&amp;web=1&amp;e=NW22ZG" xr:uid="{7D857CCE-D0A3-4835-83BE-DFB145D71BAB}"/>
    <hyperlink ref="U450" r:id="rId561" display="../../../../../../:b:/r/teams/CTM-OTGentStad/Shared Documents/General/EAF/CSI(nieuwe sharepoint)2024/EAF 6325 Keizerpoort Gent 14.11.2024.pdf?csf=1&amp;web=1&amp;e=riYYd0" xr:uid="{EC8D17A4-764E-4B90-B78E-CB0B2FBF6150}"/>
    <hyperlink ref="U426" r:id="rId56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56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564" display="../../../../../../:b:/r/teams/CTM-OTGentStad/Shared Documents/General/EAF/CSI(nieuwe sharepoint)2024/EAF 6326 De Pintelaan 12012024.pdf?csf=1&amp;web=1&amp;e=DiLIYF" xr:uid="{30C5537B-DF76-449B-AC74-16D031B3DBC2}"/>
    <hyperlink ref="U148" r:id="rId565" display="../../../../../../:b:/r/teams/CTM-OTGentStad/Shared Documents/General/EAF/CSI(nieuwe sharepoint)2024/EAF 6326 Gent 10042024.pdf?csf=1&amp;web=1&amp;e=hl7b1G" xr:uid="{917BDEDE-E12E-49F8-B7CC-225E0E245CA7}"/>
    <hyperlink ref="U66" r:id="rId566" display="../../../../../../:b:/r/teams/CTM-OTGentStad/Shared Documents/General/EAF/CSI(nieuwe sharepoint)2024/EAF 6326 Sint Pietersaalstraat 19022024.pdf?csf=1&amp;web=1&amp;e=aj7NBd" xr:uid="{998E2606-D56C-4CAF-B6B5-846A49B40D99}"/>
    <hyperlink ref="U288" r:id="rId567" display="../../../../../../:b:/r/teams/CTM-OTGentStad/Shared Documents/General/EAF/CSI(nieuwe sharepoint)2024/EAF 6326 UZ 11072024.pdf?csf=1&amp;web=1&amp;e=uQ73fs" xr:uid="{4DFACCFD-6E49-44CB-804E-3A588E664425}"/>
    <hyperlink ref="U353" r:id="rId568" display="../../../../../../:b:/r/teams/CTM-OTGentStad/Shared Documents/General/EAF/CSI(nieuwe sharepoint)2024/EAF 6329 Gent 06092024.pdf?csf=1&amp;web=1&amp;e=hKZZd2" xr:uid="{BEA1D943-D222-4A29-8414-78E95154D228}"/>
    <hyperlink ref="U228" r:id="rId56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5" r:id="rId570" display="../../../../../../:b:/r/teams/CTM-OTGentStad/Shared Documents/General/EAF/CSI(nieuwe sharepoint)2024/EAF 6331 GEnt 18072024.pdf?csf=1&amp;web=1&amp;e=icZnhB" xr:uid="{DAC7D166-F77E-45D2-BA6E-0EDFAAAE6F2E}"/>
    <hyperlink ref="U284" r:id="rId571" display="../../../../../../:b:/r/teams/CTM-OTGentStad/Shared Documents/General/EAF/CSI(nieuwe sharepoint)2024/EAF 6332 Brusselsestwg 10072024.pdf?csf=1&amp;web=1&amp;e=ikV0cR" xr:uid="{2BFE6322-0352-4E0A-B558-604FDF50EE2C}"/>
    <hyperlink ref="U201" r:id="rId572" display="../../../../../../:b:/r/teams/CTM-OTGentStad/Shared Documents/General/EAF/CSI(nieuwe sharepoint)2024/EAF 6332 Gent 12052024 De Craene Peter.pdf?csf=1&amp;web=1&amp;e=AlEJLc" xr:uid="{C6F93BF1-CEF8-4B71-BCD1-52741A12F9DA}"/>
    <hyperlink ref="U305" r:id="rId573" display="../../../../../../:b:/r/teams/CTM-OTGentStad/Shared Documents/General/EAF/CSI(nieuwe sharepoint)2024/EAF 6332 Gent 25072024.pdf?csf=1&amp;web=1&amp;e=AWDkxa" xr:uid="{857E009D-B9B3-40E4-B457-79F020177855}"/>
    <hyperlink ref="U134" r:id="rId574" display="../../../../../../:b:/r/teams/CTM-OTGentStad/Shared Documents/General/EAF/CSI(nieuwe sharepoint)2024/EAF 6332 Gent 29032024.pdf?csf=1&amp;web=1&amp;e=jLyfAV" xr:uid="{DAD38B99-063D-4E1F-BE77-354F71404BA1}"/>
    <hyperlink ref="U437" r:id="rId575" display="../../../../../../:b:/r/teams/CTM-OTGentStad/Shared Documents/General/EAF/CSI(nieuwe sharepoint)2024/EAF 6333 Gent 07112024.pdf?csf=1&amp;web=1&amp;e=5e4YGN" xr:uid="{7726DD93-2929-4233-895A-E43AA655FC0F}"/>
    <hyperlink ref="U325" r:id="rId576" display="../../../../../../:b:/r/teams/CTM-OTGentStad/Shared Documents/General/EAF/CSI(nieuwe sharepoint)2024/EAF 6333 Voormuid Gent 14082024.pdf?csf=1&amp;web=1&amp;e=RjPiIM" xr:uid="{B4FCE873-D337-4C22-B15A-FAECF4C8A635}"/>
    <hyperlink ref="U361" r:id="rId577" display="../../../../../../:b:/r/teams/CTM-OTGentStad/Shared Documents/General/EAF/CSI(nieuwe sharepoint)2024/EAF 6334 Gent 10092024.pdf?csf=1&amp;web=1&amp;e=ewvYgy" xr:uid="{4C5E3B26-5A2F-4889-8562-6C81711755FB}"/>
    <hyperlink ref="U223" r:id="rId578" display="../../../../../../:b:/r/teams/CTM-OTGentStad/Shared Documents/General/EAF/CSI(nieuwe sharepoint)2024/EAF 6335 Brusselsesteenweg 368 29052024.pdf?csf=1&amp;web=1&amp;e=khBiN8" xr:uid="{A2E10FE1-D461-40EF-AE84-44D9BA2F42E9}"/>
    <hyperlink ref="U412" r:id="rId579" display="../../../../../../:b:/r/teams/CTM-OTGentStad/Shared Documents/General/EAF/CSI(nieuwe sharepoint)2024/EAF 6335 Gent 21102024.pdf?csf=1&amp;web=1&amp;e=qaSvs7" xr:uid="{F4C7B592-0FCD-4185-A27F-BFD8452591D7}"/>
    <hyperlink ref="U331" r:id="rId58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581" display="../../../../../../:b:/r/teams/CTM-OTGentStad/Shared Documents/General/EAF/CSI(nieuwe sharepoint)2024/EAF 6337 Gent 30102024.pdf?csf=1&amp;web=1&amp;e=0H5Fe7" xr:uid="{395909A6-E752-4B32-833E-1A3EDC0D95CB}"/>
    <hyperlink ref="U475" r:id="rId582" display="../../../../../../:b:/r/teams/CTM-OTGentStad/Shared Documents/General/EAF/CSI(nieuwe sharepoint)2024/EAF 6339 Gent 02122024.pdf?csf=1&amp;web=1&amp;e=TkaVl7" xr:uid="{C6BCCA65-1B57-401C-BD0B-A7170E28E15F}"/>
    <hyperlink ref="U397" r:id="rId58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584" display="../../../../../../:b:/r/teams/CTM-OTGentStad/Shared Documents/General/EAF/CSI(nieuwe sharepoint)2024/EAF 6339 Ledebergstraat 27092024.pdf?csf=1&amp;web=1&amp;e=kydSaL" xr:uid="{F510BA36-EFD1-4D4C-B4BB-90EE088EB689}"/>
    <hyperlink ref="U178" r:id="rId585" display="../../../../../../:b:/r/teams/CTM-OTGentStad/Shared Documents/General/EAF/CSI(nieuwe sharepoint)2024/EAF 6340 29042024.pdf?csf=1&amp;web=1&amp;e=6rHAiu" xr:uid="{70E63A47-4FE8-4B21-9979-575A7C65C00F}"/>
    <hyperlink ref="U27" r:id="rId586" display="../../../../../../:b:/r/teams/CTM-OTGentStad/Shared Documents/General/EAF/CSI(nieuwe sharepoint)2024/EAF 6340 Gent 23012024.pdf?csf=1&amp;web=1&amp;e=Sfpg5s" xr:uid="{793C28E3-44A0-4688-8E48-D81820C81F32}"/>
    <hyperlink ref="U256" r:id="rId58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6" r:id="rId588" display="../../../../../../:b:/r/teams/CTM-OTGentStad/Shared Documents/General/EAF/CSI(nieuwe sharepoint)2024/EAF 6351 Ledeberg 18072024.pdf?csf=1&amp;web=1&amp;e=dqcane" xr:uid="{4BE29D71-7128-4FDF-B961-735ECB16382D}"/>
    <hyperlink ref="U278" r:id="rId589" display="../../../../../../:b:/r/teams/CTM-OTGentStad/Shared Documents/General/EAF/CSI(nieuwe sharepoint)2024/EAF 6352 Gent 05072024.pdf?csf=1&amp;web=1&amp;e=IJPdnl" xr:uid="{964BF070-EA30-467C-909A-EE78DF5F5AE9}"/>
    <hyperlink ref="U480" r:id="rId590" display="../../../../../../:b:/r/teams/CTM-OTGentStad/Shared Documents/General/EAF/CSI(nieuwe sharepoint)2024/EAF 6352 Expo Gent 06122024.pdf?csf=1&amp;web=1&amp;e=0vLPpf" xr:uid="{D5537093-4C8E-460F-90E4-87F103CE6ECA}"/>
    <hyperlink ref="U164" r:id="rId591" display="../../../../../../:b:/r/teams/CTM-OTGentStad/Shared Documents/General/EAF/CSI(nieuwe sharepoint)2024/EAF 6352 Jozef Vervaenestraat Gent 19042024.pdf?csf=1&amp;web=1&amp;e=yjnj8a" xr:uid="{9A2907EE-EFFA-44EC-80BA-DA299DCB106D}"/>
    <hyperlink ref="U297" r:id="rId592" display="../../../../../../:b:/r/teams/CTM-OTGentStad/Shared Documents/General/EAF/CSI(nieuwe sharepoint)2024/EAF 6352 Ledebergplein 19072024.pdf?csf=1&amp;web=1&amp;e=bkrs0Z" xr:uid="{ECA85887-3998-42C1-B84E-1F8CA9FC5A86}"/>
    <hyperlink ref="U443" r:id="rId593" display="../../../../../../:b:/r/teams/CTM-OTGentStad/Shared Documents/General/EAF/CSI(nieuwe sharepoint)2024/EAF 6352 Papegaaistraat 11112024 Tom Haerens.pdf?csf=1&amp;web=1&amp;e=eNdPga" xr:uid="{80E6BA8C-0F31-4091-832B-98A88738360F}"/>
    <hyperlink ref="U221" r:id="rId594" display="../../../../../../:b:/r/teams/CTM-OTGentStad/Shared Documents/General/EAF/CSI(nieuwe sharepoint)2024/EAF 6353 GEnt 28052024.pdf?csf=1&amp;web=1&amp;e=WGHqLp" xr:uid="{DB5A8078-51B2-4D7E-A0BE-B0788FB79736}"/>
    <hyperlink ref="U255" r:id="rId595" display="../../../../../../:b:/r/teams/CTM-OTGentStad/Shared Documents/General/EAF/CSI(nieuwe sharepoint)2024/EAF 6353 Gent Brusselsesteenweg 16062024 Vandaele Sofie.pdf?csf=1&amp;web=1&amp;e=B9zp5O" xr:uid="{C91F4414-B890-456D-8DD3-20AA74256ECE}"/>
    <hyperlink ref="U218" r:id="rId596" display="../../../../../../:b:/r/teams/CTM-OTGentStad/Shared Documents/General/EAF/CSI(nieuwe sharepoint)2024/EAF 6355 Gent 27052024.pdf?csf=1&amp;web=1&amp;e=1PDaCB" xr:uid="{86E0D265-D6E0-49B3-A838-FD978831EB27}"/>
    <hyperlink ref="U96" r:id="rId59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598" display="../../../../../../:b:/r/teams/CTM-OTGentStad/Shared Documents/General/EAF/CSI(nieuwe sharepoint)2024/EAF 6355 Ledeberg 26102024.pdf?csf=1&amp;web=1&amp;e=2AjqFD" xr:uid="{648569DD-27DD-4A2C-8AB2-A8ACCE0F024E}"/>
    <hyperlink ref="U459" r:id="rId599" display="../../../../../../:b:/r/teams/CTM-OTGentStad/Shared Documents/General/EAF/CSI(nieuwe sharepoint)2024/EAF 6355 Melle Leeuw 21112024 Illya Wulleput.pdf?csf=1&amp;web=1&amp;e=laBaH2" xr:uid="{5A738A92-C79F-4AA7-85FA-D51066A602CE}"/>
    <hyperlink ref="U440" r:id="rId600" display="../../../../../../:b:/r/teams/CTM-OTGentStad/Shared Documents/General/EAF/CSI(nieuwe sharepoint)2024/EAF 6356 Gent 08112024.pdf?csf=1&amp;web=1&amp;e=jkVkea" xr:uid="{B29D513A-1F56-492B-8793-7F02C753B210}"/>
    <hyperlink ref="U490" r:id="rId601" display="../../../../../../:b:/r/teams/CTM-OTGentStad/Shared Documents/General/EAF/CSI(nieuwe sharepoint)2024/EAF 6356 Gent 12122024.pdf?csf=1&amp;web=1&amp;e=J29EOj" xr:uid="{C9D844F2-BBA0-4348-B6B3-C714BC0DCE18}"/>
    <hyperlink ref="U73" r:id="rId602" display="../../../../../../:b:/r/teams/CTM-OTGentStad/Shared Documents/General/EAF/CSI(nieuwe sharepoint)2024/EAF 6356 Gent 22022024.pdf?csf=1&amp;web=1&amp;e=xcEsno" xr:uid="{73BC41EA-814F-4314-88D3-64636FB5A614}"/>
    <hyperlink ref="U50" r:id="rId603" display="../../../../../../:b:/r/teams/CTM-OTGentStad/Shared Documents/General/EAF/CSI(nieuwe sharepoint)2024/EAF 6357 Gent 04022024.pdf?csf=1&amp;web=1&amp;e=dVRwnl" xr:uid="{289A9B42-AE87-44F9-9E69-01BA23C01A15}"/>
    <hyperlink ref="U472" r:id="rId604" display="../../../../../../:b:/r/teams/CTM-OTGentStad/Shared Documents/General/EAF/CSI(nieuwe sharepoint)2024/EAF 6357 Gent 30112024.pdf?csf=1&amp;web=1&amp;e=SbnKoU" xr:uid="{D43EA783-EADF-4029-9063-50551BB9FA3B}"/>
    <hyperlink ref="U379" r:id="rId605" display="../../../../../../:b:/r/teams/CTM-OTGentStad/Shared Documents/General/EAF/CSI(nieuwe sharepoint)2024/EAF 6358 Gent 24092024.pdf?csf=1&amp;web=1&amp;e=duNjmM" xr:uid="{72AAD7C4-D07D-460D-A39A-C6B3AD2CAA4A}"/>
    <hyperlink ref="U308" r:id="rId606" display="../../../../../../:b:/r/teams/CTM-OTGentStad/Shared Documents/General/EAF/CSI(nieuwe sharepoint)2024/EAF 6359 Gent 29072024.pdf?csf=1&amp;web=1&amp;e=DqAMsF" xr:uid="{9425BE95-CF56-41B0-84E1-789EF748600C}"/>
    <hyperlink ref="U180" r:id="rId607" display="../../../../../../:b:/r/teams/CTM-OTGentStad/Shared Documents/General/EAF/CSI(nieuwe sharepoint)2024/EAF 6359 Gent 30042024.pdf?csf=1&amp;web=1&amp;e=12OFdg" xr:uid="{0530410E-A176-4D29-AA2B-FE87D8291D7A}"/>
    <hyperlink ref="U416" r:id="rId60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609" display="../../../../../../:b:/r/teams/CTM-OTGentStad/Shared Documents/General/EAF/CSI(nieuwe sharepoint)2024/EAF 6361 Gent 09122024.pdf?csf=1&amp;web=1&amp;e=pyBqjh" xr:uid="{25DF6A81-5D18-4CF7-8F3A-D9281FB56EFF}"/>
    <hyperlink ref="U505" r:id="rId610" display="../../../../../../:b:/r/teams/CTM-OTGentStad/Shared Documents/General/EAF/CSI(nieuwe sharepoint)2024/EAF 6362 Gent 21122024.pdf?csf=1&amp;web=1&amp;e=AwaCWK" xr:uid="{F57E973E-D2A5-4668-9304-58D9E1F27F41}"/>
    <hyperlink ref="U500" r:id="rId611" display="../../../../../../:b:/r/teams/CTM-OTGentStad/Shared Documents/General/EAF/CSI(nieuwe sharepoint)2024/EAF 6362 Zwijnaardsestwg 20122024.pdf?csf=1&amp;web=1&amp;e=WnxLdY" xr:uid="{CAFCF17D-6ABA-4AA9-868C-CC62A825CC4F}"/>
    <hyperlink ref="U339" r:id="rId612" display="../../../../../../:b:/r/teams/CTM-OTGentStad/Shared Documents/General/EAF/CSI(nieuwe sharepoint)2024/EAF 6363 Gent 01092024.pdf?csf=1&amp;web=1&amp;e=AfcvZh" xr:uid="{C4ADE72C-7CB8-4FA3-A64D-50E0897B1EE4}"/>
    <hyperlink ref="U414" r:id="rId613" display="../../../../../../:b:/r/teams/CTM-OTGentStad/Shared Documents/General/EAF/CSI(nieuwe sharepoint)2024/EAF 6363 Gent 22102024.pdf?csf=1&amp;web=1&amp;e=V8ZrbJ" xr:uid="{E092AEE2-4935-44B8-A3D9-F17B3BCD8B36}"/>
    <hyperlink ref="U229" r:id="rId614" display="../../../../../../:b:/r/teams/CTM-OTGentStad/Shared Documents/General/EAF/CSI(nieuwe sharepoint)2024/EAF 6365 Gent 04062024.pdf?csf=1&amp;web=1&amp;e=79tgOp" xr:uid="{E7D05D18-7F19-49CE-B50A-BE29F0765F46}"/>
    <hyperlink ref="U501" r:id="rId615" display="../../../../../../:b:/r/teams/CTM-OTGentStad/Shared Documents/General/EAF/CSI(nieuwe sharepoint)2024/EAF 6366 Gent 20122024.pdf?csf=1&amp;web=1&amp;e=UOkLqZ" xr:uid="{3E28AA93-BF6C-468E-8819-9F28F0DB812B}"/>
    <hyperlink ref="U705" r:id="rId616" display="../../../../../../:b:/r/teams/CTM-OTGentStad/Shared Documents/General/EAF/CSI(nieuwe sharepoint) 2025/6. Juni/EAF 5931 Gent 03062025 23918 Bernard Dhaeyere.pdf?csf=1&amp;web=1&amp;e=Y78eDn" xr:uid="{8B35D7E9-F706-44DD-A8A9-44A45449CAB8}"/>
    <hyperlink ref="U706" r:id="rId617" display="../../../../../../:b:/r/teams/CTM-OTGentStad/Shared Documents/General/EAF/CSI(nieuwe sharepoint) 2025/6. Juni/EAF 5920 Gent 03062025 41246 yana van holsbeek.pdf?csf=1&amp;web=1&amp;e=8RxC0M" xr:uid="{88D1B5C6-A86C-4676-9CF6-44CAC32A4B8C}"/>
    <hyperlink ref="U699" r:id="rId618" display="../../../../../../:b:/r/teams/CTM-OTGentStad/Shared Documents/General/EAF/CSI(nieuwe sharepoint) 2025/6. Juni/EAF 5927 Gent 30052025 41619 Ousama.pdf?csf=1&amp;web=1&amp;e=eswFZ6" xr:uid="{4B12BE00-6E91-49DF-96CC-376866302B84}"/>
    <hyperlink ref="U175" r:id="rId619" display="../../../../../../:b:/r/teams/CTM-OTGentStad/Shared Documents/General/EAF/CSI(nieuwe sharepoint)2024/EAF 6367 Gent 28042024.pdf?csf=1&amp;web=1&amp;e=Olf5lK" xr:uid="{C6280804-1A70-4124-8349-5104C084F736}"/>
    <hyperlink ref="U116" r:id="rId620" display="../../../../../../:b:/r/teams/CTM-OTGentStad/Shared Documents/General/EAF/CSI(nieuwe sharepoint)2024/EAF 6367 Wondelgem 20032024.pdf?csf=1&amp;web=1&amp;e=MuJkpQ" xr:uid="{39517C9B-157D-4FBE-BFCB-1837F74C7BDF}"/>
    <hyperlink ref="U309" r:id="rId621" display="../../../../../../:b:/r/teams/CTM-OTGentStad/Shared Documents/General/EAF/CSI(nieuwe sharepoint)2024/EAF 6368 Gent Zuid 29072024.pdf?csf=1&amp;web=1&amp;e=Zxr26Z" xr:uid="{D76FCEC5-3950-4647-902F-A2A71F4D3CAD}"/>
    <hyperlink ref="U257" r:id="rId622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623" display="../../../../../../:b:/r/teams/CTM-OTGentStad/Shared Documents/General/EAF/CSI(nieuwe sharepoint)2024/EAF 6369 Frereobanlaan 20032024.pdf?csf=1&amp;web=1&amp;e=KpGF0y" xr:uid="{E880125D-E882-40CE-BFA9-261EC13BB1A2}"/>
    <hyperlink ref="U11" r:id="rId624" display="../../../../../../:b:/r/teams/CTM-OTGentStad/Shared Documents/General/EAF/CSI(nieuwe sharepoint)2024/EAF 6369 Gent 11012024.pdf?csf=1&amp;web=1&amp;e=0jbna4" xr:uid="{BB2FCDD8-7BF9-4A90-B2C3-9179BF304811}"/>
    <hyperlink ref="U709" r:id="rId625" display="../../../../../../:b:/r/teams/CTM-OTGentStad/Shared Documents/General/EAF/CSI(nieuwe sharepoint)2024/EAF 6369 GEnt 20082024.pdf?csf=1&amp;web=1&amp;e=2gt9e0" xr:uid="{C913052B-4AC8-4CB4-9800-7F48C6DA6EE2}"/>
    <hyperlink ref="U285" r:id="rId626" display="../../../../../../:b:/r/teams/CTM-OTGentStad/Shared Documents/General/EAF/CSI(nieuwe sharepoint)2024/EAF 6370 10072024.pdf?csf=1&amp;web=1&amp;e=IXVT46" xr:uid="{DAC5F022-7B26-491E-A5D5-A26A839035A6}"/>
    <hyperlink ref="U375" r:id="rId627" display="../../../../../../:b:/r/teams/CTM-OTGentStad/Shared Documents/General/EAF/CSI(nieuwe sharepoint)2024/EAF 6370 Gent 22092024.pdf?csf=1&amp;web=1&amp;e=hJK5yW" xr:uid="{CB0955F0-925E-47A9-BF3B-8043C4484C14}"/>
    <hyperlink ref="U107" r:id="rId628" display="../../../../../../:b:/r/teams/CTM-OTGentStad/Shared Documents/General/EAF/CSI(nieuwe sharepoint)2024/EAF 6370 Gentbrugge 13032024.pdf?csf=1&amp;web=1&amp;e=gdPnza" xr:uid="{CE4A6DFA-0076-4396-8BFE-E59292112C6C}"/>
    <hyperlink ref="U310" r:id="rId629" display="../../../../../../:b:/r/teams/CTM-OTGentStad/Shared Documents/General/EAF/CSI(nieuwe sharepoint)2024/EAF 6370 Gentbrugge 29072024.pdf?csf=1&amp;web=1&amp;e=HnIR3a" xr:uid="{29EBD292-F939-4B11-8112-B700ED16CB29}"/>
    <hyperlink ref="U82" r:id="rId630" display="../../../../../../:b:/r/teams/CTM-OTGentStad/Shared Documents/General/EAF/CSI(nieuwe sharepoint)2024/EAF 6371 Albertlaan 29022024.pdf?csf=1&amp;web=1&amp;e=GIi3rG" xr:uid="{AC898D38-F55A-41AC-AD57-4859435E7321}"/>
    <hyperlink ref="U371" r:id="rId631" display="../../../../../../:b:/r/teams/CTM-OTGentStad/Shared Documents/General/EAF/CSI(nieuwe sharepoint)2024/EAF 6371 Gent 16092024.pdf?csf=1&amp;web=1&amp;e=ewguSb" xr:uid="{3CBCA0D0-A218-48C2-A501-75B8657B3E28}"/>
    <hyperlink ref="U129" r:id="rId632" display="../../../../../../:b:/r/teams/CTM-OTGentStad/Shared Documents/General/EAF/CSI(nieuwe sharepoint)2024/EAF 6371 Gent 25032024.pdf?csf=1&amp;web=1&amp;e=ciQtpD" xr:uid="{65DFABA2-DD65-4675-94FD-C735D09A5759}"/>
    <hyperlink ref="U509" r:id="rId633" display="../../../../../../:b:/r/teams/CTM-OTGentStad/Shared Documents/General/EAF/CSI(nieuwe sharepoint)2024/EAF 6371 Gent 27122024.pdf?csf=1&amp;web=1&amp;e=AeDj5a" xr:uid="{610FE50D-2750-49CC-A0FF-AC4FEDC88217}"/>
    <hyperlink ref="U192" r:id="rId634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635" display="../../../../../../:b:/r/teams/CTM-OTGentStad/Shared Documents/General/EAF/CSI(nieuwe sharepoint)2024/EAF 6372 Albertbrug Gent 01122024.pdf?csf=1&amp;web=1&amp;e=phpnaA" xr:uid="{ECAEA2FE-18A4-4DFA-8C30-01992E38AB62}"/>
    <hyperlink ref="U181" r:id="rId636" display="../../../../../../:b:/r/teams/CTM-OTGentStad/Shared Documents/General/EAF/CSI(nieuwe sharepoint)2024/EAF 6372 Gent 30042024.pdf?csf=1&amp;web=1&amp;e=nkerhf" xr:uid="{777B68FD-B011-4AF6-89F2-2E2B920DC694}"/>
    <hyperlink ref="U395" r:id="rId637" display="../../../../../../:b:/r/teams/CTM-OTGentStad/Shared Documents/General/EAF/CSI(nieuwe sharepoint)2024/EAF 6372 Koning Albertlaan Gent 09102024.pdf?csf=1&amp;web=1&amp;e=61015Z" xr:uid="{98B7DCD0-B93C-4B77-8B4A-5C8E06EEFB6B}"/>
    <hyperlink ref="U165" r:id="rId638" display="../../../../../../:b:/r/teams/CTM-OTGentStad/Shared Documents/General/EAF/CSI(nieuwe sharepoint)2024/EAF 6373 Gent 19042024.pdf?csf=1&amp;web=1&amp;e=H4ZpLA" xr:uid="{5792624D-132E-45E5-AAA7-E0DF3816FA4E}"/>
    <hyperlink ref="U312" r:id="rId639" display="../../../../../../:b:/r/teams/CTM-OTGentStad/Shared Documents/General/EAF/CSI(nieuwe sharepoint)2024/EAF 6373 Gent 30072024.pdf?csf=1&amp;web=1&amp;e=KGwb1o" xr:uid="{DDEE70D9-BB3E-4C33-9C08-737BE714E2E3}"/>
    <hyperlink ref="U211" r:id="rId640" display="../../../../../../:b:/r/teams/CTM-OTGentStad/Shared Documents/General/EAF/CSI(nieuwe sharepoint)2024/EAF 6373 Gent Brusselsesteenweg 22052024 Bastiaen Eric.pdf?csf=1&amp;web=1&amp;e=hv3tnz" xr:uid="{C699EF3C-7F1C-4699-9296-C303206347AE}"/>
    <hyperlink ref="U190" r:id="rId641" display="../../../../../../:b:/r/teams/CTM-OTGentStad/Shared Documents/General/EAF/CSI(nieuwe sharepoint)2024/EAF 6373 Hundelgelsesteenweg 04052024.pdf?csf=1&amp;web=1&amp;e=lPN2VH" xr:uid="{3F74D7CC-54AE-4F4E-933D-503B9A3D077F}"/>
    <hyperlink ref="U114" r:id="rId642" display="../../../../../../:b:/r/teams/CTM-OTGentStad/Shared Documents/General/EAF/CSI(nieuwe sharepoint)2024/EAF 6374 Gent 19032024 De Wit Bruno 25993.pdf?csf=1&amp;web=1&amp;e=y4BN3M" xr:uid="{14428031-B2E5-4596-91AF-05CE38BB7612}"/>
    <hyperlink ref="U166" r:id="rId643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644" display="../../../../../../:b:/r/teams/CTM-OTGentStad/Shared Documents/General/EAF/CSI(nieuwe sharepoint)2024/EAF 6376 Botermarkt 22032024.pdf?csf=1&amp;web=1&amp;e=6wV3c3" xr:uid="{930BF3F1-7F08-4AE0-91EC-154515589787}"/>
    <hyperlink ref="U123" r:id="rId645" display="../../../../../../:b:/r/teams/CTM-OTGentStad/Shared Documents/General/EAF/CSI(nieuwe sharepoint)2024/EAF 6376 Galglaan 22032024 kaidr Kartal 36626 T3.pdf?csf=1&amp;web=1&amp;e=elLROs" xr:uid="{F2FEDB5E-EDB0-4287-A67F-D84651750219}"/>
    <hyperlink ref="U233" r:id="rId646" display="../../../../../../:b:/r/teams/CTM-OTGentStad/Shared Documents/General/EAF/CSI(nieuwe sharepoint)2024/EAF 6376 Ledeberg 05062024.pdf?csf=1&amp;web=1&amp;e=aDsAGg" xr:uid="{0458FFD0-533C-4F25-B462-0370887D9AC7}"/>
    <hyperlink ref="U131" r:id="rId647" display="../../../../../../:b:/r/teams/CTM-OTGentStad/Shared Documents/General/EAF/CSI(nieuwe sharepoint)2024/EAF 6376 Ledeberg 28032024.pdf?csf=1&amp;web=1&amp;e=7mSJBA" xr:uid="{45CC5FA4-5D46-49CB-873A-9EAA6E7342C9}"/>
    <hyperlink ref="U688" r:id="rId648" display="../../../../../../:b:/r/teams/CTM-OTGentStad/Shared Documents/General/EAF/CSI(nieuwe sharepoint)2024/EAF 7897 15052024 Nederzwalmsesteenweg Eydzhan Salimova.pdf?csf=1&amp;web=1&amp;e=7NfVS9" xr:uid="{1DFC60A2-84CB-46BF-A5C6-833C5807D3B7}"/>
    <hyperlink ref="U244" r:id="rId649" display="../../../../../../:b:/r/teams/CTM-OTGentStad/Shared Documents/General/EAF/CSI(nieuwe sharepoint)2024/EAF 8089 Zele 11062024.pdf?csf=1&amp;web=1&amp;e=A8knCw" xr:uid="{74ADF89B-FB9A-478A-A708-6F2758F29368}"/>
    <hyperlink ref="U124" r:id="rId650" display="../../../../../../:b:/r/teams/CTM-OTGentStad/Shared Documents/General/EAF/CSI(nieuwe sharepoint)2024/EAF 8101 Gent 22032024.pdf?csf=1&amp;web=1&amp;e=yVZUyo" xr:uid="{AF6D2838-6CEF-44B5-B8CF-E62811F7F14D}"/>
    <hyperlink ref="U494" r:id="rId651" display="../../../../../../:b:/r/teams/CTM-OTGentStad/Shared Documents/General/EAF/CSI(nieuwe sharepoint)2024/EAF 8104 Gent 1612204.pdf?csf=1&amp;web=1&amp;e=zXWqWn" xr:uid="{D5F85815-D275-4669-9A81-1B573C8CA4D1}"/>
    <hyperlink ref="U280" r:id="rId652" display="../../../../../../:b:/r/teams/CTM-OTGentStad/Shared Documents/General/EAF/CSI(nieuwe sharepoint)2024/EAF 50406 Gent 06022024.pdf?csf=1&amp;web=1&amp;e=aeXaW1" xr:uid="{B9E17875-7AD1-4728-9706-650D2B5BB61D}"/>
    <hyperlink ref="U23" r:id="rId653" display="../../../../../../:b:/r/teams/CTM-OTGentStad/Shared Documents/General/EAF/CSI(nieuwe sharepoint)2024/EAF 110965 Gent 18012024.pdf?csf=1&amp;web=1&amp;e=SDKJsz" xr:uid="{574FCB0B-0E13-4228-8E74-DD3EAC7E925D}"/>
    <hyperlink ref="U457" r:id="rId654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655" display="../../../../../../:b:/r/teams/CTM-OTGentStad/Shared Documents/General/EAF/CSI(nieuwe sharepoint)2024/EAF 112214 Gent 01032024.pdf?csf=1&amp;web=1&amp;e=B8Vkyk" xr:uid="{420DF9E7-24A9-42C5-A3CC-025FE477D9EE}"/>
    <hyperlink ref="U86" r:id="rId656" display="../../../../../../:b:/r/teams/CTM-OTGentStad/Shared Documents/General/EAF/CSI(nieuwe sharepoint)2024/EAF 112216 Gent Kouter 01032024.pdf?csf=1&amp;web=1&amp;e=JUmY5q" xr:uid="{896BE651-3B32-4438-9D39-4E75F56E757C}"/>
    <hyperlink ref="U241" r:id="rId657" display="../../../../../../:b:/r/teams/CTM-OTGentStad/Shared Documents/General/EAF/CSI(nieuwe sharepoint)2024/EAF 112223 Gent 10062024.pdf?csf=1&amp;web=1&amp;e=VeifI1" xr:uid="{85471258-6F2B-4F35-96AD-84F4E4EDAA6A}"/>
    <hyperlink ref="U179" r:id="rId658" display="../../../../../../:b:/r/teams/CTM-OTGentStad/Shared Documents/General/EAF/CSI(nieuwe sharepoint)2024/EAF 222478 Blaisantvest 29-4-24 Ilhan Kurudere.pdf?csf=1&amp;web=1&amp;e=hy0Ivq" xr:uid="{61F18952-E2B2-48D1-92A3-9D1E459D39AF}"/>
    <hyperlink ref="U405" r:id="rId659" display="../../../../../../:b:/r/teams/CTM-OTGentStad/Shared Documents/General/EAF/CSI(nieuwe sharepoint)2024/EAF 222478 Gent Sint-Pietersstation 14.10.2024.pdf?csf=1&amp;web=1&amp;e=knuwGv" xr:uid="{2F0D0379-83E5-43DC-9158-765206F8DCBA}"/>
    <hyperlink ref="U249" r:id="rId660" display="../../../../../../:b:/r/teams/CTM-OTGentStad/Shared Documents/General/EAF/CSI(nieuwe sharepoint)2024/EAF 222478 Gent Tolhuislaan 13062024 De Tandt Hans.pdf?csf=1&amp;web=1&amp;e=sp19cs" xr:uid="{9A43DA80-5584-4F5E-BA3C-8179CB7E93D7}"/>
    <hyperlink ref="U212" r:id="rId661" display="../../../../../../:b:/r/teams/CTM-OTGentStad/Shared Documents/General/EAF/CSI(nieuwe sharepoint)2024/EAF 222478 Gent Tolhuislaan 22052024.pdf?csf=1&amp;web=1&amp;e=XXdD1J" xr:uid="{F749DB7C-C5BC-4F24-9D59-5A1715B1CA50}"/>
    <hyperlink ref="U396" r:id="rId662" display="../../../../../../:b:/r/teams/CTM-OTGentStad/Shared Documents/General/EAF/CSI(nieuwe sharepoint)2024/EAF 222478 Hovenierstraat Ledeberg 09102024.pdf?csf=1&amp;web=1&amp;e=sBN0vt" xr:uid="{1C6700C2-BAE1-440D-BD5B-10BD5143CC2D}"/>
    <hyperlink ref="U511" r:id="rId663" display="../../../../../../:b:/r/teams/CTM-OTGentStad/Shared Documents/General/EAF/CSI(nieuwe sharepoint)2024/EAF 281224 AB2548.pdf?csf=1&amp;web=1&amp;e=EOcWlR" xr:uid="{C406A5D1-07C4-451C-83C2-17F18254CB79}"/>
    <hyperlink ref="U388" r:id="rId664" display="../../../../../../:b:/r/teams/CTM-OTGentStad/Shared Documents/General/EAF/CSI(nieuwe sharepoint)2024/EAF 03102024 6313 Gent Mathyn Eid.pdf?csf=1&amp;web=1&amp;e=u3V4dq" xr:uid="{981D291F-2739-4555-801F-FCF2B89458A2}"/>
    <hyperlink ref="U477" r:id="rId665" display="../../../../../../:b:/r/teams/CTM-OTGentStad/Shared Documents/General/EAF/CSI(nieuwe sharepoint)2024/EAF 03122024 5324 Gent Dolly De Geyter.pdf?csf=1&amp;web=1&amp;e=hd5Fa8" xr:uid="{BA267C0E-84BC-4F4D-A11D-582410302377}"/>
    <hyperlink ref="U230" r:id="rId666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667" display="../../../../../../:b:/r/teams/CTM-OTGentStad/Shared Documents/General/EAF/CSI(nieuwe sharepoint)2024/EAF 04102024 6305 Gent Ghani Mozamil.pdf?csf=1&amp;web=1&amp;e=tGE5iz" xr:uid="{BFEF057C-B665-4057-B5BF-0621A30EF28E}"/>
    <hyperlink ref="U479" r:id="rId668" display="../../../../../../:b:/r/teams/CTM-OTGentStad/Shared Documents/General/EAF/CSI(nieuwe sharepoint)2024/EAF 04122024 Ugur.pdf?csf=1&amp;web=1&amp;e=qvL55j" xr:uid="{EE9184C3-AB06-4468-860F-DE8502679A2A}"/>
    <hyperlink ref="U140" r:id="rId669" display="../../../../../../:b:/r/teams/CTM-OTGentStad/Shared Documents/General/EAF/CSI(nieuwe sharepoint)2024/EAF 05042024 Gent 6368 Patrick Gevaert.pdf?csf=1&amp;web=1&amp;e=zUri78" xr:uid="{6BCE0DE1-F10B-4648-A4C2-05FABDD12A5F}"/>
    <hyperlink ref="U319" r:id="rId670" display="../../../../../../:b:/r/teams/CTM-OTGentStad/Shared Documents/General/EAF/CSI(nieuwe sharepoint)2024/EAF 05082024 5929 Gent Roien Stanikazi.pdf?csf=1&amp;web=1&amp;e=x9jUUW" xr:uid="{8511C604-572C-4419-98DA-B62188C4CB0A}"/>
    <hyperlink ref="U390" r:id="rId671" display="../../../../../../:b:/r/teams/CTM-OTGentStad/Shared Documents/General/EAF/CSI(nieuwe sharepoint)2024/EAF 05102024 6369 Gent Roland Hublau.pdf?csf=1&amp;web=1&amp;e=2uPju7" xr:uid="{4F3F3701-0F19-4669-A04F-F869340A9086}"/>
    <hyperlink ref="U52" r:id="rId672" display="../../../../../../:b:/r/teams/CTM-OTGentStad/Shared Documents/General/EAF/CSI(nieuwe sharepoint)2024/EAF 06022024 Toby Pelrene.pdf?csf=1&amp;web=1&amp;e=sbgowk" xr:uid="{236DF2AB-8B98-413B-A72A-17D302A08579}"/>
    <hyperlink ref="U481" r:id="rId673" display="../../../../../../:b:/r/teams/CTM-OTGentStad/Shared Documents/General/EAF/CSI(nieuwe sharepoint)2024/EAF 06122024 6305 Gent Kazim Demirkaya.pdf?csf=1&amp;web=1&amp;e=qggd4K" xr:uid="{1F3D32CF-AEDF-446A-8E94-97897A2945FC}"/>
    <hyperlink ref="U391" r:id="rId674" display="../../../../../../:b:/r/teams/CTM-OTGentStad/Shared Documents/General/EAF/CSI(nieuwe sharepoint)2024/EAF 07102024 5041 Gent Charlotte De Boever.pdf?csf=1&amp;web=1&amp;e=158LfQ" xr:uid="{36C06359-7657-4442-A021-2E964AA35234}"/>
    <hyperlink ref="U438" r:id="rId675" display="../../../../../../:b:/r/teams/CTM-OTGentStad/Shared Documents/General/EAF/CSI(nieuwe sharepoint)2024/EAF 7112024 5039 Zwijnaarde Eva Teetaert.pdf?csf=1&amp;web=1&amp;e=RKrwBS" xr:uid="{C48AC797-E50F-4354-A04D-6145474E0CDD}"/>
    <hyperlink ref="U282" r:id="rId676" display="../../../../../../:b:/r/teams/CTM-OTGentStad/Shared Documents/General/EAF/CSI(nieuwe sharepoint)2024/EAF 10122021 2197 Gent Roien Stanikazi.pdf?csf=1&amp;web=1&amp;e=yB3xOy" xr:uid="{8112D1BD-2BC7-4C09-AAD2-A75C9EE97328}"/>
    <hyperlink ref="U150" r:id="rId677" display="../../../../../../:b:/r/teams/CTM-OTGentStad/Shared Documents/General/EAF/CSI(nieuwe sharepoint)2024/EAF 11042024 6357 Gent Kenan Kocabas.pdf?csf=1&amp;web=1&amp;e=Tq4c5d" xr:uid="{2C046AD0-4325-4F35-919A-2777E2A40545}"/>
    <hyperlink ref="U199" r:id="rId678" display="../../../../../../:b:/r/teams/CTM-OTGentStad/Shared Documents/General/EAF/CSI(nieuwe sharepoint)2024/EAF 11052024 6338 Gent Tony Vandenbogaerde.pdf?csf=1&amp;web=1&amp;e=pCqePg" xr:uid="{B533B8E4-88A1-4ADB-A048-96292D9940CE}"/>
    <hyperlink ref="U247" r:id="rId679" display="../../../../../../:b:/r/teams/CTM-OTGentStad/Shared Documents/General/EAF/CSI(nieuwe sharepoint)2024/EAF 12062024 5376 Gent Jay Van Achte.pdf?csf=1&amp;web=1&amp;e=GUlnzr" xr:uid="{52056EBD-EC67-41DC-8C83-BACB1A5D45E2}"/>
    <hyperlink ref="U108" r:id="rId680" display="../../../../../../:b:/r/teams/CTM-OTGentStad/Shared Documents/General/EAF/CSI(nieuwe sharepoint)2024/EAF 13032024 4678 Gent Yasin Doolaege.pdf?csf=1&amp;web=1&amp;e=K5hLfj" xr:uid="{4C95F8C6-4400-4E06-BB67-BB8711DF34E7}"/>
    <hyperlink ref="U492" r:id="rId681" display="../../../../../../:b:/r/teams/CTM-OTGentStad/Shared Documents/General/EAF/CSI(nieuwe sharepoint)2024/EAF 15122024 6310 Gent Andy Vanden Daele.pdf?csf=1&amp;web=1&amp;e=L3K2pE" xr:uid="{BBF39C28-6443-401D-9DC4-52927F90B8EC}"/>
    <hyperlink ref="U159" r:id="rId682" display="../../../../../../:b:/r/teams/CTM-OTGentStad/Shared Documents/General/EAF/CSI(nieuwe sharepoint)2024/EAF 17042024 6311 Gent Philippe Pretel.pdf?csf=1&amp;web=1&amp;e=i96lXt" xr:uid="{34AFA34A-FDE0-4E8F-92C3-976F678ABFF5}"/>
    <hyperlink ref="U67" r:id="rId683" display="../../../../../../:b:/r/teams/CTM-OTGentStad/Shared Documents/General/EAF/CSI(nieuwe sharepoint)2024/EAF 19022024 6320 Gent Mathyn Eid.pdf?csf=1&amp;web=1&amp;e=sk3TED" xr:uid="{053CAE1D-0F2F-4F29-B550-C7DBC63E86B0}"/>
    <hyperlink ref="U167" r:id="rId684" display="../../../../../../:b:/r/teams/CTM-OTGentStad/Shared Documents/General/EAF/CSI(nieuwe sharepoint)2024/EAF 21042024 Gent 5915 Kenan Kocabas.pdf?csf=1&amp;web=1&amp;e=xL3d0i" xr:uid="{DD0F662B-74CA-4057-A404-70F2E36731E5}"/>
    <hyperlink ref="U260" r:id="rId685" display="../../../../../../:b:/r/teams/CTM-OTGentStad/Shared Documents/General/EAF/CSI(nieuwe sharepoint)2024/EAF 21062024 5369 Gent Roien Stanikazi.pdf?csf=1&amp;web=1&amp;e=WMdKJT" xr:uid="{66944DF1-46F9-4631-9E5D-953F0CCA42E4}"/>
    <hyperlink ref="U125" r:id="rId686" display="../../../../../../:b:/r/teams/CTM-OTGentStad/Shared Documents/General/EAF/CSI(nieuwe sharepoint)2024/EAF 22032024 6328 Gent Sabri Toumi.pdf?csf=1&amp;web=1&amp;e=5OfcMP" xr:uid="{2C114CC6-2B85-4C8F-A25A-71BEC31D32CA}"/>
    <hyperlink ref="U168" r:id="rId687" display="../../../../../../:b:/r/teams/CTM-OTGentStad/Shared Documents/General/EAF/CSI(nieuwe sharepoint)2024/EAF 22042024 Gent De Ridder Danny 21124.pdf?csf=1&amp;web=1&amp;e=kgfPA4" xr:uid="{957BCDAB-DD4F-43A2-9000-8CCFBD7019D8}"/>
    <hyperlink ref="U217" r:id="rId688" display="../../../../../../:b:/r/teams/CTM-OTGentStad/Shared Documents/General/EAF/CSI(nieuwe sharepoint)2024/EAF 24052024 2207 Gent Semih Dogan.pdf?csf=1&amp;web=1&amp;e=1u9yi0" xr:uid="{8B266A34-AE51-4345-86CF-51AB121A0557}"/>
    <hyperlink ref="U420" r:id="rId689" display="../../../../../../:b:/r/teams/CTM-OTGentStad/Shared Documents/General/EAF/CSI(nieuwe sharepoint)2024/EAF 24102024 5043 Gent Kenny Sturtewagen.pdf?csf=1&amp;web=1&amp;e=OnoJyT" xr:uid="{51758C7D-5E1F-4145-9F36-21162369CE6C}"/>
    <hyperlink ref="U264" r:id="rId690" display="../../../../../../:b:/r/teams/CTM-OTGentStad/Shared Documents/General/EAF/CSI(nieuwe sharepoint)2024/EAF 25062024 6329 Gent Heidi Limbourg.pdf?csf=1&amp;web=1&amp;e=dvoWLd" xr:uid="{1340D8AF-05CE-41FA-9B2F-90AF0F927549}"/>
    <hyperlink ref="U422" r:id="rId691" display="../../../../../../:b:/r/teams/CTM-OTGentStad/Shared Documents/General/EAF/CSI(nieuwe sharepoint)2024/EAF 25102024 5039 Gent Kenny Sturtewagen.pdf?csf=1&amp;web=1&amp;e=2Q7fgj" xr:uid="{148C6851-2BA3-49C5-8825-B3F5E86ECD23}"/>
    <hyperlink ref="U132" r:id="rId692" display="../../../../../../:b:/r/teams/CTM-OTGentStad/Shared Documents/General/EAF/CSI(nieuwe sharepoint)2024/EAF 28032024 6358 Gent Ghani Mozamil.pdf?csf=1&amp;web=1&amp;e=D9xLWc" xr:uid="{909F217B-1116-47C9-AA4F-26F0FA47D9EF}"/>
    <hyperlink ref="U137" r:id="rId693" display="../../../../../../:b:/r/teams/CTM-OTGentStad/Shared Documents/General/EAF/CSI(nieuwe sharepoint)2024/EAF 31032024 6376 Gent Tom Van Vliet.pdf?csf=1&amp;web=1&amp;e=GknYii" xr:uid="{16FC20DA-172C-4C1C-881A-DA86AB58500B}"/>
    <hyperlink ref="U95" r:id="rId694" display="../../../../../../:b:/r/teams/CTM-OTGentStad/Shared Documents/General/EAF/CSI(nieuwe sharepoint)2024/EAF Bremstraat Wondelgem AB 5922 05.03.2024.pdf?csf=1&amp;web=1&amp;e=fFCoEH" xr:uid="{7261214F-D54E-48DC-A263-FC2D186134B8}"/>
    <hyperlink ref="U97" r:id="rId695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696" display="../../../../../../:b:/r/teams/CTM-OTGentStad/Shared Documents/General/EAF/CSI(nieuwe sharepoint)2024/EAF Dendermondesteenweg 5767 15.01.2024.pdf?csf=1&amp;web=1&amp;e=IdIrgB" xr:uid="{C7125488-8147-467F-B360-DF903598A41E}"/>
    <hyperlink ref="U69" r:id="rId697" display="../../../../../../:b:/r/teams/CTM-OTGentStad/Shared Documents/General/EAF/CSI(nieuwe sharepoint)2024/EAF Dendermondsesteenweg Gent AB 5767 20.02.2024.pdf?csf=1&amp;web=1&amp;e=AUtNXh" xr:uid="{33E72EDD-AB3B-4A95-8B4F-B79C306F8D3A}"/>
    <hyperlink ref="U56" r:id="rId698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699" display="../../../../../../:b:/r/teams/CTM-OTGentStad/Shared Documents/General/EAF/CSI(nieuwe sharepoint)2024/EAF Gent 5367 06012024.pdf?csf=1&amp;web=1&amp;e=wquwTh" xr:uid="{DC1B9E94-D008-404E-B7CD-06B1F26DED52}"/>
    <hyperlink ref="U4" r:id="rId700" display="../../../../../../:b:/r/teams/CTM-OTGentStad/Shared Documents/General/EAF/CSI(nieuwe sharepoint)2024/EAF Gent 5935 05012024.pdf?csf=1&amp;web=1&amp;e=e6lTYz" xr:uid="{D3431BA8-4669-46F7-9248-ABF2DBDA760C}"/>
    <hyperlink ref="U354" r:id="rId701" display="../../../../../../:b:/r/teams/CTM-OTGentStad/Shared Documents/General/EAF/CSI(nieuwe sharepoint)2024/EAF Gent 06092024.pdf?csf=1&amp;web=1&amp;e=Mzhrwe" xr:uid="{C7C81001-A0E0-42A9-A30D-DCF3A6C8486F}"/>
    <hyperlink ref="U289" r:id="rId702" display="../../../../../../:b:/r/teams/CTM-OTGentStad/Shared Documents/General/EAF/CSI(nieuwe sharepoint)2024/EAF Gent 12012024.pdf?csf=1&amp;web=1&amp;e=yoeY89" xr:uid="{0894B335-DDD4-42AE-BDA0-21B9A030FCB8}"/>
    <hyperlink ref="U128" r:id="rId703" display="../../../../../../:b:/r/teams/CTM-OTGentStad/Shared Documents/General/EAF/CSI(nieuwe sharepoint)2024/EAF Gent 24032024 Mossa Toubadie.pdf?csf=1&amp;web=1&amp;e=wSavHQ" xr:uid="{97C646B3-D8D9-4F9D-9D3D-FE3E48168429}"/>
    <hyperlink ref="U182" r:id="rId704" display="../../../../../../:b:/r/teams/CTM-OTGentStad/Shared Documents/General/EAF/CSI(nieuwe sharepoint)2024/EAF Gent 30042024.pdf?csf=1&amp;web=1&amp;e=nvI6d5" xr:uid="{BA1B9E59-D26B-4AB9-B6F9-7B01DF65F991}"/>
    <hyperlink ref="U12" r:id="rId705" display="../../../../../../:b:/r/teams/CTM-OTGentStad/Shared Documents/General/EAF/CSI(nieuwe sharepoint)2024/EAF Gent Brugsepoort 5237 11.01.2024.pdf?csf=1&amp;web=1&amp;e=IlLTCE" xr:uid="{739AAB43-396F-4EC4-9366-3F181CA2253A}"/>
    <hyperlink ref="U112" r:id="rId706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707" display="../../../../../../:b:/r/teams/CTM-OTGentStad/Shared Documents/General/EAF/CSI(nieuwe sharepoint)2024/EAF Gent Sint Pieters 06012024.pdf?csf=1&amp;web=1&amp;e=cmcO9u" xr:uid="{177C61AC-E97F-4D5D-AF7B-6F9C6395041A}"/>
    <hyperlink ref="U16" r:id="rId708" display="../../../../../../:b:/r/teams/CTM-OTGentStad/Shared Documents/General/EAF/CSI(nieuwe sharepoint)2024/EAF Gent Sint-Pietersstation 2197 12.01.2024.pdf?csf=1&amp;web=1&amp;e=X6V4xH" xr:uid="{69889DB9-708D-4B53-A403-810B95AF23BE}"/>
    <hyperlink ref="U275" r:id="rId709" display="../../../../../../:b:/r/teams/CTM-OTGentStad/Shared Documents/General/EAF/CSI(nieuwe sharepoint)2024/EAF Gentbrugge parking 2 E-17 AB5237 26.02.204.pdf?csf=1&amp;web=1&amp;e=hdXeXc" xr:uid="{31498395-57AA-431C-BD4F-6D9650EFA9DD}"/>
    <hyperlink ref="U19" r:id="rId710" display="../../../../../../:b:/r/teams/CTM-OTGentStad/Shared Documents/General/EAF/CSI(nieuwe sharepoint)2024/EAF Gentsesteenweg Deinze 5042 15012024.pdf?csf=1&amp;web=1&amp;e=1e0liK" xr:uid="{76EA4AB3-8A74-416C-A729-989304C419B8}"/>
    <hyperlink ref="U87" r:id="rId711" display="../../../../../../:b:/r/teams/CTM-OTGentStad/Shared Documents/General/EAF/CSI(nieuwe sharepoint)2024/EAF Heerweg-Noord Zwijnaarde 6357 01.03.2024.pdf?csf=1&amp;web=1&amp;e=W1HcGk" xr:uid="{367F7CB3-0B66-4E21-98A7-D1C95ABF8B3F}"/>
    <hyperlink ref="U169" r:id="rId712" display="../../../../../../:b:/r/teams/CTM-OTGentStad/Shared Documents/General/EAF/CSI(nieuwe sharepoint)2024/EAF Koning Albertlaan Gent 2207 22.04.2024.pdf?csf=1&amp;web=1&amp;e=jni0A6" xr:uid="{DBE9064E-5762-422F-A673-CA86A99FD096}"/>
    <hyperlink ref="U155" r:id="rId713" display="../../../../../../:b:/r/teams/CTM-OTGentStad/Shared Documents/General/EAF/CSI(nieuwe sharepoint)2024/EAF Kouter Gent  5932 15.04.2024.pdf?csf=1&amp;web=1&amp;e=qfdIQv" xr:uid="{FF4FEF07-C2A0-4DEF-84FE-85A322B085BB}"/>
    <hyperlink ref="U184" r:id="rId714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715" display="../../../../../../:b:/r/teams/CTM-OTGentStad/Shared Documents/General/EAF/CSI(nieuwe sharepoint)2024/EAF Nazarethsesteenweg Deinze 5047 22.03.2024.pdf?csf=1&amp;web=1&amp;e=wWmwol" xr:uid="{52214B2E-6C4E-4D11-BA0B-E3F275200E4A}"/>
    <hyperlink ref="U118" r:id="rId716" display="../../../../../../:b:/r/teams/CTM-OTGentStad/Shared Documents/General/EAF/CSI(nieuwe sharepoint)2024/EAF Oktrooiplein Gent AB5233 20.03.2024.pdf?csf=1&amp;web=1&amp;e=84F5v2" xr:uid="{AD71EFBC-FA0D-460E-81FD-1B66350B22A9}"/>
    <hyperlink ref="U78" r:id="rId717" display="../../../../../../:b:/r/teams/CTM-OTGentStad/Shared Documents/General/EAF/CSI(nieuwe sharepoint)2024/EAF Rooigemlaan - Nieuwe Wandeling Gent  AB5229 28.02.2024.pdf?csf=1&amp;web=1&amp;e=mEWWiG" xr:uid="{68D5C1FE-0BCE-41A5-A62D-D671C8BB1C7B}"/>
    <hyperlink ref="U206" r:id="rId718" display="../../../../../../:b:/r/teams/CTM-OTGentStad/Shared Documents/General/EAF/CSI(nieuwe sharepoint)2024/EAF Segersplein Gent AB2205 16.05.2024.pdf?csf=1&amp;web=1&amp;e=wdPSqn" xr:uid="{AB5EDD5B-138F-4845-BD28-E1625D52C3BF}"/>
    <hyperlink ref="U286" r:id="rId719" display="../../../../../../:b:/r/teams/CTM-OTGentStad/Shared Documents/General/EAF/CSI(nieuwe sharepoint)2024/EAF Tolhuislaan 10072024.pdf?csf=1&amp;web=1&amp;e=mCYWQX" xr:uid="{C516BE93-805F-4415-8FCC-DDE9F785186E}"/>
    <hyperlink ref="U242" r:id="rId720" display="../../../../../../:b:/r/teams/CTM-OTGentStad/Shared Documents/General/EAF/CSI(nieuwe sharepoint)2024/EAF Tolhuislaan Gent AB 2204 10.06.2024.pdf?csf=1&amp;web=1&amp;e=oIGycL" xr:uid="{5D0F0C7F-856F-4DE7-A47A-B95A34EDA6C0}"/>
    <hyperlink ref="U214" r:id="rId721" display="../../../../../../:b:/r/teams/CTM-OTGentStad/Shared Documents/General/EAF/CSI(nieuwe sharepoint)2024/EAF Tolhuislaan Gent AB 5372 23.05.2024.pdf?csf=1&amp;web=1&amp;e=clu0yW" xr:uid="{A6127BC4-E878-47DB-9298-204D8EE6E258}"/>
    <hyperlink ref="U254" r:id="rId722" display="../../../../../../:b:/r/teams/CTM-OTGentStad/Shared Documents/General/EAF/CSI(nieuwe sharepoint)2024/EAF Tolhuislaan Gent AB 5917 15.06.2024.pdf?csf=1&amp;web=1&amp;e=fmyHcw" xr:uid="{6CEDA0A3-D1D1-4D22-8D39-0160865CFF4F}"/>
    <hyperlink ref="U250" r:id="rId723" display="../../../../../../:b:/r/teams/CTM-OTGentStad/Shared Documents/General/EAF/CSI(nieuwe sharepoint)2024/EAF Tolhuislaan Gent AB 222478 13.06.2024.pdf?csf=1&amp;web=1&amp;e=2tz8cF" xr:uid="{9122CEC9-72E5-450E-B445-C420372E7297}"/>
    <hyperlink ref="U174" r:id="rId724" display="../../../../../../:b:/r/teams/CTM-OTGentStad/Shared Documents/General/EAF/CSI(nieuwe sharepoint)2024/EAF Tolhuislaan Gent AB 614040 27.04.2024.pdf?csf=1&amp;web=1&amp;e=f2XmeF" xr:uid="{86F44152-7E08-4DD9-8AD6-405457EC6946}"/>
    <hyperlink ref="U58" r:id="rId725" display="../../../../../../:b:/r/teams/CTM-OTGentStad/Shared Documents/General/EAF/CSI(nieuwe sharepoint)2024/EAF Zwijnaardsesteenweg Gent 5926 13.02.2024.pdf?csf=1&amp;web=1&amp;e=Fa2o2I" xr:uid="{00F39016-44EF-4DC0-8DC0-1A062A0D109F}"/>
    <hyperlink ref="U697" r:id="rId726" display="../../../../../../:b:/r/teams/CTM-OTGentStad/Shared Documents/General/EAF/CSI(nieuwe sharepoint) 2025/6. Juni/EAF 5266 Burggravenlaan Gent 26.05.2025 Frank Dhondt 15412.pdf?csf=1&amp;web=1&amp;e=4FDvLQ" xr:uid="{4DA095F1-A92D-422E-803A-D4D07C95F942}"/>
    <hyperlink ref="U707" r:id="rId727" display="../../../../../../:b:/r/teams/CTM-OTGentStad/Shared Documents/General/EAF/CSI(nieuwe sharepoint) 2025/6. Juni/EAF 5237 Dampoort Gent 05062025.pdf?csf=1&amp;web=1&amp;e=jwbaP7" xr:uid="{D43C5E46-2F5C-474E-B53F-B10A6C41937D}"/>
    <hyperlink ref="U708" r:id="rId728" display="../../../../../../:b:/r/teams/CTM-OTGentStad/Shared Documents/General/EAF/CSI(nieuwe sharepoint) 2025/6. Juni/EAF 5237 Bevrijdingslaan Gent 05062025.pdf?csf=1&amp;web=1&amp;e=84DrjB" xr:uid="{F7B7D7DB-3C89-4B51-91D9-057B39319D6D}"/>
    <hyperlink ref="U734" r:id="rId729" display="../../../../../../:b:/r/teams/CTM-OTGentStad/Shared Documents/General/EAF/CSI(nieuwe sharepoint) 2025/6. Juni/EAF 6323 Gent 05062025 30119 Tom Haerens.pdf?csf=1&amp;web=1&amp;e=uxAmZp" xr:uid="{8E8F84E4-3F7C-4098-B0E1-5FB8600F89A9}"/>
    <hyperlink ref="U735" r:id="rId730" display="../../../../../../:i:/r/teams/CTM-OTGentStad/Shared Documents/General/EAF/CSI(nieuwe sharepoint) 2025/1. Januari/achterkant.jpg?csf=1&amp;web=1&amp;e=DFmah2" xr:uid="{2A7890A2-E16D-471C-A0E4-06FF95500125}"/>
    <hyperlink ref="U736" r:id="rId731" display="../../../../../../:b:/r/teams/CTM-OTGentStad/Shared Documents/General/EAF/CSI(nieuwe sharepoint) 2025/6. Juni/EAF 6329 Gent 07062025 37208 Catar Gohhan.pdf?csf=1&amp;web=1&amp;e=t0N02H" xr:uid="{044F9C5F-89DD-4F87-BB4E-A0A97F47B3A9}"/>
    <hyperlink ref="U737" r:id="rId732" display="../../../../../../:b:/r/teams/CTM-OTGentStad/Shared Documents/General/EAF/CSI(nieuwe sharepoint) 2025/6. Juni/EAF 5909 Gent 10062025 40645 Jason Bytebier.pdf?csf=1&amp;web=1&amp;e=aYv13D" xr:uid="{24063437-836E-4B13-8195-F3CC430D4D64}"/>
    <hyperlink ref="U738" r:id="rId733" xr:uid="{F269AA98-610D-4EF5-917F-6A03E5FC89D1}"/>
    <hyperlink ref="U695" r:id="rId734" display="../../../../../../:b:/r/teams/CTM-OTGentStad/Shared Documents/General/EAF/CSI(nieuwe sharepoint) 2025/5. Mei/EAF 26052025.pdf?csf=1&amp;web=1&amp;e=serNyJ" xr:uid="{FE3F1861-E960-4911-BCA7-9BFDA3EBEDB2}"/>
    <hyperlink ref="U739" r:id="rId735" display="../../../../../../:b:/r/teams/CTM-OTGentStad/Shared Documents/General/EAF/CSI(nieuwe sharepoint) 2025/6. Juni/EAF 5488 Gent 12062025 7746 Didier Aelterman.pdf?csf=1&amp;web=1&amp;e=PihG1b" xr:uid="{894ECB84-1AA4-44FC-813B-E7573DF064AE}"/>
    <hyperlink ref="U740" r:id="rId736" display="../../../../../../:b:/r/teams/CTM-OTGentStad/Shared Documents/General/EAF/CSI(nieuwe sharepoint) 2025/6. Juni/EAF 5039 12062025 31150 Ouslati Mohamed.pdf?csf=1&amp;web=1&amp;e=VhHAjF" xr:uid="{5214D759-A6A0-4547-8B13-77D3A9BED984}"/>
    <hyperlink ref="U741" r:id="rId737" display="../../../../../../:b:/r/teams/CTM-OTGentStad/Shared Documents/General/EAF/CSI(nieuwe sharepoint) 2025/5. Mei/EAF 39651 23052025 39651.pdf?csf=1&amp;web=1&amp;e=rltYs2" xr:uid="{EEC10412-3EBF-47C0-AA9C-B25202A84328}"/>
    <hyperlink ref="U742" r:id="rId738" display="../../../../../../:b:/r/teams/CTM-OTGentStad/Shared Documents/General/EAF/CSI(nieuwe sharepoint) 2025/6. Juni/EAF Gent 13062025 26695 Miquel Lippens.pdf?csf=1&amp;web=1&amp;e=jQtDtH" xr:uid="{E86CE69C-6BA1-418F-8379-5CB43FE65339}"/>
    <hyperlink ref="U743" r:id="rId739" display="../../../../../../:b:/r/teams/CTM-OTGentStad/Shared Documents/General/EAF/CSI(nieuwe sharepoint) 2025/6. Juni/EAF 11062025 5934 Gent Branco Van Herreweghe 36512.pdf?csf=1&amp;web=1&amp;e=EL8rzu" xr:uid="{D704AB8E-9735-447D-AB8C-AB0455E32264}"/>
    <hyperlink ref="U744" r:id="rId740" display="../../../../../../:b:/r/teams/CTM-OTGentStad/Shared Documents/General/EAF/CSI(nieuwe sharepoint) 2025/4. April/EAF 23042025 6313 Gent Branco Van Herreweghe 36512.pdf?csf=1&amp;web=1&amp;e=B7kDSA" xr:uid="{659A5C89-9661-4C3B-9380-DF2DA542F37A}"/>
    <hyperlink ref="U745" r:id="rId741" display="../../../../../../:b:/r/teams/CTM-OTGentStad/Shared Documents/General/EAF/CSI(nieuwe sharepoint) 2025/6. Juni/EAF Gent 04062025 38481 Sari Devrim.pdf?csf=1&amp;web=1&amp;e=tTHkYC" xr:uid="{D5ED9EEB-8BA4-487C-A82F-111D022D20C8}"/>
    <hyperlink ref="U746" r:id="rId742" display="../../../../../../:b:/r/teams/CTM-OTGentStad/Shared Documents/General/EAF/CSI(nieuwe sharepoint) 2025/6. Juni/EAF 6368 Hoveniersstraat Ledeberg 20.06.2025 Annicke Huyse 29746.pdf?csf=1&amp;web=1&amp;e=fHtEkg" xr:uid="{B08F7CF4-892C-4A7B-BE7C-F66AB1E71883}"/>
    <hyperlink ref="U747" r:id="rId743" display="../../../../../../:b:/r/teams/CTM-OTGentStad/Shared Documents/General/EAF/CSI(nieuwe sharepoint) 2025/6. Juni/EAF 5926 Gent 22062025 38808 Jens Wasen.pdf?csf=1&amp;web=1&amp;e=hGpOjG" xr:uid="{FF745F0F-83B7-4A30-9B62-48C2FD69DDED}"/>
    <hyperlink ref="U748" r:id="rId744" display="../../../../../../:b:/r/teams/CTM-OTGentStad/Shared Documents/General/EAF/CSI(nieuwe sharepoint) 2025/6. Juni/EAF 5938 Gent 20062025 Nolf Phillipe 41721.pdf?csf=1&amp;web=1&amp;e=DUJa6T" xr:uid="{C1EBB23A-69CC-44FD-9488-9B3A37DA7A0C}"/>
    <hyperlink ref="U749" r:id="rId745" display="../../../../../../:b:/r/teams/CTM-OTGentStad/Shared Documents/General/EAF/CSI(nieuwe sharepoint) 2025/6. Juni/EAF 6364 halte Bernard Spaelaan Gent 20.06.2025 Abdulhamid Mohamed Yassin 36426.pdf?csf=1&amp;web=1&amp;e=Z89sCK" xr:uid="{09307F88-1EB0-41CE-9362-F3B9A7A51743}"/>
    <hyperlink ref="U750" r:id="rId746" display="../../../../../../:b:/r/teams/CTM-OTGentStad/Shared Documents/General/EAF/CSI(nieuwe sharepoint) 2025/6. Juni/EAF 5771 21062025 Gent 41690 Kelly Van De Winckel.pdf?csf=1&amp;web=1&amp;e=w6Wcfg" xr:uid="{C0A75340-A3D9-4E4E-868B-48C542808F34}"/>
    <hyperlink ref="U751" r:id="rId747" display="../../../../../../:b:/r/teams/CTM-OTGentStad/Shared Documents/General/EAF/CSI(nieuwe sharepoint) 2025/6. Juni/EAF 5911 Gent23062025 40478 Ali Mir Hashimi.pdf?csf=1&amp;web=1&amp;e=Zu8sGe" xr:uid="{A98E5DFE-C95B-4FD5-8C86-157CB74387A5}"/>
    <hyperlink ref="U752" r:id="rId748" display="../../../../../../:b:/r/teams/CTM-OTGentStad/Shared Documents/General/EAF/CSI(nieuwe sharepoint) 2025/6. Juni/EAF6341 20062025 Gent 26847 DAvid De Meester.pdf?csf=1&amp;web=1&amp;e=MoTS7i" xr:uid="{F67CF24F-16CC-45AB-A562-FB8A4AC3866D}"/>
    <hyperlink ref="U753" r:id="rId749" display="../../../../../../:b:/r/teams/CTM-OTGentStad/Shared Documents/General/EAF/CSI(nieuwe sharepoint) 2025/6. Juni/EAF 5235 Gent 25062025 40362 Cetin Keru.pdf?csf=1&amp;web=1&amp;e=chL3bd" xr:uid="{139E2E80-0C95-4F5C-88E1-467BCFA900F6}"/>
    <hyperlink ref="U754" r:id="rId750" display="../../../../../../:b:/r/teams/CTM-OTGentStad/Shared Documents/General/EAF/CSI(nieuwe sharepoint) 2025/6. Juni/EAF 5910 Gent 21062025 36624 Kurt De Meulenaere.pdf?csf=1&amp;web=1&amp;e=jv9aFX" xr:uid="{E5024C12-7C90-4DED-910A-6415F082B081}"/>
    <hyperlink ref="U755" r:id="rId751" display="../../../../../../:b:/r/teams/CTM-OTGentStad/Shared Documents/General/EAF/CSI(nieuwe sharepoint) 2025/6. Juni/EAF 6374 gent 06062025 36627 david dobbelaere.pdf?csf=1&amp;web=1&amp;e=HcQ1RY" xr:uid="{B8759E82-827E-44F3-BF10-9AC76BCEF345}"/>
    <hyperlink ref="U756" r:id="rId752" display="../../../../../../:b:/r/teams/CTM-OTGentStad/Shared Documents/General/EAF/CSI(nieuwe sharepoint) 2025/6. Juni/EAF 6339 Gent 24062025 38634.pdf?csf=1&amp;web=1&amp;e=FwI5Jm" xr:uid="{B2BED56D-A90A-4C2D-BA8D-94C9D64379D6}"/>
    <hyperlink ref="U757" r:id="rId753" display="https://delijn.sharepoint.com/:b:/r/teams/CTM-OTGentStad/Shared Documents/General/EAF/CSI(nieuwe sharepoint) 2025/6. Juni/EAF 28062025 Ozer Mesut.pdf?csf=1&amp;web=1&amp;e=NjfrJo" xr:uid="{B1745EE0-6ABC-411C-A496-B6233CC8B3F8}"/>
    <hyperlink ref="U758" r:id="rId754" display="https://delijn.sharepoint.com/:b:/r/teams/CTM-OTGentStad/Shared Documents/General/EAF/CSI(nieuwe sharepoint) 2025/6. Juni/EAF 5261 Gent 25062025 15412 Frank Dhond.pdf?csf=1&amp;web=1&amp;e=R03sGO" xr:uid="{EF98D8CF-0505-486C-9D22-39DE168FD02F}"/>
    <hyperlink ref="U759" r:id="rId755" display="../../../../../../:b:/r/teams/CTM-OTGentStad/Shared Documents/General/EAF/CSI(nieuwe sharepoint) 2025/7. Juli/EAF 6368 Gent 02072025 38648 Emin Uckuyulu.pdf?csf=1&amp;web=1&amp;e=SBstym" xr:uid="{95979718-A545-49FC-942A-BC3A6A4FFD8D}"/>
    <hyperlink ref="U760" r:id="rId756" display="../../../../../../:b:/r/teams/CTM-OTGentStad/Shared Documents/General/EAF/CSI(nieuwe sharepoint) 2025/7. Juli/EAF 6319 01072025 Gent 21509 Kris De Craemer.pdf?csf=1&amp;web=1&amp;e=AgZp30" xr:uid="{FEE2D0EE-947A-47A0-A158-2B50B99B29A3}"/>
    <hyperlink ref="U761" r:id="rId757" display="../../../../../../:b:/r/teams/CTM-OTGentStad/Shared Documents/General/EAF/CSI(nieuwe sharepoint) 2025/7. Juli/EAF 2195 Gent 01072025 4419 Eddy Maelbraecke.pdf?csf=1&amp;web=1&amp;e=SxEukA" xr:uid="{E1053B45-3363-450C-8D00-1F7D25D68DAE}"/>
    <hyperlink ref="U762" r:id="rId758" display="../../../../../../:b:/r/teams/CTM-OTGentStad/Shared Documents/General/EAF/CSI(nieuwe sharepoint) 2025/7. Juli/EAF 6362 Hundelgemsesteenweg-Bisschopstraat Ledeberg 02.07.2025 Hans De Tandt 37542.pdf?csf=1&amp;web=1&amp;e=mqLU77" xr:uid="{33B21BFA-E4DB-4CDB-933F-B3A9089FED66}"/>
    <hyperlink ref="U763" r:id="rId759" display="../../../../../../:b:/r/teams/CTM-OTGentStad/Shared Documents/General/EAF/CSI(nieuwe sharepoint) 2025/7. Juli/EAF 2193 EKE 03072025.pdf?csf=1&amp;web=1&amp;e=SRKFdu" xr:uid="{99513C75-44E0-417D-B31C-D37487428053}"/>
    <hyperlink ref="U764" r:id="rId760" display="../../../../../../:b:/r/teams/CTM-OTGentStad/Shared Documents/General/EAF/CSI(nieuwe sharepoint) 2025/7. Juli/EAF 6355 Gent 05072025 22416 Abdul Kadir Bicici.pdf?csf=1&amp;web=1&amp;e=yiuRwW" xr:uid="{51D63544-1428-484C-A644-5571E8EF0796}"/>
    <hyperlink ref="U765" r:id="rId761" display="../../../../../../:b:/r/teams/CTM-OTGentStad/Shared Documents/General/EAF/CSI(nieuwe sharepoint) 2025/7. Juli/EAF 2190 04072025 Gent 39660 Glenn Loyd.pdf?csf=1&amp;web=1&amp;e=EYTTyn" xr:uid="{3412D0D6-ADC5-4205-A7BD-88729CEB4095}"/>
    <hyperlink ref="U766" r:id="rId762" display="../../../../../../:b:/r/teams/CTM-OTGentStad/Shared Documents/General/EAF/CSI(nieuwe sharepoint) 2025/7. Juli/EAF 5046 04072025 Gent 28737 Mohamed El Mohamed.pdf?csf=1&amp;web=1&amp;e=BJjhEw" xr:uid="{165350EF-1AA0-4FB3-88FE-3DF48AED34DE}"/>
    <hyperlink ref="U767" r:id="rId763" display="../../../../../../:b:/r/teams/CTM-OTGentStad/Shared Documents/General/EAF/CSI(nieuwe sharepoint) 2025/6. Juni/EAF 6321 Zwijnaardsesteenweg Gent 20062025.pdf?csf=1&amp;web=1&amp;e=G28Fno" xr:uid="{A5C655DE-C958-41E1-A895-96554A183811}"/>
    <hyperlink ref="U768" r:id="rId764" display="../../../../../../:b:/r/teams/CTM-OTGentStad/Shared Documents/General/EAF/CSI(nieuwe sharepoint) 2025/6. Juni/EAF 5046 Morekstraat Wondelgem 29062025.pdf?csf=1&amp;web=1&amp;e=zkCUte" xr:uid="{CAF2BC59-8D18-465E-8A64-BC32B4664979}"/>
    <hyperlink ref="U769" r:id="rId765" display="../../../../../../:b:/r/teams/CTM-OTGentStad/Shared Documents/General/EAF/CSI(nieuwe sharepoint) 2025/7. Juli/EAF 5259 03072025 GENT 40745 Ivan Ivanov.pdf?csf=1&amp;web=1&amp;e=KlmnO4" xr:uid="{FDC3FE88-95A7-4808-831D-4C08CF2A2952}"/>
    <hyperlink ref="U770" r:id="rId766" display="../../../../../../:b:/r/teams/CTM-OTGentStad/Shared Documents/General/EAF/CSI(nieuwe sharepoint) 2025/6. Juni/EAF 5260 23062025 Gent 19917 Frank Vandevyvere.pdf?csf=1&amp;web=1&amp;e=qiVg3B" xr:uid="{E745B1FF-E47B-4F50-B40A-E3BF59225D1D}"/>
    <hyperlink ref="U771" r:id="rId767" display="../../../../../../:b:/r/teams/CTM-OTGentStad/Shared Documents/General/EAF/CSI(nieuwe sharepoint) 2025/7. Juli/EAF 5046 05072025 Gent 40939 Cisse Sayon.pdf?csf=1&amp;web=1&amp;e=3B0Dmr" xr:uid="{BE5C23AA-71C9-4573-B282-4297AF65A897}"/>
    <hyperlink ref="U772" r:id="rId768" display="../../../../../../:b:/r/teams/CTM-OTGentStad/Shared Documents/General/EAF/CSI(nieuwe sharepoint) 2025/6. Juni/EAF 5042 29062025 Gent 39850 William Helleput.pdf?csf=1&amp;web=1&amp;e=3wH0Ua" xr:uid="{D6605731-2C65-4FC6-8180-591405219CA5}"/>
    <hyperlink ref="U773" r:id="rId769" display="../../../../../../:b:/r/teams/CTM-OTGentStad/Shared Documents/General/EAF/CSI(nieuwe sharepoint) 2025/7. Juli/EAF 01072025 5264 Gent 32528 Abdelhak Benjalili.pdf?csf=1&amp;web=1&amp;e=RVHICn" xr:uid="{A06EF176-D02F-4687-A674-60ECB764F9AB}"/>
    <hyperlink ref="U774" r:id="rId770" display="../../../../../../:b:/r/teams/CTM-OTGentStad/Shared Documents/General/EAF/CSI(nieuwe sharepoint) 2025/7. Juli/EAF 6313 08072025 Gent 18987 De Geyter Dolly.pdf?csf=1&amp;web=1&amp;e=gjyBh3" xr:uid="{2BBDFF06-3ABB-49B4-9AD8-32B9675CFD9F}"/>
    <hyperlink ref="U775" r:id="rId771" display="../../../../../../:b:/r/teams/CTM-OTGentStad/Shared Documents/General/EAF/CSI(nieuwe sharepoint) 2025/7. Juli/EAF 2198 Gent 07062025 31776 Steve Famelaer.pdf?csf=1&amp;web=1&amp;e=6DMU6h" xr:uid="{39233989-B9E4-4D3A-B105-9F754BD19968}"/>
    <hyperlink ref="U776" r:id="rId772" display="../../../../../../:b:/r/teams/CTM-OTGentStad/Shared Documents/General/EAF/CSI(nieuwe sharepoint) 2025/7. Juli/EAF 5921 07072025 Gent 41859 Palit Ramazan.pdf?csf=1&amp;web=1&amp;e=Q9kzja" xr:uid="{2505DC77-3B6C-465A-BFFC-011A3CC8A980}"/>
    <hyperlink ref="U777" r:id="rId773" display="../../../../../../:b:/r/teams/CTM-OTGentStad/Shared Documents/General/EAF/CSI(nieuwe sharepoint) 2025/7. Juli/EAF 5486 09072025 Gent 37439 Mustafa Demirkazik.pdf?csf=1&amp;web=1&amp;e=XLl8Ke" xr:uid="{B5D84252-9D47-427C-AD98-058777775938}"/>
    <hyperlink ref="U778" r:id="rId774" display="../../../../../../:b:/r/teams/CTM-OTGentStad/Shared Documents/General/EAF/CSI(nieuwe sharepoint) 2025/7. Juli/EAF 2196 10072025 Gent.pdf?csf=1&amp;web=1&amp;e=Bq1P33" xr:uid="{6D11B542-42BE-42F0-9017-83DB8D686678}"/>
    <hyperlink ref="U779" r:id="rId775" display="https://delijn.sharepoint.com/:b:/r/teams/CTM-OTGentStad/Shared Documents/General/EAF/CSI(nieuwe sharepoint) 2025/7. Juli/EAF 6355 10072025 Gent 32002 Helmi Hasni.pdf?csf=1&amp;web=1&amp;e=muwk2T" xr:uid="{8E055670-ACEF-41AA-B047-1265FECAA2BA}"/>
    <hyperlink ref="U780" r:id="rId776" display="../../../../../../:p:/r/teams/CTM-OTGentStad/Shared Documents/General/EAF/CSI(nieuwe sharepoint) 2025/6. Juni/EAF 23062025 2269 Gent 38633.pptx?d=w6d67fc0bd38c4a6f97b72aa6a4a823ed&amp;csf=1&amp;web=1&amp;e=EvU7YK" xr:uid="{346A890C-554A-4E71-992E-A7872187D117}"/>
    <hyperlink ref="U781" r:id="rId777" display="../../../../../../:b:/r/teams/CTM-OTGentStad/Shared Documents/General/EAF/CSI(nieuwe sharepoint) 2025/7. Juli/EAF 5046 10072025 Gent 12684 Martine Vandenbossche.pdf?csf=1&amp;web=1&amp;e=ALg9A2" xr:uid="{1CA7C8AD-3994-451E-BD52-541D288ADDB4}"/>
    <hyperlink ref="U782" r:id="rId778" display="../../../../../../:b:/r/teams/CTM-OTGentStad/Shared Documents/General/EAF/CSI(nieuwe sharepoint) 2025/7. Juli/EAF 2189 09072025 Gent 22877Gunther Goossens.pdf?csf=1&amp;web=1&amp;e=SPf5Qn" xr:uid="{F696906C-6DCE-4653-9DCF-D4800D62CC35}"/>
    <hyperlink ref="U783" r:id="rId779" display="../../../../../../:b:/r/teams/CTM-OTGentStad/Shared Documents/General/EAF/CSI(nieuwe sharepoint) 2025/7. Juli/EAF 5772 09072025 Gent 4720 De Roo Jo.pdf?csf=1&amp;web=1&amp;e=IjQv3b" xr:uid="{B42818F6-679B-47C4-A75B-38FE31B5ED0D}"/>
    <hyperlink ref="U784" r:id="rId780" display="../../../../../../:b:/r/teams/CTM-OTGentStad/Shared Documents/General/EAF/CSI(nieuwe sharepoint) 2025/7. Juli/EAF 5915 10072025 Gent 40362 Kuru Centin.pdf?csf=1&amp;web=1&amp;e=iZaoKz" xr:uid="{71AEDD19-5E8B-47AF-8275-6681F0B321F0}"/>
    <hyperlink ref="U785" r:id="rId781" display="../../../../../../:b:/r/teams/CTM-OTGentStad/Shared Documents/General/EAF/CSI(nieuwe sharepoint) 2025/7. Juli/EAF 5763 13072025 Gent 36428 Rashid Abdi Shaiye.pdf?csf=1&amp;web=1&amp;e=12Oj4V" xr:uid="{85F4877B-46DF-428A-8F24-2E51A6E0A887}"/>
    <hyperlink ref="U786" r:id="rId782" display="../../../../../../:b:/r/teams/CTM-OTGentStad/Shared Documents/General/EAF/CSI(nieuwe sharepoint) 2025/7. Juli/EAF 5043 12072025 Gent 40856 Neissi Sadegh.pdf?csf=1&amp;web=1&amp;e=x65hSS" xr:uid="{48F9BC20-F20B-478B-A3B3-E07F4F1EC379}"/>
    <hyperlink ref="U787" r:id="rId783" display="../../../../../../:b:/r/teams/CTM-OTGentStad/Shared Documents/General/EAF/CSI(nieuwe sharepoint) 2025/7. Juli/EAF 6353 14072025 Gent 36577 Martine Desmet.pdf?csf=1&amp;web=1&amp;e=gKNdbT" xr:uid="{071C9E6D-8BFB-49FB-98A7-ECF93E851BD5}"/>
    <hyperlink ref="U788" r:id="rId784" display="../../../../../../:b:/r/teams/CTM-OTGentStad/Shared Documents/General/EAF/CSI(nieuwe sharepoint) 2025/7. Juli/EAF 5044 Hagelandkaai Gent 15072025.pdf?csf=1&amp;web=1&amp;e=O2LfFe" xr:uid="{5B5ECAFB-BE83-46D4-9ADB-A0B429D4442B}"/>
    <hyperlink ref="U789" r:id="rId785" display="../../../../../../:b:/r/teams/CTM-OTGentStad/Shared Documents/General/EAF/CSI(nieuwe sharepoint) 2025/7. Juli/EAF 6375 Vlaanderenstraat Gent 15.07.2025 Patricia Desmet 39529.pdf?csf=1&amp;web=1&amp;e=yqbb44" xr:uid="{900D8403-E4AF-4EC0-AD91-F7F2DAFE6C0C}"/>
    <hyperlink ref="U790" r:id="rId786" display="../../../../../../:b:/r/teams/CTM-OTGentStad/Shared Documents/General/EAF/CSI(nieuwe sharepoint) 2025/7. Juli/EAF 5231 Dampoort Dendermondsesteenweg Gent 15-07-2025 Frank Vandevyvere 19917.pdf?csf=1&amp;web=1&amp;e=g6GJiC" xr:uid="{568C3E6E-FCFE-488D-8855-F5805EE8AD54}"/>
    <hyperlink ref="U791" r:id="rId787" display="../../../../../../:b:/r/teams/CTM-OTGentStad/Shared Documents/General/EAF/CSI(nieuwe sharepoint) 2025/6. Juni/EAF 5047 Gent 29062025 40223 Teetaert Billy.pdf?csf=1&amp;web=1&amp;e=JwU8L4" xr:uid="{EB3DF7F6-18D8-43C4-BF4A-68984D95A67E}"/>
    <hyperlink ref="U792" r:id="rId788" display="../../../../../../:b:/r/teams/CTM-OTGentStad/Shared Documents/General/EAF/CSI(nieuwe sharepoint) 2025/7. Juli/EAF 2807 16072025 Gent 30271 Jeroen Bracke.pdf?csf=1&amp;web=1&amp;e=LC3Po7" xr:uid="{3B0AAC62-E8D6-4721-8F14-85AEDE7274EF}"/>
    <hyperlink ref="U793" r:id="rId789" display="../../../../../../:b:/r/teams/CTM-OTGentStad/Shared Documents/General/EAF/CSI(nieuwe sharepoint) 2025/7. Juli/EAF 6331 Gent 24072025 11213 De Plus Gunther.pdf?csf=1&amp;web=1&amp;e=2r13hH" xr:uid="{07FD5B51-8B64-4AD6-8B3F-EC1DFB46963A}"/>
    <hyperlink ref="U794" r:id="rId790" display="../../../../../../:b:/r/teams/CTM-OTGentStad/Shared Documents/General/EAF/CSI(nieuwe sharepoint) 2025/7. Juli/EAF 5260 23072025 39581 Linus Vandenhoutte.pdf?csf=1&amp;web=1&amp;e=PfmlvZ" xr:uid="{ABF571D9-B437-497E-B979-4AE1F8ADE83C}"/>
    <hyperlink ref="U795" r:id="rId791" display="../../../../../../:b:/r/teams/CTM-OTGentStad/Shared Documents/General/EAF/CSI(nieuwe sharepoint) 2025/7. Juli/EAF 5041 Gent 25072025 12819 David Van Eename.pdf?csf=1&amp;web=1&amp;e=iWH3Dd" xr:uid="{50F57AC4-75FE-431F-A77F-776CFCDE27A7}"/>
    <hyperlink ref="U796" r:id="rId792" display="../../../../../../:b:/r/teams/CTM-OTGentStad/Shared Documents/General/EAF/CSI(nieuwe sharepoint) 2025/7. Juli/EAF 5911 Gent 13072025 37936 Detaeye Alexander.pdf?csf=1&amp;web=1&amp;e=a7T8ZV" xr:uid="{90D8713E-E2E5-4465-8897-F1FFF0A10C8E}"/>
    <hyperlink ref="U797" r:id="rId793" display="../../../../../../:b:/r/teams/CTM-OTGentStad/Shared Documents/General/EAF/CSI(nieuwe sharepoint) 2025/7. Juli/EAF 5767 GEnt 26072025 41384 Thimo Hillaert.pdf?csf=1&amp;web=1&amp;e=8yhoPZ" xr:uid="{F1252326-F904-4CDF-A844-EBE7743D85B2}"/>
    <hyperlink ref="U798" r:id="rId794" display="../../../../../../:b:/r/teams/CTM-OTGentStad/Shared Documents/General/EAF/CSI(nieuwe sharepoint) 2025/7. Juli/EAF 5933 Gent 24072025 23918 Bernard Dhaeyere.pdf?csf=1&amp;web=1&amp;e=AK8Ac4" xr:uid="{E355668D-1730-4A99-8D71-4DBBE414DFDE}"/>
    <hyperlink ref="U799" r:id="rId795" display="../../../../../../:b:/r/teams/CTM-OTGentStad/Shared Documents/General/EAF/CSI(nieuwe sharepoint) 2025/7. Juli/EAF 5924 Gent 24072025 42007 Kevin bogaert.pdf?csf=1&amp;web=1&amp;e=924MIp" xr:uid="{F0281858-B0CD-40EA-93D0-A2F60268CD1C}"/>
    <hyperlink ref="U800" r:id="rId796" display="../../../../../../:b:/r/teams/CTM-OTGentStad/Shared Documents/General/EAF/CSI(nieuwe sharepoint) 2025/7. Juli/EAF 5266 Brugsepoort Gent 19072025.pdf?csf=1&amp;web=1&amp;e=Id9Pcy" xr:uid="{F54093D0-1DC6-45F2-B663-7D9FB5AD2E23}"/>
    <hyperlink ref="U801" r:id="rId797" display="../../../../../../:b:/r/teams/CTM-OTGentStad/Shared Documents/General/EAF/CSI(nieuwe sharepoint) 2025/7. Juli/EAF 2269 Dendermondsesteenweg Destelbergen 23062025.pdf?csf=1&amp;web=1&amp;e=IgkD1L" xr:uid="{FD2BD2C5-7922-47A8-99D8-53746F35388D}"/>
    <hyperlink ref="U802" r:id="rId798" display="../../../../../../:b:/r/teams/CTM-OTGentStad/Shared Documents/General/EAF/CSI(nieuwe sharepoint) 2025/7. Juli/EAF 2192 28072025 Gent.pdf?csf=1&amp;web=1&amp;e=UsUohr" xr:uid="{842D6684-6951-4CCC-A395-467A381B98ED}"/>
    <hyperlink ref="U803" r:id="rId799" display="../../../../../../:b:/r/teams/CTM-OTGentStad/Shared Documents/General/EAF/CSI(nieuwe sharepoint) 2025/7. Juli/EAF 6325 Gent 29072025 20653 Mestdag.pdf?csf=1&amp;web=1&amp;e=wqwRr0" xr:uid="{AA3D6465-70B9-425B-8AEB-B489B201B063}"/>
    <hyperlink ref="U804" r:id="rId800" display="../../../../../../:b:/r/teams/CTM-OTGentStad/Shared Documents/General/EAF/CSI(nieuwe sharepoint) 2025/7. Juli/EAF 6337 Gent 30072025 10782 Ina De Kee.pdf?csf=1&amp;web=1&amp;e=b8ZwJS" xr:uid="{7E347ACC-6978-445C-975B-A27F037EDBF7}"/>
    <hyperlink ref="U805" r:id="rId801" display="../../../../../../:b:/r/teams/CTM-OTGentStad/Shared Documents/General/EAF/CSI(nieuwe sharepoint) 2025/7. Juli/EAF 6359 Gent 25072025 18051 Filip Van wittenberge.pdf?csf=1&amp;web=1&amp;e=clwgVG" xr:uid="{78D92F30-C6D8-46ED-9368-24CB37057DC3}"/>
    <hyperlink ref="U806" r:id="rId802" display="../../../../../../:b:/r/teams/CTM-OTGentStad/Shared Documents/General/EAF/CSI(nieuwe sharepoint) 2025/7. Juli/EAF 5046 23072025 Gent 41162 Jeroen Hoeckman.pdf?csf=1&amp;web=1&amp;e=dnUF5Z" xr:uid="{EE35989A-8A80-47EB-BCFB-BBA06A3CD8F0}"/>
    <hyperlink ref="U807" r:id="rId803" xr:uid="{150DA4FD-1711-4867-B634-D05F4AEFF1A7}"/>
    <hyperlink ref="U808" r:id="rId804" display="../../../../../../:b:/r/teams/CTM-OTGentStad/Shared Documents/General/EAF/CSI(nieuwe sharepoint) 2025/8. Augustus/EAF 5915 Rooigemlaan Gent 02082025 40138 Tjimmy Moerman.pdf?csf=1&amp;web=1&amp;e=VoqVnX" xr:uid="{43479FC7-65F2-46E4-B1D8-A7260C8DC899}"/>
  </hyperlinks>
  <pageMargins left="0.7" right="0.7" top="0.75" bottom="0.75" header="0.3" footer="0.3"/>
  <pageSetup paperSize="9" orientation="portrait" verticalDpi="0" r:id="rId805"/>
  <drawing r:id="rId806"/>
  <tableParts count="1">
    <tablePart r:id="rId80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.109375" customWidth="1"/>
    <col min="2" max="2" width="37.5546875" hidden="1" customWidth="1"/>
    <col min="3" max="3" width="13.6640625" customWidth="1"/>
    <col min="4" max="4" width="20.44140625" customWidth="1"/>
    <col min="5" max="5" width="19.6640625" bestFit="1" customWidth="1"/>
    <col min="6" max="6" width="9.44140625" bestFit="1" customWidth="1"/>
  </cols>
  <sheetData>
    <row r="1" spans="1:6" x14ac:dyDescent="0.3">
      <c r="A1" t="s">
        <v>399</v>
      </c>
      <c r="B1" t="s">
        <v>400</v>
      </c>
      <c r="C1" t="s">
        <v>401</v>
      </c>
      <c r="D1" t="s">
        <v>402</v>
      </c>
      <c r="E1" t="s">
        <v>403</v>
      </c>
      <c r="F1" t="s">
        <v>1162</v>
      </c>
    </row>
    <row r="2" spans="1:6" x14ac:dyDescent="0.3">
      <c r="A2">
        <v>39929</v>
      </c>
      <c r="B2" t="str">
        <f>_xlfn.CONCAT(Tabel1[[#This Row],[personeelsnr]]," ",C2," ",D2)</f>
        <v>9999 chauffeur uit</v>
      </c>
      <c r="C2" t="str">
        <f>VLOOKUP(Tabel1[[#This Row],[personeelsnr]],'data hastus'!$A:$C,2,0)</f>
        <v>chauffeur</v>
      </c>
      <c r="D2" t="str">
        <f>VLOOKUP(Tabel1[[#This Row],[personeelsnr]],'data hastus'!$A:$C,3,0)</f>
        <v>uit</v>
      </c>
      <c r="E2" t="str">
        <f>VLOOKUP(Tabel1[[#This Row],[personeelsnr]],'data hastus'!A:K,11,FALSE)</f>
        <v>dienst</v>
      </c>
      <c r="F2">
        <v>8</v>
      </c>
    </row>
    <row r="3" spans="1:6" x14ac:dyDescent="0.3">
      <c r="A3">
        <v>36626</v>
      </c>
      <c r="B3" t="str">
        <f>_xlfn.CONCAT(Tabel1[[#This Row],[personeelsnr]]," ",C3," ",D3)</f>
        <v>34328 Kerremans Jürgen</v>
      </c>
      <c r="C3" t="str">
        <f>VLOOKUP(Tabel1[[#This Row],[personeelsnr]],'data hastus'!$A:$C,2,0)</f>
        <v>Kerremans</v>
      </c>
      <c r="D3" t="str">
        <f>VLOOKUP(Tabel1[[#This Row],[personeelsnr]],'data hastus'!$A:$C,3,0)</f>
        <v>Jürgen</v>
      </c>
      <c r="E3" t="str">
        <f>VLOOKUP(Tabel1[[#This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1163</v>
      </c>
      <c r="C4" t="s">
        <v>1164</v>
      </c>
      <c r="D4" t="s">
        <v>1164</v>
      </c>
      <c r="E4" t="s">
        <v>1165</v>
      </c>
      <c r="F4">
        <v>7</v>
      </c>
    </row>
    <row r="5" spans="1:6" x14ac:dyDescent="0.3">
      <c r="A5">
        <v>38931</v>
      </c>
      <c r="B5" t="str">
        <f>_xlfn.CONCAT(Tabel1[[#This Row],[personeelsnr]]," ",C5," ",D5)</f>
        <v>38346 Van Cleemputte Thibeaux</v>
      </c>
      <c r="C5" t="str">
        <f>VLOOKUP(Tabel1[[#This Row],[personeelsnr]],'data hastus'!$A:$C,2,0)</f>
        <v>Van Cleemputte</v>
      </c>
      <c r="D5" t="str">
        <f>VLOOKUP(Tabel1[[#This Row],[personeelsnr]],'data hastus'!$A:$C,3,0)</f>
        <v>Thibeaux</v>
      </c>
      <c r="E5" t="str">
        <f>VLOOKUP(Tabel1[[#This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_xlfn.CONCAT(Tabel1[[#This Row],[personeelsnr]]," ",C6," ",D6)</f>
        <v>31111 Bonne Niko</v>
      </c>
      <c r="C6" t="str">
        <f>VLOOKUP(Tabel1[[#This Row],[personeelsnr]],'data hastus'!$A:$C,2,0)</f>
        <v>Bonne</v>
      </c>
      <c r="D6" t="str">
        <f>VLOOKUP(Tabel1[[#This Row],[personeelsnr]],'data hastus'!$A:$C,3,0)</f>
        <v>Niko</v>
      </c>
      <c r="E6" t="str">
        <f>VLOOKUP(Tabel1[[#This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_xlfn.CONCAT(Tabel1[[#This Row],[personeelsnr]]," ",C7," ",D7)</f>
        <v>37313 Dedeci Mecit</v>
      </c>
      <c r="C7" t="str">
        <f>VLOOKUP(Tabel1[[#This Row],[personeelsnr]],'data hastus'!$A:$C,2,0)</f>
        <v>Dedeci</v>
      </c>
      <c r="D7" t="str">
        <f>VLOOKUP(Tabel1[[#This Row],[personeelsnr]],'data hastus'!$A:$C,3,0)</f>
        <v>Mecit</v>
      </c>
      <c r="E7" t="str">
        <f>VLOOKUP(Tabel1[[#This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_xlfn.CONCAT(Tabel1[[#This Row],[personeelsnr]]," ",C8," ",D8)</f>
        <v>37808 Gök Mustafa</v>
      </c>
      <c r="C8" t="str">
        <f>VLOOKUP(Tabel1[[#This Row],[personeelsnr]],'data hastus'!$A:$C,2,0)</f>
        <v>Gök</v>
      </c>
      <c r="D8" t="str">
        <f>VLOOKUP(Tabel1[[#This Row],[personeelsnr]],'data hastus'!$A:$C,3,0)</f>
        <v>Mustafa</v>
      </c>
      <c r="E8" t="str">
        <f>VLOOKUP(Tabel1[[#This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_xlfn.CONCAT(Tabel1[[#This Row],[personeelsnr]]," ",C9," ",D9)</f>
        <v>39183 Al Masri Anas</v>
      </c>
      <c r="C9" t="str">
        <f>VLOOKUP(Tabel1[[#This Row],[personeelsnr]],'data hastus'!$A:$C,2,0)</f>
        <v>Al Masri</v>
      </c>
      <c r="D9" t="str">
        <f>VLOOKUP(Tabel1[[#This Row],[personeelsnr]],'data hastus'!$A:$C,3,0)</f>
        <v>Anas</v>
      </c>
      <c r="E9" t="str">
        <f>VLOOKUP(Tabel1[[#This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_xlfn.CONCAT(Tabel1[[#This Row],[personeelsnr]]," ",C10," ",D10)</f>
        <v>39145 Landoulsi Sabeur</v>
      </c>
      <c r="C10" t="str">
        <f>VLOOKUP(Tabel1[[#This Row],[personeelsnr]],'data hastus'!$A:$C,2,0)</f>
        <v>Landoulsi</v>
      </c>
      <c r="D10" t="str">
        <f>VLOOKUP(Tabel1[[#This Row],[personeelsnr]],'data hastus'!$A:$C,3,0)</f>
        <v>Sabeur</v>
      </c>
      <c r="E10" t="str">
        <f>VLOOKUP(Tabel1[[#This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_xlfn.CONCAT(Tabel1[[#This Row],[personeelsnr]]," ",C11," ",D11)</f>
        <v>17566 Praet Reginald</v>
      </c>
      <c r="C11" t="str">
        <f>VLOOKUP(Tabel1[[#This Row],[personeelsnr]],'data hastus'!$A:$C,2,0)</f>
        <v>Praet</v>
      </c>
      <c r="D11" t="str">
        <f>VLOOKUP(Tabel1[[#This Row],[personeelsnr]],'data hastus'!$A:$C,3,0)</f>
        <v>Reginald</v>
      </c>
      <c r="E11" t="str">
        <f>VLOOKUP(Tabel1[[#This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_xlfn.CONCAT(Tabel1[[#This Row],[personeelsnr]]," ",C12," ",D12)</f>
        <v>38634 Asskale Zouhir</v>
      </c>
      <c r="C12" t="str">
        <f>VLOOKUP(Tabel1[[#This Row],[personeelsnr]],'data hastus'!$A:$C,2,0)</f>
        <v>Asskale</v>
      </c>
      <c r="D12" t="str">
        <f>VLOOKUP(Tabel1[[#This Row],[personeelsnr]],'data hastus'!$A:$C,3,0)</f>
        <v>Zouhir</v>
      </c>
      <c r="E12" t="str">
        <f>VLOOKUP(Tabel1[[#This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_xlfn.CONCAT(Tabel1[[#This Row],[personeelsnr]]," ",C13," ",D13)</f>
        <v>15282 Marinx Kristoff</v>
      </c>
      <c r="C13" t="str">
        <f>VLOOKUP(Tabel1[[#This Row],[personeelsnr]],'data hastus'!$A:$C,2,0)</f>
        <v>Marinx</v>
      </c>
      <c r="D13" t="str">
        <f>VLOOKUP(Tabel1[[#This Row],[personeelsnr]],'data hastus'!$A:$C,3,0)</f>
        <v>Kristoff</v>
      </c>
      <c r="E13" t="str">
        <f>VLOOKUP(Tabel1[[#This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str">
        <f>_xlfn.CONCAT(Tabel1[[#This Row],[personeelsnr]]," ",C14," ",D14)</f>
        <v>9999 chauffeur uit</v>
      </c>
      <c r="C14" t="str">
        <f>VLOOKUP(Tabel1[[#This Row],[personeelsnr]],'data hastus'!$A:$C,2,0)</f>
        <v>chauffeur</v>
      </c>
      <c r="D14" t="str">
        <f>VLOOKUP(Tabel1[[#This Row],[personeelsnr]],'data hastus'!$A:$C,3,0)</f>
        <v>uit</v>
      </c>
      <c r="E14" t="str">
        <f>VLOOKUP(Tabel1[[#This Row],[personeelsnr]],'data hastus'!A:K,11,FALSE)</f>
        <v>dienst</v>
      </c>
      <c r="F14">
        <v>5</v>
      </c>
    </row>
    <row r="15" spans="1:6" x14ac:dyDescent="0.3">
      <c r="A15">
        <v>37662</v>
      </c>
      <c r="B15" t="str">
        <f>_xlfn.CONCAT(Tabel1[[#This Row],[personeelsnr]]," ",C15," ",D15)</f>
        <v>9999 chauffeur uit</v>
      </c>
      <c r="C15" t="str">
        <f>VLOOKUP(Tabel1[[#This Row],[personeelsnr]],'data hastus'!$A:$C,2,0)</f>
        <v>chauffeur</v>
      </c>
      <c r="D15" t="str">
        <f>VLOOKUP(Tabel1[[#This Row],[personeelsnr]],'data hastus'!$A:$C,3,0)</f>
        <v>uit</v>
      </c>
      <c r="E15" t="str">
        <f>VLOOKUP(Tabel1[[#This Row],[personeelsnr]],'data hastus'!A:K,11,FALSE)</f>
        <v>dienst</v>
      </c>
      <c r="F15">
        <v>4</v>
      </c>
    </row>
    <row r="16" spans="1:6" x14ac:dyDescent="0.3">
      <c r="A16">
        <v>39358</v>
      </c>
      <c r="B16" t="str">
        <f>_xlfn.CONCAT(Tabel1[[#This Row],[personeelsnr]]," ",C16," ",D16)</f>
        <v>19917 Vandevyvere Frank</v>
      </c>
      <c r="C16" t="str">
        <f>VLOOKUP(Tabel1[[#This Row],[personeelsnr]],'data hastus'!$A:$C,2,0)</f>
        <v>Vandevyvere</v>
      </c>
      <c r="D16" t="str">
        <f>VLOOKUP(Tabel1[[#This Row],[personeelsnr]],'data hastus'!$A:$C,3,0)</f>
        <v>Frank</v>
      </c>
      <c r="E16" t="str">
        <f>VLOOKUP(Tabel1[[#This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_xlfn.CONCAT(Tabel1[[#This Row],[personeelsnr]]," ",C17," ",D17)</f>
        <v>36626 Kartal Kadir</v>
      </c>
      <c r="C17" t="str">
        <f>VLOOKUP(Tabel1[[#This Row],[personeelsnr]],'data hastus'!$A:$C,2,0)</f>
        <v>Kartal</v>
      </c>
      <c r="D17" t="str">
        <f>VLOOKUP(Tabel1[[#This Row],[personeelsnr]],'data hastus'!$A:$C,3,0)</f>
        <v>Kadir</v>
      </c>
      <c r="E17" t="str">
        <f>VLOOKUP(Tabel1[[#This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_xlfn.CONCAT(Tabel1[[#This Row],[personeelsnr]]," ",C18," ",D18)</f>
        <v>39859 Costers Kelly</v>
      </c>
      <c r="C18" t="str">
        <f>VLOOKUP(Tabel1[[#This Row],[personeelsnr]],'data hastus'!$A:$C,2,0)</f>
        <v>Costers</v>
      </c>
      <c r="D18" t="str">
        <f>VLOOKUP(Tabel1[[#This Row],[personeelsnr]],'data hastus'!$A:$C,3,0)</f>
        <v>Kelly</v>
      </c>
      <c r="E18" t="str">
        <f>VLOOKUP(Tabel1[[#This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_xlfn.CONCAT(Tabel1[[#This Row],[personeelsnr]]," ",C19," ",D19)</f>
        <v>38931 Sancak Eyuphan</v>
      </c>
      <c r="C19" t="str">
        <f>VLOOKUP(Tabel1[[#This Row],[personeelsnr]],'data hastus'!$A:$C,2,0)</f>
        <v>Sancak</v>
      </c>
      <c r="D19" t="str">
        <f>VLOOKUP(Tabel1[[#This Row],[personeelsnr]],'data hastus'!$A:$C,3,0)</f>
        <v>Eyuphan</v>
      </c>
      <c r="E19" t="str">
        <f>VLOOKUP(Tabel1[[#This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_xlfn.CONCAT(Tabel1[[#This Row],[personeelsnr]]," ",C20," ",D20)</f>
        <v>38579 Haaze Sven</v>
      </c>
      <c r="C20" t="str">
        <f>VLOOKUP(Tabel1[[#This Row],[personeelsnr]],'data hastus'!$A:$C,2,0)</f>
        <v>Haaze</v>
      </c>
      <c r="D20" t="str">
        <f>VLOOKUP(Tabel1[[#This Row],[personeelsnr]],'data hastus'!$A:$C,3,0)</f>
        <v>Sven</v>
      </c>
      <c r="E20" t="str">
        <f>VLOOKUP(Tabel1[[#This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_xlfn.CONCAT(Tabel1[[#This Row],[personeelsnr]]," ",C21," ",D21)</f>
        <v>39019 De taeye Kelly</v>
      </c>
      <c r="C21" t="str">
        <f>VLOOKUP(Tabel1[[#This Row],[personeelsnr]],'data hastus'!$A:$C,2,0)</f>
        <v>De taeye</v>
      </c>
      <c r="D21" t="str">
        <f>VLOOKUP(Tabel1[[#This Row],[personeelsnr]],'data hastus'!$A:$C,3,0)</f>
        <v>Kelly</v>
      </c>
      <c r="E21" t="str">
        <f>VLOOKUP(Tabel1[[#This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_xlfn.CONCAT(Tabel1[[#This Row],[personeelsnr]]," ",C22," ",D22)</f>
        <v>39673 Steurbaut Henri</v>
      </c>
      <c r="C22" t="str">
        <f>VLOOKUP(Tabel1[[#This Row],[personeelsnr]],'data hastus'!$A:$C,2,0)</f>
        <v>Steurbaut</v>
      </c>
      <c r="D22" t="str">
        <f>VLOOKUP(Tabel1[[#This Row],[personeelsnr]],'data hastus'!$A:$C,3,0)</f>
        <v>Henri</v>
      </c>
      <c r="E22" t="str">
        <f>VLOOKUP(Tabel1[[#This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_xlfn.CONCAT(Tabel1[[#This Row],[personeelsnr]]," ",C23," ",D23)</f>
        <v>36627 Dobbelaere David</v>
      </c>
      <c r="C23" t="str">
        <f>VLOOKUP(Tabel1[[#This Row],[personeelsnr]],'data hastus'!$A:$C,2,0)</f>
        <v>Dobbelaere</v>
      </c>
      <c r="D23" t="str">
        <f>VLOOKUP(Tabel1[[#This Row],[personeelsnr]],'data hastus'!$A:$C,3,0)</f>
        <v>David</v>
      </c>
      <c r="E23" t="str">
        <f>VLOOKUP(Tabel1[[#This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_xlfn.CONCAT(Tabel1[[#This Row],[personeelsnr]]," ",C24," ",D24)</f>
        <v>31668 Weemhof Maurice</v>
      </c>
      <c r="C24" t="str">
        <f>VLOOKUP(Tabel1[[#This Row],[personeelsnr]],'data hastus'!$A:$C,2,0)</f>
        <v>Weemhof</v>
      </c>
      <c r="D24" t="str">
        <f>VLOOKUP(Tabel1[[#This Row],[personeelsnr]],'data hastus'!$A:$C,3,0)</f>
        <v>Maurice</v>
      </c>
      <c r="E24" t="str">
        <f>VLOOKUP(Tabel1[[#This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str">
        <f>_xlfn.CONCAT(Tabel1[[#This Row],[personeelsnr]]," ",C25," ",D25)</f>
        <v>9999 chauffeur uit</v>
      </c>
      <c r="C25" t="str">
        <f>VLOOKUP(Tabel1[[#This Row],[personeelsnr]],'data hastus'!$A:$C,2,0)</f>
        <v>chauffeur</v>
      </c>
      <c r="D25" t="str">
        <f>VLOOKUP(Tabel1[[#This Row],[personeelsnr]],'data hastus'!$A:$C,3,0)</f>
        <v>uit</v>
      </c>
      <c r="E25" t="str">
        <f>VLOOKUP(Tabel1[[#This Row],[personeelsnr]],'data hastus'!A:K,11,FALSE)</f>
        <v>dienst</v>
      </c>
      <c r="F25">
        <v>3</v>
      </c>
    </row>
    <row r="26" spans="1:6" x14ac:dyDescent="0.3">
      <c r="A26">
        <v>40223</v>
      </c>
      <c r="B26" t="str">
        <f>_xlfn.CONCAT(Tabel1[[#This Row],[personeelsnr]]," ",C26," ",D26)</f>
        <v>9999 chauffeur uit</v>
      </c>
      <c r="C26" t="str">
        <f>VLOOKUP(Tabel1[[#This Row],[personeelsnr]],'data hastus'!$A:$C,2,0)</f>
        <v>chauffeur</v>
      </c>
      <c r="D26" t="str">
        <f>VLOOKUP(Tabel1[[#This Row],[personeelsnr]],'data hastus'!$A:$C,3,0)</f>
        <v>uit</v>
      </c>
      <c r="E26" t="str">
        <f>VLOOKUP(Tabel1[[#This Row],[personeelsnr]],'data hastus'!A:K,11,FALSE)</f>
        <v>dienst</v>
      </c>
      <c r="F26">
        <v>3</v>
      </c>
    </row>
    <row r="27" spans="1:6" x14ac:dyDescent="0.3">
      <c r="A27">
        <v>40266</v>
      </c>
      <c r="B27" t="str">
        <f>_xlfn.CONCAT(Tabel1[[#This Row],[personeelsnr]]," ",C27," ",D27)</f>
        <v>5063 Merre Bart</v>
      </c>
      <c r="C27" t="str">
        <f>VLOOKUP(Tabel1[[#This Row],[personeelsnr]],'data hastus'!$A:$C,2,0)</f>
        <v>Merre</v>
      </c>
      <c r="D27" t="str">
        <f>VLOOKUP(Tabel1[[#This Row],[personeelsnr]],'data hastus'!$A:$C,3,0)</f>
        <v>Bart</v>
      </c>
      <c r="E27" t="str">
        <f>VLOOKUP(Tabel1[[#This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str">
        <f>_xlfn.CONCAT(Tabel1[[#This Row],[personeelsnr]]," ",C28," ",D28)</f>
        <v>9999 chauffeur uit</v>
      </c>
      <c r="C28" t="str">
        <f>VLOOKUP(Tabel1[[#This Row],[personeelsnr]],'data hastus'!$A:$C,2,0)</f>
        <v>chauffeur</v>
      </c>
      <c r="D28" t="str">
        <f>VLOOKUP(Tabel1[[#This Row],[personeelsnr]],'data hastus'!$A:$C,3,0)</f>
        <v>uit</v>
      </c>
      <c r="E28" t="str">
        <f>VLOOKUP(Tabel1[[#This Row],[personeelsnr]],'data hastus'!A:K,11,FALSE)</f>
        <v>dienst</v>
      </c>
      <c r="F28">
        <v>2</v>
      </c>
    </row>
    <row r="29" spans="1:6" x14ac:dyDescent="0.3">
      <c r="A29">
        <v>37439</v>
      </c>
      <c r="B29" t="str">
        <f>_xlfn.CONCAT(Tabel1[[#This Row],[personeelsnr]]," ",C29," ",D29)</f>
        <v>36626 Kartal Kadir</v>
      </c>
      <c r="C29" t="str">
        <f>VLOOKUP(Tabel1[[#This Row],[personeelsnr]],'data hastus'!$A:$C,2,0)</f>
        <v>Kartal</v>
      </c>
      <c r="D29" t="str">
        <f>VLOOKUP(Tabel1[[#This Row],[personeelsnr]],'data hastus'!$A:$C,3,0)</f>
        <v>Kadir</v>
      </c>
      <c r="E29" t="str">
        <f>VLOOKUP(Tabel1[[#This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_xlfn.CONCAT(Tabel1[[#This Row],[personeelsnr]]," ",C30," ",D30)</f>
        <v>34445 Wulleput Illya</v>
      </c>
      <c r="C30" t="str">
        <f>VLOOKUP(Tabel1[[#This Row],[personeelsnr]],'data hastus'!$A:$C,2,0)</f>
        <v>Wulleput</v>
      </c>
      <c r="D30" t="str">
        <f>VLOOKUP(Tabel1[[#This Row],[personeelsnr]],'data hastus'!$A:$C,3,0)</f>
        <v>Illya</v>
      </c>
      <c r="E30" t="str">
        <f>VLOOKUP(Tabel1[[#This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_xlfn.CONCAT(Tabel1[[#This Row],[personeelsnr]]," ",C31," ",D31)</f>
        <v>20404 Vranken Kenneth</v>
      </c>
      <c r="C31" t="str">
        <f>VLOOKUP(Tabel1[[#This Row],[personeelsnr]],'data hastus'!$A:$C,2,0)</f>
        <v>Vranken</v>
      </c>
      <c r="D31" t="str">
        <f>VLOOKUP(Tabel1[[#This Row],[personeelsnr]],'data hastus'!$A:$C,3,0)</f>
        <v>Kenneth</v>
      </c>
      <c r="E31" t="str">
        <f>VLOOKUP(Tabel1[[#This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_xlfn.CONCAT(Tabel1[[#This Row],[personeelsnr]]," ",C32," ",D32)</f>
        <v>31731 Dedapper Marijke</v>
      </c>
      <c r="C32" t="str">
        <f>VLOOKUP(Tabel1[[#This Row],[personeelsnr]],'data hastus'!$A:$C,2,0)</f>
        <v>Dedapper</v>
      </c>
      <c r="D32" t="str">
        <f>VLOOKUP(Tabel1[[#This Row],[personeelsnr]],'data hastus'!$A:$C,3,0)</f>
        <v>Marijke</v>
      </c>
      <c r="E32" t="str">
        <f>VLOOKUP(Tabel1[[#This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_xlfn.CONCAT(Tabel1[[#This Row],[personeelsnr]]," ",C33," ",D33)</f>
        <v>37543 Öztürk Bilgehan</v>
      </c>
      <c r="C33" t="str">
        <f>VLOOKUP(Tabel1[[#This Row],[personeelsnr]],'data hastus'!$A:$C,2,0)</f>
        <v>Öztürk</v>
      </c>
      <c r="D33" t="str">
        <f>VLOOKUP(Tabel1[[#This Row],[personeelsnr]],'data hastus'!$A:$C,3,0)</f>
        <v>Bilgehan</v>
      </c>
      <c r="E33" t="str">
        <f>VLOOKUP(Tabel1[[#This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_xlfn.CONCAT(Tabel1[[#This Row],[personeelsnr]]," ",C34," ",D34)</f>
        <v>15628 Wulfranck Dominique</v>
      </c>
      <c r="C34" t="str">
        <f>VLOOKUP(Tabel1[[#This Row],[personeelsnr]],'data hastus'!$A:$C,2,0)</f>
        <v>Wulfranck</v>
      </c>
      <c r="D34" t="str">
        <f>VLOOKUP(Tabel1[[#This Row],[personeelsnr]],'data hastus'!$A:$C,3,0)</f>
        <v>Dominique</v>
      </c>
      <c r="E34" t="str">
        <f>VLOOKUP(Tabel1[[#This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_xlfn.CONCAT(Tabel1[[#This Row],[personeelsnr]]," ",C35," ",D35)</f>
        <v>31733 Sonck Kristof</v>
      </c>
      <c r="C35" t="str">
        <f>VLOOKUP(Tabel1[[#This Row],[personeelsnr]],'data hastus'!$A:$C,2,0)</f>
        <v>Sonck</v>
      </c>
      <c r="D35" t="str">
        <f>VLOOKUP(Tabel1[[#This Row],[personeelsnr]],'data hastus'!$A:$C,3,0)</f>
        <v>Kristof</v>
      </c>
      <c r="E35" t="str">
        <f>VLOOKUP(Tabel1[[#This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_xlfn.CONCAT(Tabel1[[#This Row],[personeelsnr]]," ",C36," ",D36)</f>
        <v>30121 Simons Andreas</v>
      </c>
      <c r="C36" t="str">
        <f>VLOOKUP(Tabel1[[#This Row],[personeelsnr]],'data hastus'!$A:$C,2,0)</f>
        <v>Simons</v>
      </c>
      <c r="D36" t="str">
        <f>VLOOKUP(Tabel1[[#This Row],[personeelsnr]],'data hastus'!$A:$C,3,0)</f>
        <v>Andreas</v>
      </c>
      <c r="E36" t="str">
        <f>VLOOKUP(Tabel1[[#This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_xlfn.CONCAT(Tabel1[[#This Row],[personeelsnr]]," ",C37," ",D37)</f>
        <v>38938 Sedighi Hamid</v>
      </c>
      <c r="C37" t="str">
        <f>VLOOKUP(Tabel1[[#This Row],[personeelsnr]],'data hastus'!$A:$C,2,0)</f>
        <v>Sedighi</v>
      </c>
      <c r="D37" t="str">
        <f>VLOOKUP(Tabel1[[#This Row],[personeelsnr]],'data hastus'!$A:$C,3,0)</f>
        <v>Hamid</v>
      </c>
      <c r="E37" t="str">
        <f>VLOOKUP(Tabel1[[#This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_xlfn.CONCAT(Tabel1[[#This Row],[personeelsnr]]," ",C38," ",D38)</f>
        <v>31092 De Jaeger Kevin</v>
      </c>
      <c r="C38" t="str">
        <f>VLOOKUP(Tabel1[[#This Row],[personeelsnr]],'data hastus'!$A:$C,2,0)</f>
        <v>De Jaeger</v>
      </c>
      <c r="D38" t="str">
        <f>VLOOKUP(Tabel1[[#This Row],[personeelsnr]],'data hastus'!$A:$C,3,0)</f>
        <v>Kevin</v>
      </c>
      <c r="E38" t="str">
        <f>VLOOKUP(Tabel1[[#This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_xlfn.CONCAT(Tabel1[[#This Row],[personeelsnr]]," ",C39," ",D39)</f>
        <v>38013 Mine Akin</v>
      </c>
      <c r="C39" t="str">
        <f>VLOOKUP(Tabel1[[#This Row],[personeelsnr]],'data hastus'!$A:$C,2,0)</f>
        <v>Mine</v>
      </c>
      <c r="D39" t="str">
        <f>VLOOKUP(Tabel1[[#This Row],[personeelsnr]],'data hastus'!$A:$C,3,0)</f>
        <v>Akin</v>
      </c>
      <c r="E39" t="str">
        <f>VLOOKUP(Tabel1[[#This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_xlfn.CONCAT(Tabel1[[#This Row],[personeelsnr]]," ",C40," ",D40)</f>
        <v>27153 Oben Thibaud</v>
      </c>
      <c r="C40" t="str">
        <f>VLOOKUP(Tabel1[[#This Row],[personeelsnr]],'data hastus'!$A:$C,2,0)</f>
        <v>Oben</v>
      </c>
      <c r="D40" t="str">
        <f>VLOOKUP(Tabel1[[#This Row],[personeelsnr]],'data hastus'!$A:$C,3,0)</f>
        <v>Thibaud</v>
      </c>
      <c r="E40" t="str">
        <f>VLOOKUP(Tabel1[[#This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_xlfn.CONCAT(Tabel1[[#This Row],[personeelsnr]]," ",C41," ",D41)</f>
        <v>26384 Van Cauwenberg Steven</v>
      </c>
      <c r="C41" t="str">
        <f>VLOOKUP(Tabel1[[#This Row],[personeelsnr]],'data hastus'!$A:$C,2,0)</f>
        <v>Van Cauwenberg</v>
      </c>
      <c r="D41" t="str">
        <f>VLOOKUP(Tabel1[[#This Row],[personeelsnr]],'data hastus'!$A:$C,3,0)</f>
        <v>Steven</v>
      </c>
      <c r="E41" t="str">
        <f>VLOOKUP(Tabel1[[#This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_xlfn.CONCAT(Tabel1[[#This Row],[personeelsnr]]," ",C42," ",D42)</f>
        <v>19219 Aspeslagh Geert</v>
      </c>
      <c r="C42" t="str">
        <f>VLOOKUP(Tabel1[[#This Row],[personeelsnr]],'data hastus'!$A:$C,2,0)</f>
        <v>Aspeslagh</v>
      </c>
      <c r="D42" t="str">
        <f>VLOOKUP(Tabel1[[#This Row],[personeelsnr]],'data hastus'!$A:$C,3,0)</f>
        <v>Geert</v>
      </c>
      <c r="E42" t="str">
        <f>VLOOKUP(Tabel1[[#This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_xlfn.CONCAT(Tabel1[[#This Row],[personeelsnr]]," ",C43," ",D43)</f>
        <v>39146 Burrick Alex</v>
      </c>
      <c r="C43" t="str">
        <f>VLOOKUP(Tabel1[[#This Row],[personeelsnr]],'data hastus'!$A:$C,2,0)</f>
        <v>Burrick</v>
      </c>
      <c r="D43" t="str">
        <f>VLOOKUP(Tabel1[[#This Row],[personeelsnr]],'data hastus'!$A:$C,3,0)</f>
        <v>Alex</v>
      </c>
      <c r="E43" t="str">
        <f>VLOOKUP(Tabel1[[#This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_xlfn.CONCAT(Tabel1[[#This Row],[personeelsnr]]," ",C44," ",D44)</f>
        <v>39146 Burrick Alex</v>
      </c>
      <c r="C44" t="str">
        <f>VLOOKUP(Tabel1[[#This Row],[personeelsnr]],'data hastus'!$A:$C,2,0)</f>
        <v>Burrick</v>
      </c>
      <c r="D44" t="str">
        <f>VLOOKUP(Tabel1[[#This Row],[personeelsnr]],'data hastus'!$A:$C,3,0)</f>
        <v>Alex</v>
      </c>
      <c r="E44" t="str">
        <f>VLOOKUP(Tabel1[[#This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_xlfn.CONCAT(Tabel1[[#This Row],[personeelsnr]]," ",C45," ",D45)</f>
        <v>35463 Vandaele Tom</v>
      </c>
      <c r="C45" t="str">
        <f>VLOOKUP(Tabel1[[#This Row],[personeelsnr]],'data hastus'!$A:$C,2,0)</f>
        <v>Vandaele</v>
      </c>
      <c r="D45" t="str">
        <f>VLOOKUP(Tabel1[[#This Row],[personeelsnr]],'data hastus'!$A:$C,3,0)</f>
        <v>Tom</v>
      </c>
      <c r="E45" t="str">
        <f>VLOOKUP(Tabel1[[#This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_xlfn.CONCAT(Tabel1[[#This Row],[personeelsnr]]," ",C46," ",D46)</f>
        <v>38808 Wasen Jens</v>
      </c>
      <c r="C46" t="str">
        <f>VLOOKUP(Tabel1[[#This Row],[personeelsnr]],'data hastus'!$A:$C,2,0)</f>
        <v>Wasen</v>
      </c>
      <c r="D46" t="str">
        <f>VLOOKUP(Tabel1[[#This Row],[personeelsnr]],'data hastus'!$A:$C,3,0)</f>
        <v>Jens</v>
      </c>
      <c r="E46" t="str">
        <f>VLOOKUP(Tabel1[[#This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_xlfn.CONCAT(Tabel1[[#This Row],[personeelsnr]]," ",C47," ",D47)</f>
        <v>38529 Huyghe Jan</v>
      </c>
      <c r="C47" t="str">
        <f>VLOOKUP(Tabel1[[#This Row],[personeelsnr]],'data hastus'!$A:$C,2,0)</f>
        <v>Huyghe</v>
      </c>
      <c r="D47" t="str">
        <f>VLOOKUP(Tabel1[[#This Row],[personeelsnr]],'data hastus'!$A:$C,3,0)</f>
        <v>Jan</v>
      </c>
      <c r="E47" t="str">
        <f>VLOOKUP(Tabel1[[#This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_xlfn.CONCAT(Tabel1[[#This Row],[personeelsnr]]," ",C48," ",D48)</f>
        <v>37564 Damlakhi Nawras</v>
      </c>
      <c r="C48" t="str">
        <f>VLOOKUP(Tabel1[[#This Row],[personeelsnr]],'data hastus'!$A:$C,2,0)</f>
        <v>Damlakhi</v>
      </c>
      <c r="D48" t="str">
        <f>VLOOKUP(Tabel1[[#This Row],[personeelsnr]],'data hastus'!$A:$C,3,0)</f>
        <v>Nawras</v>
      </c>
      <c r="E48" t="str">
        <f>VLOOKUP(Tabel1[[#This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_xlfn.CONCAT(Tabel1[[#This Row],[personeelsnr]]," ",C49," ",D49)</f>
        <v>38529 Huyghe Jan</v>
      </c>
      <c r="C49" t="str">
        <f>VLOOKUP(Tabel1[[#This Row],[personeelsnr]],'data hastus'!$A:$C,2,0)</f>
        <v>Huyghe</v>
      </c>
      <c r="D49" t="str">
        <f>VLOOKUP(Tabel1[[#This Row],[personeelsnr]],'data hastus'!$A:$C,3,0)</f>
        <v>Jan</v>
      </c>
      <c r="E49" t="str">
        <f>VLOOKUP(Tabel1[[#This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_xlfn.CONCAT(Tabel1[[#This Row],[personeelsnr]]," ",C50," ",D50)</f>
        <v>27209 Meyvaert Steven</v>
      </c>
      <c r="C50" t="str">
        <f>VLOOKUP(Tabel1[[#This Row],[personeelsnr]],'data hastus'!$A:$C,2,0)</f>
        <v>Meyvaert</v>
      </c>
      <c r="D50" t="str">
        <f>VLOOKUP(Tabel1[[#This Row],[personeelsnr]],'data hastus'!$A:$C,3,0)</f>
        <v>Steven</v>
      </c>
      <c r="E50" t="str">
        <f>VLOOKUP(Tabel1[[#This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_xlfn.CONCAT(Tabel1[[#This Row],[personeelsnr]]," ",C51," ",D51)</f>
        <v>39358 Weeks Aracena Jimmy Alexander</v>
      </c>
      <c r="C51" t="str">
        <f>VLOOKUP(Tabel1[[#This Row],[personeelsnr]],'data hastus'!$A:$C,2,0)</f>
        <v>Weeks Aracena</v>
      </c>
      <c r="D51" t="str">
        <f>VLOOKUP(Tabel1[[#This Row],[personeelsnr]],'data hastus'!$A:$C,3,0)</f>
        <v>Jimmy Alexander</v>
      </c>
      <c r="E51" t="str">
        <f>VLOOKUP(Tabel1[[#This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_xlfn.CONCAT(Tabel1[[#This Row],[personeelsnr]]," ",C52," ",D52)</f>
        <v>34198 Pelfrene Toby</v>
      </c>
      <c r="C52" t="str">
        <f>VLOOKUP(Tabel1[[#This Row],[personeelsnr]],'data hastus'!$A:$C,2,0)</f>
        <v>Pelfrene</v>
      </c>
      <c r="D52" t="str">
        <f>VLOOKUP(Tabel1[[#This Row],[personeelsnr]],'data hastus'!$A:$C,3,0)</f>
        <v>Toby</v>
      </c>
      <c r="E52" t="str">
        <f>VLOOKUP(Tabel1[[#This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_xlfn.CONCAT(Tabel1[[#This Row],[personeelsnr]]," ",C53," ",D53)</f>
        <v>18987 De Geyter Dolly</v>
      </c>
      <c r="C53" t="str">
        <f>VLOOKUP(Tabel1[[#This Row],[personeelsnr]],'data hastus'!$A:$C,2,0)</f>
        <v>De Geyter</v>
      </c>
      <c r="D53" t="str">
        <f>VLOOKUP(Tabel1[[#This Row],[personeelsnr]],'data hastus'!$A:$C,3,0)</f>
        <v>Dolly</v>
      </c>
      <c r="E53" t="str">
        <f>VLOOKUP(Tabel1[[#This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_xlfn.CONCAT(Tabel1[[#This Row],[personeelsnr]]," ",C54," ",D54)</f>
        <v>5813 Binard Sabine</v>
      </c>
      <c r="C54" t="str">
        <f>VLOOKUP(Tabel1[[#This Row],[personeelsnr]],'data hastus'!$A:$C,2,0)</f>
        <v>Binard</v>
      </c>
      <c r="D54" t="str">
        <f>VLOOKUP(Tabel1[[#This Row],[personeelsnr]],'data hastus'!$A:$C,3,0)</f>
        <v>Sabine</v>
      </c>
      <c r="E54" t="str">
        <f>VLOOKUP(Tabel1[[#This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_xlfn.CONCAT(Tabel1[[#This Row],[personeelsnr]]," ",C55," ",D55)</f>
        <v>38529 Huyghe Jan</v>
      </c>
      <c r="C55" t="str">
        <f>VLOOKUP(Tabel1[[#This Row],[personeelsnr]],'data hastus'!$A:$C,2,0)</f>
        <v>Huyghe</v>
      </c>
      <c r="D55" t="str">
        <f>VLOOKUP(Tabel1[[#This Row],[personeelsnr]],'data hastus'!$A:$C,3,0)</f>
        <v>Jan</v>
      </c>
      <c r="E55" t="str">
        <f>VLOOKUP(Tabel1[[#This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_xlfn.CONCAT(Tabel1[[#This Row],[personeelsnr]]," ",C56," ",D56)</f>
        <v>10324 Eggermont Wim</v>
      </c>
      <c r="C56" t="str">
        <f>VLOOKUP(Tabel1[[#This Row],[personeelsnr]],'data hastus'!$A:$C,2,0)</f>
        <v>Eggermont</v>
      </c>
      <c r="D56" t="str">
        <f>VLOOKUP(Tabel1[[#This Row],[personeelsnr]],'data hastus'!$A:$C,3,0)</f>
        <v>Wim</v>
      </c>
      <c r="E56" t="str">
        <f>VLOOKUP(Tabel1[[#This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_xlfn.CONCAT(Tabel1[[#This Row],[personeelsnr]]," ",C57," ",D57)</f>
        <v>36289 Van Rentergem Steve</v>
      </c>
      <c r="C57" t="str">
        <f>VLOOKUP(Tabel1[[#This Row],[personeelsnr]],'data hastus'!$A:$C,2,0)</f>
        <v>Van Rentergem</v>
      </c>
      <c r="D57" t="str">
        <f>VLOOKUP(Tabel1[[#This Row],[personeelsnr]],'data hastus'!$A:$C,3,0)</f>
        <v>Steve</v>
      </c>
      <c r="E57" t="str">
        <f>VLOOKUP(Tabel1[[#This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_xlfn.CONCAT(Tabel1[[#This Row],[personeelsnr]]," ",C58," ",D58)</f>
        <v>39779 Avci Muhammet Abdullah</v>
      </c>
      <c r="C58" t="str">
        <f>VLOOKUP(Tabel1[[#This Row],[personeelsnr]],'data hastus'!$A:$C,2,0)</f>
        <v>Avci</v>
      </c>
      <c r="D58" t="str">
        <f>VLOOKUP(Tabel1[[#This Row],[personeelsnr]],'data hastus'!$A:$C,3,0)</f>
        <v>Muhammet Abdullah</v>
      </c>
      <c r="E58" t="str">
        <f>VLOOKUP(Tabel1[[#This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str">
        <f>_xlfn.CONCAT(Tabel1[[#This Row],[personeelsnr]]," ",C59," ",D59)</f>
        <v>9999 chauffeur uit</v>
      </c>
      <c r="C59" t="str">
        <f>VLOOKUP(Tabel1[[#This Row],[personeelsnr]],'data hastus'!$A:$C,2,0)</f>
        <v>chauffeur</v>
      </c>
      <c r="D59" t="str">
        <f>VLOOKUP(Tabel1[[#This Row],[personeelsnr]],'data hastus'!$A:$C,3,0)</f>
        <v>uit</v>
      </c>
      <c r="E59" t="str">
        <f>VLOOKUP(Tabel1[[#This Row],[personeelsnr]],'data hastus'!A:K,11,FALSE)</f>
        <v>dienst</v>
      </c>
      <c r="F59">
        <v>2</v>
      </c>
    </row>
    <row r="60" spans="1:6" x14ac:dyDescent="0.3">
      <c r="A60">
        <v>40005</v>
      </c>
      <c r="B60" t="str">
        <f>_xlfn.CONCAT(Tabel1[[#This Row],[personeelsnr]]," ",C60," ",D60)</f>
        <v>36635 Fadel Husam</v>
      </c>
      <c r="C60" t="str">
        <f>VLOOKUP(Tabel1[[#This Row],[personeelsnr]],'data hastus'!$A:$C,2,0)</f>
        <v>Fadel</v>
      </c>
      <c r="D60" t="str">
        <f>VLOOKUP(Tabel1[[#This Row],[personeelsnr]],'data hastus'!$A:$C,3,0)</f>
        <v>Husam</v>
      </c>
      <c r="E60" t="str">
        <f>VLOOKUP(Tabel1[[#This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_xlfn.CONCAT(Tabel1[[#This Row],[personeelsnr]]," ",C61," ",D61)</f>
        <v>35055 Kocabas Abdülkadir</v>
      </c>
      <c r="C61" t="str">
        <f>VLOOKUP(Tabel1[[#This Row],[personeelsnr]],'data hastus'!$A:$C,2,0)</f>
        <v>Kocabas</v>
      </c>
      <c r="D61" t="str">
        <f>VLOOKUP(Tabel1[[#This Row],[personeelsnr]],'data hastus'!$A:$C,3,0)</f>
        <v>Abdülkadir</v>
      </c>
      <c r="E61" t="str">
        <f>VLOOKUP(Tabel1[[#This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_xlfn.CONCAT(Tabel1[[#This Row],[personeelsnr]]," ",C62," ",D62)</f>
        <v>31668 Weemhof Maurice</v>
      </c>
      <c r="C62" t="str">
        <f>VLOOKUP(Tabel1[[#This Row],[personeelsnr]],'data hastus'!$A:$C,2,0)</f>
        <v>Weemhof</v>
      </c>
      <c r="D62" t="str">
        <f>VLOOKUP(Tabel1[[#This Row],[personeelsnr]],'data hastus'!$A:$C,3,0)</f>
        <v>Maurice</v>
      </c>
      <c r="E62" t="str">
        <f>VLOOKUP(Tabel1[[#This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_xlfn.CONCAT(Tabel1[[#This Row],[personeelsnr]]," ",C63," ",D63)</f>
        <v>36275 Acosta Salinas Benigna</v>
      </c>
      <c r="C63" t="str">
        <f>VLOOKUP(Tabel1[[#This Row],[personeelsnr]],'data hastus'!$A:$C,2,0)</f>
        <v>Acosta Salinas</v>
      </c>
      <c r="D63" t="str">
        <f>VLOOKUP(Tabel1[[#This Row],[personeelsnr]],'data hastus'!$A:$C,3,0)</f>
        <v>Benigna</v>
      </c>
      <c r="E63" t="str">
        <f>VLOOKUP(Tabel1[[#This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_xlfn.CONCAT(Tabel1[[#This Row],[personeelsnr]]," ",C64," ",D64)</f>
        <v>37261 Van Wayenbergh Yordi</v>
      </c>
      <c r="C64" t="str">
        <f>VLOOKUP(Tabel1[[#This Row],[personeelsnr]],'data hastus'!$A:$C,2,0)</f>
        <v>Van Wayenbergh</v>
      </c>
      <c r="D64" t="str">
        <f>VLOOKUP(Tabel1[[#This Row],[personeelsnr]],'data hastus'!$A:$C,3,0)</f>
        <v>Yordi</v>
      </c>
      <c r="E64" t="str">
        <f>VLOOKUP(Tabel1[[#This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_xlfn.CONCAT(Tabel1[[#This Row],[personeelsnr]]," ",C65," ",D65)</f>
        <v>39358 Weeks Aracena Jimmy Alexander</v>
      </c>
      <c r="C65" t="str">
        <f>VLOOKUP(Tabel1[[#This Row],[personeelsnr]],'data hastus'!$A:$C,2,0)</f>
        <v>Weeks Aracena</v>
      </c>
      <c r="D65" t="str">
        <f>VLOOKUP(Tabel1[[#This Row],[personeelsnr]],'data hastus'!$A:$C,3,0)</f>
        <v>Jimmy Alexander</v>
      </c>
      <c r="E65" t="str">
        <f>VLOOKUP(Tabel1[[#This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_xlfn.CONCAT(Tabel1[[#This Row],[personeelsnr]]," ",C66," ",D66)</f>
        <v>21582 De Grom Patrick</v>
      </c>
      <c r="C66" t="str">
        <f>VLOOKUP(Tabel1[[#This Row],[personeelsnr]],'data hastus'!$A:$C,2,0)</f>
        <v>De Grom</v>
      </c>
      <c r="D66" t="str">
        <f>VLOOKUP(Tabel1[[#This Row],[personeelsnr]],'data hastus'!$A:$C,3,0)</f>
        <v>Patrick</v>
      </c>
      <c r="E66" t="str">
        <f>VLOOKUP(Tabel1[[#This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_xlfn.CONCAT(Tabel1[[#This Row],[personeelsnr]]," ",C67," ",D67)</f>
        <v>34325 Eid Mathyn</v>
      </c>
      <c r="C67" t="str">
        <f>VLOOKUP(Tabel1[[#This Row],[personeelsnr]],'data hastus'!$A:$C,2,0)</f>
        <v>Eid</v>
      </c>
      <c r="D67" t="str">
        <f>VLOOKUP(Tabel1[[#This Row],[personeelsnr]],'data hastus'!$A:$C,3,0)</f>
        <v>Mathyn</v>
      </c>
      <c r="E67" t="str">
        <f>VLOOKUP(Tabel1[[#This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_xlfn.CONCAT(Tabel1[[#This Row],[personeelsnr]]," ",C68," ",D68)</f>
        <v>13345 Schijvens Ronny</v>
      </c>
      <c r="C68" t="str">
        <f>VLOOKUP(Tabel1[[#This Row],[personeelsnr]],'data hastus'!$A:$C,2,0)</f>
        <v>Schijvens</v>
      </c>
      <c r="D68" t="str">
        <f>VLOOKUP(Tabel1[[#This Row],[personeelsnr]],'data hastus'!$A:$C,3,0)</f>
        <v>Ronny</v>
      </c>
      <c r="E68" t="str">
        <f>VLOOKUP(Tabel1[[#This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_xlfn.CONCAT(Tabel1[[#This Row],[personeelsnr]]," ",C69," ",D69)</f>
        <v>39779 Avci Muhammet Abdullah</v>
      </c>
      <c r="C69" t="str">
        <f>VLOOKUP(Tabel1[[#This Row],[personeelsnr]],'data hastus'!$A:$C,2,0)</f>
        <v>Avci</v>
      </c>
      <c r="D69" t="str">
        <f>VLOOKUP(Tabel1[[#This Row],[personeelsnr]],'data hastus'!$A:$C,3,0)</f>
        <v>Muhammet Abdullah</v>
      </c>
      <c r="E69" t="str">
        <f>VLOOKUP(Tabel1[[#This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_xlfn.CONCAT(Tabel1[[#This Row],[personeelsnr]]," ",C70," ",D70)</f>
        <v>25994 Peers Mario</v>
      </c>
      <c r="C70" t="str">
        <f>VLOOKUP(Tabel1[[#This Row],[personeelsnr]],'data hastus'!$A:$C,2,0)</f>
        <v>Peers</v>
      </c>
      <c r="D70" t="str">
        <f>VLOOKUP(Tabel1[[#This Row],[personeelsnr]],'data hastus'!$A:$C,3,0)</f>
        <v>Mario</v>
      </c>
      <c r="E70" t="str">
        <f>VLOOKUP(Tabel1[[#This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_xlfn.CONCAT(Tabel1[[#This Row],[personeelsnr]]," ",C71," ",D71)</f>
        <v>36569 Stroobandt Jonas</v>
      </c>
      <c r="C71" t="str">
        <f>VLOOKUP(Tabel1[[#This Row],[personeelsnr]],'data hastus'!$A:$C,2,0)</f>
        <v>Stroobandt</v>
      </c>
      <c r="D71" t="str">
        <f>VLOOKUP(Tabel1[[#This Row],[personeelsnr]],'data hastus'!$A:$C,3,0)</f>
        <v>Jonas</v>
      </c>
      <c r="E71" t="str">
        <f>VLOOKUP(Tabel1[[#This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_xlfn.CONCAT(Tabel1[[#This Row],[personeelsnr]]," ",C72," ",D72)</f>
        <v>32369 Vandenborre Patrick</v>
      </c>
      <c r="C72" t="str">
        <f>VLOOKUP(Tabel1[[#This Row],[personeelsnr]],'data hastus'!$A:$C,2,0)</f>
        <v>Vandenborre</v>
      </c>
      <c r="D72" t="str">
        <f>VLOOKUP(Tabel1[[#This Row],[personeelsnr]],'data hastus'!$A:$C,3,0)</f>
        <v>Patrick</v>
      </c>
      <c r="E72" t="str">
        <f>VLOOKUP(Tabel1[[#This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_xlfn.CONCAT(Tabel1[[#This Row],[personeelsnr]]," ",C73," ",D73)</f>
        <v>27713 Parmentier Bart</v>
      </c>
      <c r="C73" t="str">
        <f>VLOOKUP(Tabel1[[#This Row],[personeelsnr]],'data hastus'!$A:$C,2,0)</f>
        <v>Parmentier</v>
      </c>
      <c r="D73" t="str">
        <f>VLOOKUP(Tabel1[[#This Row],[personeelsnr]],'data hastus'!$A:$C,3,0)</f>
        <v>Bart</v>
      </c>
      <c r="E73" t="str">
        <f>VLOOKUP(Tabel1[[#This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_xlfn.CONCAT(Tabel1[[#This Row],[personeelsnr]]," ",C74," ",D74)</f>
        <v>38475 Verschraegen Katleen</v>
      </c>
      <c r="C74" t="str">
        <f>VLOOKUP(Tabel1[[#This Row],[personeelsnr]],'data hastus'!$A:$C,2,0)</f>
        <v>Verschraegen</v>
      </c>
      <c r="D74" t="str">
        <f>VLOOKUP(Tabel1[[#This Row],[personeelsnr]],'data hastus'!$A:$C,3,0)</f>
        <v>Katleen</v>
      </c>
      <c r="E74" t="str">
        <f>VLOOKUP(Tabel1[[#This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_xlfn.CONCAT(Tabel1[[#This Row],[personeelsnr]]," ",C75," ",D75)</f>
        <v>35120 Delcourt Daniel</v>
      </c>
      <c r="C75" t="str">
        <f>VLOOKUP(Tabel1[[#This Row],[personeelsnr]],'data hastus'!$A:$C,2,0)</f>
        <v>Delcourt</v>
      </c>
      <c r="D75" t="str">
        <f>VLOOKUP(Tabel1[[#This Row],[personeelsnr]],'data hastus'!$A:$C,3,0)</f>
        <v>Daniel</v>
      </c>
      <c r="E75" t="str">
        <f>VLOOKUP(Tabel1[[#This Row],[personeelsnr]],'data hastus'!A:K,11,FALSE)</f>
        <v>Els Dewulf</v>
      </c>
      <c r="F75">
        <v>2</v>
      </c>
    </row>
    <row r="76" spans="1:6" x14ac:dyDescent="0.3">
      <c r="A76">
        <v>39889</v>
      </c>
      <c r="B76" t="str">
        <f>_xlfn.CONCAT(Tabel1[[#This Row],[personeelsnr]]," ",C76," ",D76)</f>
        <v>9999 chauffeur uit</v>
      </c>
      <c r="C76" t="str">
        <f>VLOOKUP(Tabel1[[#This Row],[personeelsnr]],'data hastus'!$A:$C,2,0)</f>
        <v>chauffeur</v>
      </c>
      <c r="D76" t="str">
        <f>VLOOKUP(Tabel1[[#This Row],[personeelsnr]],'data hastus'!$A:$C,3,0)</f>
        <v>uit</v>
      </c>
      <c r="E76" t="str">
        <f>VLOOKUP(Tabel1[[#This Row],[personeelsnr]],'data hastus'!A:K,11,FALSE)</f>
        <v>dienst</v>
      </c>
      <c r="F76">
        <v>2</v>
      </c>
    </row>
    <row r="77" spans="1:6" x14ac:dyDescent="0.3">
      <c r="A77">
        <v>26198</v>
      </c>
      <c r="B77" t="str">
        <f>_xlfn.CONCAT(Tabel1[[#This Row],[personeelsnr]]," ",C77," ",D77)</f>
        <v>39184 Shinwari Yasin</v>
      </c>
      <c r="C77" t="str">
        <f>VLOOKUP(Tabel1[[#This Row],[personeelsnr]],'data hastus'!$A:$C,2,0)</f>
        <v>Shinwari</v>
      </c>
      <c r="D77" t="str">
        <f>VLOOKUP(Tabel1[[#This Row],[personeelsnr]],'data hastus'!$A:$C,3,0)</f>
        <v>Yasin</v>
      </c>
      <c r="E77" t="str">
        <f>VLOOKUP(Tabel1[[#This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_xlfn.CONCAT(Tabel1[[#This Row],[personeelsnr]]," ",C78," ",D78)</f>
        <v>24367 Tayefeh Arbab Ali</v>
      </c>
      <c r="C78" t="str">
        <f>VLOOKUP(Tabel1[[#This Row],[personeelsnr]],'data hastus'!$A:$C,2,0)</f>
        <v>Tayefeh Arbab</v>
      </c>
      <c r="D78" t="str">
        <f>VLOOKUP(Tabel1[[#This Row],[personeelsnr]],'data hastus'!$A:$C,3,0)</f>
        <v>Ali</v>
      </c>
      <c r="E78" t="str">
        <f>VLOOKUP(Tabel1[[#This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_xlfn.CONCAT(Tabel1[[#This Row],[personeelsnr]]," ",C79," ",D79)</f>
        <v>11236 Baert Freddy</v>
      </c>
      <c r="C79" t="str">
        <f>VLOOKUP(Tabel1[[#This Row],[personeelsnr]],'data hastus'!$A:$C,2,0)</f>
        <v>Baert</v>
      </c>
      <c r="D79" t="str">
        <f>VLOOKUP(Tabel1[[#This Row],[personeelsnr]],'data hastus'!$A:$C,3,0)</f>
        <v>Freddy</v>
      </c>
      <c r="E79" t="str">
        <f>VLOOKUP(Tabel1[[#This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_xlfn.CONCAT(Tabel1[[#This Row],[personeelsnr]]," ",C80," ",D80)</f>
        <v>38475 Verschraegen Katleen</v>
      </c>
      <c r="C80" t="str">
        <f>VLOOKUP(Tabel1[[#This Row],[personeelsnr]],'data hastus'!$A:$C,2,0)</f>
        <v>Verschraegen</v>
      </c>
      <c r="D80" t="str">
        <f>VLOOKUP(Tabel1[[#This Row],[personeelsnr]],'data hastus'!$A:$C,3,0)</f>
        <v>Katleen</v>
      </c>
      <c r="E80" t="str">
        <f>VLOOKUP(Tabel1[[#This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_xlfn.CONCAT(Tabel1[[#This Row],[personeelsnr]]," ",C81," ",D81)</f>
        <v>35709 El Gasmi Sami</v>
      </c>
      <c r="C81" t="str">
        <f>VLOOKUP(Tabel1[[#This Row],[personeelsnr]],'data hastus'!$A:$C,2,0)</f>
        <v>El Gasmi</v>
      </c>
      <c r="D81" t="str">
        <f>VLOOKUP(Tabel1[[#This Row],[personeelsnr]],'data hastus'!$A:$C,3,0)</f>
        <v>Sami</v>
      </c>
      <c r="E81" t="str">
        <f>VLOOKUP(Tabel1[[#This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_xlfn.CONCAT(Tabel1[[#This Row],[personeelsnr]]," ",C82," ",D82)</f>
        <v>21509 De Craemer Kris</v>
      </c>
      <c r="C82" t="str">
        <f>VLOOKUP(Tabel1[[#This Row],[personeelsnr]],'data hastus'!$A:$C,2,0)</f>
        <v>De Craemer</v>
      </c>
      <c r="D82" t="str">
        <f>VLOOKUP(Tabel1[[#This Row],[personeelsnr]],'data hastus'!$A:$C,3,0)</f>
        <v>Kris</v>
      </c>
      <c r="E82" t="str">
        <f>VLOOKUP(Tabel1[[#This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_xlfn.CONCAT(Tabel1[[#This Row],[personeelsnr]]," ",C83," ",D83)</f>
        <v>36626 Kartal Kadir</v>
      </c>
      <c r="C83" t="str">
        <f>VLOOKUP(Tabel1[[#This Row],[personeelsnr]],'data hastus'!$A:$C,2,0)</f>
        <v>Kartal</v>
      </c>
      <c r="D83" t="str">
        <f>VLOOKUP(Tabel1[[#This Row],[personeelsnr]],'data hastus'!$A:$C,3,0)</f>
        <v>Kadir</v>
      </c>
      <c r="E83" t="str">
        <f>VLOOKUP(Tabel1[[#This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_xlfn.CONCAT(Tabel1[[#This Row],[personeelsnr]]," ",C84," ",D84)</f>
        <v>36627 Dobbelaere David</v>
      </c>
      <c r="C84" t="str">
        <f>VLOOKUP(Tabel1[[#This Row],[personeelsnr]],'data hastus'!$A:$C,2,0)</f>
        <v>Dobbelaere</v>
      </c>
      <c r="D84" t="str">
        <f>VLOOKUP(Tabel1[[#This Row],[personeelsnr]],'data hastus'!$A:$C,3,0)</f>
        <v>David</v>
      </c>
      <c r="E84" t="str">
        <f>VLOOKUP(Tabel1[[#This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_xlfn.CONCAT(Tabel1[[#This Row],[personeelsnr]]," ",C85," ",D85)</f>
        <v>36275 Acosta Salinas Benigna</v>
      </c>
      <c r="C85" t="str">
        <f>VLOOKUP(Tabel1[[#This Row],[personeelsnr]],'data hastus'!$A:$C,2,0)</f>
        <v>Acosta Salinas</v>
      </c>
      <c r="D85" t="str">
        <f>VLOOKUP(Tabel1[[#This Row],[personeelsnr]],'data hastus'!$A:$C,3,0)</f>
        <v>Benigna</v>
      </c>
      <c r="E85" t="str">
        <f>VLOOKUP(Tabel1[[#This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_xlfn.CONCAT(Tabel1[[#This Row],[personeelsnr]]," ",C86," ",D86)</f>
        <v>39013 Asrih Habib</v>
      </c>
      <c r="C86" t="str">
        <f>VLOOKUP(Tabel1[[#This Row],[personeelsnr]],'data hastus'!$A:$C,2,0)</f>
        <v>Asrih</v>
      </c>
      <c r="D86" t="str">
        <f>VLOOKUP(Tabel1[[#This Row],[personeelsnr]],'data hastus'!$A:$C,3,0)</f>
        <v>Habib</v>
      </c>
      <c r="E86" t="str">
        <f>VLOOKUP(Tabel1[[#This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_xlfn.CONCAT(Tabel1[[#This Row],[personeelsnr]]," ",C87," ",D87)</f>
        <v>20653 Mestdag Marius</v>
      </c>
      <c r="C87" t="str">
        <f>VLOOKUP(Tabel1[[#This Row],[personeelsnr]],'data hastus'!$A:$C,2,0)</f>
        <v>Mestdag</v>
      </c>
      <c r="D87" t="str">
        <f>VLOOKUP(Tabel1[[#This Row],[personeelsnr]],'data hastus'!$A:$C,3,0)</f>
        <v>Marius</v>
      </c>
      <c r="E87" t="str">
        <f>VLOOKUP(Tabel1[[#This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_xlfn.CONCAT(Tabel1[[#This Row],[personeelsnr]]," ",C88," ",D88)</f>
        <v>39014 Genbrugge Kyllian</v>
      </c>
      <c r="C88" t="str">
        <f>VLOOKUP(Tabel1[[#This Row],[personeelsnr]],'data hastus'!$A:$C,2,0)</f>
        <v>Genbrugge</v>
      </c>
      <c r="D88" t="str">
        <f>VLOOKUP(Tabel1[[#This Row],[personeelsnr]],'data hastus'!$A:$C,3,0)</f>
        <v>Kyllian</v>
      </c>
      <c r="E88" t="str">
        <f>VLOOKUP(Tabel1[[#This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_xlfn.CONCAT(Tabel1[[#This Row],[personeelsnr]]," ",C89," ",D89)</f>
        <v>39929 Staneva Mariyana</v>
      </c>
      <c r="C89" t="str">
        <f>VLOOKUP(Tabel1[[#This Row],[personeelsnr]],'data hastus'!$A:$C,2,0)</f>
        <v>Staneva</v>
      </c>
      <c r="D89" t="str">
        <f>VLOOKUP(Tabel1[[#This Row],[personeelsnr]],'data hastus'!$A:$C,3,0)</f>
        <v>Mariyana</v>
      </c>
      <c r="E89" t="str">
        <f>VLOOKUP(Tabel1[[#This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_xlfn.CONCAT(Tabel1[[#This Row],[personeelsnr]]," ",C90," ",D90)</f>
        <v>27186 Neghli Farid</v>
      </c>
      <c r="C90" t="str">
        <f>VLOOKUP(Tabel1[[#This Row],[personeelsnr]],'data hastus'!$A:$C,2,0)</f>
        <v>Neghli</v>
      </c>
      <c r="D90" t="str">
        <f>VLOOKUP(Tabel1[[#This Row],[personeelsnr]],'data hastus'!$A:$C,3,0)</f>
        <v>Farid</v>
      </c>
      <c r="E90" t="str">
        <f>VLOOKUP(Tabel1[[#This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_xlfn.CONCAT(Tabel1[[#This Row],[personeelsnr]]," ",C91," ",D91)</f>
        <v>39633 Duyck Kimberly</v>
      </c>
      <c r="C91" t="str">
        <f>VLOOKUP(Tabel1[[#This Row],[personeelsnr]],'data hastus'!$A:$C,2,0)</f>
        <v>Duyck</v>
      </c>
      <c r="D91" t="str">
        <f>VLOOKUP(Tabel1[[#This Row],[personeelsnr]],'data hastus'!$A:$C,3,0)</f>
        <v>Kimberly</v>
      </c>
      <c r="E91" t="str">
        <f>VLOOKUP(Tabel1[[#This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_xlfn.CONCAT(Tabel1[[#This Row],[personeelsnr]]," ",C92," ",D92)</f>
        <v>38648 Uckuyulu Muhammet Emin</v>
      </c>
      <c r="C92" t="str">
        <f>VLOOKUP(Tabel1[[#This Row],[personeelsnr]],'data hastus'!$A:$C,2,0)</f>
        <v>Uckuyulu</v>
      </c>
      <c r="D92" t="str">
        <f>VLOOKUP(Tabel1[[#This Row],[personeelsnr]],'data hastus'!$A:$C,3,0)</f>
        <v>Muhammet Emin</v>
      </c>
      <c r="E92" t="str">
        <f>VLOOKUP(Tabel1[[#This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_xlfn.CONCAT(Tabel1[[#This Row],[personeelsnr]]," ",C93," ",D93)</f>
        <v>33965 Van de Gehuchte Gilles</v>
      </c>
      <c r="C93" t="str">
        <f>VLOOKUP(Tabel1[[#This Row],[personeelsnr]],'data hastus'!$A:$C,2,0)</f>
        <v>Van de Gehuchte</v>
      </c>
      <c r="D93" t="str">
        <f>VLOOKUP(Tabel1[[#This Row],[personeelsnr]],'data hastus'!$A:$C,3,0)</f>
        <v>Gilles</v>
      </c>
      <c r="E93" t="str">
        <f>VLOOKUP(Tabel1[[#This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_xlfn.CONCAT(Tabel1[[#This Row],[personeelsnr]]," ",C94," ",D94)</f>
        <v>37543 Öztürk Bilgehan</v>
      </c>
      <c r="C94" t="str">
        <f>VLOOKUP(Tabel1[[#This Row],[personeelsnr]],'data hastus'!$A:$C,2,0)</f>
        <v>Öztürk</v>
      </c>
      <c r="D94" t="str">
        <f>VLOOKUP(Tabel1[[#This Row],[personeelsnr]],'data hastus'!$A:$C,3,0)</f>
        <v>Bilgehan</v>
      </c>
      <c r="E94" t="str">
        <f>VLOOKUP(Tabel1[[#This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_xlfn.CONCAT(Tabel1[[#This Row],[personeelsnr]]," ",C95," ",D95)</f>
        <v>39712 Repaj Ramazan</v>
      </c>
      <c r="C95" t="str">
        <f>VLOOKUP(Tabel1[[#This Row],[personeelsnr]],'data hastus'!$A:$C,2,0)</f>
        <v>Repaj</v>
      </c>
      <c r="D95" t="str">
        <f>VLOOKUP(Tabel1[[#This Row],[personeelsnr]],'data hastus'!$A:$C,3,0)</f>
        <v>Ramazan</v>
      </c>
      <c r="E95" t="str">
        <f>VLOOKUP(Tabel1[[#This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_xlfn.CONCAT(Tabel1[[#This Row],[personeelsnr]]," ",C96," ",D96)</f>
        <v>35463 Vandaele Tom</v>
      </c>
      <c r="C96" t="str">
        <f>VLOOKUP(Tabel1[[#This Row],[personeelsnr]],'data hastus'!$A:$C,2,0)</f>
        <v>Vandaele</v>
      </c>
      <c r="D96" t="str">
        <f>VLOOKUP(Tabel1[[#This Row],[personeelsnr]],'data hastus'!$A:$C,3,0)</f>
        <v>Tom</v>
      </c>
      <c r="E96" t="str">
        <f>VLOOKUP(Tabel1[[#This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str">
        <f>_xlfn.CONCAT(Tabel1[[#This Row],[personeelsnr]]," ",C97," ",D97)</f>
        <v>9999 chauffeur uit</v>
      </c>
      <c r="C97" t="str">
        <f>VLOOKUP(Tabel1[[#This Row],[personeelsnr]],'data hastus'!$A:$C,2,0)</f>
        <v>chauffeur</v>
      </c>
      <c r="D97" t="str">
        <f>VLOOKUP(Tabel1[[#This Row],[personeelsnr]],'data hastus'!$A:$C,3,0)</f>
        <v>uit</v>
      </c>
      <c r="E97" t="str">
        <f>VLOOKUP(Tabel1[[#This Row],[personeelsnr]],'data hastus'!A:K,11,FALSE)</f>
        <v>dienst</v>
      </c>
      <c r="F97">
        <v>2</v>
      </c>
    </row>
    <row r="98" spans="1:6" x14ac:dyDescent="0.3">
      <c r="A98">
        <v>39019</v>
      </c>
      <c r="B98" t="str">
        <f>_xlfn.CONCAT(Tabel1[[#This Row],[personeelsnr]]," ",C98," ",D98)</f>
        <v>37543 Öztürk Bilgehan</v>
      </c>
      <c r="C98" t="str">
        <f>VLOOKUP(Tabel1[[#This Row],[personeelsnr]],'data hastus'!$A:$C,2,0)</f>
        <v>Öztürk</v>
      </c>
      <c r="D98" t="str">
        <f>VLOOKUP(Tabel1[[#This Row],[personeelsnr]],'data hastus'!$A:$C,3,0)</f>
        <v>Bilgehan</v>
      </c>
      <c r="E98" t="str">
        <f>VLOOKUP(Tabel1[[#This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_xlfn.CONCAT(Tabel1[[#This Row],[personeelsnr]]," ",C99," ",D99)</f>
        <v>39929 Staneva Mariyana</v>
      </c>
      <c r="C99" t="str">
        <f>VLOOKUP(Tabel1[[#This Row],[personeelsnr]],'data hastus'!$A:$C,2,0)</f>
        <v>Staneva</v>
      </c>
      <c r="D99" t="str">
        <f>VLOOKUP(Tabel1[[#This Row],[personeelsnr]],'data hastus'!$A:$C,3,0)</f>
        <v>Mariyana</v>
      </c>
      <c r="E99" t="str">
        <f>VLOOKUP(Tabel1[[#This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_xlfn.CONCAT(Tabel1[[#This Row],[personeelsnr]]," ",C100," ",D100)</f>
        <v>32951 De Bruyne Sonia</v>
      </c>
      <c r="C100" t="str">
        <f>VLOOKUP(Tabel1[[#This Row],[personeelsnr]],'data hastus'!$A:$C,2,0)</f>
        <v>De Bruyne</v>
      </c>
      <c r="D100" t="str">
        <f>VLOOKUP(Tabel1[[#This Row],[personeelsnr]],'data hastus'!$A:$C,3,0)</f>
        <v>Sonia</v>
      </c>
      <c r="E100" t="str">
        <f>VLOOKUP(Tabel1[[#This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_xlfn.CONCAT(Tabel1[[#This Row],[personeelsnr]]," ",C101," ",D101)</f>
        <v>8394 Smet Antoon</v>
      </c>
      <c r="C101" t="str">
        <f>VLOOKUP(Tabel1[[#This Row],[personeelsnr]],'data hastus'!$A:$C,2,0)</f>
        <v>Smet</v>
      </c>
      <c r="D101" t="str">
        <f>VLOOKUP(Tabel1[[#This Row],[personeelsnr]],'data hastus'!$A:$C,3,0)</f>
        <v>Antoon</v>
      </c>
      <c r="E101" t="str">
        <f>VLOOKUP(Tabel1[[#This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_xlfn.CONCAT(Tabel1[[#This Row],[personeelsnr]]," ",C102," ",D102)</f>
        <v>15628 Wulfranck Dominique</v>
      </c>
      <c r="C102" t="str">
        <f>VLOOKUP(Tabel1[[#This Row],[personeelsnr]],'data hastus'!$A:$C,2,0)</f>
        <v>Wulfranck</v>
      </c>
      <c r="D102" t="str">
        <f>VLOOKUP(Tabel1[[#This Row],[personeelsnr]],'data hastus'!$A:$C,3,0)</f>
        <v>Dominique</v>
      </c>
      <c r="E102" t="str">
        <f>VLOOKUP(Tabel1[[#This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str">
        <f>_xlfn.CONCAT(Tabel1[[#This Row],[personeelsnr]]," ",C103," ",D103)</f>
        <v>9999 chauffeur uit</v>
      </c>
      <c r="C103" t="str">
        <f>VLOOKUP(Tabel1[[#This Row],[personeelsnr]],'data hastus'!$A:$C,2,0)</f>
        <v>chauffeur</v>
      </c>
      <c r="D103" t="str">
        <f>VLOOKUP(Tabel1[[#This Row],[personeelsnr]],'data hastus'!$A:$C,3,0)</f>
        <v>uit</v>
      </c>
      <c r="E103" t="str">
        <f>VLOOKUP(Tabel1[[#This Row],[personeelsnr]],'data hastus'!A:K,11,FALSE)</f>
        <v>dienst</v>
      </c>
      <c r="F103">
        <v>2</v>
      </c>
    </row>
    <row r="104" spans="1:6" x14ac:dyDescent="0.3">
      <c r="A104">
        <v>34351</v>
      </c>
      <c r="B104" t="str">
        <f>_xlfn.CONCAT(Tabel1[[#This Row],[personeelsnr]]," ",C104," ",D104)</f>
        <v>39558 De Groote Cedric</v>
      </c>
      <c r="C104" t="str">
        <f>VLOOKUP(Tabel1[[#This Row],[personeelsnr]],'data hastus'!$A:$C,2,0)</f>
        <v>De Groote</v>
      </c>
      <c r="D104" t="str">
        <f>VLOOKUP(Tabel1[[#This Row],[personeelsnr]],'data hastus'!$A:$C,3,0)</f>
        <v>Cedric</v>
      </c>
      <c r="E104" t="str">
        <f>VLOOKUP(Tabel1[[#This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_xlfn.CONCAT(Tabel1[[#This Row],[personeelsnr]]," ",C105," ",D105)</f>
        <v>39660 Lloyd Glenn</v>
      </c>
      <c r="C105" t="str">
        <f>VLOOKUP(Tabel1[[#This Row],[personeelsnr]],'data hastus'!$A:$C,2,0)</f>
        <v>Lloyd</v>
      </c>
      <c r="D105" t="str">
        <f>VLOOKUP(Tabel1[[#This Row],[personeelsnr]],'data hastus'!$A:$C,3,0)</f>
        <v>Glenn</v>
      </c>
      <c r="E105" t="str">
        <f>VLOOKUP(Tabel1[[#This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_xlfn.CONCAT(Tabel1[[#This Row],[personeelsnr]]," ",C106," ",D106)</f>
        <v>36626 Kartal Kadir</v>
      </c>
      <c r="C106" t="str">
        <f>VLOOKUP(Tabel1[[#This Row],[personeelsnr]],'data hastus'!$A:$C,2,0)</f>
        <v>Kartal</v>
      </c>
      <c r="D106" t="str">
        <f>VLOOKUP(Tabel1[[#This Row],[personeelsnr]],'data hastus'!$A:$C,3,0)</f>
        <v>Kadir</v>
      </c>
      <c r="E106" t="str">
        <f>VLOOKUP(Tabel1[[#This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_xlfn.CONCAT(Tabel1[[#This Row],[personeelsnr]]," ",C107," ",D107)</f>
        <v>22240 Delahaye Karina</v>
      </c>
      <c r="C107" t="str">
        <f>VLOOKUP(Tabel1[[#This Row],[personeelsnr]],'data hastus'!$A:$C,2,0)</f>
        <v>Delahaye</v>
      </c>
      <c r="D107" t="str">
        <f>VLOOKUP(Tabel1[[#This Row],[personeelsnr]],'data hastus'!$A:$C,3,0)</f>
        <v>Karina</v>
      </c>
      <c r="E107" t="str">
        <f>VLOOKUP(Tabel1[[#This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_xlfn.CONCAT(Tabel1[[#This Row],[personeelsnr]]," ",C108," ",D108)</f>
        <v>40200 Shahriyari Khalil</v>
      </c>
      <c r="C108" t="str">
        <f>VLOOKUP(Tabel1[[#This Row],[personeelsnr]],'data hastus'!$A:$C,2,0)</f>
        <v>Shahriyari</v>
      </c>
      <c r="D108" t="str">
        <f>VLOOKUP(Tabel1[[#This Row],[personeelsnr]],'data hastus'!$A:$C,3,0)</f>
        <v>Khalil</v>
      </c>
      <c r="E108" t="str">
        <f>VLOOKUP(Tabel1[[#This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_xlfn.CONCAT(Tabel1[[#This Row],[personeelsnr]]," ",C109," ",D109)</f>
        <v>26198 Justé Steven</v>
      </c>
      <c r="C109" t="str">
        <f>VLOOKUP(Tabel1[[#This Row],[personeelsnr]],'data hastus'!$A:$C,2,0)</f>
        <v>Justé</v>
      </c>
      <c r="D109" t="str">
        <f>VLOOKUP(Tabel1[[#This Row],[personeelsnr]],'data hastus'!$A:$C,3,0)</f>
        <v>Steven</v>
      </c>
      <c r="E109" t="str">
        <f>VLOOKUP(Tabel1[[#This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_xlfn.CONCAT(Tabel1[[#This Row],[personeelsnr]]," ",C110," ",D110)</f>
        <v>39146 Burrick Alex</v>
      </c>
      <c r="C110" t="str">
        <f>VLOOKUP(Tabel1[[#This Row],[personeelsnr]],'data hastus'!$A:$C,2,0)</f>
        <v>Burrick</v>
      </c>
      <c r="D110" t="str">
        <f>VLOOKUP(Tabel1[[#This Row],[personeelsnr]],'data hastus'!$A:$C,3,0)</f>
        <v>Alex</v>
      </c>
      <c r="E110" t="str">
        <f>VLOOKUP(Tabel1[[#This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_xlfn.CONCAT(Tabel1[[#This Row],[personeelsnr]]," ",C111," ",D111)</f>
        <v>19088 Remmery David</v>
      </c>
      <c r="C111" t="str">
        <f>VLOOKUP(Tabel1[[#This Row],[personeelsnr]],'data hastus'!$A:$C,2,0)</f>
        <v>Remmery</v>
      </c>
      <c r="D111" t="str">
        <f>VLOOKUP(Tabel1[[#This Row],[personeelsnr]],'data hastus'!$A:$C,3,0)</f>
        <v>David</v>
      </c>
      <c r="E111" t="str">
        <f>VLOOKUP(Tabel1[[#This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_xlfn.CONCAT(Tabel1[[#This Row],[personeelsnr]]," ",C112," ",D112)</f>
        <v>39779 Avci Muhammet Abdullah</v>
      </c>
      <c r="C112" t="str">
        <f>VLOOKUP(Tabel1[[#This Row],[personeelsnr]],'data hastus'!$A:$C,2,0)</f>
        <v>Avci</v>
      </c>
      <c r="D112" t="str">
        <f>VLOOKUP(Tabel1[[#This Row],[personeelsnr]],'data hastus'!$A:$C,3,0)</f>
        <v>Muhammet Abdullah</v>
      </c>
      <c r="E112" t="str">
        <f>VLOOKUP(Tabel1[[#This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_xlfn.CONCAT(Tabel1[[#This Row],[personeelsnr]]," ",C113," ",D113)</f>
        <v>32528 Benjilali Abdelhak</v>
      </c>
      <c r="C113" t="str">
        <f>VLOOKUP(Tabel1[[#This Row],[personeelsnr]],'data hastus'!$A:$C,2,0)</f>
        <v>Benjilali</v>
      </c>
      <c r="D113" t="str">
        <f>VLOOKUP(Tabel1[[#This Row],[personeelsnr]],'data hastus'!$A:$C,3,0)</f>
        <v>Abdelhak</v>
      </c>
      <c r="E113" t="str">
        <f>VLOOKUP(Tabel1[[#This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_xlfn.CONCAT(Tabel1[[#This Row],[personeelsnr]]," ",C114," ",D114)</f>
        <v>25993 De Wit Bruno</v>
      </c>
      <c r="C114" t="str">
        <f>VLOOKUP(Tabel1[[#This Row],[personeelsnr]],'data hastus'!$A:$C,2,0)</f>
        <v>De Wit</v>
      </c>
      <c r="D114" t="str">
        <f>VLOOKUP(Tabel1[[#This Row],[personeelsnr]],'data hastus'!$A:$C,3,0)</f>
        <v>Bruno</v>
      </c>
      <c r="E114" t="str">
        <f>VLOOKUP(Tabel1[[#This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_xlfn.CONCAT(Tabel1[[#This Row],[personeelsnr]]," ",C115," ",D115)</f>
        <v>38648 Uckuyulu Muhammet Emin</v>
      </c>
      <c r="C115" t="str">
        <f>VLOOKUP(Tabel1[[#This Row],[personeelsnr]],'data hastus'!$A:$C,2,0)</f>
        <v>Uckuyulu</v>
      </c>
      <c r="D115" t="str">
        <f>VLOOKUP(Tabel1[[#This Row],[personeelsnr]],'data hastus'!$A:$C,3,0)</f>
        <v>Muhammet Emin</v>
      </c>
      <c r="E115" t="str">
        <f>VLOOKUP(Tabel1[[#This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_xlfn.CONCAT(Tabel1[[#This Row],[personeelsnr]]," ",C116," ",D116)</f>
        <v>21809 Dejonghe Elisa</v>
      </c>
      <c r="C116" t="str">
        <f>VLOOKUP(Tabel1[[#This Row],[personeelsnr]],'data hastus'!$A:$C,2,0)</f>
        <v>Dejonghe</v>
      </c>
      <c r="D116" t="str">
        <f>VLOOKUP(Tabel1[[#This Row],[personeelsnr]],'data hastus'!$A:$C,3,0)</f>
        <v>Elisa</v>
      </c>
      <c r="E116" t="str">
        <f>VLOOKUP(Tabel1[[#This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_xlfn.CONCAT(Tabel1[[#This Row],[personeelsnr]]," ",C117," ",D117)</f>
        <v>23880 Wyffels Jean-Pierre</v>
      </c>
      <c r="C117" t="str">
        <f>VLOOKUP(Tabel1[[#This Row],[personeelsnr]],'data hastus'!$A:$C,2,0)</f>
        <v>Wyffels</v>
      </c>
      <c r="D117" t="str">
        <f>VLOOKUP(Tabel1[[#This Row],[personeelsnr]],'data hastus'!$A:$C,3,0)</f>
        <v>Jean-Pierre</v>
      </c>
      <c r="E117" t="str">
        <f>VLOOKUP(Tabel1[[#This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_xlfn.CONCAT(Tabel1[[#This Row],[personeelsnr]]," ",C118," ",D118)</f>
        <v>26331 Van Semmertier Pascal</v>
      </c>
      <c r="C118" t="str">
        <f>VLOOKUP(Tabel1[[#This Row],[personeelsnr]],'data hastus'!$A:$C,2,0)</f>
        <v>Van Semmertier</v>
      </c>
      <c r="D118" t="str">
        <f>VLOOKUP(Tabel1[[#This Row],[personeelsnr]],'data hastus'!$A:$C,3,0)</f>
        <v>Pascal</v>
      </c>
      <c r="E118" t="str">
        <f>VLOOKUP(Tabel1[[#This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_xlfn.CONCAT(Tabel1[[#This Row],[personeelsnr]]," ",C119," ",D119)</f>
        <v>15320 Vandenberghe Filip</v>
      </c>
      <c r="C119" t="str">
        <f>VLOOKUP(Tabel1[[#This Row],[personeelsnr]],'data hastus'!$A:$C,2,0)</f>
        <v>Vandenberghe</v>
      </c>
      <c r="D119" t="str">
        <f>VLOOKUP(Tabel1[[#This Row],[personeelsnr]],'data hastus'!$A:$C,3,0)</f>
        <v>Filip</v>
      </c>
      <c r="E119" t="str">
        <f>VLOOKUP(Tabel1[[#This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_xlfn.CONCAT(Tabel1[[#This Row],[personeelsnr]]," ",C120," ",D120)</f>
        <v>34445 Wulleput Illya</v>
      </c>
      <c r="C120" t="str">
        <f>VLOOKUP(Tabel1[[#This Row],[personeelsnr]],'data hastus'!$A:$C,2,0)</f>
        <v>Wulleput</v>
      </c>
      <c r="D120" t="str">
        <f>VLOOKUP(Tabel1[[#This Row],[personeelsnr]],'data hastus'!$A:$C,3,0)</f>
        <v>Illya</v>
      </c>
      <c r="E120" t="str">
        <f>VLOOKUP(Tabel1[[#This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_xlfn.CONCAT(Tabel1[[#This Row],[personeelsnr]]," ",C121," ",D121)</f>
        <v>38931 Sancak Eyuphan</v>
      </c>
      <c r="C121" t="str">
        <f>VLOOKUP(Tabel1[[#This Row],[personeelsnr]],'data hastus'!$A:$C,2,0)</f>
        <v>Sancak</v>
      </c>
      <c r="D121" t="str">
        <f>VLOOKUP(Tabel1[[#This Row],[personeelsnr]],'data hastus'!$A:$C,3,0)</f>
        <v>Eyuphan</v>
      </c>
      <c r="E121" t="str">
        <f>VLOOKUP(Tabel1[[#This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_xlfn.CONCAT(Tabel1[[#This Row],[personeelsnr]]," ",C122," ",D122)</f>
        <v>31231 Colaes Dylan</v>
      </c>
      <c r="C122" t="str">
        <f>VLOOKUP(Tabel1[[#This Row],[personeelsnr]],'data hastus'!$A:$C,2,0)</f>
        <v>Colaes</v>
      </c>
      <c r="D122" t="str">
        <f>VLOOKUP(Tabel1[[#This Row],[personeelsnr]],'data hastus'!$A:$C,3,0)</f>
        <v>Dylan</v>
      </c>
      <c r="E122" t="str">
        <f>VLOOKUP(Tabel1[[#This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_xlfn.CONCAT(Tabel1[[#This Row],[personeelsnr]]," ",C123," ",D123)</f>
        <v>36626 Kartal Kadir</v>
      </c>
      <c r="C123" t="str">
        <f>VLOOKUP(Tabel1[[#This Row],[personeelsnr]],'data hastus'!$A:$C,2,0)</f>
        <v>Kartal</v>
      </c>
      <c r="D123" t="str">
        <f>VLOOKUP(Tabel1[[#This Row],[personeelsnr]],'data hastus'!$A:$C,3,0)</f>
        <v>Kadir</v>
      </c>
      <c r="E123" t="str">
        <f>VLOOKUP(Tabel1[[#This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_xlfn.CONCAT(Tabel1[[#This Row],[personeelsnr]]," ",C124," ",D124)</f>
        <v>40223 Teetaert Billy</v>
      </c>
      <c r="C124" t="str">
        <f>VLOOKUP(Tabel1[[#This Row],[personeelsnr]],'data hastus'!$A:$C,2,0)</f>
        <v>Teetaert</v>
      </c>
      <c r="D124" t="str">
        <f>VLOOKUP(Tabel1[[#This Row],[personeelsnr]],'data hastus'!$A:$C,3,0)</f>
        <v>Billy</v>
      </c>
      <c r="E124" t="str">
        <f>VLOOKUP(Tabel1[[#This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str">
        <f>_xlfn.CONCAT(Tabel1[[#This Row],[personeelsnr]]," ",C125," ",D125)</f>
        <v>9999 chauffeur uit</v>
      </c>
      <c r="C125" t="str">
        <f>VLOOKUP(Tabel1[[#This Row],[personeelsnr]],'data hastus'!$A:$C,2,0)</f>
        <v>chauffeur</v>
      </c>
      <c r="D125" t="str">
        <f>VLOOKUP(Tabel1[[#This Row],[personeelsnr]],'data hastus'!$A:$C,3,0)</f>
        <v>uit</v>
      </c>
      <c r="E125" t="str">
        <f>VLOOKUP(Tabel1[[#This Row],[personeelsnr]],'data hastus'!A:K,11,FALSE)</f>
        <v>dienst</v>
      </c>
      <c r="F125">
        <v>1</v>
      </c>
    </row>
    <row r="126" spans="1:6" x14ac:dyDescent="0.3">
      <c r="A126">
        <v>39831</v>
      </c>
      <c r="B126" t="str">
        <f>_xlfn.CONCAT(Tabel1[[#This Row],[personeelsnr]]," ",C126," ",D126)</f>
        <v>35107 Rotsaert Dominique</v>
      </c>
      <c r="C126" t="str">
        <f>VLOOKUP(Tabel1[[#This Row],[personeelsnr]],'data hastus'!$A:$C,2,0)</f>
        <v>Rotsaert</v>
      </c>
      <c r="D126" t="str">
        <f>VLOOKUP(Tabel1[[#This Row],[personeelsnr]],'data hastus'!$A:$C,3,0)</f>
        <v>Dominique</v>
      </c>
      <c r="E126" t="str">
        <f>VLOOKUP(Tabel1[[#This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_xlfn.CONCAT(Tabel1[[#This Row],[personeelsnr]]," ",C127," ",D127)</f>
        <v>5559 Hoste Tania</v>
      </c>
      <c r="C127" t="str">
        <f>VLOOKUP(Tabel1[[#This Row],[personeelsnr]],'data hastus'!$A:$C,2,0)</f>
        <v>Hoste</v>
      </c>
      <c r="D127" t="str">
        <f>VLOOKUP(Tabel1[[#This Row],[personeelsnr]],'data hastus'!$A:$C,3,0)</f>
        <v>Tania</v>
      </c>
      <c r="E127" t="str">
        <f>VLOOKUP(Tabel1[[#This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_xlfn.CONCAT(Tabel1[[#This Row],[personeelsnr]]," ",C128," ",D128)</f>
        <v>26960 Toubadie Mossa</v>
      </c>
      <c r="C128" t="str">
        <f>VLOOKUP(Tabel1[[#This Row],[personeelsnr]],'data hastus'!$A:$C,2,0)</f>
        <v>Toubadie</v>
      </c>
      <c r="D128" t="str">
        <f>VLOOKUP(Tabel1[[#This Row],[personeelsnr]],'data hastus'!$A:$C,3,0)</f>
        <v>Mossa</v>
      </c>
      <c r="E128" t="str">
        <f>VLOOKUP(Tabel1[[#This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_xlfn.CONCAT(Tabel1[[#This Row],[personeelsnr]]," ",C129," ",D129)</f>
        <v>33450 Verroeye Chris</v>
      </c>
      <c r="C129" t="str">
        <f>VLOOKUP(Tabel1[[#This Row],[personeelsnr]],'data hastus'!$A:$C,2,0)</f>
        <v>Verroeye</v>
      </c>
      <c r="D129" t="str">
        <f>VLOOKUP(Tabel1[[#This Row],[personeelsnr]],'data hastus'!$A:$C,3,0)</f>
        <v>Chris</v>
      </c>
      <c r="E129" t="str">
        <f>VLOOKUP(Tabel1[[#This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_xlfn.CONCAT(Tabel1[[#This Row],[personeelsnr]]," ",C130," ",D130)</f>
        <v>32951 De Bruyne Sonia</v>
      </c>
      <c r="C130" t="str">
        <f>VLOOKUP(Tabel1[[#This Row],[personeelsnr]],'data hastus'!$A:$C,2,0)</f>
        <v>De Bruyne</v>
      </c>
      <c r="D130" t="str">
        <f>VLOOKUP(Tabel1[[#This Row],[personeelsnr]],'data hastus'!$A:$C,3,0)</f>
        <v>Sonia</v>
      </c>
      <c r="E130" t="str">
        <f>VLOOKUP(Tabel1[[#This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_xlfn.CONCAT(Tabel1[[#This Row],[personeelsnr]]," ",C131," ",D131)</f>
        <v>21382 De Volder Marc</v>
      </c>
      <c r="C131" t="str">
        <f>VLOOKUP(Tabel1[[#This Row],[personeelsnr]],'data hastus'!$A:$C,2,0)</f>
        <v>De Volder</v>
      </c>
      <c r="D131" t="str">
        <f>VLOOKUP(Tabel1[[#This Row],[personeelsnr]],'data hastus'!$A:$C,3,0)</f>
        <v>Marc</v>
      </c>
      <c r="E131" t="str">
        <f>VLOOKUP(Tabel1[[#This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_xlfn.CONCAT(Tabel1[[#This Row],[personeelsnr]]," ",C132," ",D132)</f>
        <v>34286 Ghani Mozamil</v>
      </c>
      <c r="C132" t="str">
        <f>VLOOKUP(Tabel1[[#This Row],[personeelsnr]],'data hastus'!$A:$C,2,0)</f>
        <v>Ghani</v>
      </c>
      <c r="D132" t="str">
        <f>VLOOKUP(Tabel1[[#This Row],[personeelsnr]],'data hastus'!$A:$C,3,0)</f>
        <v>Mozamil</v>
      </c>
      <c r="E132" t="str">
        <f>VLOOKUP(Tabel1[[#This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_xlfn.CONCAT(Tabel1[[#This Row],[personeelsnr]]," ",C133," ",D133)</f>
        <v>16282 Vandecasteele Ruth</v>
      </c>
      <c r="C133" t="str">
        <f>VLOOKUP(Tabel1[[#This Row],[personeelsnr]],'data hastus'!$A:$C,2,0)</f>
        <v>Vandecasteele</v>
      </c>
      <c r="D133" t="str">
        <f>VLOOKUP(Tabel1[[#This Row],[personeelsnr]],'data hastus'!$A:$C,3,0)</f>
        <v>Ruth</v>
      </c>
      <c r="E133" t="str">
        <f>VLOOKUP(Tabel1[[#This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str">
        <f>_xlfn.CONCAT(Tabel1[[#This Row],[personeelsnr]]," ",C134," ",D134)</f>
        <v>9999 chauffeur uit</v>
      </c>
      <c r="C134" t="str">
        <f>VLOOKUP(Tabel1[[#This Row],[personeelsnr]],'data hastus'!$A:$C,2,0)</f>
        <v>chauffeur</v>
      </c>
      <c r="D134" t="str">
        <f>VLOOKUP(Tabel1[[#This Row],[personeelsnr]],'data hastus'!$A:$C,3,0)</f>
        <v>uit</v>
      </c>
      <c r="E134" t="str">
        <f>VLOOKUP(Tabel1[[#This Row],[personeelsnr]],'data hastus'!A:K,11,FALSE)</f>
        <v>dienst</v>
      </c>
      <c r="F134">
        <v>0</v>
      </c>
    </row>
    <row r="135" spans="1:6" x14ac:dyDescent="0.3">
      <c r="A135">
        <v>8394</v>
      </c>
      <c r="B135" t="str">
        <f>_xlfn.CONCAT(Tabel1[[#This Row],[personeelsnr]]," ",C135," ",D135)</f>
        <v>39654 Camacho Encarnacion Lisandro Javier</v>
      </c>
      <c r="C135" t="str">
        <f>VLOOKUP(Tabel1[[#This Row],[personeelsnr]],'data hastus'!$A:$C,2,0)</f>
        <v>Camacho Encarnacion</v>
      </c>
      <c r="D135" t="str">
        <f>VLOOKUP(Tabel1[[#This Row],[personeelsnr]],'data hastus'!$A:$C,3,0)</f>
        <v>Lisandro Javier</v>
      </c>
      <c r="E135" t="str">
        <f>VLOOKUP(Tabel1[[#This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_xlfn.CONCAT(Tabel1[[#This Row],[personeelsnr]]," ",C136," ",D136)</f>
        <v>33400 Petit Cynthia</v>
      </c>
      <c r="C136" t="str">
        <f>VLOOKUP(Tabel1[[#This Row],[personeelsnr]],'data hastus'!$A:$C,2,0)</f>
        <v>Petit</v>
      </c>
      <c r="D136" t="str">
        <f>VLOOKUP(Tabel1[[#This Row],[personeelsnr]],'data hastus'!$A:$C,3,0)</f>
        <v>Cynthia</v>
      </c>
      <c r="E136" t="str">
        <f>VLOOKUP(Tabel1[[#This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_xlfn.CONCAT(Tabel1[[#This Row],[personeelsnr]]," ",C137," ",D137)</f>
        <v>12124 Van Vliet Tom</v>
      </c>
      <c r="C137" t="str">
        <f>VLOOKUP(Tabel1[[#This Row],[personeelsnr]],'data hastus'!$A:$C,2,0)</f>
        <v>Van Vliet</v>
      </c>
      <c r="D137" t="str">
        <f>VLOOKUP(Tabel1[[#This Row],[personeelsnr]],'data hastus'!$A:$C,3,0)</f>
        <v>Tom</v>
      </c>
      <c r="E137" t="str">
        <f>VLOOKUP(Tabel1[[#This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_xlfn.CONCAT(Tabel1[[#This Row],[personeelsnr]]," ",C138," ",D138)</f>
        <v>37439 Demirkazik Mustafa</v>
      </c>
      <c r="C138" t="str">
        <f>VLOOKUP(Tabel1[[#This Row],[personeelsnr]],'data hastus'!$A:$C,2,0)</f>
        <v>Demirkazik</v>
      </c>
      <c r="D138" t="str">
        <f>VLOOKUP(Tabel1[[#This Row],[personeelsnr]],'data hastus'!$A:$C,3,0)</f>
        <v>Mustafa</v>
      </c>
      <c r="E138" t="str">
        <f>VLOOKUP(Tabel1[[#This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_xlfn.CONCAT(Tabel1[[#This Row],[personeelsnr]]," ",C139," ",D139)</f>
        <v>31600 leeg leeg</v>
      </c>
      <c r="C139" t="s">
        <v>1164</v>
      </c>
      <c r="D139" t="s">
        <v>1164</v>
      </c>
      <c r="E139" t="s">
        <v>1165</v>
      </c>
      <c r="F139">
        <v>0</v>
      </c>
    </row>
    <row r="140" spans="1:6" x14ac:dyDescent="0.3">
      <c r="A140">
        <v>17951</v>
      </c>
      <c r="B140" t="str">
        <f>_xlfn.CONCAT(Tabel1[[#This Row],[personeelsnr]]," ",C140," ",D140)</f>
        <v>19848 Gevaert Patrick</v>
      </c>
      <c r="C140" t="str">
        <f>VLOOKUP(Tabel1[[#This Row],[personeelsnr]],'data hastus'!$A:$C,2,0)</f>
        <v>Gevaert</v>
      </c>
      <c r="D140" t="str">
        <f>VLOOKUP(Tabel1[[#This Row],[personeelsnr]],'data hastus'!$A:$C,3,0)</f>
        <v>Patrick</v>
      </c>
      <c r="E140" t="str">
        <f>VLOOKUP(Tabel1[[#This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str">
        <f>_xlfn.CONCAT(Tabel1[[#This Row],[personeelsnr]]," ",C141," ",D141)</f>
        <v>9999 chauffeur uit</v>
      </c>
      <c r="C141" t="str">
        <f>VLOOKUP(Tabel1[[#This Row],[personeelsnr]],'data hastus'!$A:$C,2,0)</f>
        <v>chauffeur</v>
      </c>
      <c r="D141" t="str">
        <f>VLOOKUP(Tabel1[[#This Row],[personeelsnr]],'data hastus'!$A:$C,3,0)</f>
        <v>uit</v>
      </c>
      <c r="E141" t="str">
        <f>VLOOKUP(Tabel1[[#This Row],[personeelsnr]],'data hastus'!A:K,11,FALSE)</f>
        <v>dienst</v>
      </c>
    </row>
    <row r="142" spans="1:6" x14ac:dyDescent="0.3">
      <c r="A142">
        <v>19520</v>
      </c>
      <c r="B142" t="str">
        <f>_xlfn.CONCAT(Tabel1[[#This Row],[personeelsnr]]," ",C142," ",D142)</f>
        <v>38481 Sari Devrim</v>
      </c>
      <c r="C142" t="str">
        <f>VLOOKUP(Tabel1[[#This Row],[personeelsnr]],'data hastus'!$A:$C,2,0)</f>
        <v>Sari</v>
      </c>
      <c r="D142" t="str">
        <f>VLOOKUP(Tabel1[[#This Row],[personeelsnr]],'data hastus'!$A:$C,3,0)</f>
        <v>Devrim</v>
      </c>
      <c r="E142" t="str">
        <f>VLOOKUP(Tabel1[[#This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_xlfn.CONCAT(Tabel1[[#This Row],[personeelsnr]]," ",C143," ",D143)</f>
        <v>37216 Antoniewicz Stephan</v>
      </c>
      <c r="C143" t="str">
        <f>VLOOKUP(Tabel1[[#This Row],[personeelsnr]],'data hastus'!$A:$C,2,0)</f>
        <v>Antoniewicz</v>
      </c>
      <c r="D143" t="str">
        <f>VLOOKUP(Tabel1[[#This Row],[personeelsnr]],'data hastus'!$A:$C,3,0)</f>
        <v>Stephan</v>
      </c>
      <c r="E143" t="str">
        <f>VLOOKUP(Tabel1[[#This Row],[personeelsnr]],'data hastus'!A:K,11,FALSE)</f>
        <v>Kenneth De Rick</v>
      </c>
    </row>
    <row r="144" spans="1:6" x14ac:dyDescent="0.3">
      <c r="A144">
        <v>21424</v>
      </c>
      <c r="B144" t="str">
        <f>_xlfn.CONCAT(Tabel1[[#This Row],[personeelsnr]]," ",C144," ",D144)</f>
        <v>9999 chauffeur uit</v>
      </c>
      <c r="C144" t="str">
        <f>VLOOKUP(Tabel1[[#This Row],[personeelsnr]],'data hastus'!$A:$C,2,0)</f>
        <v>chauffeur</v>
      </c>
      <c r="D144" t="str">
        <f>VLOOKUP(Tabel1[[#This Row],[personeelsnr]],'data hastus'!$A:$C,3,0)</f>
        <v>uit</v>
      </c>
      <c r="E144" t="str">
        <f>VLOOKUP(Tabel1[[#This Row],[personeelsnr]],'data hastus'!A:K,11,FALSE)</f>
        <v>dienst</v>
      </c>
      <c r="F144">
        <v>0</v>
      </c>
    </row>
    <row r="145" spans="1:6" x14ac:dyDescent="0.3">
      <c r="A145">
        <v>21509</v>
      </c>
      <c r="B145" t="str">
        <f>_xlfn.CONCAT(Tabel1[[#This Row],[personeelsnr]]," ",C145," ",D145)</f>
        <v>29179 Verwee Dries</v>
      </c>
      <c r="C145" t="str">
        <f>VLOOKUP(Tabel1[[#This Row],[personeelsnr]],'data hastus'!$A:$C,2,0)</f>
        <v>Verwee</v>
      </c>
      <c r="D145" t="str">
        <f>VLOOKUP(Tabel1[[#This Row],[personeelsnr]],'data hastus'!$A:$C,3,0)</f>
        <v>Dries</v>
      </c>
      <c r="E145" t="str">
        <f>VLOOKUP(Tabel1[[#This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_xlfn.CONCAT(Tabel1[[#This Row],[personeelsnr]]," ",C146," ",D146)</f>
        <v>#N/A</v>
      </c>
      <c r="C146" t="e">
        <f>VLOOKUP(Tabel1[[#This Row],[personeelsnr]],'data hastus'!$A:$C,2,0)</f>
        <v>#N/A</v>
      </c>
      <c r="D146" t="e">
        <f>VLOOKUP(Tabel1[[#This Row],[personeelsnr]],'data hastus'!$A:$C,3,0)</f>
        <v>#N/A</v>
      </c>
      <c r="E146" t="e">
        <f>VLOOKUP(Tabel1[[#This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_xlfn.CONCAT(Tabel1[[#This Row],[personeelsnr]]," ",C147," ",D147)</f>
        <v>32620 Saey Elias</v>
      </c>
      <c r="C147" t="str">
        <f>VLOOKUP(Tabel1[[#This Row],[personeelsnr]],'data hastus'!$A:$C,2,0)</f>
        <v>Saey</v>
      </c>
      <c r="D147" t="str">
        <f>VLOOKUP(Tabel1[[#This Row],[personeelsnr]],'data hastus'!$A:$C,3,0)</f>
        <v>Elias</v>
      </c>
      <c r="E147" t="str">
        <f>VLOOKUP(Tabel1[[#This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str">
        <f>_xlfn.CONCAT(Tabel1[[#This Row],[personeelsnr]]," ",C148," ",D148)</f>
        <v>9999 chauffeur uit</v>
      </c>
      <c r="C148" t="str">
        <f>VLOOKUP(Tabel1[[#This Row],[personeelsnr]],'data hastus'!$A:$C,2,0)</f>
        <v>chauffeur</v>
      </c>
      <c r="D148" t="str">
        <f>VLOOKUP(Tabel1[[#This Row],[personeelsnr]],'data hastus'!$A:$C,3,0)</f>
        <v>uit</v>
      </c>
      <c r="E148" t="str">
        <f>VLOOKUP(Tabel1[[#This Row],[personeelsnr]],'data hastus'!A:K,11,FALSE)</f>
        <v>dienst</v>
      </c>
    </row>
    <row r="149" spans="1:6" x14ac:dyDescent="0.3">
      <c r="A149">
        <v>26137</v>
      </c>
      <c r="B149" t="str">
        <f>_xlfn.CONCAT(Tabel1[[#This Row],[personeelsnr]]," ",C149," ",D149)</f>
        <v>8708 Middernacht Andy</v>
      </c>
      <c r="C149" t="str">
        <f>VLOOKUP(Tabel1[[#This Row],[personeelsnr]],'data hastus'!$A:$C,2,0)</f>
        <v>Middernacht</v>
      </c>
      <c r="D149" t="str">
        <f>VLOOKUP(Tabel1[[#This Row],[personeelsnr]],'data hastus'!$A:$C,3,0)</f>
        <v>Andy</v>
      </c>
      <c r="E149" t="str">
        <f>VLOOKUP(Tabel1[[#This Row],[personeelsnr]],'data hastus'!A:K,11,FALSE)</f>
        <v>Lucie Vande Velde</v>
      </c>
    </row>
    <row r="150" spans="1:6" x14ac:dyDescent="0.3">
      <c r="A150">
        <v>26199</v>
      </c>
      <c r="B150" t="str">
        <f>_xlfn.CONCAT(Tabel1[[#This Row],[personeelsnr]]," ",C150," ",D150)</f>
        <v>9999 chauffeur uit</v>
      </c>
      <c r="C150" t="str">
        <f>VLOOKUP(Tabel1[[#This Row],[personeelsnr]],'data hastus'!$A:$C,2,0)</f>
        <v>chauffeur</v>
      </c>
      <c r="D150" t="str">
        <f>VLOOKUP(Tabel1[[#This Row],[personeelsnr]],'data hastus'!$A:$C,3,0)</f>
        <v>uit</v>
      </c>
      <c r="E150" t="str">
        <f>VLOOKUP(Tabel1[[#This Row],[personeelsnr]],'data hastus'!A:K,11,FALSE)</f>
        <v>dienst</v>
      </c>
      <c r="F150">
        <v>0</v>
      </c>
    </row>
    <row r="151" spans="1:6" x14ac:dyDescent="0.3">
      <c r="A151">
        <v>28737</v>
      </c>
      <c r="B151" t="str">
        <f>_xlfn.CONCAT(Tabel1[[#This Row],[personeelsnr]]," ",C151," ",D151)</f>
        <v>38807 Dossche Caroline</v>
      </c>
      <c r="C151" t="str">
        <f>VLOOKUP(Tabel1[[#This Row],[personeelsnr]],'data hastus'!$A:$C,2,0)</f>
        <v>Dossche</v>
      </c>
      <c r="D151" t="str">
        <f>VLOOKUP(Tabel1[[#This Row],[personeelsnr]],'data hastus'!$A:$C,3,0)</f>
        <v>Caroline</v>
      </c>
      <c r="E151" t="str">
        <f>VLOOKUP(Tabel1[[#This Row],[personeelsnr]],'data hastus'!A:K,11,FALSE)</f>
        <v>Christoff Rotty</v>
      </c>
    </row>
    <row r="152" spans="1:6" x14ac:dyDescent="0.3">
      <c r="A152">
        <v>28737</v>
      </c>
      <c r="B152" t="str">
        <f>_xlfn.CONCAT(Tabel1[[#This Row],[personeelsnr]]," ",C152," ",D152)</f>
        <v>28717 Dejonckheere Els</v>
      </c>
      <c r="C152" t="str">
        <f>VLOOKUP(Tabel1[[#This Row],[personeelsnr]],'data hastus'!$A:$C,2,0)</f>
        <v>Dejonckheere</v>
      </c>
      <c r="D152" t="str">
        <f>VLOOKUP(Tabel1[[#This Row],[personeelsnr]],'data hastus'!$A:$C,3,0)</f>
        <v>Els</v>
      </c>
      <c r="E152" t="str">
        <f>VLOOKUP(Tabel1[[#This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_xlfn.CONCAT(Tabel1[[#This Row],[personeelsnr]]," ",C153," ",D153)</f>
        <v>39930 Mirazai Rahmatullah</v>
      </c>
      <c r="C153" t="str">
        <f>VLOOKUP(Tabel1[[#This Row],[personeelsnr]],'data hastus'!$A:$C,2,0)</f>
        <v>Mirazai</v>
      </c>
      <c r="D153" t="str">
        <f>VLOOKUP(Tabel1[[#This Row],[personeelsnr]],'data hastus'!$A:$C,3,0)</f>
        <v>Rahmatullah</v>
      </c>
      <c r="E153" t="str">
        <f>VLOOKUP(Tabel1[[#This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_xlfn.CONCAT(Tabel1[[#This Row],[personeelsnr]]," ",C154," ",D154)</f>
        <v>36429 Ahlaloum Khalid</v>
      </c>
      <c r="C154" t="str">
        <f>VLOOKUP(Tabel1[[#This Row],[personeelsnr]],'data hastus'!$A:$C,2,0)</f>
        <v>Ahlaloum</v>
      </c>
      <c r="D154" t="str">
        <f>VLOOKUP(Tabel1[[#This Row],[personeelsnr]],'data hastus'!$A:$C,3,0)</f>
        <v>Khalid</v>
      </c>
      <c r="E154" t="str">
        <f>VLOOKUP(Tabel1[[#This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_xlfn.CONCAT(Tabel1[[#This Row],[personeelsnr]]," ",C155," ",D155)</f>
        <v>38634 Asskale Zouhir</v>
      </c>
      <c r="C155" t="str">
        <f>VLOOKUP(Tabel1[[#This Row],[personeelsnr]],'data hastus'!$A:$C,2,0)</f>
        <v>Asskale</v>
      </c>
      <c r="D155" t="str">
        <f>VLOOKUP(Tabel1[[#This Row],[personeelsnr]],'data hastus'!$A:$C,3,0)</f>
        <v>Zouhir</v>
      </c>
      <c r="E155" t="str">
        <f>VLOOKUP(Tabel1[[#This Row],[personeelsnr]],'data hastus'!A:K,11,FALSE)</f>
        <v>Bart Van Der Beken</v>
      </c>
    </row>
    <row r="156" spans="1:6" x14ac:dyDescent="0.3">
      <c r="A156">
        <v>99999</v>
      </c>
      <c r="B156" t="str">
        <f>_xlfn.CONCAT(Tabel1[[#This Row],[personeelsnr]]," ",C156," ",D156)</f>
        <v>31733 leeg leeg</v>
      </c>
      <c r="C156" t="s">
        <v>1164</v>
      </c>
      <c r="D156" t="s">
        <v>1164</v>
      </c>
      <c r="E156" t="s">
        <v>1165</v>
      </c>
    </row>
    <row r="157" spans="1:6" x14ac:dyDescent="0.3">
      <c r="A157">
        <v>33965</v>
      </c>
      <c r="B157" t="str">
        <f>_xlfn.CONCAT(Tabel1[[#This Row],[personeelsnr]]," ",C157," ",D157)</f>
        <v>39829 Demirkaya Serkan</v>
      </c>
      <c r="C157" t="str">
        <f>VLOOKUP(Tabel1[[#This Row],[personeelsnr]],'data hastus'!$A:$C,2,0)</f>
        <v>Demirkaya</v>
      </c>
      <c r="D157" t="str">
        <f>VLOOKUP(Tabel1[[#This Row],[personeelsnr]],'data hastus'!$A:$C,3,0)</f>
        <v>Serkan</v>
      </c>
      <c r="E157" t="str">
        <f>VLOOKUP(Tabel1[[#This Row],[personeelsnr]],'data hastus'!A:K,11,FALSE)</f>
        <v>Lucie Vande Velde</v>
      </c>
    </row>
    <row r="158" spans="1:6" x14ac:dyDescent="0.3">
      <c r="A158">
        <v>30121</v>
      </c>
      <c r="B158" t="str">
        <f>_xlfn.CONCAT(Tabel1[[#This Row],[personeelsnr]]," ",C158," ",D158)</f>
        <v>40223 Teetaert Billy</v>
      </c>
      <c r="C158" t="str">
        <f>VLOOKUP(Tabel1[[#This Row],[personeelsnr]],'data hastus'!$A:$C,2,0)</f>
        <v>Teetaert</v>
      </c>
      <c r="D158" t="str">
        <f>VLOOKUP(Tabel1[[#This Row],[personeelsnr]],'data hastus'!$A:$C,3,0)</f>
        <v>Billy</v>
      </c>
      <c r="E158" t="str">
        <f>VLOOKUP(Tabel1[[#This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_xlfn.CONCAT(Tabel1[[#This Row],[personeelsnr]]," ",C159," ",D159)</f>
        <v>5599 Pretel Philippe</v>
      </c>
      <c r="C159" t="str">
        <f>VLOOKUP(Tabel1[[#This Row],[personeelsnr]],'data hastus'!$A:$C,2,0)</f>
        <v>Pretel</v>
      </c>
      <c r="D159" t="str">
        <f>VLOOKUP(Tabel1[[#This Row],[personeelsnr]],'data hastus'!$A:$C,3,0)</f>
        <v>Philippe</v>
      </c>
      <c r="E159" t="str">
        <f>VLOOKUP(Tabel1[[#This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_xlfn.CONCAT(Tabel1[[#This Row],[personeelsnr]]," ",C160," ",D160)</f>
        <v>38481 Sari Devrim</v>
      </c>
      <c r="C160" t="str">
        <f>VLOOKUP(Tabel1[[#This Row],[personeelsnr]],'data hastus'!$A:$C,2,0)</f>
        <v>Sari</v>
      </c>
      <c r="D160" t="str">
        <f>VLOOKUP(Tabel1[[#This Row],[personeelsnr]],'data hastus'!$A:$C,3,0)</f>
        <v>Devrim</v>
      </c>
      <c r="E160" t="str">
        <f>VLOOKUP(Tabel1[[#This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_xlfn.CONCAT(Tabel1[[#This Row],[personeelsnr]]," ",C161," ",D161)</f>
        <v>35450 Roos Hugo</v>
      </c>
      <c r="C161" t="str">
        <f>VLOOKUP(Tabel1[[#This Row],[personeelsnr]],'data hastus'!$A:$C,2,0)</f>
        <v>Roos</v>
      </c>
      <c r="D161" t="str">
        <f>VLOOKUP(Tabel1[[#This Row],[personeelsnr]],'data hastus'!$A:$C,3,0)</f>
        <v>Hugo</v>
      </c>
      <c r="E161" t="str">
        <f>VLOOKUP(Tabel1[[#This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_xlfn.CONCAT(Tabel1[[#This Row],[personeelsnr]]," ",C162," ",D162)</f>
        <v>34351 Callant Dieter</v>
      </c>
      <c r="C162" t="str">
        <f>VLOOKUP(Tabel1[[#This Row],[personeelsnr]],'data hastus'!$A:$C,2,0)</f>
        <v>Callant</v>
      </c>
      <c r="D162" t="str">
        <f>VLOOKUP(Tabel1[[#This Row],[personeelsnr]],'data hastus'!$A:$C,3,0)</f>
        <v>Dieter</v>
      </c>
      <c r="E162" t="str">
        <f>VLOOKUP(Tabel1[[#This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_xlfn.CONCAT(Tabel1[[#This Row],[personeelsnr]]," ",C163," ",D163)</f>
        <v>39183 Al Masri Anas</v>
      </c>
      <c r="C163" t="str">
        <f>VLOOKUP(Tabel1[[#This Row],[personeelsnr]],'data hastus'!$A:$C,2,0)</f>
        <v>Al Masri</v>
      </c>
      <c r="D163" t="str">
        <f>VLOOKUP(Tabel1[[#This Row],[personeelsnr]],'data hastus'!$A:$C,3,0)</f>
        <v>Anas</v>
      </c>
      <c r="E163" t="str">
        <f>VLOOKUP(Tabel1[[#This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_xlfn.CONCAT(Tabel1[[#This Row],[personeelsnr]]," ",C164," ",D164)</f>
        <v>21509 De Craemer Kris</v>
      </c>
      <c r="C164" t="str">
        <f>VLOOKUP(Tabel1[[#This Row],[personeelsnr]],'data hastus'!$A:$C,2,0)</f>
        <v>De Craemer</v>
      </c>
      <c r="D164" t="str">
        <f>VLOOKUP(Tabel1[[#This Row],[personeelsnr]],'data hastus'!$A:$C,3,0)</f>
        <v>Kris</v>
      </c>
      <c r="E164" t="str">
        <f>VLOOKUP(Tabel1[[#This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_xlfn.CONCAT(Tabel1[[#This Row],[personeelsnr]]," ",C165," ",D165)</f>
        <v>34044 Wieme Kevin</v>
      </c>
      <c r="C165" t="str">
        <f>VLOOKUP(Tabel1[[#This Row],[personeelsnr]],'data hastus'!$A:$C,2,0)</f>
        <v>Wieme</v>
      </c>
      <c r="D165" t="str">
        <f>VLOOKUP(Tabel1[[#This Row],[personeelsnr]],'data hastus'!$A:$C,3,0)</f>
        <v>Kevin</v>
      </c>
      <c r="E165" t="str">
        <f>VLOOKUP(Tabel1[[#This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_xlfn.CONCAT(Tabel1[[#This Row],[personeelsnr]]," ",C166," ",D166)</f>
        <v>11866 Bolle Pascal</v>
      </c>
      <c r="C166" t="str">
        <f>VLOOKUP(Tabel1[[#This Row],[personeelsnr]],'data hastus'!$A:$C,2,0)</f>
        <v>Bolle</v>
      </c>
      <c r="D166" t="str">
        <f>VLOOKUP(Tabel1[[#This Row],[personeelsnr]],'data hastus'!$A:$C,3,0)</f>
        <v>Pascal</v>
      </c>
      <c r="E166" t="str">
        <f>VLOOKUP(Tabel1[[#This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str">
        <f>_xlfn.CONCAT(Tabel1[[#This Row],[personeelsnr]]," ",C167," ",D167)</f>
        <v>9999 chauffeur uit</v>
      </c>
      <c r="C167" t="str">
        <f>VLOOKUP(Tabel1[[#This Row],[personeelsnr]],'data hastus'!$A:$C,2,0)</f>
        <v>chauffeur</v>
      </c>
      <c r="D167" t="str">
        <f>VLOOKUP(Tabel1[[#This Row],[personeelsnr]],'data hastus'!$A:$C,3,0)</f>
        <v>uit</v>
      </c>
      <c r="E167" t="str">
        <f>VLOOKUP(Tabel1[[#This Row],[personeelsnr]],'data hastus'!A:K,11,FALSE)</f>
        <v>dienst</v>
      </c>
      <c r="F167">
        <v>0</v>
      </c>
    </row>
    <row r="168" spans="1:6" x14ac:dyDescent="0.3">
      <c r="A168">
        <v>34325</v>
      </c>
      <c r="B168" t="str">
        <f>_xlfn.CONCAT(Tabel1[[#This Row],[personeelsnr]]," ",C168," ",D168)</f>
        <v>21124 De Ridder Danny</v>
      </c>
      <c r="C168" t="str">
        <f>VLOOKUP(Tabel1[[#This Row],[personeelsnr]],'data hastus'!$A:$C,2,0)</f>
        <v>De Ridder</v>
      </c>
      <c r="D168" t="str">
        <f>VLOOKUP(Tabel1[[#This Row],[personeelsnr]],'data hastus'!$A:$C,3,0)</f>
        <v>Danny</v>
      </c>
      <c r="E168" t="str">
        <f>VLOOKUP(Tabel1[[#This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_xlfn.CONCAT(Tabel1[[#This Row],[personeelsnr]]," ",C169," ",D169)</f>
        <v>22625 Callebert Pieter Jan</v>
      </c>
      <c r="C169" t="str">
        <f>VLOOKUP(Tabel1[[#This Row],[personeelsnr]],'data hastus'!$A:$C,2,0)</f>
        <v>Callebert</v>
      </c>
      <c r="D169" t="str">
        <f>VLOOKUP(Tabel1[[#This Row],[personeelsnr]],'data hastus'!$A:$C,3,0)</f>
        <v>Pieter Jan</v>
      </c>
      <c r="E169" t="str">
        <f>VLOOKUP(Tabel1[[#This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_xlfn.CONCAT(Tabel1[[#This Row],[personeelsnr]]," ",C170," ",D170)</f>
        <v>36626 Kartal Kadir</v>
      </c>
      <c r="C170" t="str">
        <f>VLOOKUP(Tabel1[[#This Row],[personeelsnr]],'data hastus'!$A:$C,2,0)</f>
        <v>Kartal</v>
      </c>
      <c r="D170" t="str">
        <f>VLOOKUP(Tabel1[[#This Row],[personeelsnr]],'data hastus'!$A:$C,3,0)</f>
        <v>Kadir</v>
      </c>
      <c r="E170" t="str">
        <f>VLOOKUP(Tabel1[[#This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_xlfn.CONCAT(Tabel1[[#This Row],[personeelsnr]]," ",C171," ",D171)</f>
        <v>39927 De Wilde Jordy</v>
      </c>
      <c r="C171" t="str">
        <f>VLOOKUP(Tabel1[[#This Row],[personeelsnr]],'data hastus'!$A:$C,2,0)</f>
        <v>De Wilde</v>
      </c>
      <c r="D171" t="str">
        <f>VLOOKUP(Tabel1[[#This Row],[personeelsnr]],'data hastus'!$A:$C,3,0)</f>
        <v>Jordy</v>
      </c>
      <c r="E171" t="str">
        <f>VLOOKUP(Tabel1[[#This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_xlfn.CONCAT(Tabel1[[#This Row],[personeelsnr]]," ",C172," ",D172)</f>
        <v>39899 Calinalti Abdil</v>
      </c>
      <c r="C172" t="str">
        <f>VLOOKUP(Tabel1[[#This Row],[personeelsnr]],'data hastus'!$A:$C,2,0)</f>
        <v>Calinalti</v>
      </c>
      <c r="D172" t="str">
        <f>VLOOKUP(Tabel1[[#This Row],[personeelsnr]],'data hastus'!$A:$C,3,0)</f>
        <v>Abdil</v>
      </c>
      <c r="E172" t="str">
        <f>VLOOKUP(Tabel1[[#This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_xlfn.CONCAT(Tabel1[[#This Row],[personeelsnr]]," ",C173," ",D173)</f>
        <v>37951 Van De Voorde Cindy</v>
      </c>
      <c r="C173" t="str">
        <f>VLOOKUP(Tabel1[[#This Row],[personeelsnr]],'data hastus'!$A:$C,2,0)</f>
        <v>Van De Voorde</v>
      </c>
      <c r="D173" t="str">
        <f>VLOOKUP(Tabel1[[#This Row],[personeelsnr]],'data hastus'!$A:$C,3,0)</f>
        <v>Cindy</v>
      </c>
      <c r="E173" t="str">
        <f>VLOOKUP(Tabel1[[#This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str">
        <f>_xlfn.CONCAT(Tabel1[[#This Row],[personeelsnr]]," ",C174," ",D174)</f>
        <v>9999 chauffeur uit</v>
      </c>
      <c r="C174" t="str">
        <f>VLOOKUP(Tabel1[[#This Row],[personeelsnr]],'data hastus'!$A:$C,2,0)</f>
        <v>chauffeur</v>
      </c>
      <c r="D174" t="str">
        <f>VLOOKUP(Tabel1[[#This Row],[personeelsnr]],'data hastus'!$A:$C,3,0)</f>
        <v>uit</v>
      </c>
      <c r="E174" t="str">
        <f>VLOOKUP(Tabel1[[#This Row],[personeelsnr]],'data hastus'!A:K,11,FALSE)</f>
        <v>dienst</v>
      </c>
      <c r="F174">
        <v>0</v>
      </c>
    </row>
    <row r="175" spans="1:6" x14ac:dyDescent="0.3">
      <c r="A175">
        <v>35490</v>
      </c>
      <c r="B175" t="str">
        <f>_xlfn.CONCAT(Tabel1[[#This Row],[personeelsnr]]," ",C175," ",D175)</f>
        <v>9999 chauffeur uit</v>
      </c>
      <c r="C175" t="str">
        <f>VLOOKUP(Tabel1[[#This Row],[personeelsnr]],'data hastus'!$A:$C,2,0)</f>
        <v>chauffeur</v>
      </c>
      <c r="D175" t="str">
        <f>VLOOKUP(Tabel1[[#This Row],[personeelsnr]],'data hastus'!$A:$C,3,0)</f>
        <v>uit</v>
      </c>
      <c r="E175" t="str">
        <f>VLOOKUP(Tabel1[[#This Row],[personeelsnr]],'data hastus'!A:K,11,FALSE)</f>
        <v>dienst</v>
      </c>
      <c r="F175">
        <v>0</v>
      </c>
    </row>
    <row r="176" spans="1:6" x14ac:dyDescent="0.3">
      <c r="A176">
        <v>35491</v>
      </c>
      <c r="B176" t="str">
        <f>_xlfn.CONCAT(Tabel1[[#This Row],[personeelsnr]]," ",C176," ",D176)</f>
        <v>30901 vanden Bulcke Johan</v>
      </c>
      <c r="C176" t="str">
        <f>VLOOKUP(Tabel1[[#This Row],[personeelsnr]],'data hastus'!$A:$C,2,0)</f>
        <v>vanden Bulcke</v>
      </c>
      <c r="D176" t="str">
        <f>VLOOKUP(Tabel1[[#This Row],[personeelsnr]],'data hastus'!$A:$C,3,0)</f>
        <v>Johan</v>
      </c>
      <c r="E176" t="str">
        <f>VLOOKUP(Tabel1[[#This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_xlfn.CONCAT(Tabel1[[#This Row],[personeelsnr]]," ",C177," ",D177)</f>
        <v>30321 Unver Ismaïl</v>
      </c>
      <c r="C177" t="str">
        <f>VLOOKUP(Tabel1[[#This Row],[personeelsnr]],'data hastus'!$A:$C,2,0)</f>
        <v>Unver</v>
      </c>
      <c r="D177" t="str">
        <f>VLOOKUP(Tabel1[[#This Row],[personeelsnr]],'data hastus'!$A:$C,3,0)</f>
        <v>Ismaïl</v>
      </c>
      <c r="E177" t="str">
        <f>VLOOKUP(Tabel1[[#This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_xlfn.CONCAT(Tabel1[[#This Row],[personeelsnr]]," ",C178," ",D178)</f>
        <v>33551 Dekens Andy</v>
      </c>
      <c r="C178" t="str">
        <f>VLOOKUP(Tabel1[[#This Row],[personeelsnr]],'data hastus'!$A:$C,2,0)</f>
        <v>Dekens</v>
      </c>
      <c r="D178" t="str">
        <f>VLOOKUP(Tabel1[[#This Row],[personeelsnr]],'data hastus'!$A:$C,3,0)</f>
        <v>Andy</v>
      </c>
      <c r="E178" t="str">
        <f>VLOOKUP(Tabel1[[#This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str">
        <f>_xlfn.CONCAT(Tabel1[[#This Row],[personeelsnr]]," ",C179," ",D179)</f>
        <v>9999 chauffeur uit</v>
      </c>
      <c r="C179" t="str">
        <f>VLOOKUP(Tabel1[[#This Row],[personeelsnr]],'data hastus'!$A:$C,2,0)</f>
        <v>chauffeur</v>
      </c>
      <c r="D179" t="str">
        <f>VLOOKUP(Tabel1[[#This Row],[personeelsnr]],'data hastus'!$A:$C,3,0)</f>
        <v>uit</v>
      </c>
      <c r="E179" t="str">
        <f>VLOOKUP(Tabel1[[#This Row],[personeelsnr]],'data hastus'!A:K,11,FALSE)</f>
        <v>dienst</v>
      </c>
      <c r="F179">
        <v>1</v>
      </c>
    </row>
    <row r="180" spans="1:6" x14ac:dyDescent="0.3">
      <c r="A180">
        <v>36289</v>
      </c>
      <c r="B180" t="str">
        <f>_xlfn.CONCAT(Tabel1[[#This Row],[personeelsnr]]," ",C180," ",D180)</f>
        <v>21582 De Grom Patrick</v>
      </c>
      <c r="C180" t="str">
        <f>VLOOKUP(Tabel1[[#This Row],[personeelsnr]],'data hastus'!$A:$C,2,0)</f>
        <v>De Grom</v>
      </c>
      <c r="D180" t="str">
        <f>VLOOKUP(Tabel1[[#This Row],[personeelsnr]],'data hastus'!$A:$C,3,0)</f>
        <v>Patrick</v>
      </c>
      <c r="E180" t="str">
        <f>VLOOKUP(Tabel1[[#This Row],[personeelsnr]],'data hastus'!A:K,11,FALSE)</f>
        <v>Steven Storm</v>
      </c>
    </row>
    <row r="181" spans="1:6" x14ac:dyDescent="0.3">
      <c r="A181">
        <v>37216</v>
      </c>
      <c r="B181" t="str">
        <f>_xlfn.CONCAT(Tabel1[[#This Row],[personeelsnr]]," ",C181," ",D181)</f>
        <v>9065 Dewispelaere Danny</v>
      </c>
      <c r="C181" t="str">
        <f>VLOOKUP(Tabel1[[#This Row],[personeelsnr]],'data hastus'!$A:$C,2,0)</f>
        <v>Dewispelaere</v>
      </c>
      <c r="D181" t="str">
        <f>VLOOKUP(Tabel1[[#This Row],[personeelsnr]],'data hastus'!$A:$C,3,0)</f>
        <v>Danny</v>
      </c>
      <c r="E181" t="str">
        <f>VLOOKUP(Tabel1[[#This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_xlfn.CONCAT(Tabel1[[#This Row],[personeelsnr]]," ",C182," ",D182)</f>
        <v>37609 De Groote Dylan</v>
      </c>
      <c r="C182" t="str">
        <f>VLOOKUP(Tabel1[[#This Row],[personeelsnr]],'data hastus'!$A:$C,2,0)</f>
        <v>De Groote</v>
      </c>
      <c r="D182" t="str">
        <f>VLOOKUP(Tabel1[[#This Row],[personeelsnr]],'data hastus'!$A:$C,3,0)</f>
        <v>Dylan</v>
      </c>
      <c r="E182" t="str">
        <f>VLOOKUP(Tabel1[[#This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_xlfn.CONCAT(Tabel1[[#This Row],[personeelsnr]]," ",C183," ",D183)</f>
        <v>40110 Vanlerberghe Sandra</v>
      </c>
      <c r="C183" t="str">
        <f>VLOOKUP(Tabel1[[#This Row],[personeelsnr]],'data hastus'!$A:$C,2,0)</f>
        <v>Vanlerberghe</v>
      </c>
      <c r="D183" t="str">
        <f>VLOOKUP(Tabel1[[#This Row],[personeelsnr]],'data hastus'!$A:$C,3,0)</f>
        <v>Sandra</v>
      </c>
      <c r="E183" t="str">
        <f>VLOOKUP(Tabel1[[#This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_xlfn.CONCAT(Tabel1[[#This Row],[personeelsnr]]," ",C184," ",D184)</f>
        <v>38931 Sancak Eyuphan</v>
      </c>
      <c r="C184" t="str">
        <f>VLOOKUP(Tabel1[[#This Row],[personeelsnr]],'data hastus'!$A:$C,2,0)</f>
        <v>Sancak</v>
      </c>
      <c r="D184" t="str">
        <f>VLOOKUP(Tabel1[[#This Row],[personeelsnr]],'data hastus'!$A:$C,3,0)</f>
        <v>Eyuphan</v>
      </c>
      <c r="E184" t="str">
        <f>VLOOKUP(Tabel1[[#This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_xlfn.CONCAT(Tabel1[[#This Row],[personeelsnr]]," ",C185," ",D185)</f>
        <v>37439 Demirkazik Mustafa</v>
      </c>
      <c r="C185" t="str">
        <f>VLOOKUP(Tabel1[[#This Row],[personeelsnr]],'data hastus'!$A:$C,2,0)</f>
        <v>Demirkazik</v>
      </c>
      <c r="D185" t="str">
        <f>VLOOKUP(Tabel1[[#This Row],[personeelsnr]],'data hastus'!$A:$C,3,0)</f>
        <v>Mustafa</v>
      </c>
      <c r="E185" t="str">
        <f>VLOOKUP(Tabel1[[#This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_xlfn.CONCAT(Tabel1[[#This Row],[personeelsnr]]," ",C186," ",D186)</f>
        <v>15852 Petereyns Vanessa</v>
      </c>
      <c r="C186" t="str">
        <f>VLOOKUP(Tabel1[[#This Row],[personeelsnr]],'data hastus'!$A:$C,2,0)</f>
        <v>Petereyns</v>
      </c>
      <c r="D186" t="str">
        <f>VLOOKUP(Tabel1[[#This Row],[personeelsnr]],'data hastus'!$A:$C,3,0)</f>
        <v>Vanessa</v>
      </c>
      <c r="E186" t="str">
        <f>VLOOKUP(Tabel1[[#This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_xlfn.CONCAT(Tabel1[[#This Row],[personeelsnr]]," ",C187," ",D187)</f>
        <v>15088 Laute Dirk</v>
      </c>
      <c r="C187" t="str">
        <f>VLOOKUP(Tabel1[[#This Row],[personeelsnr]],'data hastus'!$A:$C,2,0)</f>
        <v>Laute</v>
      </c>
      <c r="D187" t="str">
        <f>VLOOKUP(Tabel1[[#This Row],[personeelsnr]],'data hastus'!$A:$C,3,0)</f>
        <v>Dirk</v>
      </c>
      <c r="E187" t="str">
        <f>VLOOKUP(Tabel1[[#This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_xlfn.CONCAT(Tabel1[[#This Row],[personeelsnr]]," ",C188," ",D188)</f>
        <v>37950 De Naegel Bruno</v>
      </c>
      <c r="C188" t="str">
        <f>VLOOKUP(Tabel1[[#This Row],[personeelsnr]],'data hastus'!$A:$C,2,0)</f>
        <v>De Naegel</v>
      </c>
      <c r="D188" t="str">
        <f>VLOOKUP(Tabel1[[#This Row],[personeelsnr]],'data hastus'!$A:$C,3,0)</f>
        <v>Bruno</v>
      </c>
      <c r="E188" t="str">
        <f>VLOOKUP(Tabel1[[#This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_xlfn.CONCAT(Tabel1[[#This Row],[personeelsnr]]," ",C189," ",D189)</f>
        <v>37950 De Naegel Bruno</v>
      </c>
      <c r="C189" t="str">
        <f>VLOOKUP(Tabel1[[#This Row],[personeelsnr]],'data hastus'!$A:$C,2,0)</f>
        <v>De Naegel</v>
      </c>
      <c r="D189" t="str">
        <f>VLOOKUP(Tabel1[[#This Row],[personeelsnr]],'data hastus'!$A:$C,3,0)</f>
        <v>Bruno</v>
      </c>
      <c r="E189" t="str">
        <f>VLOOKUP(Tabel1[[#This Row],[personeelsnr]],'data hastus'!A:K,11,FALSE)</f>
        <v>Dominique De Clercq</v>
      </c>
      <c r="F189">
        <v>1</v>
      </c>
    </row>
    <row r="190" spans="1:6" x14ac:dyDescent="0.3">
      <c r="A190">
        <v>14665</v>
      </c>
      <c r="B190" t="str">
        <f>_xlfn.CONCAT(Tabel1[[#This Row],[personeelsnr]]," ",C190," ",D190)</f>
        <v>33965 Van de Gehuchte Gilles</v>
      </c>
      <c r="C190" t="str">
        <f>VLOOKUP(Tabel1[[#This Row],[personeelsnr]],'data hastus'!$A:$C,2,0)</f>
        <v>Van de Gehuchte</v>
      </c>
      <c r="D190" t="str">
        <f>VLOOKUP(Tabel1[[#This Row],[personeelsnr]],'data hastus'!$A:$C,3,0)</f>
        <v>Gilles</v>
      </c>
      <c r="E190" t="str">
        <f>VLOOKUP(Tabel1[[#This Row],[personeelsnr]],'data hastus'!A:K,11,FALSE)</f>
        <v>Kenneth De Rick</v>
      </c>
      <c r="F190">
        <v>1</v>
      </c>
    </row>
    <row r="191" spans="1:6" x14ac:dyDescent="0.3">
      <c r="A191">
        <v>20653</v>
      </c>
      <c r="B191" t="str">
        <f>_xlfn.CONCAT(Tabel1[[#This Row],[personeelsnr]]," ",C191," ",D191)</f>
        <v>40058 Sögüt Can</v>
      </c>
      <c r="C191" t="str">
        <f>VLOOKUP(Tabel1[[#This Row],[personeelsnr]],'data hastus'!$A:$C,2,0)</f>
        <v>Sögüt</v>
      </c>
      <c r="D191" t="str">
        <f>VLOOKUP(Tabel1[[#This Row],[personeelsnr]],'data hastus'!$A:$C,3,0)</f>
        <v>Can</v>
      </c>
      <c r="E191" t="str">
        <f>VLOOKUP(Tabel1[[#This Row],[personeelsnr]],'data hastus'!A:K,11,FALSE)</f>
        <v>Christoff Rotty</v>
      </c>
      <c r="F191">
        <v>1</v>
      </c>
    </row>
    <row r="192" spans="1:6" x14ac:dyDescent="0.3">
      <c r="A192">
        <v>37313</v>
      </c>
      <c r="B192" t="str">
        <f>_xlfn.CONCAT(Tabel1[[#This Row],[personeelsnr]]," ",C192," ",D192)</f>
        <v>13088 De Geyter Claudine</v>
      </c>
      <c r="C192" t="str">
        <f>VLOOKUP(Tabel1[[#This Row],[personeelsnr]],'data hastus'!$A:$C,2,0)</f>
        <v>De Geyter</v>
      </c>
      <c r="D192" t="str">
        <f>VLOOKUP(Tabel1[[#This Row],[personeelsnr]],'data hastus'!$A:$C,3,0)</f>
        <v>Claudine</v>
      </c>
      <c r="E192" t="str">
        <f>VLOOKUP(Tabel1[[#This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_xlfn.CONCAT(Tabel1[[#This Row],[personeelsnr]]," ",C193," ",D193)</f>
        <v>40222 Van Iterson Sharon</v>
      </c>
      <c r="C193" t="str">
        <f>VLOOKUP(Tabel1[[#This Row],[personeelsnr]],'data hastus'!$A:$C,2,0)</f>
        <v>Van Iterson</v>
      </c>
      <c r="D193" t="str">
        <f>VLOOKUP(Tabel1[[#This Row],[personeelsnr]],'data hastus'!$A:$C,3,0)</f>
        <v>Sharon</v>
      </c>
      <c r="E193" t="str">
        <f>VLOOKUP(Tabel1[[#This Row],[personeelsnr]],'data hastus'!A:K,11,FALSE)</f>
        <v>Dominique De Clercq</v>
      </c>
      <c r="F193">
        <v>1</v>
      </c>
    </row>
    <row r="194" spans="1:6" x14ac:dyDescent="0.3">
      <c r="A194">
        <v>35493</v>
      </c>
      <c r="B194" t="str">
        <f>_xlfn.CONCAT(Tabel1[[#This Row],[personeelsnr]]," ",C194," ",D194)</f>
        <v>25487 Devos Stefaan</v>
      </c>
      <c r="C194" t="str">
        <f>VLOOKUP(Tabel1[[#This Row],[personeelsnr]],'data hastus'!$A:$C,2,0)</f>
        <v>Devos</v>
      </c>
      <c r="D194" t="str">
        <f>VLOOKUP(Tabel1[[#This Row],[personeelsnr]],'data hastus'!$A:$C,3,0)</f>
        <v>Stefaan</v>
      </c>
      <c r="E194" t="str">
        <f>VLOOKUP(Tabel1[[#This Row],[personeelsnr]],'data hastus'!A:K,11,FALSE)</f>
        <v>Steven Storm</v>
      </c>
      <c r="F194">
        <v>1</v>
      </c>
    </row>
    <row r="195" spans="1:6" x14ac:dyDescent="0.3">
      <c r="A195">
        <v>37951</v>
      </c>
      <c r="B195" t="str">
        <f>_xlfn.CONCAT(Tabel1[[#This Row],[personeelsnr]]," ",C195," ",D195)</f>
        <v>9999 chauffeur uit</v>
      </c>
      <c r="C195" t="str">
        <f>VLOOKUP(Tabel1[[#This Row],[personeelsnr]],'data hastus'!$A:$C,2,0)</f>
        <v>chauffeur</v>
      </c>
      <c r="D195" t="str">
        <f>VLOOKUP(Tabel1[[#This Row],[personeelsnr]],'data hastus'!$A:$C,3,0)</f>
        <v>uit</v>
      </c>
      <c r="E195" t="str">
        <f>VLOOKUP(Tabel1[[#This Row],[personeelsnr]],'data hastus'!A:K,11,FALSE)</f>
        <v>dienst</v>
      </c>
      <c r="F195">
        <v>1</v>
      </c>
    </row>
    <row r="196" spans="1:6" x14ac:dyDescent="0.3">
      <c r="A196">
        <v>38648</v>
      </c>
      <c r="B196" t="str">
        <f>_xlfn.CONCAT(Tabel1[[#This Row],[personeelsnr]]," ",C196," ",D196)</f>
        <v>39019 De taeye Kelly</v>
      </c>
      <c r="C196" t="str">
        <f>VLOOKUP(Tabel1[[#This Row],[personeelsnr]],'data hastus'!$A:$C,2,0)</f>
        <v>De taeye</v>
      </c>
      <c r="D196" t="str">
        <f>VLOOKUP(Tabel1[[#This Row],[personeelsnr]],'data hastus'!$A:$C,3,0)</f>
        <v>Kelly</v>
      </c>
      <c r="E196" t="str">
        <f>VLOOKUP(Tabel1[[#This Row],[personeelsnr]],'data hastus'!A:K,11,FALSE)</f>
        <v>Lucie Vande Velde</v>
      </c>
      <c r="F196">
        <v>1</v>
      </c>
    </row>
    <row r="197" spans="1:6" x14ac:dyDescent="0.3">
      <c r="A197">
        <v>40608</v>
      </c>
      <c r="B197" t="str">
        <f>_xlfn.CONCAT(Tabel1[[#This Row],[personeelsnr]]," ",C197," ",D197)</f>
        <v>38688 Basgurboga Selahattin</v>
      </c>
      <c r="C197" t="str">
        <f>VLOOKUP(Tabel1[[#This Row],[personeelsnr]],'data hastus'!$A:$C,2,0)</f>
        <v>Basgurboga</v>
      </c>
      <c r="D197" t="str">
        <f>VLOOKUP(Tabel1[[#This Row],[personeelsnr]],'data hastus'!$A:$C,3,0)</f>
        <v>Selahattin</v>
      </c>
      <c r="E197" t="str">
        <f>VLOOKUP(Tabel1[[#This Row],[personeelsnr]],'data hastus'!A:K,11,FALSE)</f>
        <v>Els Dewulf</v>
      </c>
      <c r="F197">
        <v>1</v>
      </c>
    </row>
    <row r="198" spans="1:6" x14ac:dyDescent="0.3">
      <c r="A198">
        <v>26266</v>
      </c>
      <c r="B198" t="str">
        <f>_xlfn.CONCAT(Tabel1[[#This Row],[personeelsnr]]," ",C198," ",D198)</f>
        <v>35246 De Meyer Karel</v>
      </c>
      <c r="C198" t="str">
        <f>VLOOKUP(Tabel1[[#This Row],[personeelsnr]],'data hastus'!$A:$C,2,0)</f>
        <v>De Meyer</v>
      </c>
      <c r="D198" t="str">
        <f>VLOOKUP(Tabel1[[#This Row],[personeelsnr]],'data hastus'!$A:$C,3,0)</f>
        <v>Karel</v>
      </c>
      <c r="E198" t="str">
        <f>VLOOKUP(Tabel1[[#This Row],[personeelsnr]],'data hastus'!A:K,11,FALSE)</f>
        <v>Els Vanhoe</v>
      </c>
      <c r="F198">
        <v>1</v>
      </c>
    </row>
    <row r="199" spans="1:6" x14ac:dyDescent="0.3">
      <c r="A199">
        <v>30999</v>
      </c>
      <c r="B199" t="str">
        <f>_xlfn.CONCAT(Tabel1[[#This Row],[personeelsnr]]," ",C199," ",D199)</f>
        <v>10150 Vandenbogaerde Tony</v>
      </c>
      <c r="C199" t="str">
        <f>VLOOKUP(Tabel1[[#This Row],[personeelsnr]],'data hastus'!$A:$C,2,0)</f>
        <v>Vandenbogaerde</v>
      </c>
      <c r="D199" t="str">
        <f>VLOOKUP(Tabel1[[#This Row],[personeelsnr]],'data hastus'!$A:$C,3,0)</f>
        <v>Tony</v>
      </c>
      <c r="E199" t="str">
        <f>VLOOKUP(Tabel1[[#This Row],[personeelsnr]],'data hastus'!A:K,11,FALSE)</f>
        <v>Steven Storm</v>
      </c>
      <c r="F199">
        <v>1</v>
      </c>
    </row>
    <row r="200" spans="1:6" x14ac:dyDescent="0.3">
      <c r="A200">
        <v>32369</v>
      </c>
      <c r="B200" t="str">
        <f>_xlfn.CONCAT(Tabel1[[#This Row],[personeelsnr]]," ",C200," ",D200)</f>
        <v>9999 chauffeur uit</v>
      </c>
      <c r="C200" t="str">
        <f>VLOOKUP(Tabel1[[#This Row],[personeelsnr]],'data hastus'!$A:$C,2,0)</f>
        <v>chauffeur</v>
      </c>
      <c r="D200" t="str">
        <f>VLOOKUP(Tabel1[[#This Row],[personeelsnr]],'data hastus'!$A:$C,3,0)</f>
        <v>uit</v>
      </c>
      <c r="E200" t="str">
        <f>VLOOKUP(Tabel1[[#This Row],[personeelsnr]],'data hastus'!A:K,11,FALSE)</f>
        <v>dienst</v>
      </c>
      <c r="F200">
        <v>1</v>
      </c>
    </row>
    <row r="201" spans="1:6" x14ac:dyDescent="0.3">
      <c r="A201">
        <v>35709</v>
      </c>
      <c r="B201" t="str">
        <f>_xlfn.CONCAT(Tabel1[[#This Row],[personeelsnr]]," ",C201," ",D201)</f>
        <v>6310 De Craene Peter</v>
      </c>
      <c r="C201" t="str">
        <f>VLOOKUP(Tabel1[[#This Row],[personeelsnr]],'data hastus'!$A:$C,2,0)</f>
        <v>De Craene</v>
      </c>
      <c r="D201" t="str">
        <f>VLOOKUP(Tabel1[[#This Row],[personeelsnr]],'data hastus'!$A:$C,3,0)</f>
        <v>Peter</v>
      </c>
      <c r="E201" t="str">
        <f>VLOOKUP(Tabel1[[#This Row],[personeelsnr]],'data hastus'!A:K,11,FALSE)</f>
        <v>Els Dewulf</v>
      </c>
      <c r="F201">
        <v>1</v>
      </c>
    </row>
    <row r="202" spans="1:6" x14ac:dyDescent="0.3">
      <c r="A202">
        <v>13088</v>
      </c>
      <c r="B202" t="str">
        <f>_xlfn.CONCAT(Tabel1[[#This Row],[personeelsnr]]," ",C202," ",D202)</f>
        <v>37345 Walleyn Renaat</v>
      </c>
      <c r="C202" t="str">
        <f>VLOOKUP(Tabel1[[#This Row],[personeelsnr]],'data hastus'!$A:$C,2,0)</f>
        <v>Walleyn</v>
      </c>
      <c r="D202" t="str">
        <f>VLOOKUP(Tabel1[[#This Row],[personeelsnr]],'data hastus'!$A:$C,3,0)</f>
        <v>Renaat</v>
      </c>
      <c r="E202" t="str">
        <f>VLOOKUP(Tabel1[[#This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_xlfn.CONCAT(Tabel1[[#This Row],[personeelsnr]]," ",C203," ",D203)</f>
        <v>11508 Beeckman Nico</v>
      </c>
      <c r="C203" t="str">
        <f>VLOOKUP(Tabel1[[#This Row],[personeelsnr]],'data hastus'!$A:$C,2,0)</f>
        <v>Beeckman</v>
      </c>
      <c r="D203" t="str">
        <f>VLOOKUP(Tabel1[[#This Row],[personeelsnr]],'data hastus'!$A:$C,3,0)</f>
        <v>Nico</v>
      </c>
      <c r="E203" t="str">
        <f>VLOOKUP(Tabel1[[#This Row],[personeelsnr]],'data hastus'!A:K,11,FALSE)</f>
        <v>Lucie Vande Velde</v>
      </c>
      <c r="F203">
        <v>1</v>
      </c>
    </row>
    <row r="204" spans="1:6" x14ac:dyDescent="0.3">
      <c r="A204">
        <v>22767</v>
      </c>
      <c r="B204" t="str">
        <f>_xlfn.CONCAT(Tabel1[[#This Row],[personeelsnr]]," ",C204," ",D204)</f>
        <v>19917 Vandevyvere Frank</v>
      </c>
      <c r="C204" t="str">
        <f>VLOOKUP(Tabel1[[#This Row],[personeelsnr]],'data hastus'!$A:$C,2,0)</f>
        <v>Vandevyvere</v>
      </c>
      <c r="D204" t="str">
        <f>VLOOKUP(Tabel1[[#This Row],[personeelsnr]],'data hastus'!$A:$C,3,0)</f>
        <v>Frank</v>
      </c>
      <c r="E204" t="str">
        <f>VLOOKUP(Tabel1[[#This Row],[personeelsnr]],'data hastus'!A:K,11,FALSE)</f>
        <v>Bart Van Der Beken</v>
      </c>
      <c r="F204">
        <v>1</v>
      </c>
    </row>
    <row r="205" spans="1:6" x14ac:dyDescent="0.3">
      <c r="A205">
        <v>29821</v>
      </c>
      <c r="B205" t="str">
        <f>_xlfn.CONCAT(Tabel1[[#This Row],[personeelsnr]]," ",C205," ",D205)</f>
        <v>38808 Wasen Jens</v>
      </c>
      <c r="C205" t="str">
        <f>VLOOKUP(Tabel1[[#This Row],[personeelsnr]],'data hastus'!$A:$C,2,0)</f>
        <v>Wasen</v>
      </c>
      <c r="D205" t="str">
        <f>VLOOKUP(Tabel1[[#This Row],[personeelsnr]],'data hastus'!$A:$C,3,0)</f>
        <v>Jens</v>
      </c>
      <c r="E205" t="str">
        <f>VLOOKUP(Tabel1[[#This Row],[personeelsnr]],'data hastus'!A:K,11,FALSE)</f>
        <v>Els Dewulf</v>
      </c>
      <c r="F205">
        <v>1</v>
      </c>
    </row>
    <row r="206" spans="1:6" x14ac:dyDescent="0.3">
      <c r="A206">
        <v>30119</v>
      </c>
      <c r="B206" t="str">
        <f>_xlfn.CONCAT(Tabel1[[#This Row],[personeelsnr]]," ",C206," ",D206)</f>
        <v>34351 Callant Dieter</v>
      </c>
      <c r="C206" t="str">
        <f>VLOOKUP(Tabel1[[#This Row],[personeelsnr]],'data hastus'!$A:$C,2,0)</f>
        <v>Callant</v>
      </c>
      <c r="D206" t="str">
        <f>VLOOKUP(Tabel1[[#This Row],[personeelsnr]],'data hastus'!$A:$C,3,0)</f>
        <v>Dieter</v>
      </c>
      <c r="E206" t="str">
        <f>VLOOKUP(Tabel1[[#This Row],[personeelsnr]],'data hastus'!A:K,11,FALSE)</f>
        <v>Els Vanhoe</v>
      </c>
      <c r="F206">
        <v>1</v>
      </c>
    </row>
    <row r="207" spans="1:6" x14ac:dyDescent="0.3">
      <c r="A207">
        <v>40036</v>
      </c>
      <c r="B207" t="str">
        <f>_xlfn.CONCAT(Tabel1[[#This Row],[personeelsnr]]," ",C207," ",D207)</f>
        <v>36503 Callens Dimitri</v>
      </c>
      <c r="C207" t="str">
        <f>VLOOKUP(Tabel1[[#This Row],[personeelsnr]],'data hastus'!$A:$C,2,0)</f>
        <v>Callens</v>
      </c>
      <c r="D207" t="str">
        <f>VLOOKUP(Tabel1[[#This Row],[personeelsnr]],'data hastus'!$A:$C,3,0)</f>
        <v>Dimitri</v>
      </c>
      <c r="E207" t="str">
        <f>VLOOKUP(Tabel1[[#This Row],[personeelsnr]],'data hastus'!A:K,11,FALSE)</f>
        <v>Christoff Rotty</v>
      </c>
      <c r="F207">
        <v>1</v>
      </c>
    </row>
    <row r="208" spans="1:6" x14ac:dyDescent="0.3">
      <c r="A208">
        <v>40200</v>
      </c>
      <c r="B208" t="str">
        <f>_xlfn.CONCAT(Tabel1[[#This Row],[personeelsnr]]," ",C208," ",D208)</f>
        <v>37439 Demirkazik Mustafa</v>
      </c>
      <c r="C208" t="str">
        <f>VLOOKUP(Tabel1[[#This Row],[personeelsnr]],'data hastus'!$A:$C,2,0)</f>
        <v>Demirkazik</v>
      </c>
      <c r="D208" t="str">
        <f>VLOOKUP(Tabel1[[#This Row],[personeelsnr]],'data hastus'!$A:$C,3,0)</f>
        <v>Mustafa</v>
      </c>
      <c r="E208" t="str">
        <f>VLOOKUP(Tabel1[[#This Row],[personeelsnr]],'data hastus'!A:K,11,FALSE)</f>
        <v>Kenneth De Rick</v>
      </c>
      <c r="F208">
        <v>1</v>
      </c>
    </row>
    <row r="209" spans="1:6" x14ac:dyDescent="0.3">
      <c r="A209">
        <v>25994</v>
      </c>
      <c r="B209" t="str">
        <f>_xlfn.CONCAT(Tabel1[[#This Row],[personeelsnr]]," ",C209," ",D209)</f>
        <v>38688 Basgurboga Selahattin</v>
      </c>
      <c r="C209" t="str">
        <f>VLOOKUP(Tabel1[[#This Row],[personeelsnr]],'data hastus'!$A:$C,2,0)</f>
        <v>Basgurboga</v>
      </c>
      <c r="D209" t="str">
        <f>VLOOKUP(Tabel1[[#This Row],[personeelsnr]],'data hastus'!$A:$C,3,0)</f>
        <v>Selahattin</v>
      </c>
      <c r="E209" t="str">
        <f>VLOOKUP(Tabel1[[#This Row],[personeelsnr]],'data hastus'!A:K,11,FALSE)</f>
        <v>Els Dewulf</v>
      </c>
      <c r="F209">
        <v>1</v>
      </c>
    </row>
    <row r="210" spans="1:6" x14ac:dyDescent="0.3">
      <c r="A210">
        <v>35120</v>
      </c>
      <c r="B210" t="str">
        <f>_xlfn.CONCAT(Tabel1[[#This Row],[personeelsnr]]," ",C210," ",D210)</f>
        <v>40223 Teetaert Billy</v>
      </c>
      <c r="C210" t="str">
        <f>VLOOKUP(Tabel1[[#This Row],[personeelsnr]],'data hastus'!$A:$C,2,0)</f>
        <v>Teetaert</v>
      </c>
      <c r="D210" t="str">
        <f>VLOOKUP(Tabel1[[#This Row],[personeelsnr]],'data hastus'!$A:$C,3,0)</f>
        <v>Billy</v>
      </c>
      <c r="E210" t="str">
        <f>VLOOKUP(Tabel1[[#This Row],[personeelsnr]],'data hastus'!A:K,11,FALSE)</f>
        <v>Dominique De Clercq</v>
      </c>
      <c r="F210">
        <v>1</v>
      </c>
    </row>
    <row r="211" spans="1:6" x14ac:dyDescent="0.3">
      <c r="A211">
        <v>38579</v>
      </c>
      <c r="B211" t="str">
        <f>_xlfn.CONCAT(Tabel1[[#This Row],[personeelsnr]]," ",C211," ",D211)</f>
        <v>35187 Bastiaen Eric</v>
      </c>
      <c r="C211" t="str">
        <f>VLOOKUP(Tabel1[[#This Row],[personeelsnr]],'data hastus'!$A:$C,2,0)</f>
        <v>Bastiaen</v>
      </c>
      <c r="D211" t="str">
        <f>VLOOKUP(Tabel1[[#This Row],[personeelsnr]],'data hastus'!$A:$C,3,0)</f>
        <v>Eric</v>
      </c>
      <c r="E211" t="str">
        <f>VLOOKUP(Tabel1[[#This Row],[personeelsnr]],'data hastus'!A:K,11,FALSE)</f>
        <v>Lucie Vande Velde</v>
      </c>
      <c r="F211">
        <v>1</v>
      </c>
    </row>
    <row r="212" spans="1:6" x14ac:dyDescent="0.3">
      <c r="A212">
        <v>10150</v>
      </c>
      <c r="B212" t="str">
        <f>_xlfn.CONCAT(Tabel1[[#This Row],[personeelsnr]]," ",C212," ",D212)</f>
        <v>39528 Mihaylov Plamen</v>
      </c>
      <c r="C212" t="str">
        <f>VLOOKUP(Tabel1[[#This Row],[personeelsnr]],'data hastus'!$A:$C,2,0)</f>
        <v>Mihaylov</v>
      </c>
      <c r="D212" t="str">
        <f>VLOOKUP(Tabel1[[#This Row],[personeelsnr]],'data hastus'!$A:$C,3,0)</f>
        <v>Plamen</v>
      </c>
      <c r="E212" t="str">
        <f>VLOOKUP(Tabel1[[#This Row],[personeelsnr]],'data hastus'!A:K,11,FALSE)</f>
        <v>Christoff Rotty</v>
      </c>
      <c r="F212">
        <v>1</v>
      </c>
    </row>
    <row r="213" spans="1:6" x14ac:dyDescent="0.3">
      <c r="A213">
        <v>36569</v>
      </c>
      <c r="B213" t="str">
        <f>_xlfn.CONCAT(Tabel1[[#This Row],[personeelsnr]]," ",C213," ",D213)</f>
        <v>19087 Deschepper Peter</v>
      </c>
      <c r="C213" t="str">
        <f>VLOOKUP(Tabel1[[#This Row],[personeelsnr]],'data hastus'!$A:$C,2,0)</f>
        <v>Deschepper</v>
      </c>
      <c r="D213" t="str">
        <f>VLOOKUP(Tabel1[[#This Row],[personeelsnr]],'data hastus'!$A:$C,3,0)</f>
        <v>Peter</v>
      </c>
      <c r="E213" t="str">
        <f>VLOOKUP(Tabel1[[#This Row],[personeelsnr]],'data hastus'!A:K,11,FALSE)</f>
        <v>Els Vanhoe</v>
      </c>
      <c r="F213">
        <v>0</v>
      </c>
    </row>
    <row r="214" spans="1:6" x14ac:dyDescent="0.3">
      <c r="A214">
        <v>19848</v>
      </c>
      <c r="B214" t="str">
        <f>_xlfn.CONCAT(Tabel1[[#This Row],[personeelsnr]]," ",C214," ",D214)</f>
        <v>39712 Repaj Ramazan</v>
      </c>
      <c r="C214" t="str">
        <f>VLOOKUP(Tabel1[[#This Row],[personeelsnr]],'data hastus'!$A:$C,2,0)</f>
        <v>Repaj</v>
      </c>
      <c r="D214" t="str">
        <f>VLOOKUP(Tabel1[[#This Row],[personeelsnr]],'data hastus'!$A:$C,3,0)</f>
        <v>Ramazan</v>
      </c>
      <c r="E214" t="str">
        <f>VLOOKUP(Tabel1[[#This Row],[personeelsnr]],'data hastus'!A:K,11,FALSE)</f>
        <v>Bart Van Der Beken</v>
      </c>
      <c r="F214">
        <v>1</v>
      </c>
    </row>
    <row r="215" spans="1:6" x14ac:dyDescent="0.3">
      <c r="A215">
        <v>20610</v>
      </c>
      <c r="B215" t="str">
        <f>_xlfn.CONCAT(Tabel1[[#This Row],[personeelsnr]]," ",C215," ",D215)</f>
        <v>31092 De Jaeger Kevin</v>
      </c>
      <c r="C215" t="str">
        <f>VLOOKUP(Tabel1[[#This Row],[personeelsnr]],'data hastus'!$A:$C,2,0)</f>
        <v>De Jaeger</v>
      </c>
      <c r="D215" t="str">
        <f>VLOOKUP(Tabel1[[#This Row],[personeelsnr]],'data hastus'!$A:$C,3,0)</f>
        <v>Kevin</v>
      </c>
      <c r="E215" t="str">
        <f>VLOOKUP(Tabel1[[#This Row],[personeelsnr]],'data hastus'!A:K,11,FALSE)</f>
        <v>Lucie Vande Velde</v>
      </c>
      <c r="F215">
        <v>1</v>
      </c>
    </row>
    <row r="216" spans="1:6" x14ac:dyDescent="0.3">
      <c r="A216">
        <v>22202</v>
      </c>
      <c r="B216" t="str">
        <f>_xlfn.CONCAT(Tabel1[[#This Row],[personeelsnr]]," ",C216," ",D216)</f>
        <v>37261 Van Wayenbergh Yordi</v>
      </c>
      <c r="C216" t="str">
        <f>VLOOKUP(Tabel1[[#This Row],[personeelsnr]],'data hastus'!$A:$C,2,0)</f>
        <v>Van Wayenbergh</v>
      </c>
      <c r="D216" t="str">
        <f>VLOOKUP(Tabel1[[#This Row],[personeelsnr]],'data hastus'!$A:$C,3,0)</f>
        <v>Yordi</v>
      </c>
      <c r="E216" t="str">
        <f>VLOOKUP(Tabel1[[#This Row],[personeelsnr]],'data hastus'!A:K,11,FALSE)</f>
        <v>Dominique De Clercq</v>
      </c>
      <c r="F216">
        <v>1</v>
      </c>
    </row>
    <row r="217" spans="1:6" x14ac:dyDescent="0.3">
      <c r="A217">
        <v>25829</v>
      </c>
      <c r="B217" t="str">
        <f>_xlfn.CONCAT(Tabel1[[#This Row],[personeelsnr]]," ",C217," ",D217)</f>
        <v>9999 chauffeur uit</v>
      </c>
      <c r="C217" t="str">
        <f>VLOOKUP(Tabel1[[#This Row],[personeelsnr]],'data hastus'!$A:$C,2,0)</f>
        <v>chauffeur</v>
      </c>
      <c r="D217" t="str">
        <f>VLOOKUP(Tabel1[[#This Row],[personeelsnr]],'data hastus'!$A:$C,3,0)</f>
        <v>uit</v>
      </c>
      <c r="E217" t="str">
        <f>VLOOKUP(Tabel1[[#This Row],[personeelsnr]],'data hastus'!A:K,11,FALSE)</f>
        <v>dienst</v>
      </c>
      <c r="F217">
        <v>1</v>
      </c>
    </row>
    <row r="218" spans="1:6" x14ac:dyDescent="0.3">
      <c r="A218">
        <v>26137</v>
      </c>
      <c r="B218" t="str">
        <f>_xlfn.CONCAT(Tabel1[[#This Row],[personeelsnr]]," ",C218," ",D218)</f>
        <v>33551 Dekens Andy</v>
      </c>
      <c r="C218" t="str">
        <f>VLOOKUP(Tabel1[[#This Row],[personeelsnr]],'data hastus'!$A:$C,2,0)</f>
        <v>Dekens</v>
      </c>
      <c r="D218" t="str">
        <f>VLOOKUP(Tabel1[[#This Row],[personeelsnr]],'data hastus'!$A:$C,3,0)</f>
        <v>Andy</v>
      </c>
      <c r="E218" t="str">
        <f>VLOOKUP(Tabel1[[#This Row],[personeelsnr]],'data hastus'!A:K,11,FALSE)</f>
        <v>Els Vanhoe</v>
      </c>
      <c r="F218">
        <v>1</v>
      </c>
    </row>
    <row r="219" spans="1:6" x14ac:dyDescent="0.3">
      <c r="A219">
        <v>31689</v>
      </c>
      <c r="B219" t="str">
        <f>_xlfn.CONCAT(Tabel1[[#This Row],[personeelsnr]]," ",C219," ",D219)</f>
        <v>9999 chauffeur uit</v>
      </c>
      <c r="C219" t="str">
        <f>VLOOKUP(Tabel1[[#This Row],[personeelsnr]],'data hastus'!$A:$C,2,0)</f>
        <v>chauffeur</v>
      </c>
      <c r="D219" t="str">
        <f>VLOOKUP(Tabel1[[#This Row],[personeelsnr]],'data hastus'!$A:$C,3,0)</f>
        <v>uit</v>
      </c>
      <c r="E219" t="str">
        <f>VLOOKUP(Tabel1[[#This Row],[personeelsnr]],'data hastus'!A:K,11,FALSE)</f>
        <v>dienst</v>
      </c>
      <c r="F219">
        <v>1</v>
      </c>
    </row>
    <row r="220" spans="1:6" x14ac:dyDescent="0.3">
      <c r="A220">
        <v>32528</v>
      </c>
      <c r="B220" t="str">
        <f>_xlfn.CONCAT(Tabel1[[#This Row],[personeelsnr]]," ",C220," ",D220)</f>
        <v>9999 chauffeur uit</v>
      </c>
      <c r="C220" t="str">
        <f>VLOOKUP(Tabel1[[#This Row],[personeelsnr]],'data hastus'!$A:$C,2,0)</f>
        <v>chauffeur</v>
      </c>
      <c r="D220" t="str">
        <f>VLOOKUP(Tabel1[[#This Row],[personeelsnr]],'data hastus'!$A:$C,3,0)</f>
        <v>uit</v>
      </c>
      <c r="E220" t="str">
        <f>VLOOKUP(Tabel1[[#This Row],[personeelsnr]],'data hastus'!A:K,11,FALSE)</f>
        <v>dienst</v>
      </c>
      <c r="F220">
        <v>1</v>
      </c>
    </row>
    <row r="221" spans="1:6" x14ac:dyDescent="0.3">
      <c r="A221">
        <v>33757</v>
      </c>
      <c r="B221" t="str">
        <f>_xlfn.CONCAT(Tabel1[[#This Row],[personeelsnr]]," ",C221," ",D221)</f>
        <v>17931 Idrisi Hasana</v>
      </c>
      <c r="C221" t="str">
        <f>VLOOKUP(Tabel1[[#This Row],[personeelsnr]],'data hastus'!$A:$C,2,0)</f>
        <v>Idrisi</v>
      </c>
      <c r="D221" t="str">
        <f>VLOOKUP(Tabel1[[#This Row],[personeelsnr]],'data hastus'!$A:$C,3,0)</f>
        <v>Hasana</v>
      </c>
      <c r="E221" t="str">
        <f>VLOOKUP(Tabel1[[#This Row],[personeelsnr]],'data hastus'!A:K,11,FALSE)</f>
        <v>Els Dewulf</v>
      </c>
      <c r="F221">
        <v>1</v>
      </c>
    </row>
    <row r="222" spans="1:6" x14ac:dyDescent="0.3">
      <c r="A222">
        <v>35026</v>
      </c>
      <c r="B222" t="str">
        <f>_xlfn.CONCAT(Tabel1[[#This Row],[personeelsnr]]," ",C222," ",D222)</f>
        <v>23700 Byosière Christof</v>
      </c>
      <c r="C222" t="str">
        <f>VLOOKUP(Tabel1[[#This Row],[personeelsnr]],'data hastus'!$A:$C,2,0)</f>
        <v>Byosière</v>
      </c>
      <c r="D222" t="str">
        <f>VLOOKUP(Tabel1[[#This Row],[personeelsnr]],'data hastus'!$A:$C,3,0)</f>
        <v>Christof</v>
      </c>
      <c r="E222" t="str">
        <f>VLOOKUP(Tabel1[[#This Row],[personeelsnr]],'data hastus'!A:K,11,FALSE)</f>
        <v>Dominique De Clercq</v>
      </c>
      <c r="F222">
        <v>1</v>
      </c>
    </row>
    <row r="223" spans="1:6" x14ac:dyDescent="0.3">
      <c r="A223">
        <v>36512</v>
      </c>
      <c r="B223" t="str">
        <f>_xlfn.CONCAT(Tabel1[[#This Row],[personeelsnr]]," ",C223," ",D223)</f>
        <v>9999 chauffeur uit</v>
      </c>
      <c r="C223" t="str">
        <f>VLOOKUP(Tabel1[[#This Row],[personeelsnr]],'data hastus'!$A:$C,2,0)</f>
        <v>chauffeur</v>
      </c>
      <c r="D223" t="str">
        <f>VLOOKUP(Tabel1[[#This Row],[personeelsnr]],'data hastus'!$A:$C,3,0)</f>
        <v>uit</v>
      </c>
      <c r="E223" t="str">
        <f>VLOOKUP(Tabel1[[#This Row],[personeelsnr]],'data hastus'!A:K,11,FALSE)</f>
        <v>dienst</v>
      </c>
      <c r="F223">
        <v>1</v>
      </c>
    </row>
    <row r="224" spans="1:6" x14ac:dyDescent="0.3">
      <c r="A224">
        <v>37683</v>
      </c>
      <c r="B224" t="str">
        <f>_xlfn.CONCAT(Tabel1[[#This Row],[personeelsnr]]," ",C224," ",D224)</f>
        <v>19917 Vandevyvere Frank</v>
      </c>
      <c r="C224" t="str">
        <f>VLOOKUP(Tabel1[[#This Row],[personeelsnr]],'data hastus'!$A:$C,2,0)</f>
        <v>Vandevyvere</v>
      </c>
      <c r="D224" t="str">
        <f>VLOOKUP(Tabel1[[#This Row],[personeelsnr]],'data hastus'!$A:$C,3,0)</f>
        <v>Frank</v>
      </c>
      <c r="E224" t="str">
        <f>VLOOKUP(Tabel1[[#This Row],[personeelsnr]],'data hastus'!A:K,11,FALSE)</f>
        <v>Bart Van Der Beken</v>
      </c>
      <c r="F224">
        <v>1</v>
      </c>
    </row>
    <row r="225" spans="1:6" x14ac:dyDescent="0.3">
      <c r="A225">
        <v>36626</v>
      </c>
      <c r="B225" t="str">
        <f>_xlfn.CONCAT(Tabel1[[#This Row],[personeelsnr]]," ",C225," ",D225)</f>
        <v>39907 Marian Birsanuc</v>
      </c>
      <c r="C225" t="str">
        <f>VLOOKUP(Tabel1[[#This Row],[personeelsnr]],'data hastus'!$A:$C,2,0)</f>
        <v>Marian</v>
      </c>
      <c r="D225" t="str">
        <f>VLOOKUP(Tabel1[[#This Row],[personeelsnr]],'data hastus'!$A:$C,3,0)</f>
        <v>Birsanuc</v>
      </c>
      <c r="E225" t="str">
        <f>VLOOKUP(Tabel1[[#This Row],[personeelsnr]],'data hastus'!A:K,11,FALSE)</f>
        <v>Kenneth De Rick</v>
      </c>
    </row>
    <row r="226" spans="1:6" x14ac:dyDescent="0.3">
      <c r="A226">
        <v>39558</v>
      </c>
      <c r="B226" t="str">
        <f>_xlfn.CONCAT(Tabel1[[#This Row],[personeelsnr]]," ",C226," ",D226)</f>
        <v>36624 De Meulenaere Kurt</v>
      </c>
      <c r="C226" t="str">
        <f>VLOOKUP(Tabel1[[#This Row],[personeelsnr]],'data hastus'!$A:$C,2,0)</f>
        <v>De Meulenaere</v>
      </c>
      <c r="D226" t="str">
        <f>VLOOKUP(Tabel1[[#This Row],[personeelsnr]],'data hastus'!$A:$C,3,0)</f>
        <v>Kurt</v>
      </c>
      <c r="E226" t="str">
        <f>VLOOKUP(Tabel1[[#This Row],[personeelsnr]],'data hastus'!A:K,11,FALSE)</f>
        <v>Dominique De Clercq</v>
      </c>
      <c r="F226">
        <v>1</v>
      </c>
    </row>
    <row r="227" spans="1:6" x14ac:dyDescent="0.3">
      <c r="A227">
        <v>40414</v>
      </c>
      <c r="B227" t="str">
        <f>_xlfn.CONCAT(Tabel1[[#This Row],[personeelsnr]]," ",C227," ",D227)</f>
        <v>9999 chauffeur uit</v>
      </c>
      <c r="C227" t="str">
        <f>VLOOKUP(Tabel1[[#This Row],[personeelsnr]],'data hastus'!$A:$C,2,0)</f>
        <v>chauffeur</v>
      </c>
      <c r="D227" t="str">
        <f>VLOOKUP(Tabel1[[#This Row],[personeelsnr]],'data hastus'!$A:$C,3,0)</f>
        <v>uit</v>
      </c>
      <c r="E227" t="str">
        <f>VLOOKUP(Tabel1[[#This Row],[personeelsnr]],'data hastus'!A:K,11,FALSE)</f>
        <v>dienst</v>
      </c>
      <c r="F227">
        <v>1</v>
      </c>
    </row>
    <row r="228" spans="1:6" x14ac:dyDescent="0.3">
      <c r="A228">
        <v>5559</v>
      </c>
      <c r="B228" t="str">
        <f>_xlfn.CONCAT(Tabel1[[#This Row],[personeelsnr]]," ",C228," ",D228)</f>
        <v>34325 Eid Mathyn</v>
      </c>
      <c r="C228" t="str">
        <f>VLOOKUP(Tabel1[[#This Row],[personeelsnr]],'data hastus'!$A:$C,2,0)</f>
        <v>Eid</v>
      </c>
      <c r="D228" t="str">
        <f>VLOOKUP(Tabel1[[#This Row],[personeelsnr]],'data hastus'!$A:$C,3,0)</f>
        <v>Mathyn</v>
      </c>
      <c r="E228" t="str">
        <f>VLOOKUP(Tabel1[[#This Row],[personeelsnr]],'data hastus'!A:K,11,FALSE)</f>
        <v>Steven Storm</v>
      </c>
      <c r="F228">
        <v>1</v>
      </c>
    </row>
    <row r="229" spans="1:6" x14ac:dyDescent="0.3">
      <c r="A229">
        <v>5599</v>
      </c>
      <c r="B229" t="str">
        <f>_xlfn.CONCAT(Tabel1[[#This Row],[personeelsnr]]," ",C229," ",D229)</f>
        <v>19249 Odaci Kadir</v>
      </c>
      <c r="C229" t="str">
        <f>VLOOKUP(Tabel1[[#This Row],[personeelsnr]],'data hastus'!$A:$C,2,0)</f>
        <v>Odaci</v>
      </c>
      <c r="D229" t="str">
        <f>VLOOKUP(Tabel1[[#This Row],[personeelsnr]],'data hastus'!$A:$C,3,0)</f>
        <v>Kadir</v>
      </c>
      <c r="E229" t="str">
        <f>VLOOKUP(Tabel1[[#This Row],[personeelsnr]],'data hastus'!A:K,11,FALSE)</f>
        <v>Lucie Vande Velde</v>
      </c>
      <c r="F229">
        <v>1</v>
      </c>
    </row>
    <row r="230" spans="1:6" x14ac:dyDescent="0.3">
      <c r="A230">
        <v>15628</v>
      </c>
      <c r="B230" t="str">
        <f>_xlfn.CONCAT(Tabel1[[#This Row],[personeelsnr]]," ",C230," ",D230)</f>
        <v>34325 Eid Mathyn</v>
      </c>
      <c r="C230" t="str">
        <f>VLOOKUP(Tabel1[[#This Row],[personeelsnr]],'data hastus'!$A:$C,2,0)</f>
        <v>Eid</v>
      </c>
      <c r="D230" t="str">
        <f>VLOOKUP(Tabel1[[#This Row],[personeelsnr]],'data hastus'!$A:$C,3,0)</f>
        <v>Mathyn</v>
      </c>
      <c r="E230" t="str">
        <f>VLOOKUP(Tabel1[[#This Row],[personeelsnr]],'data hastus'!A:K,11,FALSE)</f>
        <v>Steven Storm</v>
      </c>
      <c r="F230">
        <v>1</v>
      </c>
    </row>
    <row r="231" spans="1:6" x14ac:dyDescent="0.3">
      <c r="A231">
        <v>16094</v>
      </c>
      <c r="B231" t="str">
        <f>_xlfn.CONCAT(Tabel1[[#This Row],[personeelsnr]]," ",C231," ",D231)</f>
        <v>31731 Dedapper Marijke</v>
      </c>
      <c r="C231" t="str">
        <f>VLOOKUP(Tabel1[[#This Row],[personeelsnr]],'data hastus'!$A:$C,2,0)</f>
        <v>Dedapper</v>
      </c>
      <c r="D231" t="str">
        <f>VLOOKUP(Tabel1[[#This Row],[personeelsnr]],'data hastus'!$A:$C,3,0)</f>
        <v>Marijke</v>
      </c>
      <c r="E231" t="str">
        <f>VLOOKUP(Tabel1[[#This Row],[personeelsnr]],'data hastus'!A:K,11,FALSE)</f>
        <v>Els Vanhoe</v>
      </c>
      <c r="F231">
        <v>1</v>
      </c>
    </row>
    <row r="232" spans="1:6" x14ac:dyDescent="0.3">
      <c r="A232">
        <v>21121</v>
      </c>
      <c r="B232" t="str">
        <f>_xlfn.CONCAT(Tabel1[[#This Row],[personeelsnr]]," ",C232," ",D232)</f>
        <v>39712 Repaj Ramazan</v>
      </c>
      <c r="C232" t="str">
        <f>VLOOKUP(Tabel1[[#This Row],[personeelsnr]],'data hastus'!$A:$C,2,0)</f>
        <v>Repaj</v>
      </c>
      <c r="D232" t="str">
        <f>VLOOKUP(Tabel1[[#This Row],[personeelsnr]],'data hastus'!$A:$C,3,0)</f>
        <v>Ramazan</v>
      </c>
      <c r="E232" t="str">
        <f>VLOOKUP(Tabel1[[#This Row],[personeelsnr]],'data hastus'!A:K,11,FALSE)</f>
        <v>Bart Van Der Beken</v>
      </c>
      <c r="F232">
        <v>1</v>
      </c>
    </row>
    <row r="233" spans="1:6" x14ac:dyDescent="0.3">
      <c r="A233">
        <v>25871</v>
      </c>
      <c r="B233" t="str">
        <f>_xlfn.CONCAT(Tabel1[[#This Row],[personeelsnr]]," ",C233," ",D233)</f>
        <v>29179 Verwee Dries</v>
      </c>
      <c r="C233" t="str">
        <f>VLOOKUP(Tabel1[[#This Row],[personeelsnr]],'data hastus'!$A:$C,2,0)</f>
        <v>Verwee</v>
      </c>
      <c r="D233" t="str">
        <f>VLOOKUP(Tabel1[[#This Row],[personeelsnr]],'data hastus'!$A:$C,3,0)</f>
        <v>Dries</v>
      </c>
      <c r="E233" t="str">
        <f>VLOOKUP(Tabel1[[#This Row],[personeelsnr]],'data hastus'!A:K,11,FALSE)</f>
        <v>Els Dewulf</v>
      </c>
      <c r="F233">
        <v>1</v>
      </c>
    </row>
    <row r="234" spans="1:6" x14ac:dyDescent="0.3">
      <c r="A234">
        <v>30321</v>
      </c>
      <c r="B234" t="str">
        <f>_xlfn.CONCAT(Tabel1[[#This Row],[personeelsnr]]," ",C234," ",D234)</f>
        <v>39183 Al Masri Anas</v>
      </c>
      <c r="C234" t="str">
        <f>VLOOKUP(Tabel1[[#This Row],[personeelsnr]],'data hastus'!$A:$C,2,0)</f>
        <v>Al Masri</v>
      </c>
      <c r="D234" t="str">
        <f>VLOOKUP(Tabel1[[#This Row],[personeelsnr]],'data hastus'!$A:$C,3,0)</f>
        <v>Anas</v>
      </c>
      <c r="E234" t="str">
        <f>VLOOKUP(Tabel1[[#This Row],[personeelsnr]],'data hastus'!A:K,11,FALSE)</f>
        <v>Christoff Rotty</v>
      </c>
      <c r="F234">
        <v>1</v>
      </c>
    </row>
    <row r="235" spans="1:6" x14ac:dyDescent="0.3">
      <c r="A235">
        <v>30623</v>
      </c>
      <c r="B235" t="str">
        <f>_xlfn.CONCAT(Tabel1[[#This Row],[personeelsnr]]," ",C235," ",D235)</f>
        <v>9999 chauffeur uit</v>
      </c>
      <c r="C235" t="str">
        <f>VLOOKUP(Tabel1[[#This Row],[personeelsnr]],'data hastus'!$A:$C,2,0)</f>
        <v>chauffeur</v>
      </c>
      <c r="D235" t="str">
        <f>VLOOKUP(Tabel1[[#This Row],[personeelsnr]],'data hastus'!$A:$C,3,0)</f>
        <v>uit</v>
      </c>
      <c r="E235" t="str">
        <f>VLOOKUP(Tabel1[[#This Row],[personeelsnr]],'data hastus'!A:K,11,FALSE)</f>
        <v>dienst</v>
      </c>
      <c r="F235">
        <v>1</v>
      </c>
    </row>
    <row r="236" spans="1:6" x14ac:dyDescent="0.3">
      <c r="A236">
        <v>34328</v>
      </c>
      <c r="B236" t="str">
        <f>_xlfn.CONCAT(Tabel1[[#This Row],[personeelsnr]]," ",C236," ",D236)</f>
        <v>37936 Detaeye Alexander</v>
      </c>
      <c r="C236" t="str">
        <f>VLOOKUP(Tabel1[[#This Row],[personeelsnr]],'data hastus'!$A:$C,2,0)</f>
        <v>Detaeye</v>
      </c>
      <c r="D236" t="str">
        <f>VLOOKUP(Tabel1[[#This Row],[personeelsnr]],'data hastus'!$A:$C,3,0)</f>
        <v>Alexander</v>
      </c>
      <c r="E236" t="str">
        <f>VLOOKUP(Tabel1[[#This Row],[personeelsnr]],'data hastus'!A:K,11,FALSE)</f>
        <v>Steven Storm</v>
      </c>
      <c r="F236">
        <v>1</v>
      </c>
    </row>
    <row r="237" spans="1:6" x14ac:dyDescent="0.3">
      <c r="A237">
        <v>35006</v>
      </c>
      <c r="B237" t="str">
        <f>_xlfn.CONCAT(Tabel1[[#This Row],[personeelsnr]]," ",C237," ",D237)</f>
        <v>9999 chauffeur uit</v>
      </c>
      <c r="C237" t="str">
        <f>VLOOKUP(Tabel1[[#This Row],[personeelsnr]],'data hastus'!$A:$C,2,0)</f>
        <v>chauffeur</v>
      </c>
      <c r="D237" t="str">
        <f>VLOOKUP(Tabel1[[#This Row],[personeelsnr]],'data hastus'!$A:$C,3,0)</f>
        <v>uit</v>
      </c>
      <c r="E237" t="str">
        <f>VLOOKUP(Tabel1[[#This Row],[personeelsnr]],'data hastus'!A:K,11,FALSE)</f>
        <v>dienst</v>
      </c>
      <c r="F237">
        <v>1</v>
      </c>
    </row>
    <row r="238" spans="1:6" x14ac:dyDescent="0.3">
      <c r="A238">
        <v>36337</v>
      </c>
      <c r="B238" t="str">
        <f>_xlfn.CONCAT(Tabel1[[#This Row],[personeelsnr]]," ",C238," ",D238)</f>
        <v>27186 Neghli Farid</v>
      </c>
      <c r="C238" t="str">
        <f>VLOOKUP(Tabel1[[#This Row],[personeelsnr]],'data hastus'!$A:$C,2,0)</f>
        <v>Neghli</v>
      </c>
      <c r="D238" t="str">
        <f>VLOOKUP(Tabel1[[#This Row],[personeelsnr]],'data hastus'!$A:$C,3,0)</f>
        <v>Farid</v>
      </c>
      <c r="E238" t="str">
        <f>VLOOKUP(Tabel1[[#This Row],[personeelsnr]],'data hastus'!A:K,11,FALSE)</f>
        <v>Christoff Rotty</v>
      </c>
      <c r="F238">
        <v>1</v>
      </c>
    </row>
    <row r="239" spans="1:6" x14ac:dyDescent="0.3">
      <c r="A239">
        <v>36625</v>
      </c>
      <c r="B239" t="str">
        <f>_xlfn.CONCAT(Tabel1[[#This Row],[personeelsnr]]," ",C239," ",D239)</f>
        <v>39013 Asrih Habib</v>
      </c>
      <c r="C239" t="str">
        <f>VLOOKUP(Tabel1[[#This Row],[personeelsnr]],'data hastus'!$A:$C,2,0)</f>
        <v>Asrih</v>
      </c>
      <c r="D239" t="str">
        <f>VLOOKUP(Tabel1[[#This Row],[personeelsnr]],'data hastus'!$A:$C,3,0)</f>
        <v>Habib</v>
      </c>
      <c r="E239" t="str">
        <f>VLOOKUP(Tabel1[[#This Row],[personeelsnr]],'data hastus'!A:K,11,FALSE)</f>
        <v>Els Dewulf</v>
      </c>
      <c r="F239">
        <v>1</v>
      </c>
    </row>
    <row r="240" spans="1:6" x14ac:dyDescent="0.3">
      <c r="A240">
        <v>37609</v>
      </c>
      <c r="B240" t="str">
        <f>_xlfn.CONCAT(Tabel1[[#This Row],[personeelsnr]]," ",C240," ",D240)</f>
        <v>37131 Saritag Mehmed</v>
      </c>
      <c r="C240" t="str">
        <f>VLOOKUP(Tabel1[[#This Row],[personeelsnr]],'data hastus'!$A:$C,2,0)</f>
        <v>Saritag</v>
      </c>
      <c r="D240" t="str">
        <f>VLOOKUP(Tabel1[[#This Row],[personeelsnr]],'data hastus'!$A:$C,3,0)</f>
        <v>Mehmed</v>
      </c>
      <c r="E240" t="str">
        <f>VLOOKUP(Tabel1[[#This Row],[personeelsnr]],'data hastus'!A:K,11,FALSE)</f>
        <v>Kenneth De Rick</v>
      </c>
      <c r="F240">
        <v>1</v>
      </c>
    </row>
    <row r="241" spans="1:6" x14ac:dyDescent="0.3">
      <c r="A241">
        <v>39907</v>
      </c>
      <c r="B241" t="str">
        <f>_xlfn.CONCAT(Tabel1[[#This Row],[personeelsnr]]," ",C241," ",D241)</f>
        <v>38808 Wasen Jens</v>
      </c>
      <c r="C241" t="str">
        <f>VLOOKUP(Tabel1[[#This Row],[personeelsnr]],'data hastus'!$A:$C,2,0)</f>
        <v>Wasen</v>
      </c>
      <c r="D241" t="str">
        <f>VLOOKUP(Tabel1[[#This Row],[personeelsnr]],'data hastus'!$A:$C,3,0)</f>
        <v>Jens</v>
      </c>
      <c r="E241" t="str">
        <f>VLOOKUP(Tabel1[[#This Row],[personeelsnr]],'data hastus'!A:K,11,FALSE)</f>
        <v>Els Dewulf</v>
      </c>
      <c r="F241">
        <v>1</v>
      </c>
    </row>
    <row r="242" spans="1:6" x14ac:dyDescent="0.3">
      <c r="A242">
        <v>21124</v>
      </c>
      <c r="B242" t="str">
        <f>_xlfn.CONCAT(Tabel1[[#This Row],[personeelsnr]]," ",C242," ",D242)</f>
        <v>9999 chauffeur uit</v>
      </c>
      <c r="C242" t="str">
        <f>VLOOKUP(Tabel1[[#This Row],[personeelsnr]],'data hastus'!$A:$C,2,0)</f>
        <v>chauffeur</v>
      </c>
      <c r="D242" t="str">
        <f>VLOOKUP(Tabel1[[#This Row],[personeelsnr]],'data hastus'!$A:$C,3,0)</f>
        <v>uit</v>
      </c>
      <c r="E242" t="str">
        <f>VLOOKUP(Tabel1[[#This Row],[personeelsnr]],'data hastus'!A:K,11,FALSE)</f>
        <v>dienst</v>
      </c>
      <c r="F242">
        <v>1</v>
      </c>
    </row>
    <row r="243" spans="1:6" x14ac:dyDescent="0.3">
      <c r="A243">
        <v>22416</v>
      </c>
      <c r="B243" t="str">
        <f>_xlfn.CONCAT(Tabel1[[#This Row],[personeelsnr]]," ",C243," ",D243)</f>
        <v>29478 Priwall Heike</v>
      </c>
      <c r="C243" t="str">
        <f>VLOOKUP(Tabel1[[#This Row],[personeelsnr]],'data hastus'!$A:$C,2,0)</f>
        <v>Priwall</v>
      </c>
      <c r="D243" t="str">
        <f>VLOOKUP(Tabel1[[#This Row],[personeelsnr]],'data hastus'!$A:$C,3,0)</f>
        <v>Heike</v>
      </c>
      <c r="E243" t="str">
        <f>VLOOKUP(Tabel1[[#This Row],[personeelsnr]],'data hastus'!A:K,11,FALSE)</f>
        <v>Els Dewulf</v>
      </c>
      <c r="F243">
        <v>1</v>
      </c>
    </row>
    <row r="244" spans="1:6" x14ac:dyDescent="0.3">
      <c r="A244">
        <v>27153</v>
      </c>
      <c r="B244" t="str">
        <f>_xlfn.CONCAT(Tabel1[[#This Row],[personeelsnr]]," ",C244," ",D244)</f>
        <v>9999 chauffeur uit</v>
      </c>
      <c r="C244" t="str">
        <f>VLOOKUP(Tabel1[[#This Row],[personeelsnr]],'data hastus'!$A:$C,2,0)</f>
        <v>chauffeur</v>
      </c>
      <c r="D244" t="str">
        <f>VLOOKUP(Tabel1[[#This Row],[personeelsnr]],'data hastus'!$A:$C,3,0)</f>
        <v>uit</v>
      </c>
      <c r="E244" t="str">
        <f>VLOOKUP(Tabel1[[#This Row],[personeelsnr]],'data hastus'!A:K,11,FALSE)</f>
        <v>dienst</v>
      </c>
      <c r="F244">
        <v>1</v>
      </c>
    </row>
    <row r="245" spans="1:6" x14ac:dyDescent="0.3">
      <c r="A245">
        <v>28830</v>
      </c>
      <c r="B245" t="str">
        <f>_xlfn.CONCAT(Tabel1[[#This Row],[personeelsnr]]," ",C245," ",D245)</f>
        <v>39929 Staneva Mariyana</v>
      </c>
      <c r="C245" t="str">
        <f>VLOOKUP(Tabel1[[#This Row],[personeelsnr]],'data hastus'!$A:$C,2,0)</f>
        <v>Staneva</v>
      </c>
      <c r="D245" t="str">
        <f>VLOOKUP(Tabel1[[#This Row],[personeelsnr]],'data hastus'!$A:$C,3,0)</f>
        <v>Mariyana</v>
      </c>
      <c r="E245" t="str">
        <f>VLOOKUP(Tabel1[[#This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_xlfn.CONCAT(Tabel1[[#This Row],[personeelsnr]]," ",C246," ",D246)</f>
        <v>40110 Vanlerberghe Sandra</v>
      </c>
      <c r="C246" t="str">
        <f>VLOOKUP(Tabel1[[#This Row],[personeelsnr]],'data hastus'!$A:$C,2,0)</f>
        <v>Vanlerberghe</v>
      </c>
      <c r="D246" t="str">
        <f>VLOOKUP(Tabel1[[#This Row],[personeelsnr]],'data hastus'!$A:$C,3,0)</f>
        <v>Sandra</v>
      </c>
      <c r="E246" t="str">
        <f>VLOOKUP(Tabel1[[#This Row],[personeelsnr]],'data hastus'!A:K,11,FALSE)</f>
        <v>Christoff Rotty</v>
      </c>
      <c r="F246">
        <v>1</v>
      </c>
    </row>
    <row r="247" spans="1:6" x14ac:dyDescent="0.3">
      <c r="A247">
        <v>36663</v>
      </c>
      <c r="B247" t="str">
        <f>_xlfn.CONCAT(Tabel1[[#This Row],[personeelsnr]]," ",C247," ",D247)</f>
        <v>31689 Van Achte Jay</v>
      </c>
      <c r="C247" t="str">
        <f>VLOOKUP(Tabel1[[#This Row],[personeelsnr]],'data hastus'!$A:$C,2,0)</f>
        <v>Van Achte</v>
      </c>
      <c r="D247" t="str">
        <f>VLOOKUP(Tabel1[[#This Row],[personeelsnr]],'data hastus'!$A:$C,3,0)</f>
        <v>Jay</v>
      </c>
      <c r="E247" t="str">
        <f>VLOOKUP(Tabel1[[#This Row],[personeelsnr]],'data hastus'!A:K,11,FALSE)</f>
        <v>Steven Storm</v>
      </c>
      <c r="F247">
        <v>0</v>
      </c>
    </row>
    <row r="248" spans="1:6" x14ac:dyDescent="0.3">
      <c r="A248">
        <v>36663</v>
      </c>
      <c r="B248" t="str">
        <f>_xlfn.CONCAT(Tabel1[[#This Row],[personeelsnr]]," ",C248," ",D248)</f>
        <v>40521 Mekdad Ali</v>
      </c>
      <c r="C248" t="str">
        <f>VLOOKUP(Tabel1[[#This Row],[personeelsnr]],'data hastus'!$A:$C,2,0)</f>
        <v>Mekdad</v>
      </c>
      <c r="D248" t="str">
        <f>VLOOKUP(Tabel1[[#This Row],[personeelsnr]],'data hastus'!$A:$C,3,0)</f>
        <v>Ali</v>
      </c>
      <c r="E248" t="str">
        <f>VLOOKUP(Tabel1[[#This Row],[personeelsnr]],'data hastus'!A:K,11,FALSE)</f>
        <v>Lucie Vande Velde</v>
      </c>
    </row>
    <row r="249" spans="1:6" x14ac:dyDescent="0.3">
      <c r="A249">
        <v>39379</v>
      </c>
      <c r="B249" t="str">
        <f>_xlfn.CONCAT(Tabel1[[#This Row],[personeelsnr]]," ",C249," ",D249)</f>
        <v>37542 De Tandt Hans</v>
      </c>
      <c r="C249" t="str">
        <f>VLOOKUP(Tabel1[[#This Row],[personeelsnr]],'data hastus'!$A:$C,2,0)</f>
        <v>De Tandt</v>
      </c>
      <c r="D249" t="str">
        <f>VLOOKUP(Tabel1[[#This Row],[personeelsnr]],'data hastus'!$A:$C,3,0)</f>
        <v>Hans</v>
      </c>
      <c r="E249" t="str">
        <f>VLOOKUP(Tabel1[[#This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_xlfn.CONCAT(Tabel1[[#This Row],[personeelsnr]]," ",C250," ",D250)</f>
        <v>37542 De Tandt Hans</v>
      </c>
      <c r="C250" t="str">
        <f>VLOOKUP(Tabel1[[#This Row],[personeelsnr]],'data hastus'!$A:$C,2,0)</f>
        <v>De Tandt</v>
      </c>
      <c r="D250" t="str">
        <f>VLOOKUP(Tabel1[[#This Row],[personeelsnr]],'data hastus'!$A:$C,3,0)</f>
        <v>Hans</v>
      </c>
      <c r="E250" t="str">
        <f>VLOOKUP(Tabel1[[#This Row],[personeelsnr]],'data hastus'!A:K,11,FALSE)</f>
        <v>Bart Van Der Beken</v>
      </c>
      <c r="F250">
        <v>1</v>
      </c>
    </row>
    <row r="251" spans="1:6" x14ac:dyDescent="0.3">
      <c r="A251">
        <v>39985</v>
      </c>
      <c r="B251" t="str">
        <f>_xlfn.CONCAT(Tabel1[[#This Row],[personeelsnr]]," ",C251," ",D251)</f>
        <v>40036 Karakaya Oguz</v>
      </c>
      <c r="C251" t="str">
        <f>VLOOKUP(Tabel1[[#This Row],[personeelsnr]],'data hastus'!$A:$C,2,0)</f>
        <v>Karakaya</v>
      </c>
      <c r="D251" t="str">
        <f>VLOOKUP(Tabel1[[#This Row],[personeelsnr]],'data hastus'!$A:$C,3,0)</f>
        <v>Oguz</v>
      </c>
      <c r="E251" t="str">
        <f>VLOOKUP(Tabel1[[#This Row],[personeelsnr]],'data hastus'!A:K,11,FALSE)</f>
        <v>Dominique De Clercq</v>
      </c>
      <c r="F251">
        <v>1</v>
      </c>
    </row>
    <row r="252" spans="1:6" x14ac:dyDescent="0.3">
      <c r="A252">
        <v>40006</v>
      </c>
      <c r="B252" t="str">
        <f>_xlfn.CONCAT(Tabel1[[#This Row],[personeelsnr]]," ",C252," ",D252)</f>
        <v>33986 Göktas Muharrem</v>
      </c>
      <c r="C252" t="str">
        <f>VLOOKUP(Tabel1[[#This Row],[personeelsnr]],'data hastus'!$A:$C,2,0)</f>
        <v>Göktas</v>
      </c>
      <c r="D252" t="str">
        <f>VLOOKUP(Tabel1[[#This Row],[personeelsnr]],'data hastus'!$A:$C,3,0)</f>
        <v>Muharrem</v>
      </c>
      <c r="E252" t="str">
        <f>VLOOKUP(Tabel1[[#This Row],[personeelsnr]],'data hastus'!A:K,11,FALSE)</f>
        <v>Kenneth De Rick</v>
      </c>
      <c r="F252">
        <v>1</v>
      </c>
    </row>
    <row r="253" spans="1:6" x14ac:dyDescent="0.3">
      <c r="A253">
        <v>40278</v>
      </c>
      <c r="B253" t="str">
        <f>_xlfn.CONCAT(Tabel1[[#This Row],[personeelsnr]]," ",C253," ",D253)</f>
        <v>39660 Lloyd Glenn</v>
      </c>
      <c r="C253" t="str">
        <f>VLOOKUP(Tabel1[[#This Row],[personeelsnr]],'data hastus'!$A:$C,2,0)</f>
        <v>Lloyd</v>
      </c>
      <c r="D253" t="str">
        <f>VLOOKUP(Tabel1[[#This Row],[personeelsnr]],'data hastus'!$A:$C,3,0)</f>
        <v>Glenn</v>
      </c>
      <c r="E253" t="str">
        <f>VLOOKUP(Tabel1[[#This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_xlfn.CONCAT(Tabel1[[#This Row],[personeelsnr]]," ",C254," ",D254)</f>
        <v>39660 Lloyd Glenn</v>
      </c>
      <c r="C254" t="str">
        <f>VLOOKUP(Tabel1[[#This Row],[personeelsnr]],'data hastus'!$A:$C,2,0)</f>
        <v>Lloyd</v>
      </c>
      <c r="D254" t="str">
        <f>VLOOKUP(Tabel1[[#This Row],[personeelsnr]],'data hastus'!$A:$C,3,0)</f>
        <v>Glenn</v>
      </c>
      <c r="E254" t="str">
        <f>VLOOKUP(Tabel1[[#This Row],[personeelsnr]],'data hastus'!A:K,11,FALSE)</f>
        <v>Bart Van Der Beken</v>
      </c>
      <c r="F254">
        <v>1</v>
      </c>
    </row>
    <row r="255" spans="1:6" x14ac:dyDescent="0.3">
      <c r="A255">
        <v>10324</v>
      </c>
      <c r="B255" t="str">
        <f>_xlfn.CONCAT(Tabel1[[#This Row],[personeelsnr]]," ",C255," ",D255)</f>
        <v>14261 Vandaele Sofie</v>
      </c>
      <c r="C255" t="str">
        <f>VLOOKUP(Tabel1[[#This Row],[personeelsnr]],'data hastus'!$A:$C,2,0)</f>
        <v>Vandaele</v>
      </c>
      <c r="D255" t="str">
        <f>VLOOKUP(Tabel1[[#This Row],[personeelsnr]],'data hastus'!$A:$C,3,0)</f>
        <v>Sofie</v>
      </c>
      <c r="E255" t="str">
        <f>VLOOKUP(Tabel1[[#This Row],[personeelsnr]],'data hastus'!A:K,11,FALSE)</f>
        <v>Els Vanhoe</v>
      </c>
      <c r="F255">
        <v>1</v>
      </c>
    </row>
    <row r="256" spans="1:6" x14ac:dyDescent="0.3">
      <c r="A256">
        <v>12819</v>
      </c>
      <c r="B256" t="str">
        <f>_xlfn.CONCAT(Tabel1[[#This Row],[personeelsnr]]," ",C256," ",D256)</f>
        <v>35493 van Turnhout Mariëlle</v>
      </c>
      <c r="C256" t="str">
        <f>VLOOKUP(Tabel1[[#This Row],[personeelsnr]],'data hastus'!$A:$C,2,0)</f>
        <v>van Turnhout</v>
      </c>
      <c r="D256" t="str">
        <f>VLOOKUP(Tabel1[[#This Row],[personeelsnr]],'data hastus'!$A:$C,3,0)</f>
        <v>Mariëlle</v>
      </c>
      <c r="E256" t="str">
        <f>VLOOKUP(Tabel1[[#This Row],[personeelsnr]],'data hastus'!A:K,11,FALSE)</f>
        <v>Lucie Vande Velde</v>
      </c>
      <c r="F256">
        <v>1</v>
      </c>
    </row>
    <row r="257" spans="1:6" x14ac:dyDescent="0.3">
      <c r="A257">
        <v>15219</v>
      </c>
      <c r="B257" t="str">
        <f>_xlfn.CONCAT(Tabel1[[#This Row],[personeelsnr]]," ",C257," ",D257)</f>
        <v>36635 Fadel Husam</v>
      </c>
      <c r="C257" t="str">
        <f>VLOOKUP(Tabel1[[#This Row],[personeelsnr]],'data hastus'!$A:$C,2,0)</f>
        <v>Fadel</v>
      </c>
      <c r="D257" t="str">
        <f>VLOOKUP(Tabel1[[#This Row],[personeelsnr]],'data hastus'!$A:$C,3,0)</f>
        <v>Husam</v>
      </c>
      <c r="E257" t="str">
        <f>VLOOKUP(Tabel1[[#This Row],[personeelsnr]],'data hastus'!A:K,11,FALSE)</f>
        <v>Kenneth De Rick</v>
      </c>
      <c r="F257">
        <v>1</v>
      </c>
    </row>
    <row r="258" spans="1:6" x14ac:dyDescent="0.3">
      <c r="A258">
        <v>36663</v>
      </c>
      <c r="B258" t="str">
        <f>_xlfn.CONCAT(Tabel1[[#This Row],[personeelsnr]]," ",C258," ",D258)</f>
        <v>39528 Mihaylov Plamen</v>
      </c>
      <c r="C258" t="str">
        <f>VLOOKUP(Tabel1[[#This Row],[personeelsnr]],'data hastus'!$A:$C,2,0)</f>
        <v>Mihaylov</v>
      </c>
      <c r="D258" t="str">
        <f>VLOOKUP(Tabel1[[#This Row],[personeelsnr]],'data hastus'!$A:$C,3,0)</f>
        <v>Plamen</v>
      </c>
      <c r="E258" t="str">
        <f>VLOOKUP(Tabel1[[#This Row],[personeelsnr]],'data hastus'!A:K,11,FALSE)</f>
        <v>Christoff Rotty</v>
      </c>
    </row>
    <row r="259" spans="1:6" x14ac:dyDescent="0.3">
      <c r="A259">
        <v>16895</v>
      </c>
      <c r="B259" t="str">
        <f>_xlfn.CONCAT(Tabel1[[#This Row],[personeelsnr]]," ",C259," ",D259)</f>
        <v>40223 Teetaert Billy</v>
      </c>
      <c r="C259" t="str">
        <f>VLOOKUP(Tabel1[[#This Row],[personeelsnr]],'data hastus'!$A:$C,2,0)</f>
        <v>Teetaert</v>
      </c>
      <c r="D259" t="str">
        <f>VLOOKUP(Tabel1[[#This Row],[personeelsnr]],'data hastus'!$A:$C,3,0)</f>
        <v>Billy</v>
      </c>
      <c r="E259" t="str">
        <f>VLOOKUP(Tabel1[[#This Row],[personeelsnr]],'data hastus'!A:K,11,FALSE)</f>
        <v>Dominique De Clercq</v>
      </c>
      <c r="F259">
        <v>1</v>
      </c>
    </row>
    <row r="260" spans="1:6" x14ac:dyDescent="0.3">
      <c r="A260">
        <v>17555</v>
      </c>
      <c r="B260" t="str">
        <f>_xlfn.CONCAT(Tabel1[[#This Row],[personeelsnr]]," ",C260," ",D260)</f>
        <v>9999 chauffeur uit</v>
      </c>
      <c r="C260" t="str">
        <f>VLOOKUP(Tabel1[[#This Row],[personeelsnr]],'data hastus'!$A:$C,2,0)</f>
        <v>chauffeur</v>
      </c>
      <c r="D260" t="str">
        <f>VLOOKUP(Tabel1[[#This Row],[personeelsnr]],'data hastus'!$A:$C,3,0)</f>
        <v>uit</v>
      </c>
      <c r="E260" t="str">
        <f>VLOOKUP(Tabel1[[#This Row],[personeelsnr]],'data hastus'!A:K,11,FALSE)</f>
        <v>dienst</v>
      </c>
      <c r="F260">
        <v>1</v>
      </c>
    </row>
    <row r="261" spans="1:6" x14ac:dyDescent="0.3">
      <c r="A261">
        <v>18624</v>
      </c>
      <c r="B261" t="str">
        <f>_xlfn.CONCAT(Tabel1[[#This Row],[personeelsnr]]," ",C261," ",D261)</f>
        <v>37609 De Groote Dylan</v>
      </c>
      <c r="C261" t="str">
        <f>VLOOKUP(Tabel1[[#This Row],[personeelsnr]],'data hastus'!$A:$C,2,0)</f>
        <v>De Groote</v>
      </c>
      <c r="D261" t="str">
        <f>VLOOKUP(Tabel1[[#This Row],[personeelsnr]],'data hastus'!$A:$C,3,0)</f>
        <v>Dylan</v>
      </c>
      <c r="E261" t="str">
        <f>VLOOKUP(Tabel1[[#This Row],[personeelsnr]],'data hastus'!A:K,11,FALSE)</f>
        <v>Kenneth De Rick</v>
      </c>
      <c r="F261">
        <v>1</v>
      </c>
    </row>
    <row r="262" spans="1:6" x14ac:dyDescent="0.3">
      <c r="A262">
        <v>19766</v>
      </c>
      <c r="B262" t="str">
        <f>_xlfn.CONCAT(Tabel1[[#This Row],[personeelsnr]]," ",C262," ",D262)</f>
        <v>9999 chauffeur uit</v>
      </c>
      <c r="C262" t="str">
        <f>VLOOKUP(Tabel1[[#This Row],[personeelsnr]],'data hastus'!$A:$C,2,0)</f>
        <v>chauffeur</v>
      </c>
      <c r="D262" t="str">
        <f>VLOOKUP(Tabel1[[#This Row],[personeelsnr]],'data hastus'!$A:$C,3,0)</f>
        <v>uit</v>
      </c>
      <c r="E262" t="str">
        <f>VLOOKUP(Tabel1[[#This Row],[personeelsnr]],'data hastus'!A:K,11,FALSE)</f>
        <v>dienst</v>
      </c>
      <c r="F262">
        <v>1</v>
      </c>
    </row>
    <row r="263" spans="1:6" x14ac:dyDescent="0.3">
      <c r="A263">
        <v>24367</v>
      </c>
      <c r="B263" t="str">
        <f>_xlfn.CONCAT(Tabel1[[#This Row],[personeelsnr]]," ",C263," ",D263)</f>
        <v>14665 De Mulder Philip</v>
      </c>
      <c r="C263" t="str">
        <f>VLOOKUP(Tabel1[[#This Row],[personeelsnr]],'data hastus'!$A:$C,2,0)</f>
        <v>De Mulder</v>
      </c>
      <c r="D263" t="str">
        <f>VLOOKUP(Tabel1[[#This Row],[personeelsnr]],'data hastus'!$A:$C,3,0)</f>
        <v>Philip</v>
      </c>
      <c r="E263" t="str">
        <f>VLOOKUP(Tabel1[[#This Row],[personeelsnr]],'data hastus'!A:K,11,FALSE)</f>
        <v>Bart Van Der Beken</v>
      </c>
      <c r="F263">
        <v>1</v>
      </c>
    </row>
    <row r="264" spans="1:6" x14ac:dyDescent="0.3">
      <c r="A264">
        <v>26331</v>
      </c>
      <c r="B264" t="str">
        <f>_xlfn.CONCAT(Tabel1[[#This Row],[personeelsnr]]," ",C264," ",D264)</f>
        <v>35395 Limbourg Heidi</v>
      </c>
      <c r="C264" t="str">
        <f>VLOOKUP(Tabel1[[#This Row],[personeelsnr]],'data hastus'!$A:$C,2,0)</f>
        <v>Limbourg</v>
      </c>
      <c r="D264" t="str">
        <f>VLOOKUP(Tabel1[[#This Row],[personeelsnr]],'data hastus'!$A:$C,3,0)</f>
        <v>Heidi</v>
      </c>
      <c r="E264" t="str">
        <f>VLOOKUP(Tabel1[[#This Row],[personeelsnr]],'data hastus'!A:K,11,FALSE)</f>
        <v>Steven Storm</v>
      </c>
      <c r="F264">
        <v>1</v>
      </c>
    </row>
    <row r="265" spans="1:6" x14ac:dyDescent="0.3">
      <c r="A265">
        <v>28821</v>
      </c>
      <c r="B265" t="str">
        <f>_xlfn.CONCAT(Tabel1[[#This Row],[personeelsnr]]," ",C265," ",D265)</f>
        <v>26198 Justé Steven</v>
      </c>
      <c r="C265" t="str">
        <f>VLOOKUP(Tabel1[[#This Row],[personeelsnr]],'data hastus'!$A:$C,2,0)</f>
        <v>Justé</v>
      </c>
      <c r="D265" t="str">
        <f>VLOOKUP(Tabel1[[#This Row],[personeelsnr]],'data hastus'!$A:$C,3,0)</f>
        <v>Steven</v>
      </c>
      <c r="E265" t="str">
        <f>VLOOKUP(Tabel1[[#This Row],[personeelsnr]],'data hastus'!A:K,11,FALSE)</f>
        <v>Kenneth De Rick</v>
      </c>
      <c r="F265">
        <v>1</v>
      </c>
    </row>
    <row r="266" spans="1:6" x14ac:dyDescent="0.3">
      <c r="A266">
        <v>29181</v>
      </c>
      <c r="B266" t="str">
        <f>_xlfn.CONCAT(Tabel1[[#This Row],[personeelsnr]]," ",C266," ",D266)</f>
        <v>32951 De Bruyne Sonia</v>
      </c>
      <c r="C266" t="str">
        <f>VLOOKUP(Tabel1[[#This Row],[personeelsnr]],'data hastus'!$A:$C,2,0)</f>
        <v>De Bruyne</v>
      </c>
      <c r="D266" t="str">
        <f>VLOOKUP(Tabel1[[#This Row],[personeelsnr]],'data hastus'!$A:$C,3,0)</f>
        <v>Sonia</v>
      </c>
      <c r="E266" t="str">
        <f>VLOOKUP(Tabel1[[#This Row],[personeelsnr]],'data hastus'!A:K,11,FALSE)</f>
        <v>Lucie Vande Velde</v>
      </c>
      <c r="F266">
        <v>1</v>
      </c>
    </row>
    <row r="267" spans="1:6" x14ac:dyDescent="0.3">
      <c r="A267">
        <v>29746</v>
      </c>
      <c r="B267" t="str">
        <f>_xlfn.CONCAT(Tabel1[[#This Row],[personeelsnr]]," ",C267," ",D267)</f>
        <v>22244 Kirdas Süleyman</v>
      </c>
      <c r="C267" t="str">
        <f>VLOOKUP(Tabel1[[#This Row],[personeelsnr]],'data hastus'!$A:$C,2,0)</f>
        <v>Kirdas</v>
      </c>
      <c r="D267" t="str">
        <f>VLOOKUP(Tabel1[[#This Row],[personeelsnr]],'data hastus'!$A:$C,3,0)</f>
        <v>Süleyman</v>
      </c>
      <c r="E267" t="str">
        <f>VLOOKUP(Tabel1[[#This Row],[personeelsnr]],'data hastus'!A:K,11,FALSE)</f>
        <v>Christoff Rotty</v>
      </c>
      <c r="F267">
        <v>1</v>
      </c>
    </row>
    <row r="268" spans="1:6" x14ac:dyDescent="0.3">
      <c r="A268">
        <v>34890</v>
      </c>
      <c r="B268" t="str">
        <f>_xlfn.CONCAT(Tabel1[[#This Row],[personeelsnr]]," ",C268," ",D268)</f>
        <v>32542 Vanderstock Kenny</v>
      </c>
      <c r="C268" t="str">
        <f>VLOOKUP(Tabel1[[#This Row],[personeelsnr]],'data hastus'!$A:$C,2,0)</f>
        <v>Vanderstock</v>
      </c>
      <c r="D268" t="str">
        <f>VLOOKUP(Tabel1[[#This Row],[personeelsnr]],'data hastus'!$A:$C,3,0)</f>
        <v>Kenny</v>
      </c>
      <c r="E268" t="str">
        <f>VLOOKUP(Tabel1[[#This Row],[personeelsnr]],'data hastus'!A:K,11,FALSE)</f>
        <v>Dominique De Clercq</v>
      </c>
      <c r="F268">
        <v>1</v>
      </c>
    </row>
    <row r="269" spans="1:6" x14ac:dyDescent="0.3">
      <c r="A269">
        <v>35005</v>
      </c>
      <c r="B269" t="str">
        <f>_xlfn.CONCAT(Tabel1[[#This Row],[personeelsnr]]," ",C269," ",D269)</f>
        <v>35006 Van Hoe Youri</v>
      </c>
      <c r="C269" t="str">
        <f>VLOOKUP(Tabel1[[#This Row],[personeelsnr]],'data hastus'!$A:$C,2,0)</f>
        <v>Van Hoe</v>
      </c>
      <c r="D269" t="str">
        <f>VLOOKUP(Tabel1[[#This Row],[personeelsnr]],'data hastus'!$A:$C,3,0)</f>
        <v>Youri</v>
      </c>
      <c r="E269" t="str">
        <f>VLOOKUP(Tabel1[[#This Row],[personeelsnr]],'data hastus'!A:K,11,FALSE)</f>
        <v>Kenneth De Rick</v>
      </c>
      <c r="F269">
        <v>1</v>
      </c>
    </row>
    <row r="270" spans="1:6" x14ac:dyDescent="0.3">
      <c r="A270">
        <v>37496</v>
      </c>
      <c r="B270" t="str">
        <f>_xlfn.CONCAT(Tabel1[[#This Row],[personeelsnr]]," ",C270," ",D270)</f>
        <v>9999 chauffeur uit</v>
      </c>
      <c r="C270" t="str">
        <f>VLOOKUP(Tabel1[[#This Row],[personeelsnr]],'data hastus'!$A:$C,2,0)</f>
        <v>chauffeur</v>
      </c>
      <c r="D270" t="str">
        <f>VLOOKUP(Tabel1[[#This Row],[personeelsnr]],'data hastus'!$A:$C,3,0)</f>
        <v>uit</v>
      </c>
      <c r="E270" t="str">
        <f>VLOOKUP(Tabel1[[#This Row],[personeelsnr]],'data hastus'!A:K,11,FALSE)</f>
        <v>dienst</v>
      </c>
    </row>
    <row r="271" spans="1:6" x14ac:dyDescent="0.3">
      <c r="A271">
        <v>38551</v>
      </c>
      <c r="B271" t="str">
        <f>_xlfn.CONCAT(Tabel1[[#This Row],[personeelsnr]]," ",C271," ",D271)</f>
        <v>39859 Costers Kelly</v>
      </c>
      <c r="C271" t="str">
        <f>VLOOKUP(Tabel1[[#This Row],[personeelsnr]],'data hastus'!$A:$C,2,0)</f>
        <v>Costers</v>
      </c>
      <c r="D271" t="str">
        <f>VLOOKUP(Tabel1[[#This Row],[personeelsnr]],'data hastus'!$A:$C,3,0)</f>
        <v>Kelly</v>
      </c>
      <c r="E271" t="str">
        <f>VLOOKUP(Tabel1[[#This Row],[personeelsnr]],'data hastus'!A:K,11,FALSE)</f>
        <v>Bart Van Der Beken</v>
      </c>
      <c r="F271">
        <v>1</v>
      </c>
    </row>
    <row r="272" spans="1:6" x14ac:dyDescent="0.3">
      <c r="A272">
        <v>37509</v>
      </c>
      <c r="B272" t="str">
        <f>_xlfn.CONCAT(Tabel1[[#This Row],[personeelsnr]]," ",C272," ",D272)</f>
        <v>9999 chauffeur uit</v>
      </c>
      <c r="C272" t="str">
        <f>VLOOKUP(Tabel1[[#This Row],[personeelsnr]],'data hastus'!$A:$C,2,0)</f>
        <v>chauffeur</v>
      </c>
      <c r="D272" t="str">
        <f>VLOOKUP(Tabel1[[#This Row],[personeelsnr]],'data hastus'!$A:$C,3,0)</f>
        <v>uit</v>
      </c>
      <c r="E272" t="str">
        <f>VLOOKUP(Tabel1[[#This Row],[personeelsnr]],'data hastus'!A:K,11,FALSE)</f>
        <v>dienst</v>
      </c>
    </row>
    <row r="273" spans="1:6" x14ac:dyDescent="0.3">
      <c r="A273">
        <v>37662</v>
      </c>
      <c r="B273" t="str">
        <f>_xlfn.CONCAT(Tabel1[[#This Row],[personeelsnr]]," ",C273," ",D273)</f>
        <v>33986 Göktas Muharrem</v>
      </c>
      <c r="C273" t="str">
        <f>VLOOKUP(Tabel1[[#This Row],[personeelsnr]],'data hastus'!$A:$C,2,0)</f>
        <v>Göktas</v>
      </c>
      <c r="D273" t="str">
        <f>VLOOKUP(Tabel1[[#This Row],[personeelsnr]],'data hastus'!$A:$C,3,0)</f>
        <v>Muharrem</v>
      </c>
      <c r="E273" t="str">
        <f>VLOOKUP(Tabel1[[#This Row],[personeelsnr]],'data hastus'!A:K,11,FALSE)</f>
        <v>Kenneth De Rick</v>
      </c>
    </row>
    <row r="274" spans="1:6" x14ac:dyDescent="0.3">
      <c r="A274">
        <v>37662</v>
      </c>
      <c r="B274" t="str">
        <f>_xlfn.CONCAT(Tabel1[[#This Row],[personeelsnr]]," ",C274," ",D274)</f>
        <v>38346 Van Cleemputte Thibeaux</v>
      </c>
      <c r="C274" t="str">
        <f>VLOOKUP(Tabel1[[#This Row],[personeelsnr]],'data hastus'!$A:$C,2,0)</f>
        <v>Van Cleemputte</v>
      </c>
      <c r="D274" t="str">
        <f>VLOOKUP(Tabel1[[#This Row],[personeelsnr]],'data hastus'!$A:$C,3,0)</f>
        <v>Thibeaux</v>
      </c>
      <c r="E274" t="str">
        <f>VLOOKUP(Tabel1[[#This Row],[personeelsnr]],'data hastus'!A:K,11,FALSE)</f>
        <v>Els Vanhoe</v>
      </c>
      <c r="F274">
        <v>0</v>
      </c>
    </row>
    <row r="275" spans="1:6" x14ac:dyDescent="0.3">
      <c r="A275">
        <v>39145</v>
      </c>
      <c r="B275" t="str">
        <f>_xlfn.CONCAT(Tabel1[[#This Row],[personeelsnr]]," ",C275," ",D275)</f>
        <v>39532 Sahin Orhan</v>
      </c>
      <c r="C275" t="str">
        <f>VLOOKUP(Tabel1[[#This Row],[personeelsnr]],'data hastus'!$A:$C,2,0)</f>
        <v>Sahin</v>
      </c>
      <c r="D275" t="str">
        <f>VLOOKUP(Tabel1[[#This Row],[personeelsnr]],'data hastus'!$A:$C,3,0)</f>
        <v>Orhan</v>
      </c>
      <c r="E275" t="str">
        <f>VLOOKUP(Tabel1[[#This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_xlfn.CONCAT(Tabel1[[#This Row],[personeelsnr]]," ",C276," ",D276)</f>
        <v>39529 Desmet Patricia</v>
      </c>
      <c r="C276" t="str">
        <f>VLOOKUP(Tabel1[[#This Row],[personeelsnr]],'data hastus'!$A:$C,2,0)</f>
        <v>Desmet</v>
      </c>
      <c r="D276" t="str">
        <f>VLOOKUP(Tabel1[[#This Row],[personeelsnr]],'data hastus'!$A:$C,3,0)</f>
        <v>Patricia</v>
      </c>
      <c r="E276" t="str">
        <f>VLOOKUP(Tabel1[[#This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_xlfn.CONCAT(Tabel1[[#This Row],[personeelsnr]]," ",C277," ",D277)</f>
        <v>39379 Bensalah Mohammed</v>
      </c>
      <c r="C277" t="str">
        <f>VLOOKUP(Tabel1[[#This Row],[personeelsnr]],'data hastus'!$A:$C,2,0)</f>
        <v>Bensalah</v>
      </c>
      <c r="D277" t="str">
        <f>VLOOKUP(Tabel1[[#This Row],[personeelsnr]],'data hastus'!$A:$C,3,0)</f>
        <v>Mohammed</v>
      </c>
      <c r="E277" t="str">
        <f>VLOOKUP(Tabel1[[#This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_xlfn.CONCAT(Tabel1[[#This Row],[personeelsnr]]," ",C278," ",D278)</f>
        <v>34044 Wieme Kevin</v>
      </c>
      <c r="C278" t="str">
        <f>VLOOKUP(Tabel1[[#This Row],[personeelsnr]],'data hastus'!$A:$C,2,0)</f>
        <v>Wieme</v>
      </c>
      <c r="D278" t="str">
        <f>VLOOKUP(Tabel1[[#This Row],[personeelsnr]],'data hastus'!$A:$C,3,0)</f>
        <v>Kevin</v>
      </c>
      <c r="E278" t="str">
        <f>VLOOKUP(Tabel1[[#This Row],[personeelsnr]],'data hastus'!A:K,11,FALSE)</f>
        <v>Christoff Rotty</v>
      </c>
      <c r="F278">
        <v>1</v>
      </c>
    </row>
    <row r="279" spans="1:6" x14ac:dyDescent="0.3">
      <c r="A279">
        <v>15676</v>
      </c>
      <c r="B279" t="str">
        <f>_xlfn.CONCAT(Tabel1[[#This Row],[personeelsnr]]," ",C279," ",D279)</f>
        <v>36569 Stroobandt Jonas</v>
      </c>
      <c r="C279" t="str">
        <f>VLOOKUP(Tabel1[[#This Row],[personeelsnr]],'data hastus'!$A:$C,2,0)</f>
        <v>Stroobandt</v>
      </c>
      <c r="D279" t="str">
        <f>VLOOKUP(Tabel1[[#This Row],[personeelsnr]],'data hastus'!$A:$C,3,0)</f>
        <v>Jonas</v>
      </c>
      <c r="E279" t="str">
        <f>VLOOKUP(Tabel1[[#This Row],[personeelsnr]],'data hastus'!A:K,11,FALSE)</f>
        <v>Els Vanhoe</v>
      </c>
      <c r="F279">
        <v>1</v>
      </c>
    </row>
    <row r="280" spans="1:6" x14ac:dyDescent="0.3">
      <c r="A280">
        <v>28794</v>
      </c>
      <c r="B280" t="str">
        <f>_xlfn.CONCAT(Tabel1[[#This Row],[personeelsnr]]," ",C280," ",D280)</f>
        <v>9999 chauffeur uit</v>
      </c>
      <c r="C280" t="str">
        <f>VLOOKUP(Tabel1[[#This Row],[personeelsnr]],'data hastus'!$A:$C,2,0)</f>
        <v>chauffeur</v>
      </c>
      <c r="D280" t="str">
        <f>VLOOKUP(Tabel1[[#This Row],[personeelsnr]],'data hastus'!$A:$C,3,0)</f>
        <v>uit</v>
      </c>
      <c r="E280" t="str">
        <f>VLOOKUP(Tabel1[[#This Row],[personeelsnr]],'data hastus'!A:K,11,FALSE)</f>
        <v>dienst</v>
      </c>
      <c r="F280">
        <v>1</v>
      </c>
    </row>
    <row r="281" spans="1:6" x14ac:dyDescent="0.3">
      <c r="A281">
        <v>29477</v>
      </c>
      <c r="B281" t="str">
        <f>_xlfn.CONCAT(Tabel1[[#This Row],[personeelsnr]]," ",C281," ",D281)</f>
        <v>9999 chauffeur uit</v>
      </c>
      <c r="C281" t="str">
        <f>VLOOKUP(Tabel1[[#This Row],[personeelsnr]],'data hastus'!$A:$C,2,0)</f>
        <v>chauffeur</v>
      </c>
      <c r="D281" t="str">
        <f>VLOOKUP(Tabel1[[#This Row],[personeelsnr]],'data hastus'!$A:$C,3,0)</f>
        <v>uit</v>
      </c>
      <c r="E281" t="str">
        <f>VLOOKUP(Tabel1[[#This Row],[personeelsnr]],'data hastus'!A:K,11,FALSE)</f>
        <v>dienst</v>
      </c>
      <c r="F281">
        <v>1</v>
      </c>
    </row>
    <row r="282" spans="1:6" x14ac:dyDescent="0.3">
      <c r="A282">
        <v>29540</v>
      </c>
      <c r="B282" t="str">
        <f>_xlfn.CONCAT(Tabel1[[#This Row],[personeelsnr]]," ",C282," ",D282)</f>
        <v>9999 chauffeur uit</v>
      </c>
      <c r="C282" t="str">
        <f>VLOOKUP(Tabel1[[#This Row],[personeelsnr]],'data hastus'!$A:$C,2,0)</f>
        <v>chauffeur</v>
      </c>
      <c r="D282" t="str">
        <f>VLOOKUP(Tabel1[[#This Row],[personeelsnr]],'data hastus'!$A:$C,3,0)</f>
        <v>uit</v>
      </c>
      <c r="E282" t="str">
        <f>VLOOKUP(Tabel1[[#This Row],[personeelsnr]],'data hastus'!A:K,11,FALSE)</f>
        <v>dienst</v>
      </c>
      <c r="F282">
        <v>1</v>
      </c>
    </row>
    <row r="283" spans="1:6" x14ac:dyDescent="0.3">
      <c r="A283">
        <v>33639</v>
      </c>
      <c r="B283" t="str">
        <f>_xlfn.CONCAT(Tabel1[[#This Row],[personeelsnr]]," ",C283," ",D283)</f>
        <v>37542 De Tandt Hans</v>
      </c>
      <c r="C283" t="str">
        <f>VLOOKUP(Tabel1[[#This Row],[personeelsnr]],'data hastus'!$A:$C,2,0)</f>
        <v>De Tandt</v>
      </c>
      <c r="D283" t="str">
        <f>VLOOKUP(Tabel1[[#This Row],[personeelsnr]],'data hastus'!$A:$C,3,0)</f>
        <v>Hans</v>
      </c>
      <c r="E283" t="str">
        <f>VLOOKUP(Tabel1[[#This Row],[personeelsnr]],'data hastus'!A:K,11,FALSE)</f>
        <v>Bart Van Der Beken</v>
      </c>
      <c r="F283">
        <v>1</v>
      </c>
    </row>
    <row r="284" spans="1:6" x14ac:dyDescent="0.3">
      <c r="A284">
        <v>37345</v>
      </c>
      <c r="B284" t="str">
        <f>_xlfn.CONCAT(Tabel1[[#This Row],[personeelsnr]]," ",C284," ",D284)</f>
        <v>14261 Vandaele Sofie</v>
      </c>
      <c r="C284" t="str">
        <f>VLOOKUP(Tabel1[[#This Row],[personeelsnr]],'data hastus'!$A:$C,2,0)</f>
        <v>Vandaele</v>
      </c>
      <c r="D284" t="str">
        <f>VLOOKUP(Tabel1[[#This Row],[personeelsnr]],'data hastus'!$A:$C,3,0)</f>
        <v>Sofie</v>
      </c>
      <c r="E284" t="str">
        <f>VLOOKUP(Tabel1[[#This Row],[personeelsnr]],'data hastus'!A:K,11,FALSE)</f>
        <v>Els Vanhoe</v>
      </c>
      <c r="F284">
        <v>1</v>
      </c>
    </row>
    <row r="285" spans="1:6" x14ac:dyDescent="0.3">
      <c r="A285">
        <v>38013</v>
      </c>
      <c r="B285" t="str">
        <f>_xlfn.CONCAT(Tabel1[[#This Row],[personeelsnr]]," ",C285," ",D285)</f>
        <v>37261 Van Wayenbergh Yordi</v>
      </c>
      <c r="C285" t="str">
        <f>VLOOKUP(Tabel1[[#This Row],[personeelsnr]],'data hastus'!$A:$C,2,0)</f>
        <v>Van Wayenbergh</v>
      </c>
      <c r="D285" t="str">
        <f>VLOOKUP(Tabel1[[#This Row],[personeelsnr]],'data hastus'!$A:$C,3,0)</f>
        <v>Yordi</v>
      </c>
      <c r="E285" t="str">
        <f>VLOOKUP(Tabel1[[#This Row],[personeelsnr]],'data hastus'!A:K,11,FALSE)</f>
        <v>Dominique De Clercq</v>
      </c>
      <c r="F285">
        <v>1</v>
      </c>
    </row>
    <row r="286" spans="1:6" x14ac:dyDescent="0.3">
      <c r="A286">
        <v>8708</v>
      </c>
      <c r="B286" t="str">
        <f>_xlfn.CONCAT(Tabel1[[#This Row],[personeelsnr]]," ",C286," ",D286)</f>
        <v>39532 Sahin Orhan</v>
      </c>
      <c r="C286" t="str">
        <f>VLOOKUP(Tabel1[[#This Row],[personeelsnr]],'data hastus'!$A:$C,2,0)</f>
        <v>Sahin</v>
      </c>
      <c r="D286" t="str">
        <f>VLOOKUP(Tabel1[[#This Row],[personeelsnr]],'data hastus'!$A:$C,3,0)</f>
        <v>Orhan</v>
      </c>
      <c r="E286" t="str">
        <f>VLOOKUP(Tabel1[[#This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_xlfn.CONCAT(Tabel1[[#This Row],[personeelsnr]]," ",C287," ",D287)</f>
        <v>40110 Vanlerberghe Sandra</v>
      </c>
      <c r="C287" t="str">
        <f>VLOOKUP(Tabel1[[#This Row],[personeelsnr]],'data hastus'!$A:$C,2,0)</f>
        <v>Vanlerberghe</v>
      </c>
      <c r="D287" t="str">
        <f>VLOOKUP(Tabel1[[#This Row],[personeelsnr]],'data hastus'!$A:$C,3,0)</f>
        <v>Sandra</v>
      </c>
      <c r="E287" t="str">
        <f>VLOOKUP(Tabel1[[#This Row],[personeelsnr]],'data hastus'!A:K,11,FALSE)</f>
        <v>Christoff Rotty</v>
      </c>
      <c r="F287">
        <v>1</v>
      </c>
    </row>
    <row r="288" spans="1:6" x14ac:dyDescent="0.3">
      <c r="A288">
        <v>15320</v>
      </c>
      <c r="B288" t="str">
        <f>_xlfn.CONCAT(Tabel1[[#This Row],[personeelsnr]]," ",C288," ",D288)</f>
        <v>21509 De Craemer Kris</v>
      </c>
      <c r="C288" t="str">
        <f>VLOOKUP(Tabel1[[#This Row],[personeelsnr]],'data hastus'!$A:$C,2,0)</f>
        <v>De Craemer</v>
      </c>
      <c r="D288" t="str">
        <f>VLOOKUP(Tabel1[[#This Row],[personeelsnr]],'data hastus'!$A:$C,3,0)</f>
        <v>Kris</v>
      </c>
      <c r="E288" t="str">
        <f>VLOOKUP(Tabel1[[#This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_xlfn.CONCAT(Tabel1[[#This Row],[personeelsnr]]," ",C289," ",D289)</f>
        <v>37261 Van Wayenbergh Yordi</v>
      </c>
      <c r="C289" t="str">
        <f>VLOOKUP(Tabel1[[#This Row],[personeelsnr]],'data hastus'!$A:$C,2,0)</f>
        <v>Van Wayenbergh</v>
      </c>
      <c r="D289" t="str">
        <f>VLOOKUP(Tabel1[[#This Row],[personeelsnr]],'data hastus'!$A:$C,3,0)</f>
        <v>Yordi</v>
      </c>
      <c r="E289" t="str">
        <f>VLOOKUP(Tabel1[[#This Row],[personeelsnr]],'data hastus'!A:K,11,FALSE)</f>
        <v>Dominique De Clercq</v>
      </c>
      <c r="F289">
        <v>1</v>
      </c>
    </row>
    <row r="290" spans="1:6" x14ac:dyDescent="0.3">
      <c r="A290">
        <v>23918</v>
      </c>
      <c r="B290" t="str">
        <f>_xlfn.CONCAT(Tabel1[[#This Row],[personeelsnr]]," ",C290," ",D290)</f>
        <v>21581 Vanderstraeten Franky</v>
      </c>
      <c r="C290" t="str">
        <f>VLOOKUP(Tabel1[[#This Row],[personeelsnr]],'data hastus'!$A:$C,2,0)</f>
        <v>Vanderstraeten</v>
      </c>
      <c r="D290" t="str">
        <f>VLOOKUP(Tabel1[[#This Row],[personeelsnr]],'data hastus'!$A:$C,3,0)</f>
        <v>Franky</v>
      </c>
      <c r="E290" t="str">
        <f>VLOOKUP(Tabel1[[#This Row],[personeelsnr]],'data hastus'!A:K,11,FALSE)</f>
        <v>Lucie Vande Velde</v>
      </c>
      <c r="F290">
        <v>1</v>
      </c>
    </row>
    <row r="291" spans="1:6" x14ac:dyDescent="0.3">
      <c r="A291">
        <v>38580</v>
      </c>
      <c r="B291" t="str">
        <f>_xlfn.CONCAT(Tabel1[[#This Row],[personeelsnr]]," ",C291," ",D291)</f>
        <v>37179 Bashir Muhammad Salman</v>
      </c>
      <c r="C291" t="str">
        <f>VLOOKUP(Tabel1[[#This Row],[personeelsnr]],'data hastus'!$A:$C,2,0)</f>
        <v>Bashir</v>
      </c>
      <c r="D291" t="str">
        <f>VLOOKUP(Tabel1[[#This Row],[personeelsnr]],'data hastus'!$A:$C,3,0)</f>
        <v>Muhammad Salman</v>
      </c>
      <c r="E291" t="str">
        <f>VLOOKUP(Tabel1[[#This Row],[personeelsnr]],'data hastus'!A:K,11,FALSE)</f>
        <v>Bart Van Der Beken</v>
      </c>
      <c r="F291">
        <v>0</v>
      </c>
    </row>
    <row r="292" spans="1:6" x14ac:dyDescent="0.3">
      <c r="A292">
        <v>31635</v>
      </c>
      <c r="B292" t="str">
        <f>_xlfn.CONCAT(Tabel1[[#This Row],[personeelsnr]]," ",C292," ",D292)</f>
        <v>39532 Sahin Orhan</v>
      </c>
      <c r="C292" t="str">
        <f>VLOOKUP(Tabel1[[#This Row],[personeelsnr]],'data hastus'!$A:$C,2,0)</f>
        <v>Sahin</v>
      </c>
      <c r="D292" t="str">
        <f>VLOOKUP(Tabel1[[#This Row],[personeelsnr]],'data hastus'!$A:$C,3,0)</f>
        <v>Orhan</v>
      </c>
      <c r="E292" t="str">
        <f>VLOOKUP(Tabel1[[#This Row],[personeelsnr]],'data hastus'!A:K,11,FALSE)</f>
        <v>Christoff Rotty</v>
      </c>
      <c r="F292">
        <v>1</v>
      </c>
    </row>
    <row r="293" spans="1:6" x14ac:dyDescent="0.3">
      <c r="A293">
        <v>38807</v>
      </c>
      <c r="B293" t="str">
        <f>_xlfn.CONCAT(Tabel1[[#This Row],[personeelsnr]]," ",C293," ",D293)</f>
        <v>39859 Costers Kelly</v>
      </c>
      <c r="C293" t="str">
        <f>VLOOKUP(Tabel1[[#This Row],[personeelsnr]],'data hastus'!$A:$C,2,0)</f>
        <v>Costers</v>
      </c>
      <c r="D293" t="str">
        <f>VLOOKUP(Tabel1[[#This Row],[personeelsnr]],'data hastus'!$A:$C,3,0)</f>
        <v>Kelly</v>
      </c>
      <c r="E293" t="str">
        <f>VLOOKUP(Tabel1[[#This Row],[personeelsnr]],'data hastus'!A:K,11,FALSE)</f>
        <v>Bart Van Der Beken</v>
      </c>
    </row>
    <row r="294" spans="1:6" x14ac:dyDescent="0.3">
      <c r="A294">
        <v>33488</v>
      </c>
      <c r="B294" t="str">
        <f>_xlfn.CONCAT(Tabel1[[#This Row],[personeelsnr]]," ",C294," ",D294)</f>
        <v>21121 Laforce Mike</v>
      </c>
      <c r="C294" t="str">
        <f>VLOOKUP(Tabel1[[#This Row],[personeelsnr]],'data hastus'!$A:$C,2,0)</f>
        <v>Laforce</v>
      </c>
      <c r="D294" t="str">
        <f>VLOOKUP(Tabel1[[#This Row],[personeelsnr]],'data hastus'!$A:$C,3,0)</f>
        <v>Mike</v>
      </c>
      <c r="E294" t="str">
        <f>VLOOKUP(Tabel1[[#This Row],[personeelsnr]],'data hastus'!A:K,11,FALSE)</f>
        <v>Kenneth De Rick</v>
      </c>
      <c r="F294">
        <v>1</v>
      </c>
    </row>
    <row r="295" spans="1:6" x14ac:dyDescent="0.3">
      <c r="A295">
        <v>33551</v>
      </c>
      <c r="B295" t="str">
        <f>_xlfn.CONCAT(Tabel1[[#This Row],[personeelsnr]]," ",C295," ",D295)</f>
        <v>29478 Priwall Heike</v>
      </c>
      <c r="C295" t="str">
        <f>VLOOKUP(Tabel1[[#This Row],[personeelsnr]],'data hastus'!$A:$C,2,0)</f>
        <v>Priwall</v>
      </c>
      <c r="D295" t="str">
        <f>VLOOKUP(Tabel1[[#This Row],[personeelsnr]],'data hastus'!$A:$C,3,0)</f>
        <v>Heike</v>
      </c>
      <c r="E295" t="str">
        <f>VLOOKUP(Tabel1[[#This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_xlfn.CONCAT(Tabel1[[#This Row],[personeelsnr]]," ",C296," ",D296)</f>
        <v>29179 Verwee Dries</v>
      </c>
      <c r="C296" t="str">
        <f>VLOOKUP(Tabel1[[#This Row],[personeelsnr]],'data hastus'!$A:$C,2,0)</f>
        <v>Verwee</v>
      </c>
      <c r="D296" t="str">
        <f>VLOOKUP(Tabel1[[#This Row],[personeelsnr]],'data hastus'!$A:$C,3,0)</f>
        <v>Dries</v>
      </c>
      <c r="E296" t="str">
        <f>VLOOKUP(Tabel1[[#This Row],[personeelsnr]],'data hastus'!A:K,11,FALSE)</f>
        <v>Els Dewulf</v>
      </c>
      <c r="F296">
        <v>1</v>
      </c>
    </row>
    <row r="297" spans="1:6" x14ac:dyDescent="0.3">
      <c r="A297">
        <v>35494</v>
      </c>
      <c r="B297" t="str">
        <f>_xlfn.CONCAT(Tabel1[[#This Row],[personeelsnr]]," ",C297," ",D297)</f>
        <v>12124 Van Vliet Tom</v>
      </c>
      <c r="C297" t="str">
        <f>VLOOKUP(Tabel1[[#This Row],[personeelsnr]],'data hastus'!$A:$C,2,0)</f>
        <v>Van Vliet</v>
      </c>
      <c r="D297" t="str">
        <f>VLOOKUP(Tabel1[[#This Row],[personeelsnr]],'data hastus'!$A:$C,3,0)</f>
        <v>Tom</v>
      </c>
      <c r="E297" t="str">
        <f>VLOOKUP(Tabel1[[#This Row],[personeelsnr]],'data hastus'!A:K,11,FALSE)</f>
        <v>Steven Storm</v>
      </c>
      <c r="F297">
        <v>1</v>
      </c>
    </row>
    <row r="298" spans="1:6" x14ac:dyDescent="0.3">
      <c r="A298">
        <v>36354</v>
      </c>
      <c r="B298" t="str">
        <f>_xlfn.CONCAT(Tabel1[[#This Row],[personeelsnr]]," ",C298," ",D298)</f>
        <v>9999 chauffeur uit</v>
      </c>
      <c r="C298" t="str">
        <f>VLOOKUP(Tabel1[[#This Row],[personeelsnr]],'data hastus'!$A:$C,2,0)</f>
        <v>chauffeur</v>
      </c>
      <c r="D298" t="str">
        <f>VLOOKUP(Tabel1[[#This Row],[personeelsnr]],'data hastus'!$A:$C,3,0)</f>
        <v>uit</v>
      </c>
      <c r="E298" t="str">
        <f>VLOOKUP(Tabel1[[#This Row],[personeelsnr]],'data hastus'!A:K,11,FALSE)</f>
        <v>dienst</v>
      </c>
      <c r="F298">
        <v>1</v>
      </c>
    </row>
    <row r="299" spans="1:6" x14ac:dyDescent="0.3">
      <c r="A299">
        <v>37258</v>
      </c>
      <c r="B299" t="str">
        <f>_xlfn.CONCAT(Tabel1[[#This Row],[personeelsnr]]," ",C299," ",D299)</f>
        <v>28830 Isiklar Okan</v>
      </c>
      <c r="C299" t="str">
        <f>VLOOKUP(Tabel1[[#This Row],[personeelsnr]],'data hastus'!$A:$C,2,0)</f>
        <v>Isiklar</v>
      </c>
      <c r="D299" t="str">
        <f>VLOOKUP(Tabel1[[#This Row],[personeelsnr]],'data hastus'!$A:$C,3,0)</f>
        <v>Okan</v>
      </c>
      <c r="E299" t="str">
        <f>VLOOKUP(Tabel1[[#This Row],[personeelsnr]],'data hastus'!A:K,11,FALSE)</f>
        <v>Christoff Rotty</v>
      </c>
      <c r="F299">
        <v>1</v>
      </c>
    </row>
    <row r="300" spans="1:6" x14ac:dyDescent="0.3">
      <c r="A300">
        <v>37564</v>
      </c>
      <c r="B300" t="str">
        <f>_xlfn.CONCAT(Tabel1[[#This Row],[personeelsnr]]," ",C300," ",D300)</f>
        <v>39610 Sayin Batuhan</v>
      </c>
      <c r="C300" t="str">
        <f>VLOOKUP(Tabel1[[#This Row],[personeelsnr]],'data hastus'!$A:$C,2,0)</f>
        <v>Sayin</v>
      </c>
      <c r="D300" t="str">
        <f>VLOOKUP(Tabel1[[#This Row],[personeelsnr]],'data hastus'!$A:$C,3,0)</f>
        <v>Batuhan</v>
      </c>
      <c r="E300" t="str">
        <f>VLOOKUP(Tabel1[[#This Row],[personeelsnr]],'data hastus'!A:K,11,FALSE)</f>
        <v>Bart Van Der Beken</v>
      </c>
      <c r="F300">
        <v>1</v>
      </c>
    </row>
    <row r="301" spans="1:6" x14ac:dyDescent="0.3">
      <c r="A301">
        <v>9065</v>
      </c>
      <c r="B301" t="str">
        <f>_xlfn.CONCAT(Tabel1[[#This Row],[personeelsnr]]," ",C301," ",D301)</f>
        <v>37131 Saritag Mehmed</v>
      </c>
      <c r="C301" t="str">
        <f>VLOOKUP(Tabel1[[#This Row],[personeelsnr]],'data hastus'!$A:$C,2,0)</f>
        <v>Saritag</v>
      </c>
      <c r="D301" t="str">
        <f>VLOOKUP(Tabel1[[#This Row],[personeelsnr]],'data hastus'!$A:$C,3,0)</f>
        <v>Mehmed</v>
      </c>
      <c r="E301" t="str">
        <f>VLOOKUP(Tabel1[[#This Row],[personeelsnr]],'data hastus'!A:K,11,FALSE)</f>
        <v>Kenneth De Rick</v>
      </c>
      <c r="F301">
        <v>1</v>
      </c>
    </row>
    <row r="302" spans="1:6" x14ac:dyDescent="0.3">
      <c r="A302">
        <v>19810</v>
      </c>
      <c r="B302" t="str">
        <f>_xlfn.CONCAT(Tabel1[[#This Row],[personeelsnr]]," ",C302," ",D302)</f>
        <v>28794 Van Malderghem Niels</v>
      </c>
      <c r="C302" t="str">
        <f>VLOOKUP(Tabel1[[#This Row],[personeelsnr]],'data hastus'!$A:$C,2,0)</f>
        <v>Van Malderghem</v>
      </c>
      <c r="D302" t="str">
        <f>VLOOKUP(Tabel1[[#This Row],[personeelsnr]],'data hastus'!$A:$C,3,0)</f>
        <v>Niels</v>
      </c>
      <c r="E302" t="str">
        <f>VLOOKUP(Tabel1[[#This Row],[personeelsnr]],'data hastus'!A:K,11,FALSE)</f>
        <v>Lucie Vande Velde</v>
      </c>
      <c r="F302">
        <v>1</v>
      </c>
    </row>
    <row r="303" spans="1:6" x14ac:dyDescent="0.3">
      <c r="A303">
        <v>21812</v>
      </c>
      <c r="B303" t="str">
        <f>_xlfn.CONCAT(Tabel1[[#This Row],[personeelsnr]]," ",C303," ",D303)</f>
        <v>38808 Wasen Jens</v>
      </c>
      <c r="C303" t="str">
        <f>VLOOKUP(Tabel1[[#This Row],[personeelsnr]],'data hastus'!$A:$C,2,0)</f>
        <v>Wasen</v>
      </c>
      <c r="D303" t="str">
        <f>VLOOKUP(Tabel1[[#This Row],[personeelsnr]],'data hastus'!$A:$C,3,0)</f>
        <v>Jens</v>
      </c>
      <c r="E303" t="str">
        <f>VLOOKUP(Tabel1[[#This Row],[personeelsnr]],'data hastus'!A:K,11,FALSE)</f>
        <v>Els Dewulf</v>
      </c>
      <c r="F303">
        <v>1</v>
      </c>
    </row>
    <row r="304" spans="1:6" x14ac:dyDescent="0.3">
      <c r="A304">
        <v>24472</v>
      </c>
      <c r="B304" t="str">
        <f>_xlfn.CONCAT(Tabel1[[#This Row],[personeelsnr]]," ",C304," ",D304)</f>
        <v>40478 Hashimi Ali Mir</v>
      </c>
      <c r="C304" t="str">
        <f>VLOOKUP(Tabel1[[#This Row],[personeelsnr]],'data hastus'!$A:$C,2,0)</f>
        <v>Hashimi</v>
      </c>
      <c r="D304" t="str">
        <f>VLOOKUP(Tabel1[[#This Row],[personeelsnr]],'data hastus'!$A:$C,3,0)</f>
        <v>Ali Mir</v>
      </c>
      <c r="E304" t="str">
        <f>VLOOKUP(Tabel1[[#This Row],[personeelsnr]],'data hastus'!A:K,11,FALSE)</f>
        <v>Bart Van Der Beken</v>
      </c>
      <c r="F304">
        <v>1</v>
      </c>
    </row>
    <row r="305" spans="1:6" x14ac:dyDescent="0.3">
      <c r="A305">
        <v>31733</v>
      </c>
      <c r="B305" t="str">
        <f>_xlfn.CONCAT(Tabel1[[#This Row],[personeelsnr]]," ",C305," ",D305)</f>
        <v>32387 Meersman Herman</v>
      </c>
      <c r="C305" t="str">
        <f>VLOOKUP(Tabel1[[#This Row],[personeelsnr]],'data hastus'!$A:$C,2,0)</f>
        <v>Meersman</v>
      </c>
      <c r="D305" t="str">
        <f>VLOOKUP(Tabel1[[#This Row],[personeelsnr]],'data hastus'!$A:$C,3,0)</f>
        <v>Herman</v>
      </c>
      <c r="E305" t="str">
        <f>VLOOKUP(Tabel1[[#This Row],[personeelsnr]],'data hastus'!A:K,11,FALSE)</f>
        <v>Steven Storm</v>
      </c>
      <c r="F305">
        <v>1</v>
      </c>
    </row>
    <row r="306" spans="1:6" x14ac:dyDescent="0.3">
      <c r="A306">
        <v>31776</v>
      </c>
      <c r="B306" t="str">
        <f>_xlfn.CONCAT(Tabel1[[#This Row],[personeelsnr]]," ",C306," ",D306)</f>
        <v>37950 De Naegel Bruno</v>
      </c>
      <c r="C306" t="str">
        <f>VLOOKUP(Tabel1[[#This Row],[personeelsnr]],'data hastus'!$A:$C,2,0)</f>
        <v>De Naegel</v>
      </c>
      <c r="D306" t="str">
        <f>VLOOKUP(Tabel1[[#This Row],[personeelsnr]],'data hastus'!$A:$C,3,0)</f>
        <v>Bruno</v>
      </c>
      <c r="E306" t="str">
        <f>VLOOKUP(Tabel1[[#This Row],[personeelsnr]],'data hastus'!A:K,11,FALSE)</f>
        <v>Dominique De Clercq</v>
      </c>
      <c r="F306">
        <v>1</v>
      </c>
    </row>
    <row r="307" spans="1:6" x14ac:dyDescent="0.3">
      <c r="A307">
        <v>32542</v>
      </c>
      <c r="B307" t="str">
        <f>_xlfn.CONCAT(Tabel1[[#This Row],[personeelsnr]]," ",C307," ",D307)</f>
        <v>26198 Justé Steven</v>
      </c>
      <c r="C307" t="str">
        <f>VLOOKUP(Tabel1[[#This Row],[personeelsnr]],'data hastus'!$A:$C,2,0)</f>
        <v>Justé</v>
      </c>
      <c r="D307" t="str">
        <f>VLOOKUP(Tabel1[[#This Row],[personeelsnr]],'data hastus'!$A:$C,3,0)</f>
        <v>Steven</v>
      </c>
      <c r="E307" t="str">
        <f>VLOOKUP(Tabel1[[#This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_xlfn.CONCAT(Tabel1[[#This Row],[personeelsnr]]," ",C308," ",D308)</f>
        <v>36337 Desmadryl Daniel</v>
      </c>
      <c r="C308" t="str">
        <f>VLOOKUP(Tabel1[[#This Row],[personeelsnr]],'data hastus'!$A:$C,2,0)</f>
        <v>Desmadryl</v>
      </c>
      <c r="D308" t="str">
        <f>VLOOKUP(Tabel1[[#This Row],[personeelsnr]],'data hastus'!$A:$C,3,0)</f>
        <v>Daniel</v>
      </c>
      <c r="E308" t="str">
        <f>VLOOKUP(Tabel1[[#This Row],[personeelsnr]],'data hastus'!A:K,11,FALSE)</f>
        <v>Kenneth De Rick</v>
      </c>
      <c r="F308">
        <v>1</v>
      </c>
    </row>
    <row r="309" spans="1:6" x14ac:dyDescent="0.3">
      <c r="A309">
        <v>37261</v>
      </c>
      <c r="B309" t="str">
        <f>_xlfn.CONCAT(Tabel1[[#This Row],[personeelsnr]]," ",C309," ",D309)</f>
        <v>20375 Verlaeckt Lincey</v>
      </c>
      <c r="C309" t="str">
        <f>VLOOKUP(Tabel1[[#This Row],[personeelsnr]],'data hastus'!$A:$C,2,0)</f>
        <v>Verlaeckt</v>
      </c>
      <c r="D309" t="str">
        <f>VLOOKUP(Tabel1[[#This Row],[personeelsnr]],'data hastus'!$A:$C,3,0)</f>
        <v>Lincey</v>
      </c>
      <c r="E309" t="str">
        <f>VLOOKUP(Tabel1[[#This Row],[personeelsnr]],'data hastus'!A:K,11,FALSE)</f>
        <v>Dominique De Clercq</v>
      </c>
      <c r="F309">
        <v>1</v>
      </c>
    </row>
    <row r="310" spans="1:6" x14ac:dyDescent="0.3">
      <c r="A310">
        <v>40393</v>
      </c>
      <c r="B310" t="str">
        <f>_xlfn.CONCAT(Tabel1[[#This Row],[personeelsnr]]," ",C310," ",D310)</f>
        <v>13020 Boutiebi Ahmed</v>
      </c>
      <c r="C310" t="str">
        <f>VLOOKUP(Tabel1[[#This Row],[personeelsnr]],'data hastus'!$A:$C,2,0)</f>
        <v>Boutiebi</v>
      </c>
      <c r="D310" t="str">
        <f>VLOOKUP(Tabel1[[#This Row],[personeelsnr]],'data hastus'!$A:$C,3,0)</f>
        <v>Ahmed</v>
      </c>
      <c r="E310" t="str">
        <f>VLOOKUP(Tabel1[[#This Row],[personeelsnr]],'data hastus'!A:K,11,FALSE)</f>
        <v>Lucie Vande Velde</v>
      </c>
      <c r="F310">
        <v>1</v>
      </c>
    </row>
    <row r="311" spans="1:6" x14ac:dyDescent="0.3">
      <c r="A311">
        <v>40403</v>
      </c>
      <c r="B311" t="str">
        <f>_xlfn.CONCAT(Tabel1[[#This Row],[personeelsnr]]," ",C311," ",D311)</f>
        <v>40403 Prové Michaël</v>
      </c>
      <c r="C311" t="str">
        <f>VLOOKUP(Tabel1[[#This Row],[personeelsnr]],'data hastus'!$A:$C,2,0)</f>
        <v>Prové</v>
      </c>
      <c r="D311" t="str">
        <f>VLOOKUP(Tabel1[[#This Row],[personeelsnr]],'data hastus'!$A:$C,3,0)</f>
        <v>Michaël</v>
      </c>
      <c r="E311" t="str">
        <f>VLOOKUP(Tabel1[[#This Row],[personeelsnr]],'data hastus'!A:K,11,FALSE)</f>
        <v>Dominique De Clercq</v>
      </c>
      <c r="F311">
        <v>1</v>
      </c>
    </row>
    <row r="312" spans="1:6" x14ac:dyDescent="0.3">
      <c r="A312">
        <v>21809</v>
      </c>
      <c r="B312" t="str">
        <f>_xlfn.CONCAT(Tabel1[[#This Row],[personeelsnr]]," ",C312," ",D312)</f>
        <v>26137 Hublau Roland</v>
      </c>
      <c r="C312" t="str">
        <f>VLOOKUP(Tabel1[[#This Row],[personeelsnr]],'data hastus'!$A:$C,2,0)</f>
        <v>Hublau</v>
      </c>
      <c r="D312" t="str">
        <f>VLOOKUP(Tabel1[[#This Row],[personeelsnr]],'data hastus'!$A:$C,3,0)</f>
        <v>Roland</v>
      </c>
      <c r="E312" t="str">
        <f>VLOOKUP(Tabel1[[#This Row],[personeelsnr]],'data hastus'!A:K,11,FALSE)</f>
        <v>Steven Storm</v>
      </c>
      <c r="F312">
        <v>1</v>
      </c>
    </row>
    <row r="313" spans="1:6" x14ac:dyDescent="0.3">
      <c r="A313">
        <v>26384</v>
      </c>
      <c r="B313" t="str">
        <f>_xlfn.CONCAT(Tabel1[[#This Row],[personeelsnr]]," ",C313," ",D313)</f>
        <v>36428 Abdi Shaiye Rashid</v>
      </c>
      <c r="C313" t="str">
        <f>VLOOKUP(Tabel1[[#This Row],[personeelsnr]],'data hastus'!$A:$C,2,0)</f>
        <v>Abdi Shaiye</v>
      </c>
      <c r="D313" t="str">
        <f>VLOOKUP(Tabel1[[#This Row],[personeelsnr]],'data hastus'!$A:$C,3,0)</f>
        <v>Rashid</v>
      </c>
      <c r="E313" t="str">
        <f>VLOOKUP(Tabel1[[#This Row],[personeelsnr]],'data hastus'!A:K,11,FALSE)</f>
        <v>Lucie Vande Velde</v>
      </c>
      <c r="F313">
        <v>1</v>
      </c>
    </row>
    <row r="314" spans="1:6" x14ac:dyDescent="0.3">
      <c r="A314">
        <v>27713</v>
      </c>
      <c r="B314" t="str">
        <f>_xlfn.CONCAT(Tabel1[[#This Row],[personeelsnr]]," ",C314," ",D314)</f>
        <v>9999 chauffeur uit</v>
      </c>
      <c r="C314" t="str">
        <f>VLOOKUP(Tabel1[[#This Row],[personeelsnr]],'data hastus'!$A:$C,2,0)</f>
        <v>chauffeur</v>
      </c>
      <c r="D314" t="str">
        <f>VLOOKUP(Tabel1[[#This Row],[personeelsnr]],'data hastus'!$A:$C,3,0)</f>
        <v>uit</v>
      </c>
      <c r="E314" t="str">
        <f>VLOOKUP(Tabel1[[#This Row],[personeelsnr]],'data hastus'!A:K,11,FALSE)</f>
        <v>dienst</v>
      </c>
      <c r="F314">
        <v>1</v>
      </c>
    </row>
    <row r="315" spans="1:6" x14ac:dyDescent="0.3">
      <c r="A315">
        <v>28165</v>
      </c>
      <c r="B315" t="str">
        <f>_xlfn.CONCAT(Tabel1[[#This Row],[personeelsnr]]," ",C315," ",D315)</f>
        <v>9999 chauffeur uit</v>
      </c>
      <c r="C315" t="str">
        <f>VLOOKUP(Tabel1[[#This Row],[personeelsnr]],'data hastus'!$A:$C,2,0)</f>
        <v>chauffeur</v>
      </c>
      <c r="D315" t="str">
        <f>VLOOKUP(Tabel1[[#This Row],[personeelsnr]],'data hastus'!$A:$C,3,0)</f>
        <v>uit</v>
      </c>
      <c r="E315" t="str">
        <f>VLOOKUP(Tabel1[[#This Row],[personeelsnr]],'data hastus'!A:K,11,FALSE)</f>
        <v>dienst</v>
      </c>
      <c r="F315">
        <v>1</v>
      </c>
    </row>
    <row r="316" spans="1:6" x14ac:dyDescent="0.3">
      <c r="A316">
        <v>29271</v>
      </c>
      <c r="B316" t="str">
        <f>_xlfn.CONCAT(Tabel1[[#This Row],[personeelsnr]]," ",C316," ",D316)</f>
        <v>36512 Van Herreweghe Branco</v>
      </c>
      <c r="C316" t="str">
        <f>VLOOKUP(Tabel1[[#This Row],[personeelsnr]],'data hastus'!$A:$C,2,0)</f>
        <v>Van Herreweghe</v>
      </c>
      <c r="D316" t="str">
        <f>VLOOKUP(Tabel1[[#This Row],[personeelsnr]],'data hastus'!$A:$C,3,0)</f>
        <v>Branco</v>
      </c>
      <c r="E316" t="str">
        <f>VLOOKUP(Tabel1[[#This Row],[personeelsnr]],'data hastus'!A:K,11,FALSE)</f>
        <v>Steven Storm</v>
      </c>
      <c r="F316">
        <v>1</v>
      </c>
    </row>
    <row r="317" spans="1:6" x14ac:dyDescent="0.3">
      <c r="A317">
        <v>29478</v>
      </c>
      <c r="B317" t="str">
        <f>_xlfn.CONCAT(Tabel1[[#This Row],[personeelsnr]]," ",C317," ",D317)</f>
        <v>39929 Staneva Mariyana</v>
      </c>
      <c r="C317" t="str">
        <f>VLOOKUP(Tabel1[[#This Row],[personeelsnr]],'data hastus'!$A:$C,2,0)</f>
        <v>Staneva</v>
      </c>
      <c r="D317" t="str">
        <f>VLOOKUP(Tabel1[[#This Row],[personeelsnr]],'data hastus'!$A:$C,3,0)</f>
        <v>Mariyana</v>
      </c>
      <c r="E317" t="str">
        <f>VLOOKUP(Tabel1[[#This Row],[personeelsnr]],'data hastus'!A:K,11,FALSE)</f>
        <v>Christoff Rotty</v>
      </c>
      <c r="F317">
        <v>1</v>
      </c>
    </row>
    <row r="318" spans="1:6" x14ac:dyDescent="0.3">
      <c r="A318">
        <v>39532</v>
      </c>
      <c r="B318" t="str">
        <f>_xlfn.CONCAT(Tabel1[[#This Row],[personeelsnr]]," ",C318," ",D318)</f>
        <v>37662 Van den Meerssche Steven</v>
      </c>
      <c r="C318" t="str">
        <f>VLOOKUP(Tabel1[[#This Row],[personeelsnr]],'data hastus'!$A:$C,2,0)</f>
        <v>Van den Meerssche</v>
      </c>
      <c r="D318" t="str">
        <f>VLOOKUP(Tabel1[[#This Row],[personeelsnr]],'data hastus'!$A:$C,3,0)</f>
        <v>Steven</v>
      </c>
      <c r="E318" t="str">
        <f>VLOOKUP(Tabel1[[#This Row],[personeelsnr]],'data hastus'!A:K,11,FALSE)</f>
        <v>Bart Van Der Beken</v>
      </c>
    </row>
    <row r="319" spans="1:6" x14ac:dyDescent="0.3">
      <c r="A319">
        <v>33982</v>
      </c>
      <c r="B319" t="str">
        <f>_xlfn.CONCAT(Tabel1[[#This Row],[personeelsnr]]," ",C319," ",D319)</f>
        <v>39889 Stanikazi Roien Sadder</v>
      </c>
      <c r="C319" t="str">
        <f>VLOOKUP(Tabel1[[#This Row],[personeelsnr]],'data hastus'!$A:$C,2,0)</f>
        <v>Stanikazi</v>
      </c>
      <c r="D319" t="str">
        <f>VLOOKUP(Tabel1[[#This Row],[personeelsnr]],'data hastus'!$A:$C,3,0)</f>
        <v>Roien Sadder</v>
      </c>
      <c r="E319" t="str">
        <f>VLOOKUP(Tabel1[[#This Row],[personeelsnr]],'data hastus'!A:K,11,FALSE)</f>
        <v>Steven Storm</v>
      </c>
      <c r="F319">
        <v>1</v>
      </c>
    </row>
    <row r="320" spans="1:6" x14ac:dyDescent="0.3">
      <c r="A320">
        <v>36627</v>
      </c>
      <c r="B320" t="str">
        <f>_xlfn.CONCAT(Tabel1[[#This Row],[personeelsnr]]," ",C320," ",D320)</f>
        <v>8016 Vinck Roland</v>
      </c>
      <c r="C320" t="str">
        <f>VLOOKUP(Tabel1[[#This Row],[personeelsnr]],'data hastus'!$A:$C,2,0)</f>
        <v>Vinck</v>
      </c>
      <c r="D320" t="str">
        <f>VLOOKUP(Tabel1[[#This Row],[personeelsnr]],'data hastus'!$A:$C,3,0)</f>
        <v>Roland</v>
      </c>
      <c r="E320" t="str">
        <f>VLOOKUP(Tabel1[[#This Row],[personeelsnr]],'data hastus'!A:K,11,FALSE)</f>
        <v>Dominique De Clercq</v>
      </c>
      <c r="F320">
        <v>1</v>
      </c>
    </row>
    <row r="321" spans="1:6" x14ac:dyDescent="0.3">
      <c r="A321">
        <v>37226</v>
      </c>
      <c r="B321" t="str">
        <f>_xlfn.CONCAT(Tabel1[[#This Row],[personeelsnr]]," ",C321," ",D321)</f>
        <v>17931 Idrisi Hasana</v>
      </c>
      <c r="C321" t="str">
        <f>VLOOKUP(Tabel1[[#This Row],[personeelsnr]],'data hastus'!$A:$C,2,0)</f>
        <v>Idrisi</v>
      </c>
      <c r="D321" t="str">
        <f>VLOOKUP(Tabel1[[#This Row],[personeelsnr]],'data hastus'!$A:$C,3,0)</f>
        <v>Hasana</v>
      </c>
      <c r="E321" t="str">
        <f>VLOOKUP(Tabel1[[#This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_xlfn.CONCAT(Tabel1[[#This Row],[personeelsnr]]," ",C322," ",D322)</f>
        <v>29179 Verwee Dries</v>
      </c>
      <c r="C322" t="str">
        <f>VLOOKUP(Tabel1[[#This Row],[personeelsnr]],'data hastus'!$A:$C,2,0)</f>
        <v>Verwee</v>
      </c>
      <c r="D322" t="str">
        <f>VLOOKUP(Tabel1[[#This Row],[personeelsnr]],'data hastus'!$A:$C,3,0)</f>
        <v>Dries</v>
      </c>
      <c r="E322" t="str">
        <f>VLOOKUP(Tabel1[[#This Row],[personeelsnr]],'data hastus'!A:K,11,FALSE)</f>
        <v>Els Dewulf</v>
      </c>
      <c r="F322">
        <v>1</v>
      </c>
    </row>
    <row r="323" spans="1:6" x14ac:dyDescent="0.3">
      <c r="A323">
        <v>39251</v>
      </c>
      <c r="B323" t="str">
        <f>_xlfn.CONCAT(Tabel1[[#This Row],[personeelsnr]]," ",C323," ",D323)</f>
        <v>31165 Govaerts Sandro</v>
      </c>
      <c r="C323" t="str">
        <f>VLOOKUP(Tabel1[[#This Row],[personeelsnr]],'data hastus'!$A:$C,2,0)</f>
        <v>Govaerts</v>
      </c>
      <c r="D323" t="str">
        <f>VLOOKUP(Tabel1[[#This Row],[personeelsnr]],'data hastus'!$A:$C,3,0)</f>
        <v>Sandro</v>
      </c>
      <c r="E323" t="str">
        <f>VLOOKUP(Tabel1[[#This Row],[personeelsnr]],'data hastus'!A:K,11,FALSE)</f>
        <v>Lucie Vande Velde</v>
      </c>
      <c r="F323">
        <v>1</v>
      </c>
    </row>
    <row r="324" spans="1:6" x14ac:dyDescent="0.3">
      <c r="A324">
        <v>39581</v>
      </c>
      <c r="B324" t="str">
        <f>_xlfn.CONCAT(Tabel1[[#This Row],[personeelsnr]]," ",C324," ",D324)</f>
        <v>9999 chauffeur uit</v>
      </c>
      <c r="C324" t="str">
        <f>VLOOKUP(Tabel1[[#This Row],[personeelsnr]],'data hastus'!$A:$C,2,0)</f>
        <v>chauffeur</v>
      </c>
      <c r="D324" t="str">
        <f>VLOOKUP(Tabel1[[#This Row],[personeelsnr]],'data hastus'!$A:$C,3,0)</f>
        <v>uit</v>
      </c>
      <c r="E324" t="str">
        <f>VLOOKUP(Tabel1[[#This Row],[personeelsnr]],'data hastus'!A:K,11,FALSE)</f>
        <v>dienst</v>
      </c>
      <c r="F324">
        <v>0</v>
      </c>
    </row>
    <row r="325" spans="1:6" x14ac:dyDescent="0.3">
      <c r="A325">
        <v>39858</v>
      </c>
      <c r="B325" t="str">
        <f>_xlfn.CONCAT(Tabel1[[#This Row],[personeelsnr]]," ",C325," ",D325)</f>
        <v>8016 Vinck Roland</v>
      </c>
      <c r="C325" t="str">
        <f>VLOOKUP(Tabel1[[#This Row],[personeelsnr]],'data hastus'!$A:$C,2,0)</f>
        <v>Vinck</v>
      </c>
      <c r="D325" t="str">
        <f>VLOOKUP(Tabel1[[#This Row],[personeelsnr]],'data hastus'!$A:$C,3,0)</f>
        <v>Roland</v>
      </c>
      <c r="E325" t="str">
        <f>VLOOKUP(Tabel1[[#This Row],[personeelsnr]],'data hastus'!A:K,11,FALSE)</f>
        <v>Dominique De Clercq</v>
      </c>
      <c r="F325">
        <v>1</v>
      </c>
    </row>
    <row r="326" spans="1:6" x14ac:dyDescent="0.3">
      <c r="A326">
        <v>39660</v>
      </c>
      <c r="B326" t="str">
        <f>_xlfn.CONCAT(Tabel1[[#This Row],[personeelsnr]]," ",C326," ",D326)</f>
        <v>14665 De Mulder Philip</v>
      </c>
      <c r="C326" t="str">
        <f>VLOOKUP(Tabel1[[#This Row],[personeelsnr]],'data hastus'!$A:$C,2,0)</f>
        <v>De Mulder</v>
      </c>
      <c r="D326" t="str">
        <f>VLOOKUP(Tabel1[[#This Row],[personeelsnr]],'data hastus'!$A:$C,3,0)</f>
        <v>Philip</v>
      </c>
      <c r="E326" t="str">
        <f>VLOOKUP(Tabel1[[#This Row],[personeelsnr]],'data hastus'!A:K,11,FALSE)</f>
        <v>Bart Van Der Beken</v>
      </c>
    </row>
    <row r="327" spans="1:6" x14ac:dyDescent="0.3">
      <c r="A327">
        <v>35619</v>
      </c>
      <c r="B327" t="str">
        <f>_xlfn.CONCAT(Tabel1[[#This Row],[personeelsnr]]," ",C327," ",D327)</f>
        <v>9999 chauffeur uit</v>
      </c>
      <c r="C327" t="str">
        <f>VLOOKUP(Tabel1[[#This Row],[personeelsnr]],'data hastus'!$A:$C,2,0)</f>
        <v>chauffeur</v>
      </c>
      <c r="D327" t="str">
        <f>VLOOKUP(Tabel1[[#This Row],[personeelsnr]],'data hastus'!$A:$C,3,0)</f>
        <v>uit</v>
      </c>
      <c r="E327" t="str">
        <f>VLOOKUP(Tabel1[[#This Row],[personeelsnr]],'data hastus'!A:K,11,FALSE)</f>
        <v>dienst</v>
      </c>
      <c r="F327">
        <v>0</v>
      </c>
    </row>
    <row r="328" spans="1:6" x14ac:dyDescent="0.3">
      <c r="A328">
        <v>39712</v>
      </c>
      <c r="B328" t="str">
        <f>_xlfn.CONCAT(Tabel1[[#This Row],[personeelsnr]]," ",C328," ",D328)</f>
        <v>31231 Colaes Dylan</v>
      </c>
      <c r="C328" t="str">
        <f>VLOOKUP(Tabel1[[#This Row],[personeelsnr]],'data hastus'!$A:$C,2,0)</f>
        <v>Colaes</v>
      </c>
      <c r="D328" t="str">
        <f>VLOOKUP(Tabel1[[#This Row],[personeelsnr]],'data hastus'!$A:$C,3,0)</f>
        <v>Dylan</v>
      </c>
      <c r="E328" t="str">
        <f>VLOOKUP(Tabel1[[#This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_xlfn.CONCAT(Tabel1[[#This Row],[personeelsnr]]," ",C329," ",D329)</f>
        <v>37662 Van den Meerssche Steven</v>
      </c>
      <c r="C329" t="str">
        <f>VLOOKUP(Tabel1[[#This Row],[personeelsnr]],'data hastus'!$A:$C,2,0)</f>
        <v>Van den Meerssche</v>
      </c>
      <c r="D329" t="str">
        <f>VLOOKUP(Tabel1[[#This Row],[personeelsnr]],'data hastus'!$A:$C,3,0)</f>
        <v>Steven</v>
      </c>
      <c r="E329" t="str">
        <f>VLOOKUP(Tabel1[[#This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_xlfn.CONCAT(Tabel1[[#This Row],[personeelsnr]]," ",C330," ",D330)</f>
        <v>19917 Vandevyvere Frank</v>
      </c>
      <c r="C330" t="str">
        <f>VLOOKUP(Tabel1[[#This Row],[personeelsnr]],'data hastus'!$A:$C,2,0)</f>
        <v>Vandevyvere</v>
      </c>
      <c r="D330" t="str">
        <f>VLOOKUP(Tabel1[[#This Row],[personeelsnr]],'data hastus'!$A:$C,3,0)</f>
        <v>Frank</v>
      </c>
      <c r="E330" t="str">
        <f>VLOOKUP(Tabel1[[#This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str">
        <f>_xlfn.CONCAT(Tabel1[[#This Row],[personeelsnr]]," ",C331," ",D331)</f>
        <v>30389 De Jonge Matthew</v>
      </c>
      <c r="C331" t="str">
        <f>VLOOKUP(Tabel1[[#This Row],[personeelsnr]],'data hastus'!$A:$C,2,0)</f>
        <v>De Jonge</v>
      </c>
      <c r="D331" t="str">
        <f>VLOOKUP(Tabel1[[#This Row],[personeelsnr]],'data hastus'!$A:$C,3,0)</f>
        <v>Matthew</v>
      </c>
      <c r="E331" t="str">
        <f>VLOOKUP(Tabel1[[#This Row],[personeelsnr]],'data hastus'!A:K,11,FALSE)</f>
        <v>Lucie Vande Velde</v>
      </c>
    </row>
    <row r="332" spans="1:6" x14ac:dyDescent="0.3">
      <c r="A332">
        <v>99999</v>
      </c>
      <c r="B332" t="str">
        <f>_xlfn.CONCAT(Tabel1[[#This Row],[personeelsnr]]," ",C332," ",D332)</f>
        <v>40521 leeg leeg</v>
      </c>
      <c r="C332" t="s">
        <v>1164</v>
      </c>
      <c r="D332" t="s">
        <v>1164</v>
      </c>
      <c r="E332" t="s">
        <v>1165</v>
      </c>
    </row>
    <row r="333" spans="1:6" x14ac:dyDescent="0.3">
      <c r="A333">
        <v>25679</v>
      </c>
      <c r="B333" t="str">
        <f>_xlfn.CONCAT(Tabel1[[#This Row],[personeelsnr]]," ",C333," ",D333)</f>
        <v>9999 chauffeur uit</v>
      </c>
      <c r="C333" t="str">
        <f>VLOOKUP(Tabel1[[#This Row],[personeelsnr]],'data hastus'!$A:$C,2,0)</f>
        <v>chauffeur</v>
      </c>
      <c r="D333" t="str">
        <f>VLOOKUP(Tabel1[[#This Row],[personeelsnr]],'data hastus'!$A:$C,3,0)</f>
        <v>uit</v>
      </c>
      <c r="E333" t="str">
        <f>VLOOKUP(Tabel1[[#This Row],[personeelsnr]],'data hastus'!A:K,11,FALSE)</f>
        <v>dienst</v>
      </c>
    </row>
    <row r="334" spans="1:6" x14ac:dyDescent="0.3">
      <c r="A334">
        <v>38740</v>
      </c>
      <c r="B334" t="str">
        <f>_xlfn.CONCAT(Tabel1[[#This Row],[personeelsnr]]," ",C334," ",D334)</f>
        <v>40744 Gözüküçük Ugur</v>
      </c>
      <c r="C334" t="str">
        <f>VLOOKUP(Tabel1[[#This Row],[personeelsnr]],'data hastus'!$A:$C,2,0)</f>
        <v>Gözüküçük</v>
      </c>
      <c r="D334" t="str">
        <f>VLOOKUP(Tabel1[[#This Row],[personeelsnr]],'data hastus'!$A:$C,3,0)</f>
        <v>Ugur</v>
      </c>
      <c r="E334" t="str">
        <f>VLOOKUP(Tabel1[[#This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str">
        <f>_xlfn.CONCAT(Tabel1[[#This Row],[personeelsnr]]," ",C335," ",D335)</f>
        <v>9999 chauffeur uit</v>
      </c>
      <c r="C335" t="str">
        <f>VLOOKUP(Tabel1[[#This Row],[personeelsnr]],'data hastus'!$A:$C,2,0)</f>
        <v>chauffeur</v>
      </c>
      <c r="D335" t="str">
        <f>VLOOKUP(Tabel1[[#This Row],[personeelsnr]],'data hastus'!$A:$C,3,0)</f>
        <v>uit</v>
      </c>
      <c r="E335" t="str">
        <f>VLOOKUP(Tabel1[[#This Row],[personeelsnr]],'data hastus'!A:K,11,FALSE)</f>
        <v>dienst</v>
      </c>
    </row>
    <row r="336" spans="1:6" x14ac:dyDescent="0.3">
      <c r="A336">
        <v>39972</v>
      </c>
      <c r="B336" t="str">
        <f>_xlfn.CONCAT(Tabel1[[#This Row],[personeelsnr]]," ",C336," ",D336)</f>
        <v>39858 Repaj Ramazav</v>
      </c>
      <c r="C336" t="s">
        <v>1011</v>
      </c>
      <c r="D336" t="s">
        <v>1012</v>
      </c>
      <c r="E336" t="s">
        <v>187</v>
      </c>
    </row>
    <row r="337" spans="1:6" x14ac:dyDescent="0.3">
      <c r="A337">
        <v>38035</v>
      </c>
      <c r="B337" t="str">
        <f>_xlfn.CONCAT(Tabel1[[#This Row],[personeelsnr]]," ",C337," ",D337)</f>
        <v>31668 Weemhof Maurice</v>
      </c>
      <c r="C337" t="str">
        <f>VLOOKUP(Tabel1[[#This Row],[personeelsnr]],'data hastus'!$A:$C,2,0)</f>
        <v>Weemhof</v>
      </c>
      <c r="D337" t="str">
        <f>VLOOKUP(Tabel1[[#This Row],[personeelsnr]],'data hastus'!$A:$C,3,0)</f>
        <v>Maurice</v>
      </c>
      <c r="E337" t="str">
        <f>VLOOKUP(Tabel1[[#This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_xlfn.CONCAT(Tabel1[[#This Row],[personeelsnr]]," ",C338," ",D338)</f>
        <v>37543 Öztürk Bilgehan</v>
      </c>
      <c r="C338" t="str">
        <f>VLOOKUP(Tabel1[[#This Row],[personeelsnr]],'data hastus'!$A:$C,2,0)</f>
        <v>Öztürk</v>
      </c>
      <c r="D338" t="str">
        <f>VLOOKUP(Tabel1[[#This Row],[personeelsnr]],'data hastus'!$A:$C,3,0)</f>
        <v>Bilgehan</v>
      </c>
      <c r="E338" t="str">
        <f>VLOOKUP(Tabel1[[#This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_xlfn.CONCAT(Tabel1[[#This Row],[personeelsnr]]," ",C339," ",D339)</f>
        <v>33965 Van de Gehuchte Gilles</v>
      </c>
      <c r="C339" t="str">
        <f>VLOOKUP(Tabel1[[#This Row],[personeelsnr]],'data hastus'!$A:$C,2,0)</f>
        <v>Van de Gehuchte</v>
      </c>
      <c r="D339" t="str">
        <f>VLOOKUP(Tabel1[[#This Row],[personeelsnr]],'data hastus'!$A:$C,3,0)</f>
        <v>Gilles</v>
      </c>
      <c r="E339" t="str">
        <f>VLOOKUP(Tabel1[[#This Row],[personeelsnr]],'data hastus'!A:K,11,FALSE)</f>
        <v>Kenneth De Rick</v>
      </c>
    </row>
    <row r="340" spans="1:6" x14ac:dyDescent="0.3">
      <c r="A340">
        <v>40138</v>
      </c>
      <c r="B340" t="str">
        <f>_xlfn.CONCAT(Tabel1[[#This Row],[personeelsnr]]," ",C340," ",D340)</f>
        <v>31360 Simsek Fatih</v>
      </c>
      <c r="C340" t="str">
        <f>VLOOKUP(Tabel1[[#This Row],[personeelsnr]],'data hastus'!$A:$C,2,0)</f>
        <v>Simsek</v>
      </c>
      <c r="D340" t="str">
        <f>VLOOKUP(Tabel1[[#This Row],[personeelsnr]],'data hastus'!$A:$C,3,0)</f>
        <v>Fatih</v>
      </c>
      <c r="E340" t="str">
        <f>VLOOKUP(Tabel1[[#This Row],[personeelsnr]],'data hastus'!A:K,11,FALSE)</f>
        <v>Dominique De Clercq</v>
      </c>
    </row>
    <row r="341" spans="1:6" x14ac:dyDescent="0.3">
      <c r="A341">
        <v>40138</v>
      </c>
      <c r="B341" t="str">
        <f>_xlfn.CONCAT(Tabel1[[#This Row],[personeelsnr]]," ",C341," ",D341)</f>
        <v>8394 Smet Antoon</v>
      </c>
      <c r="C341" t="str">
        <f>VLOOKUP(Tabel1[[#This Row],[personeelsnr]],'data hastus'!$A:$C,2,0)</f>
        <v>Smet</v>
      </c>
      <c r="D341" t="str">
        <f>VLOOKUP(Tabel1[[#This Row],[personeelsnr]],'data hastus'!$A:$C,3,0)</f>
        <v>Antoon</v>
      </c>
      <c r="E341" t="str">
        <f>VLOOKUP(Tabel1[[#This Row],[personeelsnr]],'data hastus'!A:K,11,FALSE)</f>
        <v>Lucie Vande Velde</v>
      </c>
    </row>
    <row r="342" spans="1:6" x14ac:dyDescent="0.3">
      <c r="A342">
        <v>40138</v>
      </c>
      <c r="B342" t="str">
        <f>_xlfn.CONCAT(Tabel1[[#This Row],[personeelsnr]]," ",C342," ",D342)</f>
        <v>38633 Stomphorst Mattanja</v>
      </c>
      <c r="C342" t="str">
        <f>VLOOKUP(Tabel1[[#This Row],[personeelsnr]],'data hastus'!$A:$C,2,0)</f>
        <v>Stomphorst</v>
      </c>
      <c r="D342" t="str">
        <f>VLOOKUP(Tabel1[[#This Row],[personeelsnr]],'data hastus'!$A:$C,3,0)</f>
        <v>Mattanja</v>
      </c>
      <c r="E342" t="str">
        <f>VLOOKUP(Tabel1[[#This Row],[personeelsnr]],'data hastus'!A:K,11,FALSE)</f>
        <v>Els Dewulf</v>
      </c>
    </row>
    <row r="343" spans="1:6" x14ac:dyDescent="0.3">
      <c r="A343">
        <v>35645</v>
      </c>
      <c r="B343" t="str">
        <f>_xlfn.CONCAT(Tabel1[[#This Row],[personeelsnr]]," ",C343," ",D343)</f>
        <v>23790 Adiyil Attila</v>
      </c>
      <c r="C343" t="str">
        <f>VLOOKUP(Tabel1[[#This Row],[personeelsnr]],'data hastus'!$A:$C,2,0)</f>
        <v>Adiyil</v>
      </c>
      <c r="D343" t="str">
        <f>VLOOKUP(Tabel1[[#This Row],[personeelsnr]],'data hastus'!$A:$C,3,0)</f>
        <v>Attila</v>
      </c>
      <c r="E343" t="str">
        <f>VLOOKUP(Tabel1[[#This Row],[personeelsnr]],'data hastus'!A:K,11,FALSE)</f>
        <v>Dominique De Clercq</v>
      </c>
    </row>
    <row r="344" spans="1:6" x14ac:dyDescent="0.3">
      <c r="A344">
        <v>40223</v>
      </c>
      <c r="B344" t="str">
        <f>_xlfn.CONCAT(Tabel1[[#This Row],[personeelsnr]]," ",C344," ",D344)</f>
        <v>39358 Weeks Aracena Jimmy Alexander</v>
      </c>
      <c r="C344" t="str">
        <f>VLOOKUP(Tabel1[[#This Row],[personeelsnr]],'data hastus'!$A:$C,2,0)</f>
        <v>Weeks Aracena</v>
      </c>
      <c r="D344" t="str">
        <f>VLOOKUP(Tabel1[[#This Row],[personeelsnr]],'data hastus'!$A:$C,3,0)</f>
        <v>Jimmy Alexander</v>
      </c>
      <c r="E344" t="str">
        <f>VLOOKUP(Tabel1[[#This Row],[personeelsnr]],'data hastus'!A:K,11,FALSE)</f>
        <v>Christoff Rotty</v>
      </c>
    </row>
    <row r="345" spans="1:6" x14ac:dyDescent="0.3">
      <c r="A345">
        <v>36820</v>
      </c>
      <c r="B345" t="str">
        <f>_xlfn.CONCAT(Tabel1[[#This Row],[personeelsnr]]," ",C345," ",D345)</f>
        <v>40744 Gözüküçük Ugur</v>
      </c>
      <c r="C345" t="str">
        <f>VLOOKUP(Tabel1[[#This Row],[personeelsnr]],'data hastus'!$A:$C,2,0)</f>
        <v>Gözüküçük</v>
      </c>
      <c r="D345" t="str">
        <f>VLOOKUP(Tabel1[[#This Row],[personeelsnr]],'data hastus'!$A:$C,3,0)</f>
        <v>Ugur</v>
      </c>
      <c r="E345" t="str">
        <f>VLOOKUP(Tabel1[[#This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str">
        <f>_xlfn.CONCAT(Tabel1[[#This Row],[personeelsnr]]," ",C346," ",D346)</f>
        <v>9999 chauffeur uit</v>
      </c>
      <c r="C346" t="str">
        <f>VLOOKUP(Tabel1[[#This Row],[personeelsnr]],'data hastus'!$A:$C,2,0)</f>
        <v>chauffeur</v>
      </c>
      <c r="D346" t="str">
        <f>VLOOKUP(Tabel1[[#This Row],[personeelsnr]],'data hastus'!$A:$C,3,0)</f>
        <v>uit</v>
      </c>
      <c r="E346" t="str">
        <f>VLOOKUP(Tabel1[[#This Row],[personeelsnr]],'data hastus'!A:K,11,FALSE)</f>
        <v>dienst</v>
      </c>
    </row>
    <row r="347" spans="1:6" x14ac:dyDescent="0.3">
      <c r="A347">
        <v>24155</v>
      </c>
      <c r="B347" t="str">
        <f>_xlfn.CONCAT(Tabel1[[#This Row],[personeelsnr]]," ",C347," ",D347)</f>
        <v>29179 Verwee Dries</v>
      </c>
      <c r="C347" t="str">
        <f>VLOOKUP(Tabel1[[#This Row],[personeelsnr]],'data hastus'!$A:$C,2,0)</f>
        <v>Verwee</v>
      </c>
      <c r="D347" t="str">
        <f>VLOOKUP(Tabel1[[#This Row],[personeelsnr]],'data hastus'!$A:$C,3,0)</f>
        <v>Dries</v>
      </c>
      <c r="E347" t="str">
        <f>VLOOKUP(Tabel1[[#This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_xlfn.CONCAT(Tabel1[[#This Row],[personeelsnr]]," ",C348," ",D348)</f>
        <v>26331 Van Semmertier Pascal</v>
      </c>
      <c r="C348" t="str">
        <f>VLOOKUP(Tabel1[[#This Row],[personeelsnr]],'data hastus'!$A:$C,2,0)</f>
        <v>Van Semmertier</v>
      </c>
      <c r="D348" t="str">
        <f>VLOOKUP(Tabel1[[#This Row],[personeelsnr]],'data hastus'!$A:$C,3,0)</f>
        <v>Pascal</v>
      </c>
      <c r="E348" t="str">
        <f>VLOOKUP(Tabel1[[#This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_xlfn.CONCAT(Tabel1[[#This Row],[personeelsnr]]," ",C349," ",D349)</f>
        <v>24472 Gök Davut</v>
      </c>
      <c r="C349" t="str">
        <f>VLOOKUP(Tabel1[[#This Row],[personeelsnr]],'data hastus'!$A:$C,2,0)</f>
        <v>Gök</v>
      </c>
      <c r="D349" t="str">
        <f>VLOOKUP(Tabel1[[#This Row],[personeelsnr]],'data hastus'!$A:$C,3,0)</f>
        <v>Davut</v>
      </c>
      <c r="E349" t="str">
        <f>VLOOKUP(Tabel1[[#This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_xlfn.CONCAT(Tabel1[[#This Row],[personeelsnr]]," ",C350," ",D350)</f>
        <v>37662 Van den Meerssche Steven</v>
      </c>
      <c r="C350" t="str">
        <f>VLOOKUP(Tabel1[[#This Row],[personeelsnr]],'data hastus'!$A:$C,2,0)</f>
        <v>Van den Meerssche</v>
      </c>
      <c r="D350" t="str">
        <f>VLOOKUP(Tabel1[[#This Row],[personeelsnr]],'data hastus'!$A:$C,3,0)</f>
        <v>Steven</v>
      </c>
      <c r="E350" t="str">
        <f>VLOOKUP(Tabel1[[#This Row],[personeelsnr]],'data hastus'!A:K,11,FALSE)</f>
        <v>Bart Van Der Beken</v>
      </c>
    </row>
    <row r="351" spans="1:6" x14ac:dyDescent="0.3">
      <c r="A351">
        <v>40591</v>
      </c>
      <c r="B351" t="str">
        <f>_xlfn.CONCAT(Tabel1[[#This Row],[personeelsnr]]," ",C351," ",D351)</f>
        <v>39929 Staneva Mariyana</v>
      </c>
      <c r="C351" t="str">
        <f>VLOOKUP(Tabel1[[#This Row],[personeelsnr]],'data hastus'!$A:$C,2,0)</f>
        <v>Staneva</v>
      </c>
      <c r="D351" t="str">
        <f>VLOOKUP(Tabel1[[#This Row],[personeelsnr]],'data hastus'!$A:$C,3,0)</f>
        <v>Mariyana</v>
      </c>
      <c r="E351" t="str">
        <f>VLOOKUP(Tabel1[[#This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_xlfn.CONCAT(Tabel1[[#This Row],[personeelsnr]]," ",C352," ",D352)</f>
        <v>40266 Taibi Yassine</v>
      </c>
      <c r="C352" t="str">
        <f>VLOOKUP(Tabel1[[#This Row],[personeelsnr]],'data hastus'!$A:$C,2,0)</f>
        <v>Taibi</v>
      </c>
      <c r="D352" t="str">
        <f>VLOOKUP(Tabel1[[#This Row],[personeelsnr]],'data hastus'!$A:$C,3,0)</f>
        <v>Yassine</v>
      </c>
      <c r="E352" t="str">
        <f>VLOOKUP(Tabel1[[#This Row],[personeelsnr]],'data hastus'!A:K,11,FALSE)</f>
        <v>Christoff Rotty</v>
      </c>
    </row>
    <row r="353" spans="1:6" x14ac:dyDescent="0.3">
      <c r="A353">
        <v>40652</v>
      </c>
      <c r="B353" t="str">
        <f>_xlfn.CONCAT(Tabel1[[#This Row],[personeelsnr]]," ",C353," ",D353)</f>
        <v>12124 Van Vliet Tom</v>
      </c>
      <c r="C353" t="str">
        <f>VLOOKUP(Tabel1[[#This Row],[personeelsnr]],'data hastus'!$A:$C,2,0)</f>
        <v>Van Vliet</v>
      </c>
      <c r="D353" t="str">
        <f>VLOOKUP(Tabel1[[#This Row],[personeelsnr]],'data hastus'!$A:$C,3,0)</f>
        <v>Tom</v>
      </c>
      <c r="E353" t="str">
        <f>VLOOKUP(Tabel1[[#This Row],[personeelsnr]],'data hastus'!A:K,11,FALSE)</f>
        <v>Steven Storm</v>
      </c>
    </row>
    <row r="354" spans="1:6" x14ac:dyDescent="0.3">
      <c r="A354">
        <v>32002</v>
      </c>
      <c r="B354" t="str">
        <f>_xlfn.CONCAT(Tabel1[[#This Row],[personeelsnr]]," ",C354," ",D354)</f>
        <v>34328 Kerremans Jürgen</v>
      </c>
      <c r="C354" t="str">
        <f>VLOOKUP(Tabel1[[#This Row],[personeelsnr]],'data hastus'!$A:$C,2,0)</f>
        <v>Kerremans</v>
      </c>
      <c r="D354" t="str">
        <f>VLOOKUP(Tabel1[[#This Row],[personeelsnr]],'data hastus'!$A:$C,3,0)</f>
        <v>Jürgen</v>
      </c>
      <c r="E354" t="str">
        <f>VLOOKUP(Tabel1[[#This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str">
        <f>_xlfn.CONCAT(Tabel1[[#This Row],[personeelsnr]]," ",C355," ",D355)</f>
        <v>9999 chauffeur uit</v>
      </c>
      <c r="C355" t="str">
        <f>VLOOKUP(Tabel1[[#This Row],[personeelsnr]],'data hastus'!$A:$C,2,0)</f>
        <v>chauffeur</v>
      </c>
      <c r="D355" t="str">
        <f>VLOOKUP(Tabel1[[#This Row],[personeelsnr]],'data hastus'!$A:$C,3,0)</f>
        <v>uit</v>
      </c>
      <c r="E355" t="str">
        <f>VLOOKUP(Tabel1[[#This Row],[personeelsnr]],'data hastus'!A:K,11,FALSE)</f>
        <v>dienst</v>
      </c>
    </row>
    <row r="356" spans="1:6" x14ac:dyDescent="0.3">
      <c r="A356">
        <v>40744</v>
      </c>
      <c r="B356" t="str">
        <f>_xlfn.CONCAT(Tabel1[[#This Row],[personeelsnr]]," ",C356," ",D356)</f>
        <v>37496 Oosterlinck Willy</v>
      </c>
      <c r="C356" t="str">
        <f>VLOOKUP(Tabel1[[#This Row],[personeelsnr]],'data hastus'!$A:$C,2,0)</f>
        <v>Oosterlinck</v>
      </c>
      <c r="D356" t="str">
        <f>VLOOKUP(Tabel1[[#This Row],[personeelsnr]],'data hastus'!$A:$C,3,0)</f>
        <v>Willy</v>
      </c>
      <c r="E356" t="str">
        <f>VLOOKUP(Tabel1[[#This Row],[personeelsnr]],'data hastus'!A:K,11,FALSE)</f>
        <v>Dominique De Clercq</v>
      </c>
    </row>
    <row r="357" spans="1:6" x14ac:dyDescent="0.3">
      <c r="A357">
        <v>33085</v>
      </c>
      <c r="B357" t="str">
        <f>_xlfn.CONCAT(Tabel1[[#This Row],[personeelsnr]]," ",C357," ",D357)</f>
        <v>32168 Vranken Zulkifly</v>
      </c>
      <c r="C357" t="str">
        <f>VLOOKUP(Tabel1[[#This Row],[personeelsnr]],'data hastus'!$A:$C,2,0)</f>
        <v>Vranken</v>
      </c>
      <c r="D357" t="str">
        <f>VLOOKUP(Tabel1[[#This Row],[personeelsnr]],'data hastus'!$A:$C,3,0)</f>
        <v>Zulkifly</v>
      </c>
      <c r="E357" t="str">
        <f>VLOOKUP(Tabel1[[#This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_xlfn.CONCAT(Tabel1[[#This Row],[personeelsnr]]," ",C358," ",D358)</f>
        <v>39651 Kallenbach Sunny</v>
      </c>
      <c r="C358" t="str">
        <f>VLOOKUP(Tabel1[[#This Row],[personeelsnr]],'data hastus'!$A:$C,2,0)</f>
        <v>Kallenbach</v>
      </c>
      <c r="D358" t="str">
        <f>VLOOKUP(Tabel1[[#This Row],[personeelsnr]],'data hastus'!$A:$C,3,0)</f>
        <v>Sunny</v>
      </c>
      <c r="E358" t="str">
        <f>VLOOKUP(Tabel1[[#This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_xlfn.CONCAT(Tabel1[[#This Row],[personeelsnr]]," ",C359," ",D359)</f>
        <v>35450 Roos Hugo</v>
      </c>
      <c r="C359" t="str">
        <f>VLOOKUP(Tabel1[[#This Row],[personeelsnr]],'data hastus'!$A:$C,2,0)</f>
        <v>Roos</v>
      </c>
      <c r="D359" t="str">
        <f>VLOOKUP(Tabel1[[#This Row],[personeelsnr]],'data hastus'!$A:$C,3,0)</f>
        <v>Hugo</v>
      </c>
      <c r="E359" t="str">
        <f>VLOOKUP(Tabel1[[#This Row],[personeelsnr]],'data hastus'!A:K,11,FALSE)</f>
        <v>Els Dewulf</v>
      </c>
    </row>
    <row r="360" spans="1:6" x14ac:dyDescent="0.3">
      <c r="A360">
        <v>40859</v>
      </c>
      <c r="B360" t="str">
        <f>_xlfn.CONCAT(Tabel1[[#This Row],[personeelsnr]]," ",C360," ",D360)</f>
        <v>35588 Smesman Glenn</v>
      </c>
      <c r="C360" t="str">
        <f>VLOOKUP(Tabel1[[#This Row],[personeelsnr]],'data hastus'!$A:$C,2,0)</f>
        <v>Smesman</v>
      </c>
      <c r="D360" t="str">
        <f>VLOOKUP(Tabel1[[#This Row],[personeelsnr]],'data hastus'!$A:$C,3,0)</f>
        <v>Glenn</v>
      </c>
      <c r="E360" t="str">
        <f>VLOOKUP(Tabel1[[#This Row],[personeelsnr]],'data hastus'!A:K,11,FALSE)</f>
        <v>Lucie Vande Velde</v>
      </c>
    </row>
    <row r="361" spans="1:6" x14ac:dyDescent="0.3">
      <c r="A361">
        <v>40939</v>
      </c>
      <c r="B361" t="str">
        <f>_xlfn.CONCAT(Tabel1[[#This Row],[personeelsnr]]," ",C361," ",D361)</f>
        <v>35434 Kaya Aytekin</v>
      </c>
      <c r="C361" t="str">
        <f>VLOOKUP(Tabel1[[#This Row],[personeelsnr]],'data hastus'!$A:$C,2,0)</f>
        <v>Kaya</v>
      </c>
      <c r="D361" t="str">
        <f>VLOOKUP(Tabel1[[#This Row],[personeelsnr]],'data hastus'!$A:$C,3,0)</f>
        <v>Aytekin</v>
      </c>
      <c r="E361" t="str">
        <f>VLOOKUP(Tabel1[[#This Row],[personeelsnr]],'data hastus'!A:K,11,FALSE)</f>
        <v>Dominique De Clercq</v>
      </c>
    </row>
    <row r="362" spans="1:6" x14ac:dyDescent="0.3">
      <c r="A362">
        <v>40939</v>
      </c>
      <c r="B362" t="str">
        <f>_xlfn.CONCAT(Tabel1[[#This Row],[personeelsnr]]," ",C362," ",D362)</f>
        <v>38938 Sedighi Hamid</v>
      </c>
      <c r="C362" t="str">
        <f>VLOOKUP(Tabel1[[#This Row],[personeelsnr]],'data hastus'!$A:$C,2,0)</f>
        <v>Sedighi</v>
      </c>
      <c r="D362" t="str">
        <f>VLOOKUP(Tabel1[[#This Row],[personeelsnr]],'data hastus'!$A:$C,3,0)</f>
        <v>Hamid</v>
      </c>
      <c r="E362" t="str">
        <f>VLOOKUP(Tabel1[[#This Row],[personeelsnr]],'data hastus'!A:K,11,FALSE)</f>
        <v>Lucie Vande Velde</v>
      </c>
    </row>
    <row r="363" spans="1:6" x14ac:dyDescent="0.3">
      <c r="A363">
        <v>37744</v>
      </c>
      <c r="B363" t="str">
        <f>_xlfn.CONCAT(Tabel1[[#This Row],[personeelsnr]]," ",C363," ",D363)</f>
        <v>40110 Vanlerberghe Sandra</v>
      </c>
      <c r="C363" t="str">
        <f>VLOOKUP(Tabel1[[#This Row],[personeelsnr]],'data hastus'!$A:$C,2,0)</f>
        <v>Vanlerberghe</v>
      </c>
      <c r="D363" t="str">
        <f>VLOOKUP(Tabel1[[#This Row],[personeelsnr]],'data hastus'!$A:$C,3,0)</f>
        <v>Sandra</v>
      </c>
      <c r="E363" t="str">
        <f>VLOOKUP(Tabel1[[#This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_xlfn.CONCAT(Tabel1[[#This Row],[personeelsnr]]," ",C364," ",D364)</f>
        <v>39929 Staneva Mariyana</v>
      </c>
      <c r="C364" t="str">
        <f>VLOOKUP(Tabel1[[#This Row],[personeelsnr]],'data hastus'!$A:$C,2,0)</f>
        <v>Staneva</v>
      </c>
      <c r="D364" t="str">
        <f>VLOOKUP(Tabel1[[#This Row],[personeelsnr]],'data hastus'!$A:$C,3,0)</f>
        <v>Mariyana</v>
      </c>
      <c r="E364" t="str">
        <f>VLOOKUP(Tabel1[[#This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_xlfn.CONCAT(Tabel1[[#This Row],[personeelsnr]]," ",C365," ",D365)</f>
        <v>37509 Abdulkader Sabah</v>
      </c>
      <c r="C365" t="str">
        <f>VLOOKUP(Tabel1[[#This Row],[personeelsnr]],'data hastus'!$A:$C,2,0)</f>
        <v>Abdulkader</v>
      </c>
      <c r="D365" t="str">
        <f>VLOOKUP(Tabel1[[#This Row],[personeelsnr]],'data hastus'!$A:$C,3,0)</f>
        <v>Sabah</v>
      </c>
      <c r="E365" t="str">
        <f>VLOOKUP(Tabel1[[#This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_xlfn.CONCAT(Tabel1[[#This Row],[personeelsnr]]," ",C366," ",D366)</f>
        <v>39183 Al Masri Anas</v>
      </c>
      <c r="C366" t="str">
        <f>VLOOKUP(Tabel1[[#This Row],[personeelsnr]],'data hastus'!$A:$C,2,0)</f>
        <v>Al Masri</v>
      </c>
      <c r="D366" t="str">
        <f>VLOOKUP(Tabel1[[#This Row],[personeelsnr]],'data hastus'!$A:$C,3,0)</f>
        <v>Anas</v>
      </c>
      <c r="E366" t="str">
        <f>VLOOKUP(Tabel1[[#This Row],[personeelsnr]],'data hastus'!A:K,11,FALSE)</f>
        <v>Christoff Rotty</v>
      </c>
    </row>
    <row r="367" spans="1:6" x14ac:dyDescent="0.3">
      <c r="A367">
        <v>41012</v>
      </c>
      <c r="B367" t="str">
        <f>_xlfn.CONCAT(Tabel1[[#This Row],[personeelsnr]]," ",C367," ",D367)</f>
        <v>11236 Baert Freddy</v>
      </c>
      <c r="C367" t="str">
        <f>VLOOKUP(Tabel1[[#This Row],[personeelsnr]],'data hastus'!$A:$C,2,0)</f>
        <v>Baert</v>
      </c>
      <c r="D367" t="str">
        <f>VLOOKUP(Tabel1[[#This Row],[personeelsnr]],'data hastus'!$A:$C,3,0)</f>
        <v>Freddy</v>
      </c>
      <c r="E367" t="str">
        <f>VLOOKUP(Tabel1[[#This Row],[personeelsnr]],'data hastus'!A:K,11,FALSE)</f>
        <v>Bart Van Der Beken</v>
      </c>
    </row>
    <row r="368" spans="1:6" x14ac:dyDescent="0.3">
      <c r="A368">
        <v>41032</v>
      </c>
      <c r="B368" t="str">
        <f>_xlfn.CONCAT(Tabel1[[#This Row],[personeelsnr]]," ",C368," ",D368)</f>
        <v>31635 Vaeyens Midas</v>
      </c>
      <c r="C368" t="str">
        <f>VLOOKUP(Tabel1[[#This Row],[personeelsnr]],'data hastus'!$A:$C,2,0)</f>
        <v>Vaeyens</v>
      </c>
      <c r="D368" t="str">
        <f>VLOOKUP(Tabel1[[#This Row],[personeelsnr]],'data hastus'!$A:$C,3,0)</f>
        <v>Midas</v>
      </c>
      <c r="E368" t="str">
        <f>VLOOKUP(Tabel1[[#This Row],[personeelsnr]],'data hastus'!A:K,11,FALSE)</f>
        <v>Els Vanhoe</v>
      </c>
    </row>
    <row r="369" spans="1:6" x14ac:dyDescent="0.3">
      <c r="A369">
        <v>41064</v>
      </c>
      <c r="B369" t="str">
        <f>_xlfn.CONCAT(Tabel1[[#This Row],[personeelsnr]]," ",C369," ",D369)</f>
        <v>39728 Nohut Baki</v>
      </c>
      <c r="C369" t="str">
        <f>VLOOKUP(Tabel1[[#This Row],[personeelsnr]],'data hastus'!$A:$C,2,0)</f>
        <v>Nohut</v>
      </c>
      <c r="D369" t="str">
        <f>VLOOKUP(Tabel1[[#This Row],[personeelsnr]],'data hastus'!$A:$C,3,0)</f>
        <v>Baki</v>
      </c>
      <c r="E369" t="str">
        <f>VLOOKUP(Tabel1[[#This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str">
        <f>_xlfn.CONCAT(Tabel1[[#This Row],[personeelsnr]]," ",C370," ",D370)</f>
        <v>9999 chauffeur uit</v>
      </c>
      <c r="C370" t="str">
        <f>VLOOKUP(Tabel1[[#This Row],[personeelsnr]],'data hastus'!$A:$C,2,0)</f>
        <v>chauffeur</v>
      </c>
      <c r="D370" t="str">
        <f>VLOOKUP(Tabel1[[#This Row],[personeelsnr]],'data hastus'!$A:$C,3,0)</f>
        <v>uit</v>
      </c>
      <c r="E370" t="str">
        <f>VLOOKUP(Tabel1[[#This Row],[personeelsnr]],'data hastus'!A:K,11,FALSE)</f>
        <v>dienst</v>
      </c>
      <c r="F370">
        <v>0</v>
      </c>
    </row>
    <row r="371" spans="1:6" x14ac:dyDescent="0.3">
      <c r="A371">
        <v>99999</v>
      </c>
      <c r="B371" t="str">
        <f>_xlfn.CONCAT(Tabel1[[#This Row],[personeelsnr]]," ",C371," ",D371)</f>
        <v>27635 leeg leeg</v>
      </c>
      <c r="C371" t="s">
        <v>1164</v>
      </c>
      <c r="D371" t="s">
        <v>1164</v>
      </c>
      <c r="E371" t="s">
        <v>1165</v>
      </c>
    </row>
    <row r="372" spans="1:6" x14ac:dyDescent="0.3">
      <c r="A372">
        <v>31165</v>
      </c>
      <c r="B372" t="str">
        <f>_xlfn.CONCAT(Tabel1[[#This Row],[personeelsnr]]," ",C372," ",D372)</f>
        <v>36559 De Staercke Sandra</v>
      </c>
      <c r="C372" t="str">
        <f>VLOOKUP(Tabel1[[#This Row],[personeelsnr]],'data hastus'!$A:$C,2,0)</f>
        <v>De Staercke</v>
      </c>
      <c r="D372" t="str">
        <f>VLOOKUP(Tabel1[[#This Row],[personeelsnr]],'data hastus'!$A:$C,3,0)</f>
        <v>Sandra</v>
      </c>
      <c r="E372" t="str">
        <f>VLOOKUP(Tabel1[[#This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str">
        <f>_xlfn.CONCAT(Tabel1[[#This Row],[personeelsnr]]," ",C373," ",D373)</f>
        <v>9999 chauffeur uit</v>
      </c>
      <c r="C373" t="str">
        <f>VLOOKUP(Tabel1[[#This Row],[personeelsnr]],'data hastus'!$A:$C,2,0)</f>
        <v>chauffeur</v>
      </c>
      <c r="D373" t="str">
        <f>VLOOKUP(Tabel1[[#This Row],[personeelsnr]],'data hastus'!$A:$C,3,0)</f>
        <v>uit</v>
      </c>
      <c r="E373" t="str">
        <f>VLOOKUP(Tabel1[[#This Row],[personeelsnr]],'data hastus'!A:K,11,FALSE)</f>
        <v>dienst</v>
      </c>
    </row>
    <row r="374" spans="1:6" x14ac:dyDescent="0.3">
      <c r="A374">
        <v>41091</v>
      </c>
      <c r="B374" t="str">
        <f>_xlfn.CONCAT(Tabel1[[#This Row],[personeelsnr]]," ",C374," ",D374)</f>
        <v>40486 De Souza Marcos Eduardo</v>
      </c>
      <c r="C374" t="str">
        <f>VLOOKUP(Tabel1[[#This Row],[personeelsnr]],'data hastus'!$A:$C,2,0)</f>
        <v>De Souza</v>
      </c>
      <c r="D374" t="str">
        <f>VLOOKUP(Tabel1[[#This Row],[personeelsnr]],'data hastus'!$A:$C,3,0)</f>
        <v>Marcos Eduardo</v>
      </c>
      <c r="E374" t="str">
        <f>VLOOKUP(Tabel1[[#This Row],[personeelsnr]],'data hastus'!A:K,11,FALSE)</f>
        <v>Christoff Rotty</v>
      </c>
    </row>
    <row r="375" spans="1:6" x14ac:dyDescent="0.3">
      <c r="A375">
        <v>41092</v>
      </c>
      <c r="B375" t="str">
        <f>_xlfn.CONCAT(Tabel1[[#This Row],[personeelsnr]]," ",C375," ",D375)</f>
        <v>34328 Kerremans Jürgen</v>
      </c>
      <c r="C375" t="str">
        <f>VLOOKUP(Tabel1[[#This Row],[personeelsnr]],'data hastus'!$A:$C,2,0)</f>
        <v>Kerremans</v>
      </c>
      <c r="D375" t="str">
        <f>VLOOKUP(Tabel1[[#This Row],[personeelsnr]],'data hastus'!$A:$C,3,0)</f>
        <v>Jürgen</v>
      </c>
      <c r="E375" t="str">
        <f>VLOOKUP(Tabel1[[#This Row],[personeelsnr]],'data hastus'!A:K,11,FALSE)</f>
        <v>Kenneth De Rick</v>
      </c>
    </row>
    <row r="376" spans="1:6" x14ac:dyDescent="0.3">
      <c r="A376">
        <v>4608</v>
      </c>
      <c r="B376" t="str">
        <f>_xlfn.CONCAT(Tabel1[[#This Row],[personeelsnr]]," ",C376," ",D376)</f>
        <v>39581 Vandenhaute Linus</v>
      </c>
      <c r="C376" t="str">
        <f>VLOOKUP(Tabel1[[#This Row],[personeelsnr]],'data hastus'!$A:$C,2,0)</f>
        <v>Vandenhaute</v>
      </c>
      <c r="D376" t="str">
        <f>VLOOKUP(Tabel1[[#This Row],[personeelsnr]],'data hastus'!$A:$C,3,0)</f>
        <v>Linus</v>
      </c>
      <c r="E376" t="str">
        <f>VLOOKUP(Tabel1[[#This Row],[personeelsnr]],'data hastus'!A:K,11,FALSE)</f>
        <v>Els Dewulf</v>
      </c>
    </row>
    <row r="377" spans="1:6" x14ac:dyDescent="0.3">
      <c r="A377">
        <v>41092</v>
      </c>
      <c r="B377" t="str">
        <f>_xlfn.CONCAT(Tabel1[[#This Row],[personeelsnr]]," ",C377," ",D377)</f>
        <v>26137 Hublau Roland</v>
      </c>
      <c r="C377" t="str">
        <f>VLOOKUP(Tabel1[[#This Row],[personeelsnr]],'data hastus'!$A:$C,2,0)</f>
        <v>Hublau</v>
      </c>
      <c r="D377" t="str">
        <f>VLOOKUP(Tabel1[[#This Row],[personeelsnr]],'data hastus'!$A:$C,3,0)</f>
        <v>Roland</v>
      </c>
      <c r="E377" t="str">
        <f>VLOOKUP(Tabel1[[#This Row],[personeelsnr]],'data hastus'!A:K,11,FALSE)</f>
        <v>Steven Storm</v>
      </c>
    </row>
    <row r="378" spans="1:6" x14ac:dyDescent="0.3">
      <c r="A378">
        <v>41092</v>
      </c>
      <c r="B378" t="str">
        <f>_xlfn.CONCAT(Tabel1[[#This Row],[personeelsnr]]," ",C378," ",D378)</f>
        <v>36624 De Meulenaere Kurt</v>
      </c>
      <c r="C378" t="str">
        <f>VLOOKUP(Tabel1[[#This Row],[personeelsnr]],'data hastus'!$A:$C,2,0)</f>
        <v>De Meulenaere</v>
      </c>
      <c r="D378" t="str">
        <f>VLOOKUP(Tabel1[[#This Row],[personeelsnr]],'data hastus'!$A:$C,3,0)</f>
        <v>Kurt</v>
      </c>
      <c r="E378" t="str">
        <f>VLOOKUP(Tabel1[[#This Row],[personeelsnr]],'data hastus'!A:K,11,FALSE)</f>
        <v>Dominique De Clercq</v>
      </c>
    </row>
    <row r="379" spans="1:6" x14ac:dyDescent="0.3">
      <c r="A379">
        <v>41092</v>
      </c>
      <c r="B379" t="str">
        <f>_xlfn.CONCAT(Tabel1[[#This Row],[personeelsnr]]," ",C379," ",D379)</f>
        <v>36428 Abdi Shaiye Rashid</v>
      </c>
      <c r="C379" t="str">
        <f>VLOOKUP(Tabel1[[#This Row],[personeelsnr]],'data hastus'!$A:$C,2,0)</f>
        <v>Abdi Shaiye</v>
      </c>
      <c r="D379" t="str">
        <f>VLOOKUP(Tabel1[[#This Row],[personeelsnr]],'data hastus'!$A:$C,3,0)</f>
        <v>Rashid</v>
      </c>
      <c r="E379" t="str">
        <f>VLOOKUP(Tabel1[[#This Row],[personeelsnr]],'data hastus'!A:K,11,FALSE)</f>
        <v>Lucie Vande Velde</v>
      </c>
    </row>
    <row r="380" spans="1:6" x14ac:dyDescent="0.3">
      <c r="A380">
        <v>41092</v>
      </c>
      <c r="B380" t="str">
        <f>_xlfn.CONCAT(Tabel1[[#This Row],[personeelsnr]]," ",C380," ",D380)</f>
        <v>40478 Hashimi Ali Mir</v>
      </c>
      <c r="C380" t="str">
        <f>VLOOKUP(Tabel1[[#This Row],[personeelsnr]],'data hastus'!$A:$C,2,0)</f>
        <v>Hashimi</v>
      </c>
      <c r="D380" t="str">
        <f>VLOOKUP(Tabel1[[#This Row],[personeelsnr]],'data hastus'!$A:$C,3,0)</f>
        <v>Ali Mir</v>
      </c>
      <c r="E380" t="str">
        <f>VLOOKUP(Tabel1[[#This Row],[personeelsnr]],'data hastus'!A:K,11,FALSE)</f>
        <v>Bart Van Der Beken</v>
      </c>
    </row>
    <row r="381" spans="1:6" x14ac:dyDescent="0.3">
      <c r="A381">
        <v>37908</v>
      </c>
      <c r="B381" t="str">
        <f>_xlfn.CONCAT(Tabel1[[#This Row],[personeelsnr]]," ",C381," ",D381)</f>
        <v>38346 Van Cleemputte Thibeaux</v>
      </c>
      <c r="C381" t="str">
        <f>VLOOKUP(Tabel1[[#This Row],[personeelsnr]],'data hastus'!$A:$C,2,0)</f>
        <v>Van Cleemputte</v>
      </c>
      <c r="D381" t="str">
        <f>VLOOKUP(Tabel1[[#This Row],[personeelsnr]],'data hastus'!$A:$C,3,0)</f>
        <v>Thibeaux</v>
      </c>
      <c r="E381" t="str">
        <f>VLOOKUP(Tabel1[[#This Row],[personeelsnr]],'data hastus'!A:K,11,FALSE)</f>
        <v>Els Vanhoe</v>
      </c>
    </row>
    <row r="382" spans="1:6" x14ac:dyDescent="0.3">
      <c r="A382">
        <v>37908</v>
      </c>
      <c r="B382" t="str">
        <f>_xlfn.CONCAT(Tabel1[[#This Row],[personeelsnr]]," ",C382," ",D382)</f>
        <v>9999 chauffeur uit</v>
      </c>
      <c r="C382" t="str">
        <f>VLOOKUP(Tabel1[[#This Row],[personeelsnr]],'data hastus'!$A:$C,2,0)</f>
        <v>chauffeur</v>
      </c>
      <c r="D382" t="str">
        <f>VLOOKUP(Tabel1[[#This Row],[personeelsnr]],'data hastus'!$A:$C,3,0)</f>
        <v>uit</v>
      </c>
      <c r="E382" t="str">
        <f>VLOOKUP(Tabel1[[#This Row],[personeelsnr]],'data hastus'!A:K,11,FALSE)</f>
        <v>dienst</v>
      </c>
      <c r="F382">
        <v>1</v>
      </c>
    </row>
    <row r="383" spans="1:6" x14ac:dyDescent="0.3">
      <c r="A383">
        <v>41162</v>
      </c>
      <c r="B383" t="str">
        <f>_xlfn.CONCAT(Tabel1[[#This Row],[personeelsnr]]," ",C383," ",D383)</f>
        <v>40006 De Ridder Benjamin</v>
      </c>
      <c r="C383" t="str">
        <f>VLOOKUP(Tabel1[[#This Row],[personeelsnr]],'data hastus'!$A:$C,2,0)</f>
        <v>De Ridder</v>
      </c>
      <c r="D383" t="str">
        <f>VLOOKUP(Tabel1[[#This Row],[personeelsnr]],'data hastus'!$A:$C,3,0)</f>
        <v>Benjamin</v>
      </c>
      <c r="E383" t="str">
        <f>VLOOKUP(Tabel1[[#This Row],[personeelsnr]],'data hastus'!A:K,11,FALSE)</f>
        <v>Christoff Rotty</v>
      </c>
    </row>
    <row r="384" spans="1:6" x14ac:dyDescent="0.3">
      <c r="A384">
        <v>39779</v>
      </c>
      <c r="B384" t="str">
        <f>_xlfn.CONCAT(Tabel1[[#This Row],[personeelsnr]]," ",C384," ",D384)</f>
        <v>35055 Kocabas Abdülkadir</v>
      </c>
      <c r="C384" t="str">
        <f>VLOOKUP(Tabel1[[#This Row],[personeelsnr]],'data hastus'!$A:$C,2,0)</f>
        <v>Kocabas</v>
      </c>
      <c r="D384" t="str">
        <f>VLOOKUP(Tabel1[[#This Row],[personeelsnr]],'data hastus'!$A:$C,3,0)</f>
        <v>Abdülkadir</v>
      </c>
      <c r="E384" t="str">
        <f>VLOOKUP(Tabel1[[#This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_xlfn.CONCAT(Tabel1[[#This Row],[personeelsnr]]," ",C385," ",D385)</f>
        <v>8391 Lucq Joeri</v>
      </c>
      <c r="C385" t="str">
        <f>VLOOKUP(Tabel1[[#This Row],[personeelsnr]],'data hastus'!$A:$C,2,0)</f>
        <v>Lucq</v>
      </c>
      <c r="D385" t="str">
        <f>VLOOKUP(Tabel1[[#This Row],[personeelsnr]],'data hastus'!$A:$C,3,0)</f>
        <v>Joeri</v>
      </c>
      <c r="E385" t="str">
        <f>VLOOKUP(Tabel1[[#This Row],[personeelsnr]],'data hastus'!A:K,11,FALSE)</f>
        <v>Els Vanhoe</v>
      </c>
    </row>
    <row r="386" spans="1:6" x14ac:dyDescent="0.3">
      <c r="A386">
        <v>41162</v>
      </c>
      <c r="B386" t="str">
        <f>_xlfn.CONCAT(Tabel1[[#This Row],[personeelsnr]]," ",C386," ",D386)</f>
        <v>40761 De Vijlder Wim</v>
      </c>
      <c r="C386" t="str">
        <f>VLOOKUP(Tabel1[[#This Row],[personeelsnr]],'data hastus'!$A:$C,2,0)</f>
        <v>De Vijlder</v>
      </c>
      <c r="D386" t="str">
        <f>VLOOKUP(Tabel1[[#This Row],[personeelsnr]],'data hastus'!$A:$C,3,0)</f>
        <v>Wim</v>
      </c>
      <c r="E386" t="str">
        <f>VLOOKUP(Tabel1[[#This Row],[personeelsnr]],'data hastus'!A:K,11,FALSE)</f>
        <v>Kenneth De Rick</v>
      </c>
    </row>
    <row r="387" spans="1:6" x14ac:dyDescent="0.3">
      <c r="A387">
        <v>37132</v>
      </c>
      <c r="B387" t="str">
        <f>_xlfn.CONCAT(Tabel1[[#This Row],[personeelsnr]]," ",C387," ",D387)</f>
        <v>20404 Vranken Kenneth</v>
      </c>
      <c r="C387" t="str">
        <f>VLOOKUP(Tabel1[[#This Row],[personeelsnr]],'data hastus'!$A:$C,2,0)</f>
        <v>Vranken</v>
      </c>
      <c r="D387" t="str">
        <f>VLOOKUP(Tabel1[[#This Row],[personeelsnr]],'data hastus'!$A:$C,3,0)</f>
        <v>Kenneth</v>
      </c>
      <c r="E387" t="str">
        <f>VLOOKUP(Tabel1[[#This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_xlfn.CONCAT(Tabel1[[#This Row],[personeelsnr]]," ",C388," ",D388)</f>
        <v>34325 Eid Mathyn</v>
      </c>
      <c r="C388" t="str">
        <f>VLOOKUP(Tabel1[[#This Row],[personeelsnr]],'data hastus'!$A:$C,2,0)</f>
        <v>Eid</v>
      </c>
      <c r="D388" t="str">
        <f>VLOOKUP(Tabel1[[#This Row],[personeelsnr]],'data hastus'!$A:$C,3,0)</f>
        <v>Mathyn</v>
      </c>
      <c r="E388" t="str">
        <f>VLOOKUP(Tabel1[[#This Row],[personeelsnr]],'data hastus'!A:K,11,FALSE)</f>
        <v>Steven Storm</v>
      </c>
    </row>
    <row r="389" spans="1:6" x14ac:dyDescent="0.3">
      <c r="A389">
        <v>41383</v>
      </c>
      <c r="B389" t="str">
        <f>_xlfn.CONCAT(Tabel1[[#This Row],[personeelsnr]]," ",C389," ",D389)</f>
        <v>34286 Ghani Mozamil</v>
      </c>
      <c r="C389" t="str">
        <f>VLOOKUP(Tabel1[[#This Row],[personeelsnr]],'data hastus'!$A:$C,2,0)</f>
        <v>Ghani</v>
      </c>
      <c r="D389" t="str">
        <f>VLOOKUP(Tabel1[[#This Row],[personeelsnr]],'data hastus'!$A:$C,3,0)</f>
        <v>Mozamil</v>
      </c>
      <c r="E389" t="str">
        <f>VLOOKUP(Tabel1[[#This Row],[personeelsnr]],'data hastus'!A:K,11,FALSE)</f>
        <v>Steven Storm</v>
      </c>
    </row>
    <row r="390" spans="1:6" x14ac:dyDescent="0.3">
      <c r="A390">
        <v>41520</v>
      </c>
      <c r="B390" t="str">
        <f>_xlfn.CONCAT(Tabel1[[#This Row],[personeelsnr]]," ",C390," ",D390)</f>
        <v>26137 Hublau Roland</v>
      </c>
      <c r="C390" t="str">
        <f>VLOOKUP(Tabel1[[#This Row],[personeelsnr]],'data hastus'!$A:$C,2,0)</f>
        <v>Hublau</v>
      </c>
      <c r="D390" t="str">
        <f>VLOOKUP(Tabel1[[#This Row],[personeelsnr]],'data hastus'!$A:$C,3,0)</f>
        <v>Roland</v>
      </c>
      <c r="E390" t="str">
        <f>VLOOKUP(Tabel1[[#This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_xlfn.CONCAT(Tabel1[[#This Row],[personeelsnr]]," ",C391," ",D391)</f>
        <v>37683 De Weirdt Steph</v>
      </c>
      <c r="C391" t="s">
        <v>940</v>
      </c>
      <c r="D391" t="s">
        <v>941</v>
      </c>
      <c r="E391" t="s">
        <v>397</v>
      </c>
    </row>
    <row r="392" spans="1:6" x14ac:dyDescent="0.3">
      <c r="A392">
        <v>30967</v>
      </c>
      <c r="B392" t="str">
        <f>_xlfn.CONCAT(Tabel1[[#This Row],[personeelsnr]]," ",C392," ",D392)</f>
        <v>38529 Huyghe Jan</v>
      </c>
      <c r="C392" t="str">
        <f>VLOOKUP(Tabel1[[#This Row],[personeelsnr]],'data hastus'!$A:$C,2,0)</f>
        <v>Huyghe</v>
      </c>
      <c r="D392" t="str">
        <f>VLOOKUP(Tabel1[[#This Row],[personeelsnr]],'data hastus'!$A:$C,3,0)</f>
        <v>Jan</v>
      </c>
      <c r="E392" t="str">
        <f>VLOOKUP(Tabel1[[#This Row],[personeelsnr]],'data hastus'!A:K,11,FALSE)</f>
        <v>Els Dewulf</v>
      </c>
    </row>
    <row r="393" spans="1:6" x14ac:dyDescent="0.3">
      <c r="A393">
        <v>33965</v>
      </c>
      <c r="B393" t="str">
        <f>_xlfn.CONCAT(Tabel1[[#This Row],[personeelsnr]]," ",C393," ",D393)</f>
        <v>39013 Asrih Habib</v>
      </c>
      <c r="C393" t="str">
        <f>VLOOKUP(Tabel1[[#This Row],[personeelsnr]],'data hastus'!$A:$C,2,0)</f>
        <v>Asrih</v>
      </c>
      <c r="D393" t="str">
        <f>VLOOKUP(Tabel1[[#This Row],[personeelsnr]],'data hastus'!$A:$C,3,0)</f>
        <v>Habib</v>
      </c>
      <c r="E393" t="str">
        <f>VLOOKUP(Tabel1[[#This Row],[personeelsnr]],'data hastus'!A:K,11,FALSE)</f>
        <v>Els Dewulf</v>
      </c>
    </row>
    <row r="394" spans="1:6" x14ac:dyDescent="0.3">
      <c r="A394">
        <v>36428</v>
      </c>
      <c r="B394" t="str">
        <f>_xlfn.CONCAT(Tabel1[[#This Row],[personeelsnr]]," ",C394," ",D394)</f>
        <v>39673 Steurbaut Henri</v>
      </c>
      <c r="C394" t="str">
        <f>VLOOKUP(Tabel1[[#This Row],[personeelsnr]],'data hastus'!$A:$C,2,0)</f>
        <v>Steurbaut</v>
      </c>
      <c r="D394" t="str">
        <f>VLOOKUP(Tabel1[[#This Row],[personeelsnr]],'data hastus'!$A:$C,3,0)</f>
        <v>Henri</v>
      </c>
      <c r="E394" t="str">
        <f>VLOOKUP(Tabel1[[#This Row],[personeelsnr]],'data hastus'!A:K,11,FALSE)</f>
        <v>Els Vanhoe</v>
      </c>
    </row>
    <row r="395" spans="1:6" x14ac:dyDescent="0.3">
      <c r="A395">
        <v>40938</v>
      </c>
      <c r="B395" t="str">
        <f>_xlfn.CONCAT(Tabel1[[#This Row],[personeelsnr]]," ",C395," ",D395)</f>
        <v>26266 Gök Murat</v>
      </c>
      <c r="C395" t="str">
        <f>VLOOKUP(Tabel1[[#This Row],[personeelsnr]],'data hastus'!$A:$C,2,0)</f>
        <v>Gök</v>
      </c>
      <c r="D395" t="str">
        <f>VLOOKUP(Tabel1[[#This Row],[personeelsnr]],'data hastus'!$A:$C,3,0)</f>
        <v>Murat</v>
      </c>
      <c r="E395" t="str">
        <f>VLOOKUP(Tabel1[[#This Row],[personeelsnr]],'data hastus'!A:K,11,FALSE)</f>
        <v>Els Vanhoe</v>
      </c>
    </row>
    <row r="396" spans="1:6" x14ac:dyDescent="0.3">
      <c r="A396">
        <v>41230</v>
      </c>
      <c r="B396" t="str">
        <f>_xlfn.CONCAT(Tabel1[[#This Row],[personeelsnr]]," ",C396," ",D396)</f>
        <v>36626 Kartal Kadir</v>
      </c>
      <c r="C396" t="str">
        <f>VLOOKUP(Tabel1[[#This Row],[personeelsnr]],'data hastus'!$A:$C,2,0)</f>
        <v>Kartal</v>
      </c>
      <c r="D396" t="str">
        <f>VLOOKUP(Tabel1[[#This Row],[personeelsnr]],'data hastus'!$A:$C,3,0)</f>
        <v>Kadir</v>
      </c>
      <c r="E396" t="str">
        <f>VLOOKUP(Tabel1[[#This Row],[personeelsnr]],'data hastus'!A:K,11,FALSE)</f>
        <v>Els Dewulf</v>
      </c>
    </row>
    <row r="397" spans="1:6" x14ac:dyDescent="0.3">
      <c r="A397">
        <v>41710</v>
      </c>
      <c r="B397" t="str">
        <f>_xlfn.CONCAT(Tabel1[[#This Row],[personeelsnr]]," ",C397," ",D397)</f>
        <v>27153 Oben Thibaud</v>
      </c>
      <c r="C397" t="str">
        <f>VLOOKUP(Tabel1[[#This Row],[personeelsnr]],'data hastus'!$A:$C,2,0)</f>
        <v>Oben</v>
      </c>
      <c r="D397" t="str">
        <f>VLOOKUP(Tabel1[[#This Row],[personeelsnr]],'data hastus'!$A:$C,3,0)</f>
        <v>Thibaud</v>
      </c>
      <c r="E397" t="str">
        <f>VLOOKUP(Tabel1[[#This Row],[personeelsnr]],'data hastus'!A:K,11,FALSE)</f>
        <v>Christoff Rotty</v>
      </c>
    </row>
    <row r="398" spans="1:6" x14ac:dyDescent="0.3">
      <c r="A398">
        <v>11120</v>
      </c>
      <c r="B398" t="str">
        <f>_xlfn.CONCAT(Tabel1[[#This Row],[personeelsnr]]," ",C398," ",D398)</f>
        <v>9999 chauffeur uit</v>
      </c>
      <c r="C398" t="str">
        <f>VLOOKUP(Tabel1[[#This Row],[personeelsnr]],'data hastus'!$A:$C,2,0)</f>
        <v>chauffeur</v>
      </c>
      <c r="D398" t="str">
        <f>VLOOKUP(Tabel1[[#This Row],[personeelsnr]],'data hastus'!$A:$C,3,0)</f>
        <v>uit</v>
      </c>
      <c r="E398" t="str">
        <f>VLOOKUP(Tabel1[[#This Row],[personeelsnr]],'data hastus'!A:K,11,FALSE)</f>
        <v>dienst</v>
      </c>
    </row>
    <row r="399" spans="1:6" x14ac:dyDescent="0.3">
      <c r="A399">
        <v>40744</v>
      </c>
      <c r="B399" t="str">
        <f>_xlfn.CONCAT(Tabel1[[#This Row],[personeelsnr]]," ",C399," ",D399)</f>
        <v>38551 Alassad Ahmad</v>
      </c>
      <c r="C399" t="str">
        <f>VLOOKUP(Tabel1[[#This Row],[personeelsnr]],'data hastus'!$A:$C,2,0)</f>
        <v>Alassad</v>
      </c>
      <c r="D399" t="str">
        <f>VLOOKUP(Tabel1[[#This Row],[personeelsnr]],'data hastus'!$A:$C,3,0)</f>
        <v>Ahmad</v>
      </c>
      <c r="E399" t="str">
        <f>VLOOKUP(Tabel1[[#This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_xlfn.CONCAT(Tabel1[[#This Row],[personeelsnr]]," ",C400," ",D400)</f>
        <v>39532 Sahin Orhan</v>
      </c>
      <c r="C400" t="str">
        <f>VLOOKUP(Tabel1[[#This Row],[personeelsnr]],'data hastus'!$A:$C,2,0)</f>
        <v>Sahin</v>
      </c>
      <c r="D400" t="str">
        <f>VLOOKUP(Tabel1[[#This Row],[personeelsnr]],'data hastus'!$A:$C,3,0)</f>
        <v>Orhan</v>
      </c>
      <c r="E400" t="str">
        <f>VLOOKUP(Tabel1[[#This Row],[personeelsnr]],'data hastus'!A:K,11,FALSE)</f>
        <v>Christoff Rotty</v>
      </c>
    </row>
    <row r="401" spans="1:5" x14ac:dyDescent="0.3">
      <c r="A401">
        <v>38648</v>
      </c>
      <c r="B401" t="str">
        <f>_xlfn.CONCAT(Tabel1[[#This Row],[personeelsnr]]," ",C401," ",D401)</f>
        <v>5718 Dejonckheere Inge</v>
      </c>
      <c r="C401" t="str">
        <f>VLOOKUP(Tabel1[[#This Row],[personeelsnr]],'data hastus'!$A:$C,2,0)</f>
        <v>Dejonckheere</v>
      </c>
      <c r="D401" t="str">
        <f>VLOOKUP(Tabel1[[#This Row],[personeelsnr]],'data hastus'!$A:$C,3,0)</f>
        <v>Inge</v>
      </c>
      <c r="E401" t="str">
        <f>VLOOKUP(Tabel1[[#This Row],[personeelsnr]],'data hastus'!A:K,11,FALSE)</f>
        <v>Kenneth De Rick</v>
      </c>
    </row>
    <row r="402" spans="1:5" x14ac:dyDescent="0.3">
      <c r="A402">
        <v>41482</v>
      </c>
      <c r="B402" t="str">
        <f>_xlfn.CONCAT(Tabel1[[#This Row],[personeelsnr]]," ",C402," ",D402)</f>
        <v>40608 Kurti Domeniko</v>
      </c>
      <c r="C402" t="str">
        <f>VLOOKUP(Tabel1[[#This Row],[personeelsnr]],'data hastus'!$A:$C,2,0)</f>
        <v>Kurti</v>
      </c>
      <c r="D402" t="str">
        <f>VLOOKUP(Tabel1[[#This Row],[personeelsnr]],'data hastus'!$A:$C,3,0)</f>
        <v>Domeniko</v>
      </c>
      <c r="E402" t="str">
        <f>VLOOKUP(Tabel1[[#This Row],[personeelsnr]],'data hastus'!A:K,11,FALSE)</f>
        <v>Lucie Vande Velde</v>
      </c>
    </row>
    <row r="403" spans="1:5" x14ac:dyDescent="0.3">
      <c r="A403">
        <v>41671</v>
      </c>
      <c r="B403" t="str">
        <f>_xlfn.CONCAT(Tabel1[[#This Row],[personeelsnr]]," ",C403," ",D403)</f>
        <v>6310 De Craene Peter</v>
      </c>
      <c r="C403" t="str">
        <f>VLOOKUP(Tabel1[[#This Row],[personeelsnr]],'data hastus'!$A:$C,2,0)</f>
        <v>De Craene</v>
      </c>
      <c r="D403" t="str">
        <f>VLOOKUP(Tabel1[[#This Row],[personeelsnr]],'data hastus'!$A:$C,3,0)</f>
        <v>Peter</v>
      </c>
      <c r="E403" t="str">
        <f>VLOOKUP(Tabel1[[#This Row],[personeelsnr]],'data hastus'!A:K,11,FALSE)</f>
        <v>Els Dewulf</v>
      </c>
    </row>
    <row r="404" spans="1:5" x14ac:dyDescent="0.3">
      <c r="A404">
        <v>15282</v>
      </c>
      <c r="B404" t="str">
        <f>_xlfn.CONCAT(Tabel1[[#This Row],[personeelsnr]]," ",C404," ",D404)</f>
        <v>33965 Van de Gehuchte Gilles</v>
      </c>
      <c r="C404" t="str">
        <f>VLOOKUP(Tabel1[[#This Row],[personeelsnr]],'data hastus'!$A:$C,2,0)</f>
        <v>Van de Gehuchte</v>
      </c>
      <c r="D404" t="str">
        <f>VLOOKUP(Tabel1[[#This Row],[personeelsnr]],'data hastus'!$A:$C,3,0)</f>
        <v>Gilles</v>
      </c>
      <c r="E404" t="str">
        <f>VLOOKUP(Tabel1[[#This Row],[personeelsnr]],'data hastus'!A:K,11,FALSE)</f>
        <v>Kenneth De Rick</v>
      </c>
    </row>
    <row r="405" spans="1:5" x14ac:dyDescent="0.3">
      <c r="A405">
        <v>29746</v>
      </c>
      <c r="B405" t="str">
        <f>_xlfn.CONCAT(Tabel1[[#This Row],[personeelsnr]]," ",C405," ",D405)</f>
        <v>39779 Avci Muhammet Abdullah</v>
      </c>
      <c r="C405" t="str">
        <f>VLOOKUP(Tabel1[[#This Row],[personeelsnr]],'data hastus'!$A:$C,2,0)</f>
        <v>Avci</v>
      </c>
      <c r="D405" t="str">
        <f>VLOOKUP(Tabel1[[#This Row],[personeelsnr]],'data hastus'!$A:$C,3,0)</f>
        <v>Muhammet Abdullah</v>
      </c>
      <c r="E405" t="str">
        <f>VLOOKUP(Tabel1[[#This Row],[personeelsnr]],'data hastus'!A:K,11,FALSE)</f>
        <v>Bart Van Der Beken</v>
      </c>
    </row>
    <row r="406" spans="1:5" x14ac:dyDescent="0.3">
      <c r="A406">
        <v>26960</v>
      </c>
      <c r="B406" t="str">
        <f>_xlfn.CONCAT(Tabel1[[#This Row],[personeelsnr]]," ",C406," ",D406)</f>
        <v>36569 Stroobandt Jonas</v>
      </c>
      <c r="C406" t="str">
        <f>VLOOKUP(Tabel1[[#This Row],[personeelsnr]],'data hastus'!$A:$C,2,0)</f>
        <v>Stroobandt</v>
      </c>
      <c r="D406" t="str">
        <f>VLOOKUP(Tabel1[[#This Row],[personeelsnr]],'data hastus'!$A:$C,3,0)</f>
        <v>Jonas</v>
      </c>
      <c r="E406" t="str">
        <f>VLOOKUP(Tabel1[[#This Row],[personeelsnr]],'data hastus'!A:K,11,FALSE)</f>
        <v>Els Vanhoe</v>
      </c>
    </row>
    <row r="407" spans="1:5" x14ac:dyDescent="0.3">
      <c r="A407">
        <v>40278</v>
      </c>
      <c r="B407" t="str">
        <f>_xlfn.CONCAT(Tabel1[[#This Row],[personeelsnr]]," ",C407," ",D407)</f>
        <v>9999 chauffeur uit</v>
      </c>
      <c r="C407" t="str">
        <f>VLOOKUP(Tabel1[[#This Row],[personeelsnr]],'data hastus'!$A:$C,2,0)</f>
        <v>chauffeur</v>
      </c>
      <c r="D407" t="str">
        <f>VLOOKUP(Tabel1[[#This Row],[personeelsnr]],'data hastus'!$A:$C,3,0)</f>
        <v>uit</v>
      </c>
      <c r="E407" t="str">
        <f>VLOOKUP(Tabel1[[#This Row],[personeelsnr]],'data hastus'!A:K,11,FALSE)</f>
        <v>dienst</v>
      </c>
    </row>
    <row r="408" spans="1:5" x14ac:dyDescent="0.3">
      <c r="A408">
        <v>40856</v>
      </c>
      <c r="B408" t="str">
        <f>_xlfn.CONCAT(Tabel1[[#This Row],[personeelsnr]]," ",C408," ",D408)</f>
        <v>23918 D'Haeyere Bernard</v>
      </c>
      <c r="C408" t="str">
        <f>VLOOKUP(Tabel1[[#This Row],[personeelsnr]],'data hastus'!$A:$C,2,0)</f>
        <v>D'Haeyere</v>
      </c>
      <c r="D408" t="str">
        <f>VLOOKUP(Tabel1[[#This Row],[personeelsnr]],'data hastus'!$A:$C,3,0)</f>
        <v>Bernard</v>
      </c>
      <c r="E408" t="str">
        <f>VLOOKUP(Tabel1[[#This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80"/>
  <sheetViews>
    <sheetView topLeftCell="A571" workbookViewId="0">
      <selection activeCell="L580" sqref="L580"/>
    </sheetView>
  </sheetViews>
  <sheetFormatPr defaultRowHeight="14.4" x14ac:dyDescent="0.3"/>
  <sheetData>
    <row r="1" spans="1:20" x14ac:dyDescent="0.3">
      <c r="A1" t="s">
        <v>1166</v>
      </c>
      <c r="B1" t="s">
        <v>1167</v>
      </c>
      <c r="C1" t="s">
        <v>1168</v>
      </c>
      <c r="D1" t="s">
        <v>1169</v>
      </c>
      <c r="E1" t="s">
        <v>1170</v>
      </c>
      <c r="F1" t="s">
        <v>1171</v>
      </c>
      <c r="G1" t="s">
        <v>1172</v>
      </c>
      <c r="H1" t="s">
        <v>1173</v>
      </c>
      <c r="I1" t="s">
        <v>1174</v>
      </c>
      <c r="J1" t="s">
        <v>1175</v>
      </c>
      <c r="K1" t="s">
        <v>1176</v>
      </c>
      <c r="L1" t="s">
        <v>1177</v>
      </c>
      <c r="M1" t="s">
        <v>1178</v>
      </c>
      <c r="N1" t="s">
        <v>1179</v>
      </c>
      <c r="O1" t="s">
        <v>1180</v>
      </c>
      <c r="P1" t="s">
        <v>1181</v>
      </c>
      <c r="Q1" t="s">
        <v>1182</v>
      </c>
      <c r="R1" t="s">
        <v>1183</v>
      </c>
      <c r="S1" t="s">
        <v>1184</v>
      </c>
      <c r="T1" t="s">
        <v>1185</v>
      </c>
    </row>
    <row r="2" spans="1:20" x14ac:dyDescent="0.3">
      <c r="A2">
        <v>32168</v>
      </c>
      <c r="B2" t="s">
        <v>1186</v>
      </c>
      <c r="C2" t="s">
        <v>1187</v>
      </c>
      <c r="D2" s="3">
        <v>28348</v>
      </c>
      <c r="E2" t="s">
        <v>1188</v>
      </c>
      <c r="F2">
        <v>304</v>
      </c>
      <c r="G2" s="3">
        <v>43045</v>
      </c>
      <c r="H2" t="s">
        <v>1189</v>
      </c>
      <c r="I2" t="s">
        <v>1190</v>
      </c>
      <c r="J2" t="s">
        <v>1191</v>
      </c>
      <c r="K2" t="s">
        <v>195</v>
      </c>
      <c r="L2" s="3">
        <v>46517</v>
      </c>
      <c r="M2" s="3">
        <v>46511</v>
      </c>
      <c r="N2" t="s">
        <v>1192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1193</v>
      </c>
      <c r="C3" t="s">
        <v>1194</v>
      </c>
      <c r="D3" s="3">
        <v>28536</v>
      </c>
      <c r="E3" t="s">
        <v>1188</v>
      </c>
      <c r="G3" s="3">
        <v>45012</v>
      </c>
      <c r="H3" t="s">
        <v>1195</v>
      </c>
      <c r="J3" t="s">
        <v>1196</v>
      </c>
      <c r="K3" t="s">
        <v>187</v>
      </c>
      <c r="L3" s="3">
        <v>46869</v>
      </c>
      <c r="M3" s="3">
        <v>46763</v>
      </c>
      <c r="N3" t="s">
        <v>1197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1198</v>
      </c>
      <c r="C4" t="s">
        <v>1199</v>
      </c>
      <c r="D4" s="3">
        <v>27907</v>
      </c>
      <c r="E4" t="s">
        <v>1188</v>
      </c>
      <c r="F4">
        <v>414</v>
      </c>
      <c r="G4" s="3">
        <v>44067</v>
      </c>
      <c r="H4" t="s">
        <v>1200</v>
      </c>
      <c r="J4" t="s">
        <v>1201</v>
      </c>
      <c r="K4" t="s">
        <v>199</v>
      </c>
      <c r="L4" s="3">
        <v>45907</v>
      </c>
      <c r="M4" s="3">
        <v>45830</v>
      </c>
      <c r="N4" t="s">
        <v>1202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1203</v>
      </c>
      <c r="C5" t="s">
        <v>1204</v>
      </c>
      <c r="D5" s="3">
        <v>35525</v>
      </c>
      <c r="E5" t="s">
        <v>1188</v>
      </c>
      <c r="F5">
        <v>452</v>
      </c>
      <c r="G5" s="3">
        <v>44025</v>
      </c>
      <c r="H5" t="s">
        <v>1205</v>
      </c>
      <c r="I5">
        <v>487773919</v>
      </c>
      <c r="J5" t="s">
        <v>1206</v>
      </c>
      <c r="K5" t="s">
        <v>191</v>
      </c>
      <c r="L5" s="3">
        <v>45866</v>
      </c>
      <c r="M5" s="3">
        <v>45794</v>
      </c>
      <c r="N5" t="s">
        <v>1207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1208</v>
      </c>
      <c r="C6" t="s">
        <v>1209</v>
      </c>
      <c r="D6" s="3">
        <v>24023</v>
      </c>
      <c r="E6" t="s">
        <v>1188</v>
      </c>
      <c r="G6" s="3">
        <v>45749</v>
      </c>
      <c r="H6" t="s">
        <v>1210</v>
      </c>
      <c r="J6" t="s">
        <v>1196</v>
      </c>
      <c r="K6" t="s">
        <v>195</v>
      </c>
      <c r="L6" s="3">
        <v>47596</v>
      </c>
      <c r="M6" s="3">
        <v>47504</v>
      </c>
      <c r="N6" t="s">
        <v>1211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1212</v>
      </c>
      <c r="C7" t="s">
        <v>1209</v>
      </c>
      <c r="D7" s="3">
        <v>26173</v>
      </c>
      <c r="E7" t="s">
        <v>1188</v>
      </c>
      <c r="F7">
        <v>35</v>
      </c>
      <c r="G7" s="3">
        <v>39937</v>
      </c>
      <c r="H7" t="s">
        <v>1213</v>
      </c>
      <c r="J7" t="s">
        <v>1214</v>
      </c>
      <c r="K7" t="s">
        <v>185</v>
      </c>
      <c r="L7" s="3">
        <v>47078</v>
      </c>
      <c r="M7" s="3">
        <v>47072</v>
      </c>
      <c r="N7" t="s">
        <v>1215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1216</v>
      </c>
      <c r="C8" t="s">
        <v>1217</v>
      </c>
      <c r="D8" s="3">
        <v>30614</v>
      </c>
      <c r="E8" t="s">
        <v>1188</v>
      </c>
      <c r="F8">
        <v>469</v>
      </c>
      <c r="G8" s="3">
        <v>43906</v>
      </c>
      <c r="H8" t="s">
        <v>1218</v>
      </c>
      <c r="I8" t="s">
        <v>1219</v>
      </c>
      <c r="J8" t="s">
        <v>1220</v>
      </c>
      <c r="K8" t="s">
        <v>195</v>
      </c>
      <c r="L8" s="3">
        <v>47380</v>
      </c>
      <c r="M8" s="3">
        <v>47351</v>
      </c>
      <c r="N8" t="s">
        <v>1221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1222</v>
      </c>
      <c r="C9" t="s">
        <v>1223</v>
      </c>
      <c r="D9" s="3">
        <v>27187</v>
      </c>
      <c r="E9" t="s">
        <v>1188</v>
      </c>
      <c r="G9" s="3">
        <v>45574</v>
      </c>
      <c r="H9" t="s">
        <v>1224</v>
      </c>
      <c r="J9" t="s">
        <v>1196</v>
      </c>
      <c r="K9" t="s">
        <v>191</v>
      </c>
      <c r="L9" s="3">
        <v>47418</v>
      </c>
      <c r="M9" s="3">
        <v>47371</v>
      </c>
      <c r="N9" t="s">
        <v>1225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1226</v>
      </c>
      <c r="C10" t="s">
        <v>1227</v>
      </c>
      <c r="D10" s="3">
        <v>35872</v>
      </c>
      <c r="E10" t="s">
        <v>1188</v>
      </c>
      <c r="G10" s="3">
        <v>44599</v>
      </c>
      <c r="H10" t="s">
        <v>1228</v>
      </c>
      <c r="J10" t="s">
        <v>1229</v>
      </c>
      <c r="K10" t="s">
        <v>185</v>
      </c>
      <c r="L10" s="3">
        <v>46439</v>
      </c>
      <c r="M10" s="3">
        <v>46404</v>
      </c>
      <c r="N10" t="s">
        <v>1230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1231</v>
      </c>
      <c r="C11" t="s">
        <v>1232</v>
      </c>
      <c r="D11" s="3">
        <v>35989</v>
      </c>
      <c r="E11" t="s">
        <v>1188</v>
      </c>
      <c r="G11" s="3">
        <v>45394</v>
      </c>
      <c r="H11" t="s">
        <v>1233</v>
      </c>
      <c r="J11" t="s">
        <v>1234</v>
      </c>
      <c r="K11" t="s">
        <v>189</v>
      </c>
      <c r="L11" s="3">
        <v>47239</v>
      </c>
      <c r="M11" s="3">
        <v>47143</v>
      </c>
      <c r="N11" t="s">
        <v>1235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1236</v>
      </c>
      <c r="C12" t="s">
        <v>1237</v>
      </c>
      <c r="D12" s="3">
        <v>33938</v>
      </c>
      <c r="E12" t="s">
        <v>1188</v>
      </c>
      <c r="G12" s="3">
        <v>45097</v>
      </c>
      <c r="H12" t="s">
        <v>1238</v>
      </c>
      <c r="J12" t="s">
        <v>1196</v>
      </c>
      <c r="K12" t="s">
        <v>189</v>
      </c>
      <c r="L12" s="3">
        <v>46945</v>
      </c>
      <c r="M12" s="3">
        <v>46897</v>
      </c>
      <c r="N12" t="s">
        <v>1239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1240</v>
      </c>
      <c r="C13" t="s">
        <v>1237</v>
      </c>
      <c r="D13" s="3">
        <v>31632</v>
      </c>
      <c r="E13" t="s">
        <v>1188</v>
      </c>
      <c r="F13">
        <v>141</v>
      </c>
      <c r="G13" s="3">
        <v>39370</v>
      </c>
      <c r="H13" t="s">
        <v>1241</v>
      </c>
      <c r="J13" t="s">
        <v>1242</v>
      </c>
      <c r="K13" t="s">
        <v>199</v>
      </c>
      <c r="L13" s="3">
        <v>72686</v>
      </c>
      <c r="M13" s="3">
        <v>46827</v>
      </c>
      <c r="N13" t="s">
        <v>1243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1244</v>
      </c>
      <c r="C14" t="s">
        <v>1245</v>
      </c>
      <c r="D14" s="3">
        <v>31611</v>
      </c>
      <c r="E14" t="s">
        <v>1188</v>
      </c>
      <c r="F14">
        <v>355</v>
      </c>
      <c r="G14" s="3">
        <v>44070</v>
      </c>
      <c r="H14" t="s">
        <v>1246</v>
      </c>
      <c r="J14" t="s">
        <v>1206</v>
      </c>
      <c r="K14" t="s">
        <v>199</v>
      </c>
      <c r="L14" s="3">
        <v>46876</v>
      </c>
      <c r="M14" s="3">
        <v>46862</v>
      </c>
      <c r="N14" t="s">
        <v>1247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1248</v>
      </c>
      <c r="C15" t="s">
        <v>1249</v>
      </c>
      <c r="D15" s="3">
        <v>36390</v>
      </c>
      <c r="E15" t="s">
        <v>1188</v>
      </c>
      <c r="G15" s="3">
        <v>45798</v>
      </c>
      <c r="H15" t="s">
        <v>1250</v>
      </c>
      <c r="J15" t="s">
        <v>1196</v>
      </c>
      <c r="K15" t="s">
        <v>199</v>
      </c>
      <c r="L15" s="3">
        <v>1</v>
      </c>
      <c r="M15" s="3">
        <v>1</v>
      </c>
      <c r="N15" t="s">
        <v>1251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1252</v>
      </c>
      <c r="C16" t="s">
        <v>1253</v>
      </c>
      <c r="D16" s="3">
        <v>36623</v>
      </c>
      <c r="E16" t="s">
        <v>1188</v>
      </c>
      <c r="G16" s="3">
        <v>45663</v>
      </c>
      <c r="H16" t="s">
        <v>1254</v>
      </c>
      <c r="J16" t="s">
        <v>1196</v>
      </c>
      <c r="K16" t="s">
        <v>185</v>
      </c>
      <c r="L16" s="3">
        <v>47506</v>
      </c>
      <c r="M16" s="3">
        <v>47407</v>
      </c>
      <c r="N16" t="s">
        <v>1255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1256</v>
      </c>
      <c r="C17" t="s">
        <v>1257</v>
      </c>
      <c r="D17" s="3">
        <v>24328</v>
      </c>
      <c r="E17" t="s">
        <v>1188</v>
      </c>
      <c r="F17">
        <v>434</v>
      </c>
      <c r="G17" s="3">
        <v>44039</v>
      </c>
      <c r="H17" t="s">
        <v>1258</v>
      </c>
      <c r="J17" t="s">
        <v>1229</v>
      </c>
      <c r="K17" t="s">
        <v>185</v>
      </c>
      <c r="L17" s="3">
        <v>45879</v>
      </c>
      <c r="M17" s="3">
        <v>45830</v>
      </c>
      <c r="N17" t="s">
        <v>1259</v>
      </c>
      <c r="O17" s="4">
        <v>1</v>
      </c>
      <c r="P17">
        <v>0</v>
      </c>
      <c r="Q17">
        <v>0</v>
      </c>
    </row>
    <row r="18" spans="1:18" x14ac:dyDescent="0.3">
      <c r="A18">
        <v>9979</v>
      </c>
      <c r="B18" t="s">
        <v>1260</v>
      </c>
      <c r="C18" t="s">
        <v>1261</v>
      </c>
      <c r="D18" s="3">
        <v>28053</v>
      </c>
      <c r="E18" t="s">
        <v>1188</v>
      </c>
      <c r="F18">
        <v>222</v>
      </c>
      <c r="G18" s="3">
        <v>35796</v>
      </c>
      <c r="H18" t="s">
        <v>1262</v>
      </c>
      <c r="J18" t="s">
        <v>1263</v>
      </c>
      <c r="K18" t="s">
        <v>187</v>
      </c>
      <c r="L18" s="3">
        <v>72686</v>
      </c>
      <c r="M18" s="3">
        <v>46434</v>
      </c>
      <c r="N18" t="s">
        <v>1264</v>
      </c>
      <c r="O18" s="4">
        <v>0.8</v>
      </c>
      <c r="P18">
        <v>0</v>
      </c>
      <c r="Q18">
        <v>0</v>
      </c>
    </row>
    <row r="19" spans="1:18" x14ac:dyDescent="0.3">
      <c r="A19">
        <v>8196</v>
      </c>
      <c r="B19" t="s">
        <v>1265</v>
      </c>
      <c r="C19" t="s">
        <v>1261</v>
      </c>
      <c r="D19" s="3">
        <v>25922</v>
      </c>
      <c r="E19" t="s">
        <v>1188</v>
      </c>
      <c r="F19">
        <v>473</v>
      </c>
      <c r="G19" s="3">
        <v>35177</v>
      </c>
      <c r="H19" t="s">
        <v>1266</v>
      </c>
      <c r="J19" t="s">
        <v>1267</v>
      </c>
      <c r="K19" t="s">
        <v>189</v>
      </c>
      <c r="L19" s="3">
        <v>45859</v>
      </c>
      <c r="M19" s="3">
        <v>45850</v>
      </c>
      <c r="N19" t="s">
        <v>1268</v>
      </c>
      <c r="O19" s="4">
        <v>1</v>
      </c>
      <c r="P19">
        <v>0</v>
      </c>
      <c r="Q19">
        <v>0</v>
      </c>
    </row>
    <row r="20" spans="1:18" x14ac:dyDescent="0.3">
      <c r="A20">
        <v>40761</v>
      </c>
      <c r="B20" t="s">
        <v>1269</v>
      </c>
      <c r="C20" t="s">
        <v>1261</v>
      </c>
      <c r="D20" s="3">
        <v>27082</v>
      </c>
      <c r="E20" t="s">
        <v>1188</v>
      </c>
      <c r="G20" s="3">
        <v>45498</v>
      </c>
      <c r="H20" t="s">
        <v>1270</v>
      </c>
      <c r="J20" t="s">
        <v>1196</v>
      </c>
      <c r="K20" t="s">
        <v>195</v>
      </c>
      <c r="L20" s="3">
        <v>47342</v>
      </c>
      <c r="M20" s="3">
        <v>47303</v>
      </c>
      <c r="N20" t="s">
        <v>1271</v>
      </c>
      <c r="O20" s="4">
        <v>1</v>
      </c>
      <c r="P20">
        <v>0</v>
      </c>
      <c r="Q20">
        <v>0</v>
      </c>
    </row>
    <row r="21" spans="1:18" x14ac:dyDescent="0.3">
      <c r="A21">
        <v>35030</v>
      </c>
      <c r="B21" t="s">
        <v>1272</v>
      </c>
      <c r="C21" t="s">
        <v>1261</v>
      </c>
      <c r="D21" s="3">
        <v>25785</v>
      </c>
      <c r="E21" t="s">
        <v>1188</v>
      </c>
      <c r="F21">
        <v>465</v>
      </c>
      <c r="G21" s="3">
        <v>43892</v>
      </c>
      <c r="H21" t="s">
        <v>1273</v>
      </c>
      <c r="J21" t="s">
        <v>1196</v>
      </c>
      <c r="K21" t="s">
        <v>197</v>
      </c>
      <c r="L21" s="3">
        <v>47411</v>
      </c>
      <c r="M21" s="3">
        <v>47342</v>
      </c>
      <c r="N21" t="s">
        <v>1274</v>
      </c>
      <c r="O21" s="4">
        <v>1</v>
      </c>
      <c r="P21">
        <v>0</v>
      </c>
      <c r="Q21">
        <v>0</v>
      </c>
    </row>
    <row r="22" spans="1:18" x14ac:dyDescent="0.3">
      <c r="A22">
        <v>10324</v>
      </c>
      <c r="B22" t="s">
        <v>1275</v>
      </c>
      <c r="C22" t="s">
        <v>1261</v>
      </c>
      <c r="D22" s="3">
        <v>25268</v>
      </c>
      <c r="E22" t="s">
        <v>1188</v>
      </c>
      <c r="F22">
        <v>332</v>
      </c>
      <c r="G22" s="3">
        <v>35948</v>
      </c>
      <c r="H22" t="s">
        <v>1276</v>
      </c>
      <c r="J22" t="s">
        <v>1277</v>
      </c>
      <c r="K22" t="s">
        <v>187</v>
      </c>
      <c r="L22" s="3">
        <v>73050</v>
      </c>
      <c r="M22" s="3">
        <v>46887</v>
      </c>
      <c r="N22" t="s">
        <v>1278</v>
      </c>
      <c r="O22" s="4">
        <v>1</v>
      </c>
      <c r="P22">
        <v>0</v>
      </c>
      <c r="Q22">
        <v>0</v>
      </c>
    </row>
    <row r="23" spans="1:18" x14ac:dyDescent="0.3">
      <c r="A23">
        <v>37496</v>
      </c>
      <c r="B23" t="s">
        <v>1279</v>
      </c>
      <c r="C23" t="s">
        <v>1280</v>
      </c>
      <c r="D23" s="3">
        <v>24877</v>
      </c>
      <c r="E23" t="s">
        <v>1188</v>
      </c>
      <c r="G23" s="3">
        <v>44700</v>
      </c>
      <c r="H23" t="s">
        <v>1281</v>
      </c>
      <c r="J23" t="s">
        <v>1191</v>
      </c>
      <c r="K23" t="s">
        <v>185</v>
      </c>
      <c r="L23" s="3">
        <v>46117</v>
      </c>
      <c r="M23" s="3">
        <v>46104</v>
      </c>
      <c r="N23" t="s">
        <v>1282</v>
      </c>
      <c r="O23" s="4">
        <v>1</v>
      </c>
      <c r="P23">
        <v>0</v>
      </c>
      <c r="Q23">
        <v>0</v>
      </c>
    </row>
    <row r="24" spans="1:18" x14ac:dyDescent="0.3">
      <c r="A24">
        <v>39850</v>
      </c>
      <c r="B24" t="s">
        <v>1283</v>
      </c>
      <c r="C24" t="s">
        <v>1284</v>
      </c>
      <c r="D24" s="3">
        <v>26488</v>
      </c>
      <c r="E24" t="s">
        <v>1188</v>
      </c>
      <c r="G24" s="3">
        <v>45264</v>
      </c>
      <c r="H24" t="s">
        <v>1285</v>
      </c>
      <c r="J24" t="s">
        <v>1196</v>
      </c>
      <c r="K24" t="s">
        <v>185</v>
      </c>
      <c r="L24" s="3">
        <v>47106</v>
      </c>
      <c r="M24" s="3">
        <v>47077</v>
      </c>
      <c r="N24" t="s">
        <v>1286</v>
      </c>
      <c r="O24" s="4">
        <v>1</v>
      </c>
      <c r="P24">
        <v>0</v>
      </c>
      <c r="Q24">
        <v>0</v>
      </c>
      <c r="R24" t="s">
        <v>1287</v>
      </c>
    </row>
    <row r="25" spans="1:18" x14ac:dyDescent="0.3">
      <c r="A25">
        <v>13017</v>
      </c>
      <c r="B25" t="s">
        <v>1288</v>
      </c>
      <c r="C25" t="s">
        <v>568</v>
      </c>
      <c r="D25" s="3">
        <v>28294</v>
      </c>
      <c r="E25" t="s">
        <v>1188</v>
      </c>
      <c r="F25">
        <v>188</v>
      </c>
      <c r="G25" s="3">
        <v>36923</v>
      </c>
      <c r="H25" t="s">
        <v>1289</v>
      </c>
      <c r="J25" t="s">
        <v>1290</v>
      </c>
      <c r="K25" t="s">
        <v>195</v>
      </c>
      <c r="L25" s="3">
        <v>73050</v>
      </c>
      <c r="M25" s="3">
        <v>46866</v>
      </c>
      <c r="N25" t="s">
        <v>1291</v>
      </c>
      <c r="O25" s="4">
        <v>0.8</v>
      </c>
      <c r="P25">
        <v>0</v>
      </c>
      <c r="Q25">
        <v>0</v>
      </c>
    </row>
    <row r="26" spans="1:18" x14ac:dyDescent="0.3">
      <c r="A26">
        <v>21662</v>
      </c>
      <c r="B26" t="s">
        <v>1292</v>
      </c>
      <c r="C26" t="s">
        <v>1293</v>
      </c>
      <c r="D26" s="3">
        <v>22761</v>
      </c>
      <c r="E26" t="s">
        <v>1188</v>
      </c>
      <c r="F26">
        <v>428</v>
      </c>
      <c r="G26" s="3">
        <v>39454</v>
      </c>
      <c r="H26" t="s">
        <v>1294</v>
      </c>
      <c r="I26">
        <v>93294697</v>
      </c>
      <c r="J26" t="s">
        <v>1214</v>
      </c>
      <c r="K26" t="s">
        <v>193</v>
      </c>
      <c r="L26" s="3">
        <v>72686</v>
      </c>
      <c r="M26" s="3">
        <v>72686</v>
      </c>
      <c r="N26" t="s">
        <v>1295</v>
      </c>
      <c r="O26" s="4">
        <v>0.5</v>
      </c>
      <c r="P26">
        <v>0</v>
      </c>
      <c r="Q26">
        <v>0</v>
      </c>
    </row>
    <row r="27" spans="1:18" x14ac:dyDescent="0.3">
      <c r="A27">
        <v>26639</v>
      </c>
      <c r="B27" t="s">
        <v>1296</v>
      </c>
      <c r="C27" t="s">
        <v>1297</v>
      </c>
      <c r="D27" s="3">
        <v>26831</v>
      </c>
      <c r="E27" t="s">
        <v>1188</v>
      </c>
      <c r="F27">
        <v>644</v>
      </c>
      <c r="G27" s="3">
        <v>40749</v>
      </c>
      <c r="H27" t="s">
        <v>1298</v>
      </c>
      <c r="J27" t="s">
        <v>1299</v>
      </c>
      <c r="K27" t="s">
        <v>195</v>
      </c>
      <c r="L27" s="3">
        <v>46802</v>
      </c>
      <c r="M27" s="3">
        <v>46763</v>
      </c>
      <c r="N27" t="s">
        <v>1300</v>
      </c>
      <c r="O27" s="4">
        <v>0.8</v>
      </c>
      <c r="P27">
        <v>0</v>
      </c>
      <c r="Q27">
        <v>0</v>
      </c>
    </row>
    <row r="28" spans="1:18" x14ac:dyDescent="0.3">
      <c r="A28">
        <v>19127</v>
      </c>
      <c r="B28" t="s">
        <v>1301</v>
      </c>
      <c r="C28" t="s">
        <v>1297</v>
      </c>
      <c r="D28" s="3">
        <v>26900</v>
      </c>
      <c r="E28" t="s">
        <v>1188</v>
      </c>
      <c r="F28">
        <v>476</v>
      </c>
      <c r="G28" s="3">
        <v>38810</v>
      </c>
      <c r="H28" t="s">
        <v>1302</v>
      </c>
      <c r="J28" t="s">
        <v>1303</v>
      </c>
      <c r="K28" t="s">
        <v>189</v>
      </c>
      <c r="L28" s="3">
        <v>45959</v>
      </c>
      <c r="M28" s="3">
        <v>45936</v>
      </c>
      <c r="N28" t="s">
        <v>1304</v>
      </c>
      <c r="O28" s="4">
        <v>1</v>
      </c>
      <c r="P28">
        <v>0</v>
      </c>
      <c r="Q28">
        <v>0</v>
      </c>
    </row>
    <row r="29" spans="1:18" x14ac:dyDescent="0.3">
      <c r="A29">
        <v>17555</v>
      </c>
      <c r="B29" t="s">
        <v>1305</v>
      </c>
      <c r="C29" t="s">
        <v>1297</v>
      </c>
      <c r="D29" s="3">
        <v>29308</v>
      </c>
      <c r="E29" t="s">
        <v>1188</v>
      </c>
      <c r="F29">
        <v>611</v>
      </c>
      <c r="G29" s="3">
        <v>38222</v>
      </c>
      <c r="H29" t="s">
        <v>1306</v>
      </c>
      <c r="J29" t="s">
        <v>1307</v>
      </c>
      <c r="K29" t="s">
        <v>187</v>
      </c>
      <c r="L29" s="3">
        <v>45868</v>
      </c>
      <c r="M29" s="3">
        <v>47021</v>
      </c>
      <c r="N29" t="s">
        <v>1308</v>
      </c>
      <c r="O29" s="4">
        <v>1</v>
      </c>
      <c r="P29">
        <v>0</v>
      </c>
      <c r="Q29">
        <v>1</v>
      </c>
    </row>
    <row r="30" spans="1:18" x14ac:dyDescent="0.3">
      <c r="A30">
        <v>14625</v>
      </c>
      <c r="B30" t="s">
        <v>1309</v>
      </c>
      <c r="C30" t="s">
        <v>1310</v>
      </c>
      <c r="D30" s="3">
        <v>23621</v>
      </c>
      <c r="E30" t="s">
        <v>1188</v>
      </c>
      <c r="F30">
        <v>7</v>
      </c>
      <c r="G30" s="3">
        <v>37397</v>
      </c>
      <c r="H30" t="s">
        <v>1311</v>
      </c>
      <c r="J30" t="s">
        <v>1312</v>
      </c>
      <c r="K30" t="s">
        <v>197</v>
      </c>
      <c r="L30" s="3">
        <v>45903</v>
      </c>
      <c r="M30" s="3">
        <v>46369</v>
      </c>
      <c r="N30" t="s">
        <v>1313</v>
      </c>
      <c r="O30" s="4">
        <v>0.8</v>
      </c>
      <c r="P30">
        <v>0</v>
      </c>
      <c r="Q30">
        <v>0</v>
      </c>
    </row>
    <row r="31" spans="1:18" x14ac:dyDescent="0.3">
      <c r="A31">
        <v>25680</v>
      </c>
      <c r="B31" t="s">
        <v>1314</v>
      </c>
      <c r="C31" t="s">
        <v>1315</v>
      </c>
      <c r="D31" s="3">
        <v>29775</v>
      </c>
      <c r="E31" t="s">
        <v>1188</v>
      </c>
      <c r="F31">
        <v>606</v>
      </c>
      <c r="G31" s="3">
        <v>40455</v>
      </c>
      <c r="H31" t="s">
        <v>1316</v>
      </c>
      <c r="J31" t="s">
        <v>1263</v>
      </c>
      <c r="K31" t="s">
        <v>195</v>
      </c>
      <c r="L31" s="3">
        <v>45829</v>
      </c>
      <c r="M31" s="3">
        <v>45825</v>
      </c>
      <c r="N31" t="s">
        <v>1317</v>
      </c>
      <c r="O31" s="4">
        <v>0.8</v>
      </c>
      <c r="P31">
        <v>0</v>
      </c>
      <c r="Q31">
        <v>1</v>
      </c>
    </row>
    <row r="32" spans="1:18" x14ac:dyDescent="0.3">
      <c r="A32">
        <v>27672</v>
      </c>
      <c r="B32" t="s">
        <v>1318</v>
      </c>
      <c r="C32" t="s">
        <v>1319</v>
      </c>
      <c r="D32" s="3">
        <v>31877</v>
      </c>
      <c r="E32" t="s">
        <v>1188</v>
      </c>
      <c r="F32">
        <v>199</v>
      </c>
      <c r="G32" s="3">
        <v>41204</v>
      </c>
      <c r="H32" t="s">
        <v>1320</v>
      </c>
      <c r="J32" t="s">
        <v>1321</v>
      </c>
      <c r="K32" t="s">
        <v>199</v>
      </c>
      <c r="L32" s="3">
        <v>72686</v>
      </c>
      <c r="M32" s="3">
        <v>46476</v>
      </c>
      <c r="N32" t="s">
        <v>1322</v>
      </c>
      <c r="O32" s="4">
        <v>1</v>
      </c>
      <c r="P32">
        <v>0</v>
      </c>
      <c r="Q32">
        <v>0</v>
      </c>
    </row>
    <row r="33" spans="1:17" x14ac:dyDescent="0.3">
      <c r="A33">
        <v>19016</v>
      </c>
      <c r="B33" t="s">
        <v>1323</v>
      </c>
      <c r="C33" t="s">
        <v>1319</v>
      </c>
      <c r="D33" s="3">
        <v>25538</v>
      </c>
      <c r="E33" t="s">
        <v>1188</v>
      </c>
      <c r="F33">
        <v>97</v>
      </c>
      <c r="G33" s="3">
        <v>38775</v>
      </c>
      <c r="H33" t="s">
        <v>1324</v>
      </c>
      <c r="I33">
        <v>92322233</v>
      </c>
      <c r="J33" t="s">
        <v>1290</v>
      </c>
      <c r="K33" t="s">
        <v>191</v>
      </c>
      <c r="L33" s="3">
        <v>46063</v>
      </c>
      <c r="M33" s="3">
        <v>46014</v>
      </c>
      <c r="N33" t="s">
        <v>1325</v>
      </c>
      <c r="O33" s="4">
        <v>1</v>
      </c>
      <c r="P33">
        <v>0</v>
      </c>
      <c r="Q33">
        <v>0</v>
      </c>
    </row>
    <row r="34" spans="1:17" x14ac:dyDescent="0.3">
      <c r="A34">
        <v>21428</v>
      </c>
      <c r="B34" t="s">
        <v>1326</v>
      </c>
      <c r="C34" t="s">
        <v>1327</v>
      </c>
      <c r="D34" s="3">
        <v>25671</v>
      </c>
      <c r="E34" t="s">
        <v>1188</v>
      </c>
      <c r="F34">
        <v>328</v>
      </c>
      <c r="G34" s="3">
        <v>39370</v>
      </c>
      <c r="H34" t="s">
        <v>1328</v>
      </c>
      <c r="J34" t="s">
        <v>1267</v>
      </c>
      <c r="K34" t="s">
        <v>191</v>
      </c>
      <c r="L34" s="3">
        <v>46806</v>
      </c>
      <c r="M34" s="3">
        <v>46798</v>
      </c>
      <c r="N34" t="s">
        <v>1329</v>
      </c>
      <c r="O34" s="4">
        <v>0.8</v>
      </c>
      <c r="P34">
        <v>0</v>
      </c>
      <c r="Q34">
        <v>0</v>
      </c>
    </row>
    <row r="35" spans="1:17" x14ac:dyDescent="0.3">
      <c r="A35">
        <v>15852</v>
      </c>
      <c r="B35" t="s">
        <v>1330</v>
      </c>
      <c r="C35" t="s">
        <v>1327</v>
      </c>
      <c r="D35" s="3">
        <v>29948</v>
      </c>
      <c r="E35" t="s">
        <v>1188</v>
      </c>
      <c r="F35">
        <v>251</v>
      </c>
      <c r="G35" s="3">
        <v>37788</v>
      </c>
      <c r="H35" t="s">
        <v>1331</v>
      </c>
      <c r="J35" t="s">
        <v>1290</v>
      </c>
      <c r="K35" t="s">
        <v>195</v>
      </c>
      <c r="L35" s="3">
        <v>45885</v>
      </c>
      <c r="M35" s="3">
        <v>46776</v>
      </c>
      <c r="N35" t="s">
        <v>1332</v>
      </c>
      <c r="O35" s="4">
        <v>0.8</v>
      </c>
      <c r="P35">
        <v>0</v>
      </c>
      <c r="Q35">
        <v>0</v>
      </c>
    </row>
    <row r="36" spans="1:17" x14ac:dyDescent="0.3">
      <c r="A36">
        <v>33639</v>
      </c>
      <c r="B36" t="s">
        <v>1333</v>
      </c>
      <c r="C36" t="s">
        <v>1334</v>
      </c>
      <c r="D36" s="3">
        <v>23813</v>
      </c>
      <c r="E36" t="s">
        <v>1188</v>
      </c>
      <c r="F36">
        <v>104</v>
      </c>
      <c r="G36" s="3">
        <v>43528</v>
      </c>
      <c r="H36" t="s">
        <v>1335</v>
      </c>
      <c r="J36" t="s">
        <v>1220</v>
      </c>
      <c r="K36" t="s">
        <v>197</v>
      </c>
      <c r="L36" s="3">
        <v>47085</v>
      </c>
      <c r="M36" s="3">
        <v>47051</v>
      </c>
      <c r="N36" t="s">
        <v>1336</v>
      </c>
      <c r="O36" s="4">
        <v>0.5</v>
      </c>
      <c r="P36">
        <v>0</v>
      </c>
      <c r="Q36">
        <v>0</v>
      </c>
    </row>
    <row r="37" spans="1:17" x14ac:dyDescent="0.3">
      <c r="A37">
        <v>40744</v>
      </c>
      <c r="B37" t="s">
        <v>1337</v>
      </c>
      <c r="C37" t="s">
        <v>1338</v>
      </c>
      <c r="D37" s="3">
        <v>34859</v>
      </c>
      <c r="E37" t="s">
        <v>1188</v>
      </c>
      <c r="G37" s="3">
        <v>45484</v>
      </c>
      <c r="H37" t="s">
        <v>1339</v>
      </c>
      <c r="J37" t="s">
        <v>1196</v>
      </c>
      <c r="K37" t="s">
        <v>187</v>
      </c>
      <c r="L37" s="3">
        <v>47329</v>
      </c>
      <c r="M37" s="3">
        <v>47300</v>
      </c>
      <c r="N37" t="s">
        <v>1340</v>
      </c>
      <c r="O37" s="4">
        <v>1</v>
      </c>
      <c r="P37">
        <v>0</v>
      </c>
      <c r="Q37">
        <v>0</v>
      </c>
    </row>
    <row r="38" spans="1:17" x14ac:dyDescent="0.3">
      <c r="A38">
        <v>41383</v>
      </c>
      <c r="B38" t="s">
        <v>1341</v>
      </c>
      <c r="C38" t="s">
        <v>1342</v>
      </c>
      <c r="D38" s="3">
        <v>25272</v>
      </c>
      <c r="E38" t="s">
        <v>1188</v>
      </c>
      <c r="G38" s="3">
        <v>45663</v>
      </c>
      <c r="H38" t="s">
        <v>1343</v>
      </c>
      <c r="J38" t="s">
        <v>1196</v>
      </c>
      <c r="K38" t="s">
        <v>191</v>
      </c>
      <c r="L38" s="3">
        <v>47506</v>
      </c>
      <c r="M38" s="3">
        <v>47449</v>
      </c>
      <c r="N38" t="s">
        <v>1344</v>
      </c>
      <c r="O38" s="4">
        <v>1</v>
      </c>
      <c r="P38">
        <v>0</v>
      </c>
      <c r="Q38">
        <v>0</v>
      </c>
    </row>
    <row r="39" spans="1:17" x14ac:dyDescent="0.3">
      <c r="A39">
        <v>23545</v>
      </c>
      <c r="B39" t="s">
        <v>1345</v>
      </c>
      <c r="C39" t="s">
        <v>1342</v>
      </c>
      <c r="D39" s="3">
        <v>24859</v>
      </c>
      <c r="E39" t="s">
        <v>1188</v>
      </c>
      <c r="F39">
        <v>151</v>
      </c>
      <c r="G39" s="3">
        <v>39895</v>
      </c>
      <c r="H39" t="s">
        <v>1346</v>
      </c>
      <c r="J39" t="s">
        <v>1312</v>
      </c>
      <c r="K39" t="s">
        <v>197</v>
      </c>
      <c r="L39" s="3">
        <v>47043</v>
      </c>
      <c r="M39" s="3">
        <v>47034</v>
      </c>
      <c r="N39" t="s">
        <v>1347</v>
      </c>
      <c r="O39" s="4">
        <v>0.8</v>
      </c>
      <c r="P39">
        <v>0</v>
      </c>
      <c r="Q39">
        <v>0</v>
      </c>
    </row>
    <row r="40" spans="1:17" x14ac:dyDescent="0.3">
      <c r="A40">
        <v>15676</v>
      </c>
      <c r="B40" t="s">
        <v>1348</v>
      </c>
      <c r="C40" t="s">
        <v>1342</v>
      </c>
      <c r="D40" s="3">
        <v>28338</v>
      </c>
      <c r="E40" t="s">
        <v>1188</v>
      </c>
      <c r="F40">
        <v>186</v>
      </c>
      <c r="G40" s="3">
        <v>37739</v>
      </c>
      <c r="I40">
        <v>93797745</v>
      </c>
      <c r="J40" t="s">
        <v>1349</v>
      </c>
      <c r="K40" t="s">
        <v>197</v>
      </c>
      <c r="L40" s="3">
        <v>45812</v>
      </c>
      <c r="M40" s="3">
        <v>46434</v>
      </c>
      <c r="N40" t="s">
        <v>1350</v>
      </c>
      <c r="O40" s="4">
        <v>1</v>
      </c>
      <c r="P40">
        <v>0</v>
      </c>
      <c r="Q40">
        <v>1</v>
      </c>
    </row>
    <row r="41" spans="1:17" x14ac:dyDescent="0.3">
      <c r="A41">
        <v>10150</v>
      </c>
      <c r="B41" t="s">
        <v>1351</v>
      </c>
      <c r="C41" t="s">
        <v>1342</v>
      </c>
      <c r="D41" s="3">
        <v>24256</v>
      </c>
      <c r="E41" t="s">
        <v>1188</v>
      </c>
      <c r="F41">
        <v>107</v>
      </c>
      <c r="G41" s="3">
        <v>35891</v>
      </c>
      <c r="H41" t="s">
        <v>1352</v>
      </c>
      <c r="J41" t="s">
        <v>1290</v>
      </c>
      <c r="K41" t="s">
        <v>199</v>
      </c>
      <c r="L41" s="3">
        <v>73050</v>
      </c>
      <c r="M41" s="3">
        <v>46791</v>
      </c>
      <c r="N41" t="s">
        <v>1353</v>
      </c>
      <c r="O41" s="4">
        <v>0.8</v>
      </c>
      <c r="P41">
        <v>0</v>
      </c>
      <c r="Q41">
        <v>0</v>
      </c>
    </row>
    <row r="42" spans="1:17" x14ac:dyDescent="0.3">
      <c r="A42">
        <v>35463</v>
      </c>
      <c r="B42" t="s">
        <v>1354</v>
      </c>
      <c r="C42" t="s">
        <v>1355</v>
      </c>
      <c r="D42" s="3">
        <v>31006</v>
      </c>
      <c r="E42" t="s">
        <v>1188</v>
      </c>
      <c r="F42">
        <v>38</v>
      </c>
      <c r="G42" s="3">
        <v>44025</v>
      </c>
      <c r="H42" t="s">
        <v>1356</v>
      </c>
      <c r="J42" t="s">
        <v>1229</v>
      </c>
      <c r="K42" t="s">
        <v>185</v>
      </c>
      <c r="L42" s="3">
        <v>45866</v>
      </c>
      <c r="M42" s="3">
        <v>45802</v>
      </c>
      <c r="N42" t="s">
        <v>1357</v>
      </c>
      <c r="O42" s="4">
        <v>1</v>
      </c>
      <c r="P42">
        <v>0</v>
      </c>
      <c r="Q42">
        <v>0</v>
      </c>
    </row>
    <row r="43" spans="1:17" x14ac:dyDescent="0.3">
      <c r="A43">
        <v>34890</v>
      </c>
      <c r="B43" t="s">
        <v>1358</v>
      </c>
      <c r="C43" t="s">
        <v>1355</v>
      </c>
      <c r="D43" s="3">
        <v>31820</v>
      </c>
      <c r="E43" t="s">
        <v>1188</v>
      </c>
      <c r="F43">
        <v>365</v>
      </c>
      <c r="G43" s="3">
        <v>43808</v>
      </c>
      <c r="H43" t="s">
        <v>1359</v>
      </c>
      <c r="I43">
        <v>487367392</v>
      </c>
      <c r="J43" t="s">
        <v>1229</v>
      </c>
      <c r="K43" t="s">
        <v>187</v>
      </c>
      <c r="L43" s="3">
        <v>46251</v>
      </c>
      <c r="M43" s="3">
        <v>47413</v>
      </c>
      <c r="N43" t="s">
        <v>1360</v>
      </c>
      <c r="O43" s="4">
        <v>1</v>
      </c>
      <c r="P43">
        <v>0</v>
      </c>
      <c r="Q43">
        <v>1</v>
      </c>
    </row>
    <row r="44" spans="1:17" x14ac:dyDescent="0.3">
      <c r="A44">
        <v>34019</v>
      </c>
      <c r="B44" t="s">
        <v>1361</v>
      </c>
      <c r="C44" t="s">
        <v>1355</v>
      </c>
      <c r="D44" s="3">
        <v>31359</v>
      </c>
      <c r="E44" t="s">
        <v>1188</v>
      </c>
      <c r="F44">
        <v>329</v>
      </c>
      <c r="G44" s="3">
        <v>43627</v>
      </c>
      <c r="H44" t="s">
        <v>1362</v>
      </c>
      <c r="I44">
        <v>495418640</v>
      </c>
      <c r="J44" t="s">
        <v>1267</v>
      </c>
      <c r="K44" t="s">
        <v>189</v>
      </c>
      <c r="L44" s="3">
        <v>47051</v>
      </c>
      <c r="M44" s="3">
        <v>47044</v>
      </c>
      <c r="N44" t="s">
        <v>1363</v>
      </c>
      <c r="O44" s="4">
        <v>1</v>
      </c>
      <c r="P44">
        <v>0</v>
      </c>
      <c r="Q44">
        <v>1</v>
      </c>
    </row>
    <row r="45" spans="1:17" x14ac:dyDescent="0.3">
      <c r="A45">
        <v>31600</v>
      </c>
      <c r="B45" t="s">
        <v>1364</v>
      </c>
      <c r="C45" t="s">
        <v>1355</v>
      </c>
      <c r="D45" s="3">
        <v>32464</v>
      </c>
      <c r="E45" t="s">
        <v>1188</v>
      </c>
      <c r="F45">
        <v>6</v>
      </c>
      <c r="G45" s="3">
        <v>42843</v>
      </c>
      <c r="H45" t="s">
        <v>1365</v>
      </c>
      <c r="J45" t="s">
        <v>1366</v>
      </c>
      <c r="K45" t="s">
        <v>193</v>
      </c>
      <c r="L45" s="3">
        <v>46419</v>
      </c>
      <c r="M45" s="3">
        <v>46418</v>
      </c>
      <c r="N45" t="s">
        <v>1367</v>
      </c>
      <c r="O45" s="4">
        <v>1</v>
      </c>
      <c r="P45">
        <v>0</v>
      </c>
      <c r="Q45">
        <v>0</v>
      </c>
    </row>
    <row r="46" spans="1:17" x14ac:dyDescent="0.3">
      <c r="A46">
        <v>30119</v>
      </c>
      <c r="B46" t="s">
        <v>1368</v>
      </c>
      <c r="C46" t="s">
        <v>1355</v>
      </c>
      <c r="D46" s="3">
        <v>24008</v>
      </c>
      <c r="E46" t="s">
        <v>1188</v>
      </c>
      <c r="F46">
        <v>143</v>
      </c>
      <c r="G46" s="3">
        <v>42198</v>
      </c>
      <c r="H46" t="s">
        <v>1369</v>
      </c>
      <c r="J46" t="s">
        <v>1263</v>
      </c>
      <c r="K46" t="s">
        <v>185</v>
      </c>
      <c r="L46" s="3">
        <v>47569</v>
      </c>
      <c r="M46" s="3">
        <v>47517</v>
      </c>
      <c r="N46" t="s">
        <v>1370</v>
      </c>
      <c r="O46" s="4">
        <v>1</v>
      </c>
      <c r="P46">
        <v>0</v>
      </c>
      <c r="Q46">
        <v>1</v>
      </c>
    </row>
    <row r="47" spans="1:17" x14ac:dyDescent="0.3">
      <c r="A47">
        <v>12124</v>
      </c>
      <c r="B47" t="s">
        <v>1371</v>
      </c>
      <c r="C47" t="s">
        <v>1355</v>
      </c>
      <c r="D47" s="3">
        <v>28780</v>
      </c>
      <c r="E47" t="s">
        <v>1188</v>
      </c>
      <c r="F47">
        <v>397</v>
      </c>
      <c r="G47" s="3">
        <v>36654</v>
      </c>
      <c r="H47" t="s">
        <v>1372</v>
      </c>
      <c r="J47" t="s">
        <v>1373</v>
      </c>
      <c r="K47" t="s">
        <v>199</v>
      </c>
      <c r="L47" s="3">
        <v>73050</v>
      </c>
      <c r="M47" s="3">
        <v>47460</v>
      </c>
      <c r="N47" t="s">
        <v>1374</v>
      </c>
      <c r="O47" s="4">
        <v>1</v>
      </c>
      <c r="P47">
        <v>0</v>
      </c>
      <c r="Q47">
        <v>0</v>
      </c>
    </row>
    <row r="48" spans="1:17" x14ac:dyDescent="0.3">
      <c r="A48">
        <v>32092</v>
      </c>
      <c r="B48" t="s">
        <v>1375</v>
      </c>
      <c r="C48" t="s">
        <v>1376</v>
      </c>
      <c r="D48" s="3">
        <v>35325</v>
      </c>
      <c r="E48" t="s">
        <v>1188</v>
      </c>
      <c r="F48">
        <v>78</v>
      </c>
      <c r="G48" s="3">
        <v>43003</v>
      </c>
      <c r="H48" t="s">
        <v>1377</v>
      </c>
      <c r="J48" t="s">
        <v>1378</v>
      </c>
      <c r="K48" t="s">
        <v>187</v>
      </c>
      <c r="L48" s="3">
        <v>46622</v>
      </c>
      <c r="M48" s="3">
        <v>46621</v>
      </c>
      <c r="N48" t="s">
        <v>1379</v>
      </c>
      <c r="O48" s="4">
        <v>0.8</v>
      </c>
      <c r="P48">
        <v>0</v>
      </c>
      <c r="Q48">
        <v>0</v>
      </c>
    </row>
    <row r="49" spans="1:17" x14ac:dyDescent="0.3">
      <c r="A49">
        <v>34198</v>
      </c>
      <c r="B49" t="s">
        <v>1380</v>
      </c>
      <c r="C49" t="s">
        <v>1381</v>
      </c>
      <c r="D49" s="3">
        <v>34236</v>
      </c>
      <c r="E49" t="s">
        <v>1188</v>
      </c>
      <c r="F49">
        <v>103</v>
      </c>
      <c r="G49" s="3">
        <v>43669</v>
      </c>
      <c r="H49" t="s">
        <v>1382</v>
      </c>
      <c r="I49">
        <v>32478510138</v>
      </c>
      <c r="J49" t="s">
        <v>1201</v>
      </c>
      <c r="K49" t="s">
        <v>191</v>
      </c>
      <c r="L49" s="3">
        <v>47267</v>
      </c>
      <c r="M49" s="3">
        <v>47170</v>
      </c>
      <c r="N49" t="s">
        <v>1383</v>
      </c>
      <c r="O49" s="4">
        <v>0.8</v>
      </c>
      <c r="P49">
        <v>0</v>
      </c>
      <c r="Q49">
        <v>0</v>
      </c>
    </row>
    <row r="50" spans="1:17" x14ac:dyDescent="0.3">
      <c r="A50">
        <v>40138</v>
      </c>
      <c r="B50" t="s">
        <v>1384</v>
      </c>
      <c r="C50" t="s">
        <v>1385</v>
      </c>
      <c r="D50" s="3">
        <v>37726</v>
      </c>
      <c r="E50" t="s">
        <v>1188</v>
      </c>
      <c r="G50" s="3">
        <v>45335</v>
      </c>
      <c r="H50" t="s">
        <v>1386</v>
      </c>
      <c r="J50" t="s">
        <v>1196</v>
      </c>
      <c r="K50" t="s">
        <v>189</v>
      </c>
      <c r="L50" s="3">
        <v>47181</v>
      </c>
      <c r="M50" s="3">
        <v>47139</v>
      </c>
      <c r="N50" t="s">
        <v>1387</v>
      </c>
      <c r="O50" s="4">
        <v>1</v>
      </c>
      <c r="P50">
        <v>0</v>
      </c>
      <c r="Q50">
        <v>0</v>
      </c>
    </row>
    <row r="51" spans="1:17" x14ac:dyDescent="0.3">
      <c r="A51">
        <v>41348</v>
      </c>
      <c r="B51" t="s">
        <v>1388</v>
      </c>
      <c r="C51" t="s">
        <v>1389</v>
      </c>
      <c r="D51" s="3">
        <v>35443</v>
      </c>
      <c r="E51" t="s">
        <v>1188</v>
      </c>
      <c r="G51" s="3">
        <v>45673</v>
      </c>
      <c r="H51" t="s">
        <v>1390</v>
      </c>
      <c r="J51" t="s">
        <v>1196</v>
      </c>
      <c r="K51" t="s">
        <v>189</v>
      </c>
      <c r="L51" s="3">
        <v>47050</v>
      </c>
      <c r="M51" s="3">
        <v>46973</v>
      </c>
      <c r="N51" t="s">
        <v>1391</v>
      </c>
      <c r="O51" s="4">
        <v>1</v>
      </c>
      <c r="P51">
        <v>0</v>
      </c>
      <c r="Q51">
        <v>0</v>
      </c>
    </row>
    <row r="52" spans="1:17" x14ac:dyDescent="0.3">
      <c r="A52">
        <v>33982</v>
      </c>
      <c r="B52" t="s">
        <v>1392</v>
      </c>
      <c r="C52" t="s">
        <v>1393</v>
      </c>
      <c r="D52" s="3">
        <v>30017</v>
      </c>
      <c r="E52" t="s">
        <v>1188</v>
      </c>
      <c r="F52">
        <v>215</v>
      </c>
      <c r="G52" s="3">
        <v>43605</v>
      </c>
      <c r="H52" t="s">
        <v>1394</v>
      </c>
      <c r="J52" t="s">
        <v>1395</v>
      </c>
      <c r="K52" t="s">
        <v>193</v>
      </c>
      <c r="L52" s="3">
        <v>47229</v>
      </c>
      <c r="M52" s="3">
        <v>47170</v>
      </c>
      <c r="N52" t="s">
        <v>1396</v>
      </c>
      <c r="O52" s="4">
        <v>0.8</v>
      </c>
      <c r="P52">
        <v>0</v>
      </c>
      <c r="Q52">
        <v>0</v>
      </c>
    </row>
    <row r="53" spans="1:17" x14ac:dyDescent="0.3">
      <c r="A53">
        <v>41384</v>
      </c>
      <c r="B53" t="s">
        <v>1397</v>
      </c>
      <c r="C53" t="s">
        <v>1398</v>
      </c>
      <c r="D53" s="3">
        <v>37981</v>
      </c>
      <c r="E53" t="s">
        <v>1188</v>
      </c>
      <c r="G53" s="3">
        <v>45677</v>
      </c>
      <c r="H53" t="s">
        <v>1399</v>
      </c>
      <c r="J53" t="s">
        <v>1196</v>
      </c>
      <c r="K53" t="s">
        <v>189</v>
      </c>
      <c r="L53" s="3">
        <v>47520</v>
      </c>
      <c r="M53" s="3">
        <v>47449</v>
      </c>
      <c r="N53" t="s">
        <v>1400</v>
      </c>
      <c r="O53" s="4">
        <v>1</v>
      </c>
      <c r="P53">
        <v>0</v>
      </c>
      <c r="Q53">
        <v>0</v>
      </c>
    </row>
    <row r="54" spans="1:17" x14ac:dyDescent="0.3">
      <c r="A54">
        <v>38346</v>
      </c>
      <c r="B54" t="s">
        <v>1401</v>
      </c>
      <c r="C54" t="s">
        <v>1402</v>
      </c>
      <c r="D54" s="3">
        <v>36662</v>
      </c>
      <c r="E54" t="s">
        <v>1188</v>
      </c>
      <c r="G54" s="3">
        <v>44886</v>
      </c>
      <c r="H54" t="s">
        <v>1403</v>
      </c>
      <c r="J54" t="s">
        <v>1234</v>
      </c>
      <c r="K54" t="s">
        <v>191</v>
      </c>
      <c r="L54" s="3">
        <v>46726</v>
      </c>
      <c r="M54" s="3">
        <v>46658</v>
      </c>
      <c r="N54" t="s">
        <v>1404</v>
      </c>
      <c r="O54" s="4">
        <v>1</v>
      </c>
      <c r="P54">
        <v>0</v>
      </c>
      <c r="Q54">
        <v>0</v>
      </c>
    </row>
    <row r="55" spans="1:17" x14ac:dyDescent="0.3">
      <c r="A55">
        <v>14425</v>
      </c>
      <c r="B55" t="s">
        <v>1354</v>
      </c>
      <c r="C55" t="s">
        <v>1405</v>
      </c>
      <c r="D55" s="3">
        <v>27851</v>
      </c>
      <c r="E55" t="s">
        <v>1188</v>
      </c>
      <c r="F55">
        <v>142</v>
      </c>
      <c r="G55" s="3">
        <v>37333</v>
      </c>
      <c r="H55" t="s">
        <v>1406</v>
      </c>
      <c r="J55" t="s">
        <v>1242</v>
      </c>
      <c r="K55" t="s">
        <v>187</v>
      </c>
      <c r="L55" s="3">
        <v>72686</v>
      </c>
      <c r="M55" s="3">
        <v>46798</v>
      </c>
      <c r="N55" t="s">
        <v>1407</v>
      </c>
      <c r="O55" s="4">
        <v>1</v>
      </c>
      <c r="P55">
        <v>0</v>
      </c>
      <c r="Q55">
        <v>0</v>
      </c>
    </row>
    <row r="56" spans="1:17" x14ac:dyDescent="0.3">
      <c r="A56">
        <v>27153</v>
      </c>
      <c r="B56" t="s">
        <v>1408</v>
      </c>
      <c r="C56" t="s">
        <v>1409</v>
      </c>
      <c r="D56" s="3">
        <v>32853</v>
      </c>
      <c r="E56" t="s">
        <v>1188</v>
      </c>
      <c r="F56">
        <v>648</v>
      </c>
      <c r="G56" s="3">
        <v>40952</v>
      </c>
      <c r="H56" t="s">
        <v>1410</v>
      </c>
      <c r="J56" t="s">
        <v>1411</v>
      </c>
      <c r="K56" t="s">
        <v>189</v>
      </c>
      <c r="L56" s="3">
        <v>46330</v>
      </c>
      <c r="M56" s="3">
        <v>46316</v>
      </c>
      <c r="N56" t="s">
        <v>1412</v>
      </c>
      <c r="O56" s="4">
        <v>1</v>
      </c>
      <c r="P56">
        <v>0</v>
      </c>
      <c r="Q56">
        <v>0</v>
      </c>
    </row>
    <row r="57" spans="1:17" x14ac:dyDescent="0.3">
      <c r="A57">
        <v>5559</v>
      </c>
      <c r="B57" t="s">
        <v>1361</v>
      </c>
      <c r="C57" t="s">
        <v>1413</v>
      </c>
      <c r="D57" s="3">
        <v>24869</v>
      </c>
      <c r="E57" t="s">
        <v>1188</v>
      </c>
      <c r="F57">
        <v>331</v>
      </c>
      <c r="G57" s="3">
        <v>33546</v>
      </c>
      <c r="H57" t="s">
        <v>1414</v>
      </c>
      <c r="J57" t="s">
        <v>1290</v>
      </c>
      <c r="K57" t="s">
        <v>199</v>
      </c>
      <c r="L57" s="3">
        <v>72686</v>
      </c>
      <c r="M57" s="3">
        <v>46985</v>
      </c>
      <c r="N57" t="s">
        <v>1415</v>
      </c>
      <c r="O57" s="4">
        <v>0.8</v>
      </c>
      <c r="P57">
        <v>0</v>
      </c>
      <c r="Q57">
        <v>0</v>
      </c>
    </row>
    <row r="58" spans="1:17" x14ac:dyDescent="0.3">
      <c r="A58">
        <v>16098</v>
      </c>
      <c r="B58" t="s">
        <v>1416</v>
      </c>
      <c r="C58" t="s">
        <v>1413</v>
      </c>
      <c r="D58" s="3">
        <v>22597</v>
      </c>
      <c r="E58" t="s">
        <v>1188</v>
      </c>
      <c r="F58">
        <v>439</v>
      </c>
      <c r="G58" s="3">
        <v>37830</v>
      </c>
      <c r="H58" t="s">
        <v>1417</v>
      </c>
      <c r="J58" t="s">
        <v>1267</v>
      </c>
      <c r="K58" t="s">
        <v>189</v>
      </c>
      <c r="L58" s="3">
        <v>45880</v>
      </c>
      <c r="M58" s="3">
        <v>46665</v>
      </c>
      <c r="N58" t="s">
        <v>1418</v>
      </c>
      <c r="O58" s="4">
        <v>0.8</v>
      </c>
      <c r="P58">
        <v>0</v>
      </c>
      <c r="Q58">
        <v>0</v>
      </c>
    </row>
    <row r="59" spans="1:17" x14ac:dyDescent="0.3">
      <c r="A59">
        <v>41091</v>
      </c>
      <c r="B59" t="s">
        <v>1419</v>
      </c>
      <c r="C59" t="s">
        <v>1420</v>
      </c>
      <c r="D59" s="3">
        <v>32903</v>
      </c>
      <c r="E59" t="s">
        <v>1188</v>
      </c>
      <c r="G59" s="3">
        <v>45603</v>
      </c>
      <c r="H59" t="s">
        <v>1421</v>
      </c>
      <c r="J59" t="s">
        <v>1196</v>
      </c>
      <c r="K59" t="s">
        <v>185</v>
      </c>
      <c r="L59" s="3">
        <v>47450</v>
      </c>
      <c r="M59" s="3">
        <v>47386</v>
      </c>
      <c r="N59" t="s">
        <v>1422</v>
      </c>
      <c r="O59" s="4">
        <v>1</v>
      </c>
      <c r="P59">
        <v>0</v>
      </c>
      <c r="Q59">
        <v>0</v>
      </c>
    </row>
    <row r="60" spans="1:17" x14ac:dyDescent="0.3">
      <c r="A60">
        <v>38579</v>
      </c>
      <c r="B60" t="s">
        <v>1423</v>
      </c>
      <c r="C60" t="s">
        <v>1424</v>
      </c>
      <c r="D60" s="3">
        <v>25028</v>
      </c>
      <c r="E60" t="s">
        <v>1188</v>
      </c>
      <c r="G60" s="3">
        <v>45035</v>
      </c>
      <c r="H60" t="s">
        <v>1425</v>
      </c>
      <c r="J60" t="s">
        <v>1196</v>
      </c>
      <c r="K60" t="s">
        <v>193</v>
      </c>
      <c r="L60" s="3">
        <v>45846</v>
      </c>
      <c r="M60" s="3">
        <v>46447</v>
      </c>
      <c r="N60" t="s">
        <v>1426</v>
      </c>
      <c r="O60" s="4">
        <v>1</v>
      </c>
      <c r="P60">
        <v>0</v>
      </c>
      <c r="Q60">
        <v>0</v>
      </c>
    </row>
    <row r="61" spans="1:17" x14ac:dyDescent="0.3">
      <c r="A61">
        <v>36154</v>
      </c>
      <c r="B61" t="s">
        <v>1301</v>
      </c>
      <c r="C61" t="s">
        <v>1424</v>
      </c>
      <c r="D61" s="3">
        <v>35578</v>
      </c>
      <c r="E61" t="s">
        <v>1188</v>
      </c>
      <c r="G61" s="3">
        <v>44214</v>
      </c>
      <c r="H61" t="s">
        <v>1427</v>
      </c>
      <c r="J61" t="s">
        <v>1395</v>
      </c>
      <c r="K61" t="s">
        <v>197</v>
      </c>
      <c r="L61" s="3">
        <v>46055</v>
      </c>
      <c r="M61" s="3">
        <v>45930</v>
      </c>
      <c r="N61" t="s">
        <v>1428</v>
      </c>
      <c r="O61" s="4">
        <v>0.8</v>
      </c>
      <c r="P61">
        <v>0</v>
      </c>
      <c r="Q61">
        <v>0</v>
      </c>
    </row>
    <row r="62" spans="1:17" x14ac:dyDescent="0.3">
      <c r="A62">
        <v>39651</v>
      </c>
      <c r="B62" t="s">
        <v>1429</v>
      </c>
      <c r="C62" t="s">
        <v>1430</v>
      </c>
      <c r="D62" s="3">
        <v>32321</v>
      </c>
      <c r="E62" t="s">
        <v>1188</v>
      </c>
      <c r="G62" s="3">
        <v>45208</v>
      </c>
      <c r="H62" t="s">
        <v>1431</v>
      </c>
      <c r="J62" t="s">
        <v>1196</v>
      </c>
      <c r="K62" t="s">
        <v>195</v>
      </c>
      <c r="L62" s="3">
        <v>47051</v>
      </c>
      <c r="M62" s="3">
        <v>47027</v>
      </c>
      <c r="N62" t="s">
        <v>1432</v>
      </c>
      <c r="O62" s="4">
        <v>1</v>
      </c>
      <c r="P62">
        <v>0</v>
      </c>
      <c r="Q62">
        <v>0</v>
      </c>
    </row>
    <row r="63" spans="1:17" x14ac:dyDescent="0.3">
      <c r="A63">
        <v>22244</v>
      </c>
      <c r="B63" t="s">
        <v>1433</v>
      </c>
      <c r="C63" t="s">
        <v>1434</v>
      </c>
      <c r="D63" s="3">
        <v>27824</v>
      </c>
      <c r="E63" t="s">
        <v>1188</v>
      </c>
      <c r="F63">
        <v>449</v>
      </c>
      <c r="G63" s="3">
        <v>39587</v>
      </c>
      <c r="H63" t="s">
        <v>1435</v>
      </c>
      <c r="J63" t="s">
        <v>1303</v>
      </c>
      <c r="K63" t="s">
        <v>189</v>
      </c>
      <c r="L63" s="3">
        <v>46032</v>
      </c>
      <c r="M63" s="3">
        <v>46742</v>
      </c>
      <c r="N63" t="s">
        <v>1436</v>
      </c>
      <c r="O63" s="4">
        <v>1</v>
      </c>
      <c r="P63">
        <v>0</v>
      </c>
      <c r="Q63">
        <v>0</v>
      </c>
    </row>
    <row r="64" spans="1:17" x14ac:dyDescent="0.3">
      <c r="A64">
        <v>37662</v>
      </c>
      <c r="B64" t="s">
        <v>1437</v>
      </c>
      <c r="C64" t="s">
        <v>1438</v>
      </c>
      <c r="D64" s="3">
        <v>31215</v>
      </c>
      <c r="E64" t="s">
        <v>1188</v>
      </c>
      <c r="G64" s="3">
        <v>44719</v>
      </c>
      <c r="H64" t="s">
        <v>1439</v>
      </c>
      <c r="J64" t="s">
        <v>1206</v>
      </c>
      <c r="K64" t="s">
        <v>187</v>
      </c>
      <c r="L64" s="3">
        <v>46560</v>
      </c>
      <c r="M64" s="3">
        <v>46518</v>
      </c>
      <c r="N64" t="s">
        <v>1440</v>
      </c>
      <c r="O64" s="4">
        <v>0.8</v>
      </c>
      <c r="P64">
        <v>0</v>
      </c>
      <c r="Q64">
        <v>0</v>
      </c>
    </row>
    <row r="65" spans="1:17" x14ac:dyDescent="0.3">
      <c r="A65">
        <v>29539</v>
      </c>
      <c r="B65" t="s">
        <v>1441</v>
      </c>
      <c r="C65" t="s">
        <v>1438</v>
      </c>
      <c r="D65" s="3">
        <v>32280</v>
      </c>
      <c r="E65" t="s">
        <v>1442</v>
      </c>
      <c r="F65">
        <v>366</v>
      </c>
      <c r="G65" s="3">
        <v>41981</v>
      </c>
      <c r="H65" t="s">
        <v>1443</v>
      </c>
      <c r="J65" t="s">
        <v>1444</v>
      </c>
      <c r="K65" t="s">
        <v>185</v>
      </c>
      <c r="L65" s="3">
        <v>47341</v>
      </c>
      <c r="M65" s="3">
        <v>47449</v>
      </c>
      <c r="N65" t="s">
        <v>1445</v>
      </c>
      <c r="O65" s="4">
        <v>0.8</v>
      </c>
      <c r="P65">
        <v>0</v>
      </c>
      <c r="Q65">
        <v>0</v>
      </c>
    </row>
    <row r="66" spans="1:17" x14ac:dyDescent="0.3">
      <c r="A66">
        <v>27209</v>
      </c>
      <c r="B66" t="s">
        <v>1446</v>
      </c>
      <c r="C66" t="s">
        <v>1438</v>
      </c>
      <c r="D66" s="3">
        <v>23065</v>
      </c>
      <c r="E66" t="s">
        <v>1188</v>
      </c>
      <c r="F66">
        <v>175</v>
      </c>
      <c r="G66" s="3">
        <v>40973</v>
      </c>
      <c r="H66" t="s">
        <v>1447</v>
      </c>
      <c r="J66" t="s">
        <v>1378</v>
      </c>
      <c r="K66" t="s">
        <v>193</v>
      </c>
      <c r="L66" s="3">
        <v>46960</v>
      </c>
      <c r="M66" s="3">
        <v>46210</v>
      </c>
      <c r="N66" t="s">
        <v>1448</v>
      </c>
      <c r="O66" s="4">
        <v>1</v>
      </c>
      <c r="P66">
        <v>0</v>
      </c>
      <c r="Q66">
        <v>1</v>
      </c>
    </row>
    <row r="67" spans="1:17" x14ac:dyDescent="0.3">
      <c r="A67">
        <v>26384</v>
      </c>
      <c r="B67" t="s">
        <v>1449</v>
      </c>
      <c r="C67" t="s">
        <v>1438</v>
      </c>
      <c r="D67" s="3">
        <v>28045</v>
      </c>
      <c r="E67" t="s">
        <v>1188</v>
      </c>
      <c r="F67">
        <v>54</v>
      </c>
      <c r="G67" s="3">
        <v>40700</v>
      </c>
      <c r="H67" t="s">
        <v>1450</v>
      </c>
      <c r="J67" t="s">
        <v>1307</v>
      </c>
      <c r="K67" t="s">
        <v>193</v>
      </c>
      <c r="L67" s="3">
        <v>46230</v>
      </c>
      <c r="M67" s="3">
        <v>46097</v>
      </c>
      <c r="N67" t="s">
        <v>1451</v>
      </c>
      <c r="O67" s="4">
        <v>0.8</v>
      </c>
      <c r="P67">
        <v>0</v>
      </c>
      <c r="Q67">
        <v>0</v>
      </c>
    </row>
    <row r="68" spans="1:17" x14ac:dyDescent="0.3">
      <c r="A68">
        <v>26198</v>
      </c>
      <c r="B68" t="s">
        <v>1452</v>
      </c>
      <c r="C68" t="s">
        <v>1438</v>
      </c>
      <c r="D68" s="3">
        <v>28199</v>
      </c>
      <c r="E68" t="s">
        <v>1188</v>
      </c>
      <c r="F68">
        <v>615</v>
      </c>
      <c r="G68" s="3">
        <v>40637</v>
      </c>
      <c r="H68" t="s">
        <v>1453</v>
      </c>
      <c r="J68" t="s">
        <v>1220</v>
      </c>
      <c r="K68" t="s">
        <v>195</v>
      </c>
      <c r="L68" s="3">
        <v>45993</v>
      </c>
      <c r="M68" s="3">
        <v>47408</v>
      </c>
      <c r="N68" t="s">
        <v>1454</v>
      </c>
      <c r="O68" s="4">
        <v>0.8</v>
      </c>
      <c r="P68">
        <v>0</v>
      </c>
      <c r="Q68">
        <v>1</v>
      </c>
    </row>
    <row r="69" spans="1:17" x14ac:dyDescent="0.3">
      <c r="A69">
        <v>36289</v>
      </c>
      <c r="B69" t="s">
        <v>1455</v>
      </c>
      <c r="C69" t="s">
        <v>1456</v>
      </c>
      <c r="D69" s="3">
        <v>28212</v>
      </c>
      <c r="E69" t="s">
        <v>1188</v>
      </c>
      <c r="G69" s="3">
        <v>44284</v>
      </c>
      <c r="H69" t="s">
        <v>1457</v>
      </c>
      <c r="J69" t="s">
        <v>1229</v>
      </c>
      <c r="K69" t="s">
        <v>191</v>
      </c>
      <c r="L69" s="3">
        <v>46127</v>
      </c>
      <c r="M69" s="3">
        <v>45930</v>
      </c>
      <c r="N69" t="s">
        <v>1458</v>
      </c>
      <c r="O69" s="4">
        <v>1</v>
      </c>
      <c r="P69">
        <v>0</v>
      </c>
      <c r="Q69">
        <v>1</v>
      </c>
    </row>
    <row r="70" spans="1:17" x14ac:dyDescent="0.3">
      <c r="A70">
        <v>31776</v>
      </c>
      <c r="B70" t="s">
        <v>1459</v>
      </c>
      <c r="C70" t="s">
        <v>1456</v>
      </c>
      <c r="D70" s="3">
        <v>30376</v>
      </c>
      <c r="E70" t="s">
        <v>1188</v>
      </c>
      <c r="F70">
        <v>294</v>
      </c>
      <c r="G70" s="3">
        <v>42933</v>
      </c>
      <c r="H70" t="s">
        <v>1460</v>
      </c>
      <c r="J70" t="s">
        <v>1378</v>
      </c>
      <c r="K70" t="s">
        <v>185</v>
      </c>
      <c r="L70" s="3">
        <v>46515</v>
      </c>
      <c r="M70" s="3">
        <v>46477</v>
      </c>
      <c r="N70" t="s">
        <v>1461</v>
      </c>
      <c r="O70" s="4">
        <v>1</v>
      </c>
      <c r="P70">
        <v>0</v>
      </c>
      <c r="Q70">
        <v>0</v>
      </c>
    </row>
    <row r="71" spans="1:17" x14ac:dyDescent="0.3">
      <c r="A71">
        <v>21892</v>
      </c>
      <c r="B71" t="s">
        <v>1462</v>
      </c>
      <c r="C71" t="s">
        <v>1456</v>
      </c>
      <c r="D71" s="3">
        <v>29470</v>
      </c>
      <c r="E71" t="s">
        <v>1188</v>
      </c>
      <c r="F71">
        <v>81</v>
      </c>
      <c r="G71" s="3">
        <v>39524</v>
      </c>
      <c r="H71" t="s">
        <v>1463</v>
      </c>
      <c r="J71" t="s">
        <v>1214</v>
      </c>
      <c r="K71" t="s">
        <v>199</v>
      </c>
      <c r="L71" s="3">
        <v>45852</v>
      </c>
      <c r="M71" s="3">
        <v>46925</v>
      </c>
      <c r="N71" t="s">
        <v>1464</v>
      </c>
      <c r="O71" s="4">
        <v>1</v>
      </c>
      <c r="P71">
        <v>0</v>
      </c>
      <c r="Q71">
        <v>0</v>
      </c>
    </row>
    <row r="72" spans="1:17" x14ac:dyDescent="0.3">
      <c r="A72">
        <v>13257</v>
      </c>
      <c r="B72" t="s">
        <v>1465</v>
      </c>
      <c r="C72" t="s">
        <v>1456</v>
      </c>
      <c r="D72" s="3">
        <v>26636</v>
      </c>
      <c r="E72" t="s">
        <v>1188</v>
      </c>
      <c r="F72">
        <v>237</v>
      </c>
      <c r="G72" s="3">
        <v>36998</v>
      </c>
      <c r="I72">
        <v>92300557</v>
      </c>
      <c r="J72" t="s">
        <v>1290</v>
      </c>
      <c r="K72" t="s">
        <v>195</v>
      </c>
      <c r="L72" s="3">
        <v>72686</v>
      </c>
      <c r="M72" s="3">
        <v>46182</v>
      </c>
      <c r="N72" t="s">
        <v>1466</v>
      </c>
      <c r="O72" s="4">
        <v>0.8</v>
      </c>
      <c r="P72">
        <v>0</v>
      </c>
      <c r="Q72">
        <v>0</v>
      </c>
    </row>
    <row r="73" spans="1:17" x14ac:dyDescent="0.3">
      <c r="A73">
        <v>7748</v>
      </c>
      <c r="B73" t="s">
        <v>1467</v>
      </c>
      <c r="C73" t="s">
        <v>1468</v>
      </c>
      <c r="D73" s="3">
        <v>25262</v>
      </c>
      <c r="E73" t="s">
        <v>1188</v>
      </c>
      <c r="F73">
        <v>164</v>
      </c>
      <c r="G73" s="3">
        <v>34932</v>
      </c>
      <c r="I73">
        <v>32496401543</v>
      </c>
      <c r="J73" t="s">
        <v>1242</v>
      </c>
      <c r="K73" t="s">
        <v>197</v>
      </c>
      <c r="L73" s="3">
        <v>45819</v>
      </c>
      <c r="M73" s="3">
        <v>47170</v>
      </c>
      <c r="N73" t="s">
        <v>1469</v>
      </c>
      <c r="O73" s="4">
        <v>1</v>
      </c>
      <c r="P73">
        <v>0</v>
      </c>
      <c r="Q73">
        <v>0</v>
      </c>
    </row>
    <row r="74" spans="1:17" x14ac:dyDescent="0.3">
      <c r="A74">
        <v>37216</v>
      </c>
      <c r="B74" t="s">
        <v>1470</v>
      </c>
      <c r="C74" t="s">
        <v>1471</v>
      </c>
      <c r="D74" s="3">
        <v>26618</v>
      </c>
      <c r="E74" t="s">
        <v>1188</v>
      </c>
      <c r="G74" s="3">
        <v>44664</v>
      </c>
      <c r="H74" t="s">
        <v>1472</v>
      </c>
      <c r="I74">
        <v>32477920791</v>
      </c>
      <c r="J74" t="s">
        <v>1196</v>
      </c>
      <c r="K74" t="s">
        <v>195</v>
      </c>
      <c r="L74" s="3">
        <v>47237</v>
      </c>
      <c r="M74" s="3">
        <v>47230</v>
      </c>
      <c r="N74" t="s">
        <v>1473</v>
      </c>
      <c r="O74" s="4">
        <v>1</v>
      </c>
      <c r="P74">
        <v>0</v>
      </c>
      <c r="Q74">
        <v>0</v>
      </c>
    </row>
    <row r="75" spans="1:17" x14ac:dyDescent="0.3">
      <c r="A75">
        <v>25487</v>
      </c>
      <c r="B75" t="s">
        <v>1474</v>
      </c>
      <c r="C75" t="s">
        <v>1475</v>
      </c>
      <c r="D75" s="3">
        <v>24366</v>
      </c>
      <c r="E75" t="s">
        <v>1188</v>
      </c>
      <c r="F75">
        <v>479</v>
      </c>
      <c r="G75" s="3">
        <v>40385</v>
      </c>
      <c r="H75" t="s">
        <v>1476</v>
      </c>
      <c r="J75" t="s">
        <v>1277</v>
      </c>
      <c r="K75" t="s">
        <v>199</v>
      </c>
      <c r="L75" s="3">
        <v>45831</v>
      </c>
      <c r="M75" s="3">
        <v>45727</v>
      </c>
      <c r="N75" t="s">
        <v>1477</v>
      </c>
      <c r="O75" s="4">
        <v>0.8</v>
      </c>
      <c r="P75">
        <v>0</v>
      </c>
      <c r="Q75">
        <v>0</v>
      </c>
    </row>
    <row r="76" spans="1:17" x14ac:dyDescent="0.3">
      <c r="A76">
        <v>19675</v>
      </c>
      <c r="B76" t="s">
        <v>1478</v>
      </c>
      <c r="C76" t="s">
        <v>1479</v>
      </c>
      <c r="D76" s="3">
        <v>25000</v>
      </c>
      <c r="E76" t="s">
        <v>1188</v>
      </c>
      <c r="F76">
        <v>345</v>
      </c>
      <c r="G76" s="3">
        <v>38929</v>
      </c>
      <c r="H76" t="s">
        <v>1480</v>
      </c>
      <c r="J76" t="s">
        <v>1290</v>
      </c>
      <c r="K76" t="s">
        <v>195</v>
      </c>
      <c r="L76" s="3">
        <v>72686</v>
      </c>
      <c r="M76" s="3">
        <v>46181</v>
      </c>
      <c r="N76" t="s">
        <v>1481</v>
      </c>
      <c r="O76" s="4">
        <v>1</v>
      </c>
      <c r="P76">
        <v>0</v>
      </c>
      <c r="Q76">
        <v>0</v>
      </c>
    </row>
    <row r="77" spans="1:17" x14ac:dyDescent="0.3">
      <c r="A77">
        <v>32951</v>
      </c>
      <c r="B77" t="s">
        <v>1482</v>
      </c>
      <c r="C77" t="s">
        <v>1483</v>
      </c>
      <c r="D77" s="3">
        <v>26191</v>
      </c>
      <c r="E77" t="s">
        <v>1188</v>
      </c>
      <c r="F77">
        <v>20</v>
      </c>
      <c r="G77" s="3">
        <v>43304</v>
      </c>
      <c r="H77" t="s">
        <v>1484</v>
      </c>
      <c r="J77" t="s">
        <v>1378</v>
      </c>
      <c r="K77" t="s">
        <v>197</v>
      </c>
      <c r="L77" s="3">
        <v>46828</v>
      </c>
      <c r="M77" s="3">
        <v>46810</v>
      </c>
      <c r="N77" t="s">
        <v>1485</v>
      </c>
      <c r="O77" s="4">
        <v>1</v>
      </c>
      <c r="P77">
        <v>0</v>
      </c>
      <c r="Q77">
        <v>1</v>
      </c>
    </row>
    <row r="78" spans="1:17" x14ac:dyDescent="0.3">
      <c r="A78">
        <v>14261</v>
      </c>
      <c r="B78" t="s">
        <v>1354</v>
      </c>
      <c r="C78" t="s">
        <v>1486</v>
      </c>
      <c r="D78" s="3">
        <v>26466</v>
      </c>
      <c r="E78" t="s">
        <v>1188</v>
      </c>
      <c r="F78">
        <v>424</v>
      </c>
      <c r="G78" s="3">
        <v>37284</v>
      </c>
      <c r="H78" t="s">
        <v>1487</v>
      </c>
      <c r="J78" t="s">
        <v>1488</v>
      </c>
      <c r="K78" t="s">
        <v>191</v>
      </c>
      <c r="L78" s="3">
        <v>45923</v>
      </c>
      <c r="M78" s="3">
        <v>46064</v>
      </c>
      <c r="N78" t="s">
        <v>1489</v>
      </c>
      <c r="O78" s="4">
        <v>0.8</v>
      </c>
      <c r="P78">
        <v>0</v>
      </c>
      <c r="Q78">
        <v>0</v>
      </c>
    </row>
    <row r="79" spans="1:17" x14ac:dyDescent="0.3">
      <c r="A79">
        <v>40134</v>
      </c>
      <c r="B79" t="s">
        <v>1490</v>
      </c>
      <c r="C79" t="s">
        <v>1491</v>
      </c>
      <c r="D79" s="3">
        <v>34917</v>
      </c>
      <c r="E79" t="s">
        <v>1188</v>
      </c>
      <c r="G79" s="3">
        <v>45364</v>
      </c>
      <c r="H79" t="s">
        <v>1492</v>
      </c>
      <c r="J79" t="s">
        <v>1196</v>
      </c>
      <c r="K79" t="s">
        <v>185</v>
      </c>
      <c r="L79" s="3">
        <v>47210</v>
      </c>
      <c r="M79" s="3">
        <v>47141</v>
      </c>
      <c r="N79" t="s">
        <v>1493</v>
      </c>
      <c r="O79" s="4">
        <v>1</v>
      </c>
      <c r="P79">
        <v>0</v>
      </c>
      <c r="Q79">
        <v>0</v>
      </c>
    </row>
    <row r="80" spans="1:17" x14ac:dyDescent="0.3">
      <c r="A80">
        <v>40222</v>
      </c>
      <c r="B80" t="s">
        <v>1494</v>
      </c>
      <c r="C80" t="s">
        <v>1491</v>
      </c>
      <c r="D80" s="3">
        <v>35955</v>
      </c>
      <c r="E80" t="s">
        <v>1188</v>
      </c>
      <c r="G80" s="3">
        <v>45349</v>
      </c>
      <c r="H80" t="s">
        <v>1495</v>
      </c>
      <c r="J80" t="s">
        <v>1196</v>
      </c>
      <c r="K80" t="s">
        <v>185</v>
      </c>
      <c r="L80" s="3">
        <v>47194</v>
      </c>
      <c r="M80" s="3">
        <v>47161</v>
      </c>
      <c r="N80" t="s">
        <v>1496</v>
      </c>
      <c r="O80" s="4">
        <v>1</v>
      </c>
      <c r="P80">
        <v>0</v>
      </c>
      <c r="Q80">
        <v>0</v>
      </c>
    </row>
    <row r="81" spans="1:17" x14ac:dyDescent="0.3">
      <c r="A81">
        <v>39829</v>
      </c>
      <c r="B81" t="s">
        <v>1497</v>
      </c>
      <c r="C81" t="s">
        <v>1498</v>
      </c>
      <c r="D81" s="3">
        <v>32321</v>
      </c>
      <c r="E81" t="s">
        <v>1188</v>
      </c>
      <c r="G81" s="3">
        <v>45264</v>
      </c>
      <c r="H81" t="s">
        <v>1499</v>
      </c>
      <c r="J81" t="s">
        <v>1196</v>
      </c>
      <c r="K81" t="s">
        <v>197</v>
      </c>
      <c r="L81" s="3">
        <v>47107</v>
      </c>
      <c r="M81" s="3">
        <v>47072</v>
      </c>
      <c r="N81" t="s">
        <v>1500</v>
      </c>
      <c r="O81" s="4">
        <v>1</v>
      </c>
      <c r="P81">
        <v>0</v>
      </c>
      <c r="Q81">
        <v>0</v>
      </c>
    </row>
    <row r="82" spans="1:17" x14ac:dyDescent="0.3">
      <c r="A82">
        <v>25679</v>
      </c>
      <c r="B82" t="s">
        <v>1501</v>
      </c>
      <c r="C82" t="s">
        <v>1502</v>
      </c>
      <c r="D82" s="3">
        <v>24380</v>
      </c>
      <c r="E82" t="s">
        <v>1188</v>
      </c>
      <c r="F82">
        <v>42</v>
      </c>
      <c r="G82" s="3">
        <v>40455</v>
      </c>
      <c r="H82" t="s">
        <v>1503</v>
      </c>
      <c r="I82">
        <v>92203627</v>
      </c>
      <c r="J82" t="s">
        <v>1504</v>
      </c>
      <c r="K82" t="s">
        <v>189</v>
      </c>
      <c r="L82" s="3">
        <v>46167</v>
      </c>
      <c r="M82" s="3">
        <v>46609</v>
      </c>
      <c r="N82" t="s">
        <v>1505</v>
      </c>
      <c r="O82" s="4">
        <v>0.8</v>
      </c>
      <c r="P82">
        <v>0</v>
      </c>
      <c r="Q82">
        <v>0</v>
      </c>
    </row>
    <row r="83" spans="1:17" x14ac:dyDescent="0.3">
      <c r="A83">
        <v>31550</v>
      </c>
      <c r="B83" t="s">
        <v>1506</v>
      </c>
      <c r="C83" t="s">
        <v>1507</v>
      </c>
      <c r="D83" s="3">
        <v>34332</v>
      </c>
      <c r="E83" t="s">
        <v>1188</v>
      </c>
      <c r="F83">
        <v>248</v>
      </c>
      <c r="G83" s="3">
        <v>42828</v>
      </c>
      <c r="H83" t="s">
        <v>1508</v>
      </c>
      <c r="J83" t="s">
        <v>1366</v>
      </c>
      <c r="K83" t="s">
        <v>185</v>
      </c>
      <c r="L83" s="3">
        <v>46455</v>
      </c>
      <c r="M83" s="3">
        <v>46453</v>
      </c>
      <c r="N83" t="s">
        <v>1509</v>
      </c>
      <c r="O83" s="4">
        <v>0.8</v>
      </c>
      <c r="P83">
        <v>0</v>
      </c>
      <c r="Q83">
        <v>0</v>
      </c>
    </row>
    <row r="84" spans="1:17" x14ac:dyDescent="0.3">
      <c r="A84">
        <v>38688</v>
      </c>
      <c r="B84" t="s">
        <v>1510</v>
      </c>
      <c r="C84" t="s">
        <v>1511</v>
      </c>
      <c r="D84" s="3">
        <v>34749</v>
      </c>
      <c r="E84" t="s">
        <v>1188</v>
      </c>
      <c r="G84" s="3">
        <v>45027</v>
      </c>
      <c r="H84" t="s">
        <v>1512</v>
      </c>
      <c r="J84" t="s">
        <v>1196</v>
      </c>
      <c r="K84" t="s">
        <v>193</v>
      </c>
      <c r="L84" s="3">
        <v>46869</v>
      </c>
      <c r="M84" s="3">
        <v>46776</v>
      </c>
      <c r="N84" t="s">
        <v>1513</v>
      </c>
      <c r="O84" s="4">
        <v>1</v>
      </c>
      <c r="P84">
        <v>0</v>
      </c>
      <c r="Q84">
        <v>0</v>
      </c>
    </row>
    <row r="85" spans="1:17" x14ac:dyDescent="0.3">
      <c r="A85">
        <v>41101</v>
      </c>
      <c r="B85" t="s">
        <v>1514</v>
      </c>
      <c r="C85" t="s">
        <v>1515</v>
      </c>
      <c r="D85" s="3">
        <v>35419</v>
      </c>
      <c r="E85" t="s">
        <v>1188</v>
      </c>
      <c r="G85" s="3">
        <v>45618</v>
      </c>
      <c r="H85" t="s">
        <v>1516</v>
      </c>
      <c r="J85" t="s">
        <v>1196</v>
      </c>
      <c r="K85" t="s">
        <v>185</v>
      </c>
      <c r="L85" s="3">
        <v>47463</v>
      </c>
      <c r="M85" s="3">
        <v>47364</v>
      </c>
      <c r="N85" t="s">
        <v>1517</v>
      </c>
      <c r="O85" s="4">
        <v>1</v>
      </c>
      <c r="P85">
        <v>0</v>
      </c>
      <c r="Q85">
        <v>0</v>
      </c>
    </row>
    <row r="86" spans="1:17" x14ac:dyDescent="0.3">
      <c r="A86">
        <v>32458</v>
      </c>
      <c r="B86" t="s">
        <v>1518</v>
      </c>
      <c r="C86" t="s">
        <v>1519</v>
      </c>
      <c r="D86" s="3">
        <v>24440</v>
      </c>
      <c r="E86" t="s">
        <v>1188</v>
      </c>
      <c r="F86">
        <v>168</v>
      </c>
      <c r="G86" s="3">
        <v>43150</v>
      </c>
      <c r="H86" t="s">
        <v>1520</v>
      </c>
      <c r="I86">
        <v>489745145</v>
      </c>
      <c r="J86" t="s">
        <v>1201</v>
      </c>
      <c r="K86" t="s">
        <v>193</v>
      </c>
      <c r="L86" s="3">
        <v>46595</v>
      </c>
      <c r="M86" s="3">
        <v>45863</v>
      </c>
      <c r="N86" t="s">
        <v>1521</v>
      </c>
      <c r="O86" s="4">
        <v>1</v>
      </c>
      <c r="P86">
        <v>0</v>
      </c>
      <c r="Q86">
        <v>1</v>
      </c>
    </row>
    <row r="87" spans="1:17" x14ac:dyDescent="0.3">
      <c r="A87">
        <v>30292</v>
      </c>
      <c r="B87" t="s">
        <v>1522</v>
      </c>
      <c r="C87" t="s">
        <v>1523</v>
      </c>
      <c r="D87" s="3">
        <v>31065</v>
      </c>
      <c r="E87" t="s">
        <v>1188</v>
      </c>
      <c r="F87">
        <v>369</v>
      </c>
      <c r="G87" s="3">
        <v>42282</v>
      </c>
      <c r="H87" t="s">
        <v>1524</v>
      </c>
      <c r="J87" t="s">
        <v>1263</v>
      </c>
      <c r="K87" t="s">
        <v>185</v>
      </c>
      <c r="L87" s="3">
        <v>45850</v>
      </c>
      <c r="M87" s="3">
        <v>45790</v>
      </c>
      <c r="N87" t="s">
        <v>1525</v>
      </c>
      <c r="O87" s="4">
        <v>1</v>
      </c>
      <c r="P87">
        <v>0</v>
      </c>
      <c r="Q87">
        <v>0</v>
      </c>
    </row>
    <row r="88" spans="1:17" x14ac:dyDescent="0.3">
      <c r="A88">
        <v>40939</v>
      </c>
      <c r="B88" t="s">
        <v>1526</v>
      </c>
      <c r="C88" t="s">
        <v>1527</v>
      </c>
      <c r="D88" s="3">
        <v>37866</v>
      </c>
      <c r="E88" t="s">
        <v>1188</v>
      </c>
      <c r="G88" s="3">
        <v>45530</v>
      </c>
      <c r="H88" t="s">
        <v>1528</v>
      </c>
      <c r="J88" t="s">
        <v>1196</v>
      </c>
      <c r="K88" t="s">
        <v>195</v>
      </c>
      <c r="L88" s="3">
        <v>47373</v>
      </c>
      <c r="M88" s="3">
        <v>47348</v>
      </c>
      <c r="N88" t="s">
        <v>1529</v>
      </c>
      <c r="O88" s="4">
        <v>1</v>
      </c>
      <c r="P88">
        <v>0</v>
      </c>
      <c r="Q88">
        <v>0</v>
      </c>
    </row>
    <row r="89" spans="1:17" x14ac:dyDescent="0.3">
      <c r="A89">
        <v>38550</v>
      </c>
      <c r="B89" t="s">
        <v>1423</v>
      </c>
      <c r="C89" t="s">
        <v>1530</v>
      </c>
      <c r="D89" s="3">
        <v>29647</v>
      </c>
      <c r="E89" t="s">
        <v>1188</v>
      </c>
      <c r="G89" s="3">
        <v>44984</v>
      </c>
      <c r="H89" t="s">
        <v>1531</v>
      </c>
      <c r="J89" t="s">
        <v>1299</v>
      </c>
      <c r="K89" t="s">
        <v>189</v>
      </c>
      <c r="L89" s="3">
        <v>46826</v>
      </c>
      <c r="M89" s="3">
        <v>46735</v>
      </c>
      <c r="N89" t="s">
        <v>1532</v>
      </c>
      <c r="O89" s="4">
        <v>0.8</v>
      </c>
      <c r="P89">
        <v>0</v>
      </c>
      <c r="Q89">
        <v>0</v>
      </c>
    </row>
    <row r="90" spans="1:17" x14ac:dyDescent="0.3">
      <c r="A90">
        <v>31165</v>
      </c>
      <c r="B90" t="s">
        <v>1533</v>
      </c>
      <c r="C90" t="s">
        <v>1534</v>
      </c>
      <c r="D90" s="3">
        <v>27145</v>
      </c>
      <c r="E90" t="s">
        <v>1188</v>
      </c>
      <c r="F90">
        <v>50</v>
      </c>
      <c r="G90" s="3">
        <v>42646</v>
      </c>
      <c r="H90" t="s">
        <v>1535</v>
      </c>
      <c r="J90" t="s">
        <v>1220</v>
      </c>
      <c r="K90" t="s">
        <v>197</v>
      </c>
      <c r="L90" s="3">
        <v>46238</v>
      </c>
      <c r="M90" s="3">
        <v>46210</v>
      </c>
      <c r="N90" t="s">
        <v>1536</v>
      </c>
      <c r="O90" s="4">
        <v>1</v>
      </c>
      <c r="P90">
        <v>0</v>
      </c>
      <c r="Q90">
        <v>0</v>
      </c>
    </row>
    <row r="91" spans="1:17" x14ac:dyDescent="0.3">
      <c r="A91">
        <v>8393</v>
      </c>
      <c r="B91" t="s">
        <v>1537</v>
      </c>
      <c r="C91" t="s">
        <v>1538</v>
      </c>
      <c r="D91" s="3">
        <v>26380</v>
      </c>
      <c r="E91" t="s">
        <v>1188</v>
      </c>
      <c r="F91">
        <v>272</v>
      </c>
      <c r="G91" s="3">
        <v>35219</v>
      </c>
      <c r="J91" t="s">
        <v>1290</v>
      </c>
      <c r="K91" t="s">
        <v>199</v>
      </c>
      <c r="L91" s="3">
        <v>73050</v>
      </c>
      <c r="M91" s="3">
        <v>45909</v>
      </c>
      <c r="N91" t="s">
        <v>1539</v>
      </c>
      <c r="O91" s="4">
        <v>0.8</v>
      </c>
      <c r="P91">
        <v>0</v>
      </c>
      <c r="Q91">
        <v>0</v>
      </c>
    </row>
    <row r="92" spans="1:17" x14ac:dyDescent="0.3">
      <c r="A92">
        <v>4793</v>
      </c>
      <c r="B92" t="s">
        <v>1540</v>
      </c>
      <c r="C92" t="s">
        <v>1538</v>
      </c>
      <c r="D92" s="3">
        <v>25160</v>
      </c>
      <c r="E92" t="s">
        <v>1188</v>
      </c>
      <c r="F92">
        <v>210</v>
      </c>
      <c r="G92" s="3">
        <v>32951</v>
      </c>
      <c r="H92" t="s">
        <v>1541</v>
      </c>
      <c r="J92" t="s">
        <v>1504</v>
      </c>
      <c r="K92" t="s">
        <v>197</v>
      </c>
      <c r="L92" s="3">
        <v>47588</v>
      </c>
      <c r="M92" s="3">
        <v>46453</v>
      </c>
      <c r="N92" t="s">
        <v>1542</v>
      </c>
      <c r="O92" s="4">
        <v>0.5</v>
      </c>
      <c r="P92">
        <v>0</v>
      </c>
      <c r="Q92">
        <v>1</v>
      </c>
    </row>
    <row r="93" spans="1:17" x14ac:dyDescent="0.3">
      <c r="A93">
        <v>40110</v>
      </c>
      <c r="B93" t="s">
        <v>1543</v>
      </c>
      <c r="C93" t="s">
        <v>1538</v>
      </c>
      <c r="D93" s="3">
        <v>26869</v>
      </c>
      <c r="E93" t="s">
        <v>1188</v>
      </c>
      <c r="G93" s="3">
        <v>45335</v>
      </c>
      <c r="H93" t="s">
        <v>1544</v>
      </c>
      <c r="I93">
        <v>93577730</v>
      </c>
      <c r="J93" t="s">
        <v>1196</v>
      </c>
      <c r="K93" t="s">
        <v>189</v>
      </c>
      <c r="L93" s="3">
        <v>47180</v>
      </c>
      <c r="M93" s="3">
        <v>47141</v>
      </c>
      <c r="N93" t="s">
        <v>1545</v>
      </c>
      <c r="O93" s="4">
        <v>1</v>
      </c>
      <c r="P93">
        <v>0</v>
      </c>
      <c r="Q93">
        <v>0</v>
      </c>
    </row>
    <row r="94" spans="1:17" x14ac:dyDescent="0.3">
      <c r="A94">
        <v>36559</v>
      </c>
      <c r="B94" t="s">
        <v>1546</v>
      </c>
      <c r="C94" t="s">
        <v>1538</v>
      </c>
      <c r="D94" s="3">
        <v>27176</v>
      </c>
      <c r="E94" t="s">
        <v>1188</v>
      </c>
      <c r="G94" s="3">
        <v>44347</v>
      </c>
      <c r="H94" t="s">
        <v>1547</v>
      </c>
      <c r="J94" t="s">
        <v>1395</v>
      </c>
      <c r="K94" t="s">
        <v>195</v>
      </c>
      <c r="L94" s="3">
        <v>46188</v>
      </c>
      <c r="M94" s="3">
        <v>46145</v>
      </c>
      <c r="N94" t="s">
        <v>1548</v>
      </c>
      <c r="O94" s="4">
        <v>1</v>
      </c>
      <c r="P94">
        <v>0</v>
      </c>
      <c r="Q94">
        <v>1</v>
      </c>
    </row>
    <row r="95" spans="1:17" x14ac:dyDescent="0.3">
      <c r="A95">
        <v>20612</v>
      </c>
      <c r="B95" t="s">
        <v>1549</v>
      </c>
      <c r="C95" t="s">
        <v>1538</v>
      </c>
      <c r="D95" s="3">
        <v>26097</v>
      </c>
      <c r="E95" t="s">
        <v>1188</v>
      </c>
      <c r="F95">
        <v>334</v>
      </c>
      <c r="G95" s="3">
        <v>39188</v>
      </c>
      <c r="H95" t="s">
        <v>1550</v>
      </c>
      <c r="J95" t="s">
        <v>1214</v>
      </c>
      <c r="K95" t="s">
        <v>199</v>
      </c>
      <c r="L95" s="3">
        <v>46042</v>
      </c>
      <c r="M95" s="3">
        <v>46418</v>
      </c>
      <c r="N95" t="s">
        <v>1551</v>
      </c>
      <c r="O95" s="4">
        <v>0.8</v>
      </c>
      <c r="P95">
        <v>0</v>
      </c>
      <c r="Q95">
        <v>1</v>
      </c>
    </row>
    <row r="96" spans="1:17" x14ac:dyDescent="0.3">
      <c r="A96">
        <v>29370</v>
      </c>
      <c r="B96" t="s">
        <v>1552</v>
      </c>
      <c r="C96" t="s">
        <v>1553</v>
      </c>
      <c r="D96" s="3">
        <v>29675</v>
      </c>
      <c r="E96" t="s">
        <v>1188</v>
      </c>
      <c r="F96">
        <v>375</v>
      </c>
      <c r="G96" s="3">
        <v>41904</v>
      </c>
      <c r="H96" t="s">
        <v>1554</v>
      </c>
      <c r="J96" t="s">
        <v>1206</v>
      </c>
      <c r="K96" t="s">
        <v>187</v>
      </c>
      <c r="L96" s="3">
        <v>47427</v>
      </c>
      <c r="M96" s="3">
        <v>47338</v>
      </c>
      <c r="N96" t="s">
        <v>1555</v>
      </c>
      <c r="O96" s="4">
        <v>0.7</v>
      </c>
      <c r="P96">
        <v>1</v>
      </c>
      <c r="Q96">
        <v>0</v>
      </c>
    </row>
    <row r="97" spans="1:17" x14ac:dyDescent="0.3">
      <c r="A97">
        <v>36543</v>
      </c>
      <c r="B97" t="s">
        <v>1556</v>
      </c>
      <c r="C97" t="s">
        <v>1557</v>
      </c>
      <c r="D97" s="3">
        <v>35351</v>
      </c>
      <c r="E97" t="s">
        <v>1188</v>
      </c>
      <c r="G97" s="3">
        <v>44347</v>
      </c>
      <c r="H97" t="s">
        <v>1558</v>
      </c>
      <c r="J97" t="s">
        <v>1196</v>
      </c>
      <c r="K97" t="s">
        <v>197</v>
      </c>
      <c r="L97" s="3">
        <v>46189</v>
      </c>
      <c r="M97" s="3">
        <v>46133</v>
      </c>
      <c r="N97" t="s">
        <v>1559</v>
      </c>
      <c r="O97" s="4">
        <v>0.5</v>
      </c>
      <c r="P97">
        <v>1</v>
      </c>
      <c r="Q97">
        <v>0</v>
      </c>
    </row>
    <row r="98" spans="1:17" x14ac:dyDescent="0.3">
      <c r="A98">
        <v>38731</v>
      </c>
      <c r="B98" t="s">
        <v>1560</v>
      </c>
      <c r="C98" t="s">
        <v>1561</v>
      </c>
      <c r="D98" s="3">
        <v>23866</v>
      </c>
      <c r="E98" t="s">
        <v>1188</v>
      </c>
      <c r="G98" s="3">
        <v>45062</v>
      </c>
      <c r="H98" t="s">
        <v>1562</v>
      </c>
      <c r="J98" t="s">
        <v>1196</v>
      </c>
      <c r="K98" t="s">
        <v>189</v>
      </c>
      <c r="L98" s="3">
        <v>46895</v>
      </c>
      <c r="M98" s="3">
        <v>47594</v>
      </c>
      <c r="N98" t="s">
        <v>1563</v>
      </c>
      <c r="O98" s="4">
        <v>0.5</v>
      </c>
      <c r="P98">
        <v>1</v>
      </c>
      <c r="Q98">
        <v>0</v>
      </c>
    </row>
    <row r="99" spans="1:17" x14ac:dyDescent="0.3">
      <c r="A99">
        <v>35709</v>
      </c>
      <c r="B99" t="s">
        <v>1564</v>
      </c>
      <c r="C99" t="s">
        <v>1565</v>
      </c>
      <c r="D99" s="3">
        <v>24400</v>
      </c>
      <c r="E99" t="s">
        <v>1188</v>
      </c>
      <c r="F99">
        <v>393</v>
      </c>
      <c r="G99" s="3">
        <v>44075</v>
      </c>
      <c r="I99">
        <v>492421081</v>
      </c>
      <c r="J99" t="s">
        <v>1206</v>
      </c>
      <c r="K99" t="s">
        <v>191</v>
      </c>
      <c r="L99" s="3">
        <v>46905</v>
      </c>
      <c r="M99" s="3">
        <v>46853</v>
      </c>
      <c r="N99" t="s">
        <v>1566</v>
      </c>
      <c r="O99" s="4">
        <v>0.8</v>
      </c>
      <c r="P99">
        <v>0</v>
      </c>
      <c r="Q99">
        <v>0</v>
      </c>
    </row>
    <row r="100" spans="1:17" x14ac:dyDescent="0.3">
      <c r="A100">
        <v>38580</v>
      </c>
      <c r="B100" t="s">
        <v>1567</v>
      </c>
      <c r="C100" t="s">
        <v>1568</v>
      </c>
      <c r="D100" s="3">
        <v>36424</v>
      </c>
      <c r="E100" t="s">
        <v>1188</v>
      </c>
      <c r="G100" s="3">
        <v>44998</v>
      </c>
      <c r="H100" t="s">
        <v>1569</v>
      </c>
      <c r="J100" t="s">
        <v>1196</v>
      </c>
      <c r="K100" t="s">
        <v>193</v>
      </c>
      <c r="L100" s="3">
        <v>46840</v>
      </c>
      <c r="M100" s="3">
        <v>46760</v>
      </c>
      <c r="N100" t="s">
        <v>1570</v>
      </c>
      <c r="O100" s="4">
        <v>1</v>
      </c>
      <c r="P100">
        <v>0</v>
      </c>
      <c r="Q100">
        <v>0</v>
      </c>
    </row>
    <row r="101" spans="1:17" x14ac:dyDescent="0.3">
      <c r="A101">
        <v>35379</v>
      </c>
      <c r="B101" t="s">
        <v>1296</v>
      </c>
      <c r="C101" t="s">
        <v>1571</v>
      </c>
      <c r="D101" s="3">
        <v>27962</v>
      </c>
      <c r="E101" t="s">
        <v>1188</v>
      </c>
      <c r="F101">
        <v>350</v>
      </c>
      <c r="G101" s="3">
        <v>43969</v>
      </c>
      <c r="H101" t="s">
        <v>1572</v>
      </c>
      <c r="J101" t="s">
        <v>1234</v>
      </c>
      <c r="K101" t="s">
        <v>191</v>
      </c>
      <c r="L101" s="3">
        <v>47485</v>
      </c>
      <c r="M101" s="3">
        <v>47441</v>
      </c>
      <c r="N101" t="s">
        <v>1573</v>
      </c>
      <c r="O101" s="4">
        <v>1</v>
      </c>
      <c r="P101">
        <v>0</v>
      </c>
      <c r="Q101">
        <v>1</v>
      </c>
    </row>
    <row r="102" spans="1:17" x14ac:dyDescent="0.3">
      <c r="A102">
        <v>41671</v>
      </c>
      <c r="B102" t="s">
        <v>1574</v>
      </c>
      <c r="C102" t="s">
        <v>1575</v>
      </c>
      <c r="D102" s="3">
        <v>32357</v>
      </c>
      <c r="E102" t="s">
        <v>1188</v>
      </c>
      <c r="G102" s="3">
        <v>45783</v>
      </c>
      <c r="H102" t="s">
        <v>1576</v>
      </c>
      <c r="J102" t="s">
        <v>1196</v>
      </c>
      <c r="K102" t="s">
        <v>187</v>
      </c>
      <c r="L102" s="3">
        <v>1</v>
      </c>
      <c r="M102" s="3">
        <v>1</v>
      </c>
      <c r="N102" t="s">
        <v>1577</v>
      </c>
      <c r="O102" s="4">
        <v>1</v>
      </c>
      <c r="P102">
        <v>0</v>
      </c>
      <c r="Q102">
        <v>0</v>
      </c>
    </row>
    <row r="103" spans="1:17" x14ac:dyDescent="0.3">
      <c r="A103">
        <v>28071</v>
      </c>
      <c r="B103" t="s">
        <v>1578</v>
      </c>
      <c r="C103" t="s">
        <v>1579</v>
      </c>
      <c r="D103" s="3">
        <v>30399</v>
      </c>
      <c r="E103" t="s">
        <v>1188</v>
      </c>
      <c r="F103">
        <v>602</v>
      </c>
      <c r="G103" s="3">
        <v>41372</v>
      </c>
      <c r="H103" t="s">
        <v>1580</v>
      </c>
      <c r="J103" t="s">
        <v>1444</v>
      </c>
      <c r="K103" t="s">
        <v>193</v>
      </c>
      <c r="L103" s="3">
        <v>46817</v>
      </c>
      <c r="M103" s="3">
        <v>46735</v>
      </c>
      <c r="N103" t="s">
        <v>1581</v>
      </c>
      <c r="O103" s="4">
        <v>0.8</v>
      </c>
      <c r="P103">
        <v>0</v>
      </c>
      <c r="Q103">
        <v>0</v>
      </c>
    </row>
    <row r="104" spans="1:17" x14ac:dyDescent="0.3">
      <c r="A104">
        <v>40856</v>
      </c>
      <c r="B104" t="s">
        <v>1582</v>
      </c>
      <c r="C104" t="s">
        <v>1583</v>
      </c>
      <c r="D104" s="3">
        <v>31148</v>
      </c>
      <c r="E104" t="s">
        <v>1188</v>
      </c>
      <c r="G104" s="3">
        <v>45538</v>
      </c>
      <c r="H104" t="s">
        <v>1584</v>
      </c>
      <c r="J104" t="s">
        <v>1196</v>
      </c>
      <c r="K104" t="s">
        <v>195</v>
      </c>
      <c r="L104" s="3">
        <v>46847</v>
      </c>
      <c r="M104" s="3">
        <v>46684</v>
      </c>
      <c r="N104" t="s">
        <v>1585</v>
      </c>
      <c r="O104" s="4">
        <v>1</v>
      </c>
      <c r="P104">
        <v>0</v>
      </c>
      <c r="Q104">
        <v>0</v>
      </c>
    </row>
    <row r="105" spans="1:17" x14ac:dyDescent="0.3">
      <c r="A105">
        <v>5813</v>
      </c>
      <c r="B105" t="s">
        <v>1586</v>
      </c>
      <c r="C105" t="s">
        <v>1587</v>
      </c>
      <c r="D105" s="3">
        <v>24961</v>
      </c>
      <c r="E105" t="s">
        <v>1188</v>
      </c>
      <c r="F105">
        <v>19</v>
      </c>
      <c r="G105" s="3">
        <v>33742</v>
      </c>
      <c r="H105" t="s">
        <v>1588</v>
      </c>
      <c r="J105" t="s">
        <v>1488</v>
      </c>
      <c r="K105" t="s">
        <v>197</v>
      </c>
      <c r="L105" s="3">
        <v>45851</v>
      </c>
      <c r="M105" s="3">
        <v>46308</v>
      </c>
      <c r="N105" t="s">
        <v>1589</v>
      </c>
      <c r="O105" s="4">
        <v>0.8</v>
      </c>
      <c r="P105">
        <v>0</v>
      </c>
      <c r="Q105">
        <v>1</v>
      </c>
    </row>
    <row r="106" spans="1:17" x14ac:dyDescent="0.3">
      <c r="A106">
        <v>14070</v>
      </c>
      <c r="B106" t="s">
        <v>1590</v>
      </c>
      <c r="C106" t="s">
        <v>1587</v>
      </c>
      <c r="D106" s="3">
        <v>26839</v>
      </c>
      <c r="E106" t="s">
        <v>1188</v>
      </c>
      <c r="F106">
        <v>208</v>
      </c>
      <c r="G106" s="3">
        <v>37214</v>
      </c>
      <c r="H106" t="s">
        <v>1591</v>
      </c>
      <c r="J106" t="s">
        <v>1488</v>
      </c>
      <c r="K106" t="s">
        <v>193</v>
      </c>
      <c r="L106" s="3">
        <v>72686</v>
      </c>
      <c r="M106" s="3">
        <v>46887</v>
      </c>
      <c r="N106" t="s">
        <v>1592</v>
      </c>
      <c r="O106" s="4">
        <v>0.8</v>
      </c>
      <c r="P106">
        <v>0</v>
      </c>
      <c r="Q106">
        <v>0</v>
      </c>
    </row>
    <row r="107" spans="1:17" x14ac:dyDescent="0.3">
      <c r="A107">
        <v>39145</v>
      </c>
      <c r="B107" t="s">
        <v>1593</v>
      </c>
      <c r="C107" t="s">
        <v>1594</v>
      </c>
      <c r="D107" s="3">
        <v>27446</v>
      </c>
      <c r="E107" t="s">
        <v>1188</v>
      </c>
      <c r="G107" s="3">
        <v>45166</v>
      </c>
      <c r="H107" t="s">
        <v>1595</v>
      </c>
      <c r="J107" t="s">
        <v>1196</v>
      </c>
      <c r="K107" t="s">
        <v>189</v>
      </c>
      <c r="L107" s="3">
        <v>47371</v>
      </c>
      <c r="M107" s="3">
        <v>47351</v>
      </c>
      <c r="N107" t="s">
        <v>1596</v>
      </c>
      <c r="O107" s="4">
        <v>1</v>
      </c>
      <c r="P107">
        <v>0</v>
      </c>
      <c r="Q107">
        <v>0</v>
      </c>
    </row>
    <row r="108" spans="1:17" x14ac:dyDescent="0.3">
      <c r="A108">
        <v>37509</v>
      </c>
      <c r="B108" t="s">
        <v>1597</v>
      </c>
      <c r="C108" t="s">
        <v>1598</v>
      </c>
      <c r="D108" s="3">
        <v>32284</v>
      </c>
      <c r="E108" t="s">
        <v>1188</v>
      </c>
      <c r="G108" s="3">
        <v>44670</v>
      </c>
      <c r="H108" t="s">
        <v>1599</v>
      </c>
      <c r="J108" t="s">
        <v>1206</v>
      </c>
      <c r="K108" t="s">
        <v>187</v>
      </c>
      <c r="L108" s="3">
        <v>46515</v>
      </c>
      <c r="M108" s="3">
        <v>46470</v>
      </c>
      <c r="N108" t="s">
        <v>1600</v>
      </c>
      <c r="O108" s="4">
        <v>0</v>
      </c>
      <c r="P108">
        <v>0</v>
      </c>
      <c r="Q108">
        <v>0</v>
      </c>
    </row>
    <row r="109" spans="1:17" x14ac:dyDescent="0.3">
      <c r="A109">
        <v>16282</v>
      </c>
      <c r="B109" t="s">
        <v>1601</v>
      </c>
      <c r="C109" t="s">
        <v>1602</v>
      </c>
      <c r="D109" s="3">
        <v>26137</v>
      </c>
      <c r="E109" t="s">
        <v>1188</v>
      </c>
      <c r="F109">
        <v>273</v>
      </c>
      <c r="G109" s="3">
        <v>37886</v>
      </c>
      <c r="H109" t="s">
        <v>1603</v>
      </c>
      <c r="J109" t="s">
        <v>1290</v>
      </c>
      <c r="K109" t="s">
        <v>195</v>
      </c>
      <c r="L109" s="3">
        <v>72686</v>
      </c>
      <c r="M109" s="3">
        <v>47498</v>
      </c>
      <c r="N109" t="s">
        <v>1604</v>
      </c>
      <c r="O109" s="4">
        <v>0.8</v>
      </c>
      <c r="P109">
        <v>0</v>
      </c>
      <c r="Q109">
        <v>0</v>
      </c>
    </row>
    <row r="110" spans="1:17" x14ac:dyDescent="0.3">
      <c r="A110">
        <v>17954</v>
      </c>
      <c r="B110" t="s">
        <v>1543</v>
      </c>
      <c r="C110" t="s">
        <v>1605</v>
      </c>
      <c r="D110" s="3">
        <v>24694</v>
      </c>
      <c r="E110" t="s">
        <v>1188</v>
      </c>
      <c r="F110">
        <v>171</v>
      </c>
      <c r="G110" s="3">
        <v>38404</v>
      </c>
      <c r="H110" t="s">
        <v>1606</v>
      </c>
      <c r="I110">
        <v>92306884</v>
      </c>
      <c r="J110" t="s">
        <v>1349</v>
      </c>
      <c r="K110" t="s">
        <v>197</v>
      </c>
      <c r="L110" s="3">
        <v>47316</v>
      </c>
      <c r="M110" s="3">
        <v>47306</v>
      </c>
      <c r="N110" t="s">
        <v>1607</v>
      </c>
      <c r="O110" s="4">
        <v>0.8</v>
      </c>
      <c r="P110">
        <v>0</v>
      </c>
      <c r="Q110">
        <v>0</v>
      </c>
    </row>
    <row r="111" spans="1:17" x14ac:dyDescent="0.3">
      <c r="A111">
        <v>41632</v>
      </c>
      <c r="B111" t="s">
        <v>1608</v>
      </c>
      <c r="C111" t="s">
        <v>1609</v>
      </c>
      <c r="D111" s="3">
        <v>24767</v>
      </c>
      <c r="E111" t="s">
        <v>1188</v>
      </c>
      <c r="G111" s="3">
        <v>45720</v>
      </c>
      <c r="H111" t="s">
        <v>1610</v>
      </c>
      <c r="J111" t="s">
        <v>1196</v>
      </c>
      <c r="K111" t="s">
        <v>187</v>
      </c>
      <c r="L111" s="3">
        <v>47562</v>
      </c>
      <c r="M111" s="3">
        <v>47533</v>
      </c>
      <c r="N111" t="s">
        <v>1611</v>
      </c>
      <c r="O111" s="4">
        <v>1</v>
      </c>
      <c r="P111">
        <v>0</v>
      </c>
      <c r="Q111">
        <v>0</v>
      </c>
    </row>
    <row r="112" spans="1:17" x14ac:dyDescent="0.3">
      <c r="A112">
        <v>36505</v>
      </c>
      <c r="B112" t="s">
        <v>1612</v>
      </c>
      <c r="C112" t="s">
        <v>1613</v>
      </c>
      <c r="D112" s="3">
        <v>35806</v>
      </c>
      <c r="E112" t="s">
        <v>1188</v>
      </c>
      <c r="G112" s="3">
        <v>44333</v>
      </c>
      <c r="H112" t="s">
        <v>1614</v>
      </c>
      <c r="I112" t="s">
        <v>1615</v>
      </c>
      <c r="J112" t="s">
        <v>1196</v>
      </c>
      <c r="K112" t="s">
        <v>195</v>
      </c>
      <c r="L112" s="3">
        <v>46174</v>
      </c>
      <c r="M112" s="3">
        <v>46097</v>
      </c>
      <c r="N112" t="s">
        <v>1616</v>
      </c>
      <c r="O112" s="4">
        <v>1</v>
      </c>
      <c r="P112">
        <v>0</v>
      </c>
      <c r="Q112">
        <v>0</v>
      </c>
    </row>
    <row r="113" spans="1:17" x14ac:dyDescent="0.3">
      <c r="A113">
        <v>16546</v>
      </c>
      <c r="B113" t="s">
        <v>1617</v>
      </c>
      <c r="C113" t="s">
        <v>1618</v>
      </c>
      <c r="D113" s="3">
        <v>24253</v>
      </c>
      <c r="E113" t="s">
        <v>1188</v>
      </c>
      <c r="F113">
        <v>380</v>
      </c>
      <c r="G113" s="3">
        <v>37991</v>
      </c>
      <c r="H113" t="s">
        <v>1619</v>
      </c>
      <c r="J113" t="s">
        <v>1267</v>
      </c>
      <c r="K113" t="s">
        <v>189</v>
      </c>
      <c r="L113" s="3">
        <v>45864</v>
      </c>
      <c r="M113" s="3">
        <v>46726</v>
      </c>
      <c r="N113" t="s">
        <v>1620</v>
      </c>
      <c r="O113" s="4">
        <v>0.5</v>
      </c>
      <c r="P113">
        <v>0</v>
      </c>
      <c r="Q113">
        <v>0</v>
      </c>
    </row>
    <row r="114" spans="1:17" x14ac:dyDescent="0.3">
      <c r="A114">
        <v>35026</v>
      </c>
      <c r="B114" t="s">
        <v>1621</v>
      </c>
      <c r="C114" t="s">
        <v>1622</v>
      </c>
      <c r="D114" s="3">
        <v>32327</v>
      </c>
      <c r="E114" t="s">
        <v>1188</v>
      </c>
      <c r="F114">
        <v>399</v>
      </c>
      <c r="G114" s="3">
        <v>43850</v>
      </c>
      <c r="H114" t="s">
        <v>1623</v>
      </c>
      <c r="J114" t="s">
        <v>1206</v>
      </c>
      <c r="K114" t="s">
        <v>199</v>
      </c>
      <c r="L114" s="3">
        <v>47434</v>
      </c>
      <c r="M114" s="3">
        <v>47377</v>
      </c>
      <c r="N114" t="s">
        <v>1624</v>
      </c>
      <c r="O114" s="4">
        <v>0.8</v>
      </c>
      <c r="P114">
        <v>0</v>
      </c>
      <c r="Q114">
        <v>0</v>
      </c>
    </row>
    <row r="115" spans="1:17" x14ac:dyDescent="0.3">
      <c r="A115">
        <v>9158</v>
      </c>
      <c r="B115" t="s">
        <v>940</v>
      </c>
      <c r="C115" t="s">
        <v>1625</v>
      </c>
      <c r="D115" s="3">
        <v>26119</v>
      </c>
      <c r="E115" t="s">
        <v>1188</v>
      </c>
      <c r="F115">
        <v>180</v>
      </c>
      <c r="G115" s="3">
        <v>35513</v>
      </c>
      <c r="I115">
        <v>93572444</v>
      </c>
      <c r="J115" t="s">
        <v>1290</v>
      </c>
      <c r="K115" t="s">
        <v>199</v>
      </c>
      <c r="L115" s="3">
        <v>72686</v>
      </c>
      <c r="M115" s="3">
        <v>46834</v>
      </c>
      <c r="N115" t="s">
        <v>1626</v>
      </c>
      <c r="O115" s="4">
        <v>1</v>
      </c>
      <c r="P115">
        <v>0</v>
      </c>
      <c r="Q115">
        <v>0</v>
      </c>
    </row>
    <row r="116" spans="1:17" x14ac:dyDescent="0.3">
      <c r="A116">
        <v>21383</v>
      </c>
      <c r="B116" t="s">
        <v>1627</v>
      </c>
      <c r="C116" t="s">
        <v>1625</v>
      </c>
      <c r="D116" s="3">
        <v>26590</v>
      </c>
      <c r="E116" t="s">
        <v>1188</v>
      </c>
      <c r="F116">
        <v>291</v>
      </c>
      <c r="G116" s="3">
        <v>39356</v>
      </c>
      <c r="H116" t="s">
        <v>1628</v>
      </c>
      <c r="I116">
        <v>92303180</v>
      </c>
      <c r="J116" t="s">
        <v>1277</v>
      </c>
      <c r="K116" t="s">
        <v>195</v>
      </c>
      <c r="L116" s="3">
        <v>72686</v>
      </c>
      <c r="M116" s="3">
        <v>45790</v>
      </c>
      <c r="N116" t="s">
        <v>1629</v>
      </c>
      <c r="O116" s="4">
        <v>0.8</v>
      </c>
      <c r="P116">
        <v>0</v>
      </c>
      <c r="Q116">
        <v>0</v>
      </c>
    </row>
    <row r="117" spans="1:17" x14ac:dyDescent="0.3">
      <c r="A117">
        <v>13345</v>
      </c>
      <c r="B117" t="s">
        <v>1630</v>
      </c>
      <c r="C117" t="s">
        <v>1625</v>
      </c>
      <c r="D117" s="3">
        <v>25829</v>
      </c>
      <c r="E117" t="s">
        <v>1188</v>
      </c>
      <c r="F117">
        <v>578</v>
      </c>
      <c r="G117" s="3">
        <v>37018</v>
      </c>
      <c r="H117" t="s">
        <v>1631</v>
      </c>
      <c r="J117" t="s">
        <v>1299</v>
      </c>
      <c r="K117" t="s">
        <v>195</v>
      </c>
      <c r="L117" s="3">
        <v>45838</v>
      </c>
      <c r="M117" s="3">
        <v>46003</v>
      </c>
      <c r="N117" t="s">
        <v>1632</v>
      </c>
      <c r="O117" s="4">
        <v>1</v>
      </c>
      <c r="P117">
        <v>0</v>
      </c>
      <c r="Q117">
        <v>0</v>
      </c>
    </row>
    <row r="118" spans="1:17" x14ac:dyDescent="0.3">
      <c r="A118">
        <v>15626</v>
      </c>
      <c r="B118" t="s">
        <v>1633</v>
      </c>
      <c r="C118" t="s">
        <v>1634</v>
      </c>
      <c r="D118" s="3">
        <v>29917</v>
      </c>
      <c r="E118" t="s">
        <v>1188</v>
      </c>
      <c r="F118">
        <v>556</v>
      </c>
      <c r="G118" s="3">
        <v>37718</v>
      </c>
      <c r="H118" t="s">
        <v>1635</v>
      </c>
      <c r="J118" t="s">
        <v>1307</v>
      </c>
      <c r="K118" t="s">
        <v>187</v>
      </c>
      <c r="L118" s="3">
        <v>45866</v>
      </c>
      <c r="M118" s="3">
        <v>46466</v>
      </c>
      <c r="N118" t="s">
        <v>1636</v>
      </c>
      <c r="O118" s="4">
        <v>0.8</v>
      </c>
      <c r="P118">
        <v>0</v>
      </c>
      <c r="Q118">
        <v>0</v>
      </c>
    </row>
    <row r="119" spans="1:17" x14ac:dyDescent="0.3">
      <c r="A119">
        <v>8016</v>
      </c>
      <c r="B119" t="s">
        <v>1637</v>
      </c>
      <c r="C119" t="s">
        <v>1638</v>
      </c>
      <c r="D119" s="3">
        <v>24555</v>
      </c>
      <c r="E119" t="s">
        <v>1442</v>
      </c>
      <c r="F119">
        <v>100</v>
      </c>
      <c r="G119" s="3">
        <v>35065</v>
      </c>
      <c r="H119" t="s">
        <v>1639</v>
      </c>
      <c r="J119" t="s">
        <v>1488</v>
      </c>
      <c r="K119" t="s">
        <v>185</v>
      </c>
      <c r="L119" s="3">
        <v>72686</v>
      </c>
      <c r="M119" s="3">
        <v>46146</v>
      </c>
      <c r="N119" t="s">
        <v>1640</v>
      </c>
      <c r="O119" s="4">
        <v>0.8</v>
      </c>
      <c r="P119">
        <v>0</v>
      </c>
      <c r="Q119">
        <v>0</v>
      </c>
    </row>
    <row r="120" spans="1:17" x14ac:dyDescent="0.3">
      <c r="A120">
        <v>26137</v>
      </c>
      <c r="B120" t="s">
        <v>1641</v>
      </c>
      <c r="C120" t="s">
        <v>1638</v>
      </c>
      <c r="D120" s="3">
        <v>22939</v>
      </c>
      <c r="E120" t="s">
        <v>1188</v>
      </c>
      <c r="F120">
        <v>61</v>
      </c>
      <c r="G120" s="3">
        <v>40623</v>
      </c>
      <c r="H120" t="s">
        <v>1642</v>
      </c>
      <c r="J120" t="s">
        <v>1263</v>
      </c>
      <c r="K120" t="s">
        <v>199</v>
      </c>
      <c r="L120" s="3">
        <v>45948</v>
      </c>
      <c r="M120" s="3">
        <v>46046</v>
      </c>
      <c r="N120" t="s">
        <v>1643</v>
      </c>
      <c r="O120" s="4">
        <v>0.8</v>
      </c>
      <c r="P120">
        <v>0</v>
      </c>
      <c r="Q120">
        <v>0</v>
      </c>
    </row>
    <row r="121" spans="1:17" x14ac:dyDescent="0.3">
      <c r="A121">
        <v>36625</v>
      </c>
      <c r="B121" t="s">
        <v>1644</v>
      </c>
      <c r="C121" t="s">
        <v>1645</v>
      </c>
      <c r="D121" s="3">
        <v>30329</v>
      </c>
      <c r="E121" t="s">
        <v>1188</v>
      </c>
      <c r="G121" s="3">
        <v>44389</v>
      </c>
      <c r="H121" t="s">
        <v>1646</v>
      </c>
      <c r="J121" t="s">
        <v>1234</v>
      </c>
      <c r="K121" t="s">
        <v>195</v>
      </c>
      <c r="L121" s="3">
        <v>46293</v>
      </c>
      <c r="M121" s="3">
        <v>46260</v>
      </c>
      <c r="N121" t="s">
        <v>1647</v>
      </c>
      <c r="O121" s="4">
        <v>1</v>
      </c>
      <c r="P121">
        <v>0</v>
      </c>
      <c r="Q121">
        <v>0</v>
      </c>
    </row>
    <row r="122" spans="1:17" x14ac:dyDescent="0.3">
      <c r="A122">
        <v>39889</v>
      </c>
      <c r="B122" t="s">
        <v>1648</v>
      </c>
      <c r="C122" t="s">
        <v>1649</v>
      </c>
      <c r="D122" s="3">
        <v>28307</v>
      </c>
      <c r="E122" t="s">
        <v>1188</v>
      </c>
      <c r="G122" s="3">
        <v>45293</v>
      </c>
      <c r="H122" t="s">
        <v>1650</v>
      </c>
      <c r="J122" t="s">
        <v>1196</v>
      </c>
      <c r="K122" t="s">
        <v>199</v>
      </c>
      <c r="L122" s="3">
        <v>47140</v>
      </c>
      <c r="M122" s="3">
        <v>47090</v>
      </c>
      <c r="N122" t="s">
        <v>1651</v>
      </c>
      <c r="O122" s="4">
        <v>1</v>
      </c>
      <c r="P122">
        <v>0</v>
      </c>
      <c r="Q122">
        <v>0</v>
      </c>
    </row>
    <row r="123" spans="1:17" x14ac:dyDescent="0.3">
      <c r="A123">
        <v>23481</v>
      </c>
      <c r="B123" t="s">
        <v>1652</v>
      </c>
      <c r="C123" t="s">
        <v>1653</v>
      </c>
      <c r="D123" s="3">
        <v>29923</v>
      </c>
      <c r="E123" t="s">
        <v>1188</v>
      </c>
      <c r="F123">
        <v>533</v>
      </c>
      <c r="G123" s="3">
        <v>39881</v>
      </c>
      <c r="H123" t="s">
        <v>1654</v>
      </c>
      <c r="J123" t="s">
        <v>1307</v>
      </c>
      <c r="K123" t="s">
        <v>187</v>
      </c>
      <c r="L123" s="3">
        <v>46987</v>
      </c>
      <c r="M123" s="3">
        <v>46916</v>
      </c>
      <c r="N123" t="s">
        <v>1655</v>
      </c>
      <c r="O123" s="4">
        <v>1</v>
      </c>
      <c r="P123">
        <v>0</v>
      </c>
      <c r="Q123">
        <v>1</v>
      </c>
    </row>
    <row r="124" spans="1:17" x14ac:dyDescent="0.3">
      <c r="A124">
        <v>31601</v>
      </c>
      <c r="B124" t="s">
        <v>1656</v>
      </c>
      <c r="C124" t="s">
        <v>1657</v>
      </c>
      <c r="D124" s="3">
        <v>32979</v>
      </c>
      <c r="E124" t="s">
        <v>1188</v>
      </c>
      <c r="F124">
        <v>225</v>
      </c>
      <c r="G124" s="3">
        <v>42843</v>
      </c>
      <c r="H124" t="s">
        <v>1658</v>
      </c>
      <c r="J124" t="s">
        <v>1263</v>
      </c>
      <c r="K124" t="s">
        <v>185</v>
      </c>
      <c r="L124" s="3">
        <v>46434</v>
      </c>
      <c r="M124" s="3">
        <v>46418</v>
      </c>
      <c r="N124" t="s">
        <v>1659</v>
      </c>
      <c r="O124" s="4">
        <v>1</v>
      </c>
      <c r="P124">
        <v>0</v>
      </c>
      <c r="Q124">
        <v>0</v>
      </c>
    </row>
    <row r="125" spans="1:17" x14ac:dyDescent="0.3">
      <c r="A125">
        <v>28690</v>
      </c>
      <c r="B125" t="s">
        <v>1660</v>
      </c>
      <c r="C125" t="s">
        <v>1661</v>
      </c>
      <c r="D125" s="3">
        <v>28385</v>
      </c>
      <c r="E125" t="s">
        <v>1188</v>
      </c>
      <c r="F125">
        <v>184</v>
      </c>
      <c r="G125" s="3">
        <v>41617</v>
      </c>
      <c r="H125" t="s">
        <v>1662</v>
      </c>
      <c r="I125">
        <v>92315307</v>
      </c>
      <c r="J125" t="s">
        <v>1411</v>
      </c>
      <c r="K125" t="s">
        <v>191</v>
      </c>
      <c r="L125" s="3">
        <v>47034</v>
      </c>
      <c r="M125" s="3">
        <v>46925</v>
      </c>
      <c r="N125" t="s">
        <v>1663</v>
      </c>
      <c r="O125" s="4">
        <v>0.5</v>
      </c>
      <c r="P125">
        <v>0</v>
      </c>
      <c r="Q125">
        <v>0</v>
      </c>
    </row>
    <row r="126" spans="1:17" x14ac:dyDescent="0.3">
      <c r="A126">
        <v>37345</v>
      </c>
      <c r="B126" t="s">
        <v>1664</v>
      </c>
      <c r="C126" t="s">
        <v>1665</v>
      </c>
      <c r="D126" s="3">
        <v>35891</v>
      </c>
      <c r="E126" t="s">
        <v>1188</v>
      </c>
      <c r="G126" s="3">
        <v>44655</v>
      </c>
      <c r="H126" t="s">
        <v>1666</v>
      </c>
      <c r="J126" t="s">
        <v>1196</v>
      </c>
      <c r="K126" t="s">
        <v>197</v>
      </c>
      <c r="L126" s="3">
        <v>46502</v>
      </c>
      <c r="M126" s="3">
        <v>46400</v>
      </c>
      <c r="N126" t="s">
        <v>1667</v>
      </c>
      <c r="O126" s="4">
        <v>1</v>
      </c>
      <c r="P126">
        <v>0</v>
      </c>
      <c r="Q126">
        <v>0</v>
      </c>
    </row>
    <row r="127" spans="1:17" x14ac:dyDescent="0.3">
      <c r="A127">
        <v>17566</v>
      </c>
      <c r="B127" t="s">
        <v>1668</v>
      </c>
      <c r="C127" t="s">
        <v>1669</v>
      </c>
      <c r="D127" s="3">
        <v>22889</v>
      </c>
      <c r="E127" t="s">
        <v>1188</v>
      </c>
      <c r="F127">
        <v>312</v>
      </c>
      <c r="G127" s="3">
        <v>38222</v>
      </c>
      <c r="H127" t="s">
        <v>1670</v>
      </c>
      <c r="J127" t="s">
        <v>1290</v>
      </c>
      <c r="K127" t="s">
        <v>187</v>
      </c>
      <c r="L127" s="3">
        <v>72686</v>
      </c>
      <c r="M127" s="3">
        <v>47163</v>
      </c>
      <c r="N127" t="s">
        <v>1671</v>
      </c>
      <c r="O127" s="4">
        <v>0.8</v>
      </c>
      <c r="P127">
        <v>0</v>
      </c>
      <c r="Q127">
        <v>1</v>
      </c>
    </row>
    <row r="128" spans="1:17" x14ac:dyDescent="0.3">
      <c r="A128">
        <v>37254</v>
      </c>
      <c r="B128" t="s">
        <v>1672</v>
      </c>
      <c r="C128" t="s">
        <v>1673</v>
      </c>
      <c r="D128" s="3">
        <v>36729</v>
      </c>
      <c r="E128" t="s">
        <v>1188</v>
      </c>
      <c r="G128" s="3">
        <v>44585</v>
      </c>
      <c r="H128" t="s">
        <v>1674</v>
      </c>
      <c r="J128" t="s">
        <v>1378</v>
      </c>
      <c r="K128" t="s">
        <v>195</v>
      </c>
      <c r="L128" s="3">
        <v>46425</v>
      </c>
      <c r="M128" s="3">
        <v>46033</v>
      </c>
      <c r="N128" t="s">
        <v>1675</v>
      </c>
      <c r="O128" s="4">
        <v>1</v>
      </c>
      <c r="P128">
        <v>0</v>
      </c>
      <c r="Q128">
        <v>0</v>
      </c>
    </row>
    <row r="129" spans="1:17" x14ac:dyDescent="0.3">
      <c r="A129">
        <v>36513</v>
      </c>
      <c r="B129" t="s">
        <v>1676</v>
      </c>
      <c r="C129" t="s">
        <v>1677</v>
      </c>
      <c r="D129" s="3">
        <v>35422</v>
      </c>
      <c r="E129" t="s">
        <v>1188</v>
      </c>
      <c r="G129" s="3">
        <v>44333</v>
      </c>
      <c r="H129" t="s">
        <v>1678</v>
      </c>
      <c r="J129" t="s">
        <v>1206</v>
      </c>
      <c r="K129" t="s">
        <v>195</v>
      </c>
      <c r="L129" s="3">
        <v>46174</v>
      </c>
      <c r="M129" s="3">
        <v>46124</v>
      </c>
      <c r="N129" t="s">
        <v>1679</v>
      </c>
      <c r="O129" s="4">
        <v>1</v>
      </c>
      <c r="P129">
        <v>0</v>
      </c>
      <c r="Q129">
        <v>0</v>
      </c>
    </row>
    <row r="130" spans="1:17" x14ac:dyDescent="0.3">
      <c r="A130">
        <v>36428</v>
      </c>
      <c r="B130" t="s">
        <v>1680</v>
      </c>
      <c r="C130" t="s">
        <v>1681</v>
      </c>
      <c r="D130" s="3">
        <v>33510</v>
      </c>
      <c r="E130" t="s">
        <v>1188</v>
      </c>
      <c r="G130" s="3">
        <v>44312</v>
      </c>
      <c r="H130" t="s">
        <v>1682</v>
      </c>
      <c r="J130" t="s">
        <v>1229</v>
      </c>
      <c r="K130" t="s">
        <v>197</v>
      </c>
      <c r="L130" s="3">
        <v>46152</v>
      </c>
      <c r="M130" s="3">
        <v>46084</v>
      </c>
      <c r="N130" t="s">
        <v>1683</v>
      </c>
      <c r="O130" s="4">
        <v>1</v>
      </c>
      <c r="P130">
        <v>0</v>
      </c>
      <c r="Q130">
        <v>1</v>
      </c>
    </row>
    <row r="131" spans="1:17" x14ac:dyDescent="0.3">
      <c r="A131">
        <v>41357</v>
      </c>
      <c r="B131" t="s">
        <v>1684</v>
      </c>
      <c r="C131" t="s">
        <v>1685</v>
      </c>
      <c r="D131" s="3">
        <v>35947</v>
      </c>
      <c r="E131" t="s">
        <v>1188</v>
      </c>
      <c r="G131" s="3">
        <v>45692</v>
      </c>
      <c r="H131" t="s">
        <v>1686</v>
      </c>
      <c r="J131" t="s">
        <v>1196</v>
      </c>
      <c r="K131" t="s">
        <v>187</v>
      </c>
      <c r="L131" s="3">
        <v>47538</v>
      </c>
      <c r="M131" s="3">
        <v>47407</v>
      </c>
      <c r="N131" t="s">
        <v>1687</v>
      </c>
      <c r="O131" s="4">
        <v>1</v>
      </c>
      <c r="P131">
        <v>0</v>
      </c>
      <c r="Q131">
        <v>0</v>
      </c>
    </row>
    <row r="132" spans="1:17" x14ac:dyDescent="0.3">
      <c r="A132">
        <v>39712</v>
      </c>
      <c r="B132" t="s">
        <v>1011</v>
      </c>
      <c r="C132" t="s">
        <v>1685</v>
      </c>
      <c r="D132" s="3">
        <v>35461</v>
      </c>
      <c r="E132" t="s">
        <v>1188</v>
      </c>
      <c r="G132" s="3">
        <v>45236</v>
      </c>
      <c r="H132" t="s">
        <v>1688</v>
      </c>
      <c r="J132" t="s">
        <v>1196</v>
      </c>
      <c r="K132" t="s">
        <v>187</v>
      </c>
      <c r="L132" s="3">
        <v>47077</v>
      </c>
      <c r="M132" s="3">
        <v>47034</v>
      </c>
      <c r="N132" t="s">
        <v>1689</v>
      </c>
      <c r="O132" s="4">
        <v>1</v>
      </c>
      <c r="P132">
        <v>0</v>
      </c>
      <c r="Q132">
        <v>0</v>
      </c>
    </row>
    <row r="133" spans="1:17" x14ac:dyDescent="0.3">
      <c r="A133">
        <v>13398</v>
      </c>
      <c r="B133" t="s">
        <v>1433</v>
      </c>
      <c r="C133" t="s">
        <v>1685</v>
      </c>
      <c r="D133" s="3">
        <v>28371</v>
      </c>
      <c r="E133" t="s">
        <v>1188</v>
      </c>
      <c r="F133">
        <v>340</v>
      </c>
      <c r="G133" s="3">
        <v>37047</v>
      </c>
      <c r="H133" t="s">
        <v>1690</v>
      </c>
      <c r="J133" t="s">
        <v>1373</v>
      </c>
      <c r="K133" t="s">
        <v>185</v>
      </c>
      <c r="L133" s="3">
        <v>45892</v>
      </c>
      <c r="M133" s="3">
        <v>46028</v>
      </c>
      <c r="N133" t="s">
        <v>1691</v>
      </c>
      <c r="O133" s="4">
        <v>1</v>
      </c>
      <c r="P133">
        <v>0</v>
      </c>
      <c r="Q133">
        <v>0</v>
      </c>
    </row>
    <row r="134" spans="1:17" x14ac:dyDescent="0.3">
      <c r="A134">
        <v>39930</v>
      </c>
      <c r="B134" t="s">
        <v>1692</v>
      </c>
      <c r="C134" t="s">
        <v>1693</v>
      </c>
      <c r="D134" s="3">
        <v>33604</v>
      </c>
      <c r="E134" t="s">
        <v>1188</v>
      </c>
      <c r="G134" s="3">
        <v>45307</v>
      </c>
      <c r="H134" t="s">
        <v>1694</v>
      </c>
      <c r="J134" t="s">
        <v>1196</v>
      </c>
      <c r="K134" t="s">
        <v>189</v>
      </c>
      <c r="L134" s="3">
        <v>47154</v>
      </c>
      <c r="M134" s="3">
        <v>47100</v>
      </c>
      <c r="N134" t="s">
        <v>1695</v>
      </c>
      <c r="O134" s="4">
        <v>1</v>
      </c>
      <c r="P134">
        <v>0</v>
      </c>
      <c r="Q134">
        <v>0</v>
      </c>
    </row>
    <row r="135" spans="1:17" x14ac:dyDescent="0.3">
      <c r="A135">
        <v>32169</v>
      </c>
      <c r="B135" t="s">
        <v>1696</v>
      </c>
      <c r="C135" t="s">
        <v>1697</v>
      </c>
      <c r="D135" s="3">
        <v>25554</v>
      </c>
      <c r="E135" t="s">
        <v>1188</v>
      </c>
      <c r="F135">
        <v>46</v>
      </c>
      <c r="G135" s="3">
        <v>43031</v>
      </c>
      <c r="H135" t="s">
        <v>1698</v>
      </c>
      <c r="J135" t="s">
        <v>1378</v>
      </c>
      <c r="K135" t="s">
        <v>199</v>
      </c>
      <c r="L135" s="3">
        <v>46637</v>
      </c>
      <c r="M135" s="3">
        <v>46637</v>
      </c>
      <c r="N135" t="s">
        <v>1699</v>
      </c>
      <c r="O135" s="4">
        <v>1</v>
      </c>
      <c r="P135">
        <v>0</v>
      </c>
      <c r="Q135">
        <v>1</v>
      </c>
    </row>
    <row r="136" spans="1:17" x14ac:dyDescent="0.3">
      <c r="A136">
        <v>39528</v>
      </c>
      <c r="B136" t="s">
        <v>1700</v>
      </c>
      <c r="C136" t="s">
        <v>1701</v>
      </c>
      <c r="D136" s="3">
        <v>32358</v>
      </c>
      <c r="E136" t="s">
        <v>1188</v>
      </c>
      <c r="G136" s="3">
        <v>45236</v>
      </c>
      <c r="H136" t="s">
        <v>1702</v>
      </c>
      <c r="J136" t="s">
        <v>1196</v>
      </c>
      <c r="K136" t="s">
        <v>189</v>
      </c>
      <c r="L136" s="3">
        <v>47077</v>
      </c>
      <c r="M136" s="3">
        <v>46981</v>
      </c>
      <c r="N136" t="s">
        <v>1703</v>
      </c>
      <c r="O136" s="4">
        <v>1</v>
      </c>
      <c r="P136">
        <v>0</v>
      </c>
      <c r="Q136">
        <v>0</v>
      </c>
    </row>
    <row r="137" spans="1:17" x14ac:dyDescent="0.3">
      <c r="A137">
        <v>22625</v>
      </c>
      <c r="B137" t="s">
        <v>1704</v>
      </c>
      <c r="C137" t="s">
        <v>1705</v>
      </c>
      <c r="D137" s="3">
        <v>28070</v>
      </c>
      <c r="E137" t="s">
        <v>1188</v>
      </c>
      <c r="F137">
        <v>537</v>
      </c>
      <c r="G137" s="3">
        <v>39643</v>
      </c>
      <c r="H137" t="s">
        <v>1706</v>
      </c>
      <c r="J137" t="s">
        <v>1411</v>
      </c>
      <c r="K137" t="s">
        <v>187</v>
      </c>
      <c r="L137" s="3">
        <v>45844</v>
      </c>
      <c r="M137" s="3">
        <v>46637</v>
      </c>
      <c r="N137" t="s">
        <v>1707</v>
      </c>
      <c r="O137" s="4">
        <v>1</v>
      </c>
      <c r="P137">
        <v>0</v>
      </c>
      <c r="Q137">
        <v>0</v>
      </c>
    </row>
    <row r="138" spans="1:17" x14ac:dyDescent="0.3">
      <c r="A138">
        <v>5599</v>
      </c>
      <c r="B138" t="s">
        <v>1708</v>
      </c>
      <c r="C138" t="s">
        <v>1709</v>
      </c>
      <c r="D138" s="3">
        <v>24551</v>
      </c>
      <c r="E138" t="s">
        <v>1188</v>
      </c>
      <c r="F138">
        <v>386</v>
      </c>
      <c r="G138" s="3">
        <v>33609</v>
      </c>
      <c r="H138" t="s">
        <v>1710</v>
      </c>
      <c r="I138">
        <v>93572595</v>
      </c>
      <c r="J138" t="s">
        <v>1290</v>
      </c>
      <c r="K138" t="s">
        <v>199</v>
      </c>
      <c r="L138" s="3">
        <v>73050</v>
      </c>
      <c r="M138" s="3">
        <v>46853</v>
      </c>
      <c r="N138" t="s">
        <v>1711</v>
      </c>
      <c r="O138" s="4">
        <v>1</v>
      </c>
      <c r="P138">
        <v>0</v>
      </c>
      <c r="Q138">
        <v>0</v>
      </c>
    </row>
    <row r="139" spans="1:17" x14ac:dyDescent="0.3">
      <c r="A139">
        <v>41721</v>
      </c>
      <c r="B139" t="s">
        <v>1712</v>
      </c>
      <c r="C139" t="s">
        <v>1709</v>
      </c>
      <c r="D139" s="3">
        <v>26073</v>
      </c>
      <c r="E139" t="s">
        <v>1188</v>
      </c>
      <c r="G139" s="3">
        <v>45749</v>
      </c>
      <c r="H139" t="s">
        <v>1713</v>
      </c>
      <c r="J139" t="s">
        <v>1196</v>
      </c>
      <c r="K139" t="s">
        <v>195</v>
      </c>
      <c r="L139" s="3">
        <v>47594</v>
      </c>
      <c r="M139" s="3">
        <v>47503</v>
      </c>
      <c r="N139" t="s">
        <v>1714</v>
      </c>
      <c r="O139" s="4">
        <v>1</v>
      </c>
      <c r="P139">
        <v>0</v>
      </c>
      <c r="Q139">
        <v>0</v>
      </c>
    </row>
    <row r="140" spans="1:17" x14ac:dyDescent="0.3">
      <c r="A140">
        <v>40005</v>
      </c>
      <c r="B140" t="s">
        <v>1715</v>
      </c>
      <c r="C140" t="s">
        <v>1716</v>
      </c>
      <c r="D140" s="3">
        <v>33365</v>
      </c>
      <c r="E140" t="s">
        <v>1188</v>
      </c>
      <c r="G140" s="3">
        <v>45307</v>
      </c>
      <c r="H140" t="s">
        <v>1717</v>
      </c>
      <c r="J140" t="s">
        <v>1718</v>
      </c>
      <c r="K140" t="s">
        <v>189</v>
      </c>
      <c r="L140" s="3">
        <v>47154</v>
      </c>
      <c r="M140" s="3">
        <v>47126</v>
      </c>
      <c r="N140" t="s">
        <v>1719</v>
      </c>
      <c r="O140" s="4">
        <v>1</v>
      </c>
      <c r="P140">
        <v>0</v>
      </c>
      <c r="Q140">
        <v>0</v>
      </c>
    </row>
    <row r="141" spans="1:17" x14ac:dyDescent="0.3">
      <c r="A141">
        <v>36820</v>
      </c>
      <c r="B141" t="s">
        <v>1720</v>
      </c>
      <c r="C141" t="s">
        <v>1716</v>
      </c>
      <c r="D141" s="3">
        <v>22295</v>
      </c>
      <c r="E141" t="s">
        <v>1188</v>
      </c>
      <c r="G141" s="3">
        <v>44473</v>
      </c>
      <c r="H141" t="s">
        <v>1721</v>
      </c>
      <c r="I141">
        <v>93720791</v>
      </c>
      <c r="J141" t="s">
        <v>1196</v>
      </c>
      <c r="K141" t="s">
        <v>199</v>
      </c>
      <c r="L141" s="3">
        <v>46300</v>
      </c>
      <c r="M141" s="3">
        <v>46236</v>
      </c>
      <c r="N141" t="s">
        <v>1722</v>
      </c>
      <c r="O141" s="4">
        <v>0.8</v>
      </c>
      <c r="P141">
        <v>0</v>
      </c>
      <c r="Q141">
        <v>1</v>
      </c>
    </row>
    <row r="142" spans="1:17" x14ac:dyDescent="0.3">
      <c r="A142">
        <v>14665</v>
      </c>
      <c r="B142" t="s">
        <v>1723</v>
      </c>
      <c r="C142" t="s">
        <v>1716</v>
      </c>
      <c r="D142" s="3">
        <v>29490</v>
      </c>
      <c r="E142" t="s">
        <v>1188</v>
      </c>
      <c r="F142">
        <v>558</v>
      </c>
      <c r="G142" s="3">
        <v>37424</v>
      </c>
      <c r="H142" t="s">
        <v>1724</v>
      </c>
      <c r="J142" t="s">
        <v>1307</v>
      </c>
      <c r="K142" t="s">
        <v>187</v>
      </c>
      <c r="L142" s="3">
        <v>45915</v>
      </c>
      <c r="M142" s="3">
        <v>46273</v>
      </c>
      <c r="N142" t="s">
        <v>1725</v>
      </c>
      <c r="O142" s="4">
        <v>1</v>
      </c>
      <c r="P142">
        <v>0</v>
      </c>
      <c r="Q142">
        <v>0</v>
      </c>
    </row>
    <row r="143" spans="1:17" x14ac:dyDescent="0.3">
      <c r="A143">
        <v>6310</v>
      </c>
      <c r="B143" t="s">
        <v>1726</v>
      </c>
      <c r="C143" t="s">
        <v>1727</v>
      </c>
      <c r="D143" s="3">
        <v>23504</v>
      </c>
      <c r="E143" t="s">
        <v>1188</v>
      </c>
      <c r="F143">
        <v>289</v>
      </c>
      <c r="G143" s="3">
        <v>34078</v>
      </c>
      <c r="J143" t="s">
        <v>1373</v>
      </c>
      <c r="K143" t="s">
        <v>193</v>
      </c>
      <c r="L143" s="3">
        <v>72686</v>
      </c>
      <c r="M143" s="3">
        <v>46140</v>
      </c>
      <c r="N143" t="s">
        <v>1728</v>
      </c>
      <c r="O143" s="4">
        <v>1</v>
      </c>
      <c r="P143">
        <v>0</v>
      </c>
      <c r="Q143">
        <v>0</v>
      </c>
    </row>
    <row r="144" spans="1:17" x14ac:dyDescent="0.3">
      <c r="A144">
        <v>5061</v>
      </c>
      <c r="B144" t="s">
        <v>1301</v>
      </c>
      <c r="C144" t="s">
        <v>1727</v>
      </c>
      <c r="D144" s="3">
        <v>24557</v>
      </c>
      <c r="E144" t="s">
        <v>1188</v>
      </c>
      <c r="F144">
        <v>649</v>
      </c>
      <c r="G144" s="3">
        <v>33287</v>
      </c>
      <c r="I144">
        <v>93300995</v>
      </c>
      <c r="J144" t="s">
        <v>1299</v>
      </c>
      <c r="K144" t="s">
        <v>195</v>
      </c>
      <c r="L144" s="3">
        <v>45840</v>
      </c>
      <c r="M144" s="3">
        <v>46665</v>
      </c>
      <c r="N144" t="s">
        <v>1729</v>
      </c>
      <c r="O144" s="4">
        <v>1</v>
      </c>
      <c r="P144">
        <v>0</v>
      </c>
      <c r="Q144">
        <v>0</v>
      </c>
    </row>
    <row r="145" spans="1:17" x14ac:dyDescent="0.3">
      <c r="A145">
        <v>36336</v>
      </c>
      <c r="B145" t="s">
        <v>1730</v>
      </c>
      <c r="C145" t="s">
        <v>1727</v>
      </c>
      <c r="D145" s="3">
        <v>29706</v>
      </c>
      <c r="E145" t="s">
        <v>1188</v>
      </c>
      <c r="G145" s="3">
        <v>44284</v>
      </c>
      <c r="H145" t="s">
        <v>1731</v>
      </c>
      <c r="J145" t="s">
        <v>1299</v>
      </c>
      <c r="K145" t="s">
        <v>197</v>
      </c>
      <c r="L145" s="3">
        <v>46125</v>
      </c>
      <c r="M145" s="3">
        <v>45985</v>
      </c>
      <c r="N145" t="s">
        <v>1732</v>
      </c>
      <c r="O145" s="4">
        <v>0.8</v>
      </c>
      <c r="P145">
        <v>0</v>
      </c>
      <c r="Q145">
        <v>1</v>
      </c>
    </row>
    <row r="146" spans="1:17" x14ac:dyDescent="0.3">
      <c r="A146">
        <v>22052</v>
      </c>
      <c r="B146" t="s">
        <v>1446</v>
      </c>
      <c r="C146" t="s">
        <v>1727</v>
      </c>
      <c r="D146" s="3">
        <v>23387</v>
      </c>
      <c r="E146" t="s">
        <v>1188</v>
      </c>
      <c r="F146">
        <v>131</v>
      </c>
      <c r="G146" s="3">
        <v>39538</v>
      </c>
      <c r="H146" t="s">
        <v>1733</v>
      </c>
      <c r="I146">
        <v>93306518</v>
      </c>
      <c r="J146" t="s">
        <v>1307</v>
      </c>
      <c r="K146" t="s">
        <v>193</v>
      </c>
      <c r="L146" s="3">
        <v>45838</v>
      </c>
      <c r="M146" s="3">
        <v>45818</v>
      </c>
      <c r="N146" t="s">
        <v>1734</v>
      </c>
      <c r="O146" s="4">
        <v>0.8</v>
      </c>
      <c r="P146">
        <v>0</v>
      </c>
      <c r="Q146">
        <v>0</v>
      </c>
    </row>
    <row r="147" spans="1:17" x14ac:dyDescent="0.3">
      <c r="A147">
        <v>19087</v>
      </c>
      <c r="B147" t="s">
        <v>1735</v>
      </c>
      <c r="C147" t="s">
        <v>1727</v>
      </c>
      <c r="D147" s="3">
        <v>29547</v>
      </c>
      <c r="E147" t="s">
        <v>1188</v>
      </c>
      <c r="F147">
        <v>562</v>
      </c>
      <c r="G147" s="3">
        <v>38789</v>
      </c>
      <c r="H147" t="s">
        <v>1736</v>
      </c>
      <c r="J147" t="s">
        <v>1444</v>
      </c>
      <c r="K147" t="s">
        <v>191</v>
      </c>
      <c r="L147" s="3">
        <v>45851</v>
      </c>
      <c r="M147" s="3">
        <v>45916</v>
      </c>
      <c r="N147" t="s">
        <v>1737</v>
      </c>
      <c r="O147" s="4">
        <v>1</v>
      </c>
      <c r="P147">
        <v>0</v>
      </c>
      <c r="Q147">
        <v>1</v>
      </c>
    </row>
    <row r="148" spans="1:17" x14ac:dyDescent="0.3">
      <c r="A148">
        <v>16094</v>
      </c>
      <c r="B148" t="s">
        <v>1738</v>
      </c>
      <c r="C148" t="s">
        <v>1727</v>
      </c>
      <c r="D148" s="3">
        <v>24895</v>
      </c>
      <c r="E148" t="s">
        <v>1188</v>
      </c>
      <c r="F148">
        <v>579</v>
      </c>
      <c r="G148" s="3">
        <v>37830</v>
      </c>
      <c r="H148" t="s">
        <v>1739</v>
      </c>
      <c r="J148" t="s">
        <v>1307</v>
      </c>
      <c r="K148" t="s">
        <v>195</v>
      </c>
      <c r="L148" s="3">
        <v>45874</v>
      </c>
      <c r="M148" s="3">
        <v>46686</v>
      </c>
      <c r="N148" t="s">
        <v>1740</v>
      </c>
      <c r="O148" s="4">
        <v>0.8</v>
      </c>
      <c r="P148">
        <v>0</v>
      </c>
      <c r="Q148">
        <v>0</v>
      </c>
    </row>
    <row r="149" spans="1:17" x14ac:dyDescent="0.3">
      <c r="A149">
        <v>15219</v>
      </c>
      <c r="B149" t="s">
        <v>1741</v>
      </c>
      <c r="C149" t="s">
        <v>1727</v>
      </c>
      <c r="D149" s="3">
        <v>29607</v>
      </c>
      <c r="E149" t="s">
        <v>1188</v>
      </c>
      <c r="F149">
        <v>314</v>
      </c>
      <c r="G149" s="3">
        <v>37543</v>
      </c>
      <c r="H149" t="s">
        <v>1742</v>
      </c>
      <c r="J149" t="s">
        <v>1290</v>
      </c>
      <c r="K149" t="s">
        <v>187</v>
      </c>
      <c r="L149" s="3">
        <v>72686</v>
      </c>
      <c r="M149" s="3">
        <v>46693</v>
      </c>
      <c r="N149" t="s">
        <v>1743</v>
      </c>
      <c r="O149" s="4">
        <v>0.8</v>
      </c>
      <c r="P149">
        <v>0</v>
      </c>
      <c r="Q149">
        <v>1</v>
      </c>
    </row>
    <row r="150" spans="1:17" x14ac:dyDescent="0.3">
      <c r="A150">
        <v>36507</v>
      </c>
      <c r="B150" t="s">
        <v>1744</v>
      </c>
      <c r="C150" t="s">
        <v>1745</v>
      </c>
      <c r="D150" s="3">
        <v>25171</v>
      </c>
      <c r="E150" t="s">
        <v>1188</v>
      </c>
      <c r="G150" s="3">
        <v>44347</v>
      </c>
      <c r="H150" t="s">
        <v>1746</v>
      </c>
      <c r="J150" t="s">
        <v>1378</v>
      </c>
      <c r="K150" t="s">
        <v>199</v>
      </c>
      <c r="L150" s="3">
        <v>46190</v>
      </c>
      <c r="M150" s="3">
        <v>46119</v>
      </c>
      <c r="N150" t="s">
        <v>1747</v>
      </c>
      <c r="O150" s="4">
        <v>1</v>
      </c>
      <c r="P150">
        <v>0</v>
      </c>
      <c r="Q150">
        <v>1</v>
      </c>
    </row>
    <row r="151" spans="1:17" x14ac:dyDescent="0.3">
      <c r="A151">
        <v>40422</v>
      </c>
      <c r="B151" t="s">
        <v>1748</v>
      </c>
      <c r="C151" t="s">
        <v>1749</v>
      </c>
      <c r="D151" s="3">
        <v>20716</v>
      </c>
      <c r="E151" t="s">
        <v>1188</v>
      </c>
      <c r="G151" s="3">
        <v>45407</v>
      </c>
      <c r="H151" t="s">
        <v>1750</v>
      </c>
      <c r="J151" t="s">
        <v>1751</v>
      </c>
      <c r="K151" t="s">
        <v>197</v>
      </c>
      <c r="L151" s="3">
        <v>1</v>
      </c>
      <c r="M151" s="3">
        <v>1</v>
      </c>
      <c r="N151" t="s">
        <v>1752</v>
      </c>
      <c r="O151" s="4">
        <v>1</v>
      </c>
      <c r="P151">
        <v>0</v>
      </c>
      <c r="Q151">
        <v>0</v>
      </c>
    </row>
    <row r="152" spans="1:17" x14ac:dyDescent="0.3">
      <c r="A152">
        <v>33488</v>
      </c>
      <c r="B152" t="s">
        <v>1753</v>
      </c>
      <c r="C152" t="s">
        <v>1754</v>
      </c>
      <c r="D152" s="3">
        <v>34182</v>
      </c>
      <c r="E152" t="s">
        <v>1188</v>
      </c>
      <c r="F152">
        <v>430</v>
      </c>
      <c r="G152" s="3">
        <v>43486</v>
      </c>
      <c r="H152" t="s">
        <v>1755</v>
      </c>
      <c r="J152" t="s">
        <v>1378</v>
      </c>
      <c r="K152" t="s">
        <v>191</v>
      </c>
      <c r="L152" s="3">
        <v>47139</v>
      </c>
      <c r="M152" s="3">
        <v>46897</v>
      </c>
      <c r="N152" t="s">
        <v>1756</v>
      </c>
      <c r="O152" s="4">
        <v>0.8</v>
      </c>
      <c r="P152">
        <v>0</v>
      </c>
      <c r="Q152">
        <v>1</v>
      </c>
    </row>
    <row r="153" spans="1:17" x14ac:dyDescent="0.3">
      <c r="A153">
        <v>35862</v>
      </c>
      <c r="B153" t="s">
        <v>1757</v>
      </c>
      <c r="C153" t="s">
        <v>1758</v>
      </c>
      <c r="D153" s="3">
        <v>23710</v>
      </c>
      <c r="E153" t="s">
        <v>1188</v>
      </c>
      <c r="F153">
        <v>224</v>
      </c>
      <c r="G153" s="3">
        <v>44123</v>
      </c>
      <c r="H153" t="s">
        <v>1759</v>
      </c>
      <c r="I153" t="s">
        <v>1760</v>
      </c>
      <c r="J153" t="s">
        <v>1201</v>
      </c>
      <c r="K153" t="s">
        <v>193</v>
      </c>
      <c r="L153" s="3">
        <v>47573</v>
      </c>
      <c r="M153" s="3">
        <v>47533</v>
      </c>
      <c r="N153" t="s">
        <v>1761</v>
      </c>
      <c r="O153" s="4">
        <v>0</v>
      </c>
      <c r="P153">
        <v>0</v>
      </c>
      <c r="Q153">
        <v>1</v>
      </c>
    </row>
    <row r="154" spans="1:17" x14ac:dyDescent="0.3">
      <c r="A154">
        <v>33640</v>
      </c>
      <c r="B154" t="s">
        <v>1762</v>
      </c>
      <c r="C154" t="s">
        <v>1758</v>
      </c>
      <c r="D154" s="3">
        <v>25094</v>
      </c>
      <c r="E154" t="s">
        <v>1188</v>
      </c>
      <c r="F154">
        <v>167</v>
      </c>
      <c r="G154" s="3">
        <v>43528</v>
      </c>
      <c r="H154" t="s">
        <v>1763</v>
      </c>
      <c r="I154">
        <v>486762575</v>
      </c>
      <c r="J154" t="s">
        <v>1234</v>
      </c>
      <c r="K154" t="s">
        <v>199</v>
      </c>
      <c r="L154" s="3">
        <v>47141</v>
      </c>
      <c r="M154" s="3">
        <v>47141</v>
      </c>
      <c r="N154" t="s">
        <v>1764</v>
      </c>
      <c r="O154" s="4">
        <v>1</v>
      </c>
      <c r="P154">
        <v>0</v>
      </c>
      <c r="Q154">
        <v>0</v>
      </c>
    </row>
    <row r="155" spans="1:17" x14ac:dyDescent="0.3">
      <c r="A155">
        <v>32369</v>
      </c>
      <c r="B155" t="s">
        <v>1765</v>
      </c>
      <c r="C155" t="s">
        <v>1758</v>
      </c>
      <c r="D155" s="3">
        <v>25527</v>
      </c>
      <c r="E155" t="s">
        <v>1188</v>
      </c>
      <c r="F155">
        <v>60</v>
      </c>
      <c r="G155" s="3">
        <v>43108</v>
      </c>
      <c r="H155" t="s">
        <v>1766</v>
      </c>
      <c r="I155" t="s">
        <v>1767</v>
      </c>
      <c r="J155" t="s">
        <v>1206</v>
      </c>
      <c r="K155" t="s">
        <v>191</v>
      </c>
      <c r="L155" s="3">
        <v>46593</v>
      </c>
      <c r="M155" s="3">
        <v>46546</v>
      </c>
      <c r="N155" t="s">
        <v>1768</v>
      </c>
      <c r="O155" s="4">
        <v>0.8</v>
      </c>
      <c r="P155">
        <v>0</v>
      </c>
      <c r="Q155">
        <v>0</v>
      </c>
    </row>
    <row r="156" spans="1:17" x14ac:dyDescent="0.3">
      <c r="A156">
        <v>21582</v>
      </c>
      <c r="B156" t="s">
        <v>1769</v>
      </c>
      <c r="C156" t="s">
        <v>1758</v>
      </c>
      <c r="D156" s="3">
        <v>24762</v>
      </c>
      <c r="E156" t="s">
        <v>1188</v>
      </c>
      <c r="F156">
        <v>317</v>
      </c>
      <c r="G156" s="3">
        <v>39433</v>
      </c>
      <c r="H156" t="s">
        <v>1770</v>
      </c>
      <c r="J156" t="s">
        <v>1214</v>
      </c>
      <c r="K156" t="s">
        <v>199</v>
      </c>
      <c r="L156" s="3">
        <v>72686</v>
      </c>
      <c r="M156" s="3">
        <v>47338</v>
      </c>
      <c r="N156" t="s">
        <v>1771</v>
      </c>
      <c r="O156" s="4">
        <v>0.8</v>
      </c>
      <c r="P156">
        <v>0</v>
      </c>
      <c r="Q156">
        <v>1</v>
      </c>
    </row>
    <row r="157" spans="1:17" x14ac:dyDescent="0.3">
      <c r="A157">
        <v>21506</v>
      </c>
      <c r="B157" t="s">
        <v>1772</v>
      </c>
      <c r="C157" t="s">
        <v>1758</v>
      </c>
      <c r="D157" s="3">
        <v>22969</v>
      </c>
      <c r="E157" t="s">
        <v>1188</v>
      </c>
      <c r="F157">
        <v>166</v>
      </c>
      <c r="G157" s="3">
        <v>39405</v>
      </c>
      <c r="H157" t="s">
        <v>1773</v>
      </c>
      <c r="J157" t="s">
        <v>1214</v>
      </c>
      <c r="K157" t="s">
        <v>199</v>
      </c>
      <c r="L157" s="3">
        <v>45787</v>
      </c>
      <c r="M157" s="3">
        <v>46476</v>
      </c>
      <c r="N157" t="s">
        <v>1774</v>
      </c>
      <c r="O157" s="4">
        <v>1</v>
      </c>
      <c r="P157">
        <v>0</v>
      </c>
      <c r="Q157">
        <v>1</v>
      </c>
    </row>
    <row r="158" spans="1:17" x14ac:dyDescent="0.3">
      <c r="A158">
        <v>19848</v>
      </c>
      <c r="B158" t="s">
        <v>1775</v>
      </c>
      <c r="C158" t="s">
        <v>1758</v>
      </c>
      <c r="D158" s="3">
        <v>22573</v>
      </c>
      <c r="E158" t="s">
        <v>1188</v>
      </c>
      <c r="F158">
        <v>353</v>
      </c>
      <c r="G158" s="3">
        <v>38992</v>
      </c>
      <c r="I158">
        <v>92313309</v>
      </c>
      <c r="J158" t="s">
        <v>1263</v>
      </c>
      <c r="K158" t="s">
        <v>199</v>
      </c>
      <c r="L158" s="3">
        <v>72686</v>
      </c>
      <c r="M158" s="3">
        <v>47034</v>
      </c>
      <c r="N158" t="s">
        <v>1776</v>
      </c>
      <c r="O158" s="4">
        <v>1</v>
      </c>
      <c r="P158">
        <v>0</v>
      </c>
      <c r="Q158">
        <v>1</v>
      </c>
    </row>
    <row r="159" spans="1:17" x14ac:dyDescent="0.3">
      <c r="A159">
        <v>16275</v>
      </c>
      <c r="B159" t="s">
        <v>1777</v>
      </c>
      <c r="C159" t="s">
        <v>1758</v>
      </c>
      <c r="D159" s="3">
        <v>25880</v>
      </c>
      <c r="E159" t="s">
        <v>1188</v>
      </c>
      <c r="F159">
        <v>420</v>
      </c>
      <c r="G159" s="3">
        <v>37886</v>
      </c>
      <c r="H159" t="s">
        <v>1778</v>
      </c>
      <c r="J159" t="s">
        <v>1290</v>
      </c>
      <c r="K159" t="s">
        <v>193</v>
      </c>
      <c r="L159" s="3">
        <v>72686</v>
      </c>
      <c r="M159" s="3">
        <v>46820</v>
      </c>
      <c r="N159" t="s">
        <v>1779</v>
      </c>
      <c r="O159" s="4">
        <v>0.8</v>
      </c>
      <c r="P159">
        <v>0</v>
      </c>
      <c r="Q159">
        <v>0</v>
      </c>
    </row>
    <row r="160" spans="1:17" x14ac:dyDescent="0.3">
      <c r="A160">
        <v>15726</v>
      </c>
      <c r="B160" t="s">
        <v>1780</v>
      </c>
      <c r="C160" t="s">
        <v>1758</v>
      </c>
      <c r="D160" s="3">
        <v>29405</v>
      </c>
      <c r="E160" t="s">
        <v>1188</v>
      </c>
      <c r="F160">
        <v>501</v>
      </c>
      <c r="G160" s="3">
        <v>37767</v>
      </c>
      <c r="H160" t="s">
        <v>1781</v>
      </c>
      <c r="J160" t="s">
        <v>1411</v>
      </c>
      <c r="K160" t="s">
        <v>187</v>
      </c>
      <c r="L160" s="3">
        <v>45969</v>
      </c>
      <c r="M160" s="3">
        <v>46686</v>
      </c>
      <c r="N160" t="s">
        <v>1782</v>
      </c>
      <c r="O160" s="4">
        <v>1</v>
      </c>
      <c r="P160">
        <v>0</v>
      </c>
      <c r="Q160">
        <v>1</v>
      </c>
    </row>
    <row r="161" spans="1:17" x14ac:dyDescent="0.3">
      <c r="A161">
        <v>39529</v>
      </c>
      <c r="B161" t="s">
        <v>1783</v>
      </c>
      <c r="C161" t="s">
        <v>1784</v>
      </c>
      <c r="D161" s="3">
        <v>23786</v>
      </c>
      <c r="E161" t="s">
        <v>1188</v>
      </c>
      <c r="G161" s="3">
        <v>45286</v>
      </c>
      <c r="H161" t="s">
        <v>1785</v>
      </c>
      <c r="J161" t="s">
        <v>1395</v>
      </c>
      <c r="K161" t="s">
        <v>189</v>
      </c>
      <c r="L161" s="3">
        <v>45934</v>
      </c>
      <c r="M161" s="3">
        <v>45851</v>
      </c>
      <c r="N161" t="s">
        <v>1786</v>
      </c>
      <c r="O161" s="4">
        <v>1</v>
      </c>
      <c r="P161">
        <v>0</v>
      </c>
      <c r="Q161">
        <v>0</v>
      </c>
    </row>
    <row r="162" spans="1:17" x14ac:dyDescent="0.3">
      <c r="A162">
        <v>26197</v>
      </c>
      <c r="B162" t="s">
        <v>1787</v>
      </c>
      <c r="C162" t="s">
        <v>1788</v>
      </c>
      <c r="D162" s="3">
        <v>25815</v>
      </c>
      <c r="E162" t="s">
        <v>1188</v>
      </c>
      <c r="F162">
        <v>8</v>
      </c>
      <c r="G162" s="3">
        <v>40637</v>
      </c>
      <c r="H162" t="s">
        <v>1789</v>
      </c>
      <c r="J162" t="s">
        <v>1277</v>
      </c>
      <c r="K162" t="s">
        <v>189</v>
      </c>
      <c r="L162" s="3">
        <v>46043</v>
      </c>
      <c r="M162" s="3">
        <v>46014</v>
      </c>
      <c r="N162" t="s">
        <v>1790</v>
      </c>
      <c r="O162" s="4">
        <v>1</v>
      </c>
      <c r="P162">
        <v>0</v>
      </c>
      <c r="Q162">
        <v>0</v>
      </c>
    </row>
    <row r="163" spans="1:17" x14ac:dyDescent="0.3">
      <c r="A163">
        <v>6092</v>
      </c>
      <c r="B163" t="s">
        <v>1791</v>
      </c>
      <c r="C163" t="s">
        <v>1792</v>
      </c>
      <c r="D163" s="3">
        <v>23986</v>
      </c>
      <c r="E163" t="s">
        <v>1188</v>
      </c>
      <c r="F163">
        <v>216</v>
      </c>
      <c r="G163" s="3">
        <v>33868</v>
      </c>
      <c r="H163" t="s">
        <v>1793</v>
      </c>
      <c r="I163">
        <v>93285775</v>
      </c>
      <c r="J163" t="s">
        <v>1373</v>
      </c>
      <c r="K163" t="s">
        <v>199</v>
      </c>
      <c r="L163" s="3">
        <v>72686</v>
      </c>
      <c r="M163" s="3">
        <v>72686</v>
      </c>
      <c r="N163" t="s">
        <v>1794</v>
      </c>
      <c r="O163" s="4">
        <v>0.8</v>
      </c>
      <c r="P163">
        <v>0</v>
      </c>
      <c r="Q163">
        <v>0</v>
      </c>
    </row>
    <row r="164" spans="1:17" x14ac:dyDescent="0.3">
      <c r="A164">
        <v>31361</v>
      </c>
      <c r="B164" t="s">
        <v>1795</v>
      </c>
      <c r="C164" t="s">
        <v>1792</v>
      </c>
      <c r="D164" s="3">
        <v>28695</v>
      </c>
      <c r="E164" t="s">
        <v>1188</v>
      </c>
      <c r="F164">
        <v>228</v>
      </c>
      <c r="G164" s="3">
        <v>42751</v>
      </c>
      <c r="H164" t="s">
        <v>1796</v>
      </c>
      <c r="J164" t="s">
        <v>1378</v>
      </c>
      <c r="K164" t="s">
        <v>191</v>
      </c>
      <c r="L164" s="3">
        <v>46754</v>
      </c>
      <c r="M164" s="3">
        <v>46960</v>
      </c>
      <c r="N164" t="s">
        <v>1797</v>
      </c>
      <c r="O164" s="4">
        <v>1</v>
      </c>
      <c r="P164">
        <v>0</v>
      </c>
      <c r="Q164">
        <v>0</v>
      </c>
    </row>
    <row r="165" spans="1:17" x14ac:dyDescent="0.3">
      <c r="A165">
        <v>26331</v>
      </c>
      <c r="B165" t="s">
        <v>1798</v>
      </c>
      <c r="C165" t="s">
        <v>1792</v>
      </c>
      <c r="D165" s="3">
        <v>23837</v>
      </c>
      <c r="E165" t="s">
        <v>1188</v>
      </c>
      <c r="F165">
        <v>511</v>
      </c>
      <c r="G165" s="3">
        <v>40679</v>
      </c>
      <c r="H165" t="s">
        <v>1799</v>
      </c>
      <c r="J165" t="s">
        <v>1411</v>
      </c>
      <c r="K165" t="s">
        <v>187</v>
      </c>
      <c r="L165" s="3">
        <v>46162</v>
      </c>
      <c r="M165" s="3">
        <v>47337</v>
      </c>
      <c r="N165" t="s">
        <v>1800</v>
      </c>
      <c r="O165" s="4">
        <v>0.8</v>
      </c>
      <c r="P165">
        <v>0</v>
      </c>
      <c r="Q165">
        <v>0</v>
      </c>
    </row>
    <row r="166" spans="1:17" x14ac:dyDescent="0.3">
      <c r="A166">
        <v>22202</v>
      </c>
      <c r="B166" t="s">
        <v>1801</v>
      </c>
      <c r="C166" t="s">
        <v>1792</v>
      </c>
      <c r="D166" s="3">
        <v>28068</v>
      </c>
      <c r="E166" t="s">
        <v>1188</v>
      </c>
      <c r="F166">
        <v>302</v>
      </c>
      <c r="G166" s="3">
        <v>39573</v>
      </c>
      <c r="H166" t="s">
        <v>1802</v>
      </c>
      <c r="J166" t="s">
        <v>1349</v>
      </c>
      <c r="K166" t="s">
        <v>199</v>
      </c>
      <c r="L166" s="3">
        <v>45886</v>
      </c>
      <c r="M166" s="3">
        <v>46797</v>
      </c>
      <c r="N166" t="s">
        <v>1803</v>
      </c>
      <c r="O166" s="4">
        <v>0.5</v>
      </c>
      <c r="P166">
        <v>1</v>
      </c>
      <c r="Q166">
        <v>1</v>
      </c>
    </row>
    <row r="167" spans="1:17" x14ac:dyDescent="0.3">
      <c r="A167">
        <v>11866</v>
      </c>
      <c r="B167" t="s">
        <v>1804</v>
      </c>
      <c r="C167" t="s">
        <v>1792</v>
      </c>
      <c r="D167" s="3">
        <v>25467</v>
      </c>
      <c r="E167" t="s">
        <v>1188</v>
      </c>
      <c r="F167">
        <v>165</v>
      </c>
      <c r="G167" s="3">
        <v>36542</v>
      </c>
      <c r="H167" t="s">
        <v>1805</v>
      </c>
      <c r="J167" t="s">
        <v>1373</v>
      </c>
      <c r="K167" t="s">
        <v>197</v>
      </c>
      <c r="L167" s="3">
        <v>47338</v>
      </c>
      <c r="M167" s="3">
        <v>47251</v>
      </c>
      <c r="N167" t="s">
        <v>1806</v>
      </c>
      <c r="O167" s="4">
        <v>0.8</v>
      </c>
      <c r="P167">
        <v>0</v>
      </c>
      <c r="Q167">
        <v>0</v>
      </c>
    </row>
    <row r="168" spans="1:17" x14ac:dyDescent="0.3">
      <c r="A168">
        <v>32611</v>
      </c>
      <c r="B168" t="s">
        <v>1807</v>
      </c>
      <c r="C168" t="s">
        <v>1808</v>
      </c>
      <c r="D168" s="3">
        <v>30873</v>
      </c>
      <c r="E168" t="s">
        <v>1188</v>
      </c>
      <c r="F168">
        <v>292</v>
      </c>
      <c r="G168" s="3">
        <v>43178</v>
      </c>
      <c r="H168" t="s">
        <v>1809</v>
      </c>
      <c r="J168" t="s">
        <v>1366</v>
      </c>
      <c r="K168" t="s">
        <v>195</v>
      </c>
      <c r="L168" s="3">
        <v>46685</v>
      </c>
      <c r="M168" s="3">
        <v>46672</v>
      </c>
      <c r="N168" t="s">
        <v>1810</v>
      </c>
      <c r="O168" s="4">
        <v>1</v>
      </c>
      <c r="P168">
        <v>0</v>
      </c>
      <c r="Q168">
        <v>1</v>
      </c>
    </row>
    <row r="169" spans="1:17" x14ac:dyDescent="0.3">
      <c r="A169">
        <v>41619</v>
      </c>
      <c r="B169" t="s">
        <v>1811</v>
      </c>
      <c r="C169" t="s">
        <v>1812</v>
      </c>
      <c r="D169" s="3">
        <v>33204</v>
      </c>
      <c r="E169" t="s">
        <v>1188</v>
      </c>
      <c r="G169" s="3">
        <v>45770</v>
      </c>
      <c r="H169" t="s">
        <v>1813</v>
      </c>
      <c r="J169" t="s">
        <v>1196</v>
      </c>
      <c r="K169" t="s">
        <v>187</v>
      </c>
      <c r="L169" s="3">
        <v>47050</v>
      </c>
      <c r="M169" s="3">
        <v>47044</v>
      </c>
      <c r="N169" t="s">
        <v>1814</v>
      </c>
      <c r="O169" s="4">
        <v>1</v>
      </c>
      <c r="P169">
        <v>0</v>
      </c>
      <c r="Q169">
        <v>0</v>
      </c>
    </row>
    <row r="170" spans="1:17" x14ac:dyDescent="0.3">
      <c r="A170">
        <v>28910</v>
      </c>
      <c r="B170" t="s">
        <v>1815</v>
      </c>
      <c r="C170" t="s">
        <v>1816</v>
      </c>
      <c r="D170" s="3">
        <v>30034</v>
      </c>
      <c r="E170" t="s">
        <v>1188</v>
      </c>
      <c r="F170">
        <v>144</v>
      </c>
      <c r="G170" s="3">
        <v>41743</v>
      </c>
      <c r="H170" t="s">
        <v>1817</v>
      </c>
      <c r="J170" t="s">
        <v>1444</v>
      </c>
      <c r="K170" t="s">
        <v>187</v>
      </c>
      <c r="L170" s="3">
        <v>47216</v>
      </c>
      <c r="M170" s="3">
        <v>47195</v>
      </c>
      <c r="N170" t="s">
        <v>1818</v>
      </c>
      <c r="O170" s="4">
        <v>0.8</v>
      </c>
      <c r="P170">
        <v>0</v>
      </c>
      <c r="Q170">
        <v>0</v>
      </c>
    </row>
    <row r="171" spans="1:17" x14ac:dyDescent="0.3">
      <c r="A171">
        <v>41482</v>
      </c>
      <c r="B171" t="s">
        <v>1819</v>
      </c>
      <c r="C171" t="s">
        <v>1820</v>
      </c>
      <c r="D171" s="3">
        <v>28837</v>
      </c>
      <c r="E171" t="s">
        <v>1188</v>
      </c>
      <c r="G171" s="3">
        <v>45735</v>
      </c>
      <c r="H171" t="s">
        <v>1821</v>
      </c>
      <c r="J171" t="s">
        <v>1196</v>
      </c>
      <c r="K171" t="s">
        <v>187</v>
      </c>
      <c r="L171" s="3">
        <v>47579</v>
      </c>
      <c r="M171" s="3">
        <v>47460</v>
      </c>
      <c r="N171" t="s">
        <v>1822</v>
      </c>
      <c r="O171" s="4">
        <v>1</v>
      </c>
      <c r="P171">
        <v>0</v>
      </c>
      <c r="Q171">
        <v>0</v>
      </c>
    </row>
    <row r="172" spans="1:17" x14ac:dyDescent="0.3">
      <c r="A172">
        <v>25873</v>
      </c>
      <c r="B172" t="s">
        <v>1823</v>
      </c>
      <c r="C172" t="s">
        <v>1820</v>
      </c>
      <c r="D172" s="3">
        <v>29202</v>
      </c>
      <c r="E172" t="s">
        <v>1188</v>
      </c>
      <c r="F172">
        <v>105</v>
      </c>
      <c r="G172" s="3">
        <v>40525</v>
      </c>
      <c r="H172" t="s">
        <v>1824</v>
      </c>
      <c r="J172" t="s">
        <v>1444</v>
      </c>
      <c r="K172" t="s">
        <v>191</v>
      </c>
      <c r="L172" s="3">
        <v>45922</v>
      </c>
      <c r="M172" s="3">
        <v>45916</v>
      </c>
      <c r="N172" t="s">
        <v>1825</v>
      </c>
      <c r="O172" s="4">
        <v>1</v>
      </c>
      <c r="P172">
        <v>0</v>
      </c>
      <c r="Q172">
        <v>1</v>
      </c>
    </row>
    <row r="173" spans="1:17" x14ac:dyDescent="0.3">
      <c r="A173">
        <v>39532</v>
      </c>
      <c r="B173" t="s">
        <v>1826</v>
      </c>
      <c r="C173" t="s">
        <v>1827</v>
      </c>
      <c r="D173" s="3">
        <v>36632</v>
      </c>
      <c r="E173" t="s">
        <v>1188</v>
      </c>
      <c r="F173">
        <v>87</v>
      </c>
      <c r="G173" s="3">
        <v>45208</v>
      </c>
      <c r="H173" t="s">
        <v>1828</v>
      </c>
      <c r="J173" t="s">
        <v>1196</v>
      </c>
      <c r="K173" t="s">
        <v>189</v>
      </c>
      <c r="L173" s="3">
        <v>47049</v>
      </c>
      <c r="M173" s="3">
        <v>46981</v>
      </c>
      <c r="N173" t="s">
        <v>1829</v>
      </c>
      <c r="O173" s="4">
        <v>1</v>
      </c>
      <c r="P173">
        <v>0</v>
      </c>
      <c r="Q173">
        <v>0</v>
      </c>
    </row>
    <row r="174" spans="1:17" x14ac:dyDescent="0.3">
      <c r="A174">
        <v>31634</v>
      </c>
      <c r="B174" t="s">
        <v>1830</v>
      </c>
      <c r="C174" t="s">
        <v>1831</v>
      </c>
      <c r="D174" s="3">
        <v>34483</v>
      </c>
      <c r="E174" t="s">
        <v>1188</v>
      </c>
      <c r="F174">
        <v>111</v>
      </c>
      <c r="G174" s="3">
        <v>42863</v>
      </c>
      <c r="H174" t="s">
        <v>1832</v>
      </c>
      <c r="J174" t="s">
        <v>1411</v>
      </c>
      <c r="K174" t="s">
        <v>191</v>
      </c>
      <c r="L174" s="3">
        <v>46488</v>
      </c>
      <c r="M174" s="3">
        <v>46469</v>
      </c>
      <c r="N174" t="s">
        <v>1833</v>
      </c>
      <c r="O174" s="4">
        <v>1</v>
      </c>
      <c r="P174">
        <v>0</v>
      </c>
      <c r="Q174">
        <v>0</v>
      </c>
    </row>
    <row r="175" spans="1:17" x14ac:dyDescent="0.3">
      <c r="A175">
        <v>26959</v>
      </c>
      <c r="B175" t="s">
        <v>1834</v>
      </c>
      <c r="C175" t="s">
        <v>1835</v>
      </c>
      <c r="D175" s="3">
        <v>25346</v>
      </c>
      <c r="E175" t="s">
        <v>1188</v>
      </c>
      <c r="F175">
        <v>39</v>
      </c>
      <c r="G175" s="3">
        <v>40861</v>
      </c>
      <c r="H175" t="s">
        <v>1836</v>
      </c>
      <c r="J175" t="s">
        <v>1504</v>
      </c>
      <c r="K175" t="s">
        <v>185</v>
      </c>
      <c r="L175" s="3">
        <v>46259</v>
      </c>
      <c r="M175" s="3">
        <v>46210</v>
      </c>
      <c r="N175" t="s">
        <v>1837</v>
      </c>
      <c r="O175" s="4">
        <v>0.8</v>
      </c>
      <c r="P175">
        <v>0</v>
      </c>
      <c r="Q175">
        <v>0</v>
      </c>
    </row>
    <row r="176" spans="1:17" x14ac:dyDescent="0.3">
      <c r="A176">
        <v>10326</v>
      </c>
      <c r="B176" t="s">
        <v>1838</v>
      </c>
      <c r="C176" t="s">
        <v>1835</v>
      </c>
      <c r="D176" s="3">
        <v>28038</v>
      </c>
      <c r="E176" t="s">
        <v>1188</v>
      </c>
      <c r="F176">
        <v>534</v>
      </c>
      <c r="G176" s="3">
        <v>35948</v>
      </c>
      <c r="H176" t="s">
        <v>1839</v>
      </c>
      <c r="J176" t="s">
        <v>1411</v>
      </c>
      <c r="K176" t="s">
        <v>187</v>
      </c>
      <c r="L176" s="3">
        <v>45928</v>
      </c>
      <c r="M176" s="3">
        <v>46623</v>
      </c>
      <c r="N176" t="s">
        <v>1840</v>
      </c>
      <c r="O176" s="4">
        <v>0.5</v>
      </c>
      <c r="P176">
        <v>0</v>
      </c>
      <c r="Q176">
        <v>0</v>
      </c>
    </row>
    <row r="177" spans="1:17" x14ac:dyDescent="0.3">
      <c r="A177">
        <v>28830</v>
      </c>
      <c r="B177" t="s">
        <v>1841</v>
      </c>
      <c r="C177" t="s">
        <v>1842</v>
      </c>
      <c r="D177" s="3">
        <v>29494</v>
      </c>
      <c r="E177" t="s">
        <v>1188</v>
      </c>
      <c r="F177">
        <v>619</v>
      </c>
      <c r="G177" s="3">
        <v>41722</v>
      </c>
      <c r="H177" t="s">
        <v>1843</v>
      </c>
      <c r="J177" t="s">
        <v>1299</v>
      </c>
      <c r="K177" t="s">
        <v>189</v>
      </c>
      <c r="L177" s="3">
        <v>47108</v>
      </c>
      <c r="M177" s="3">
        <v>47034</v>
      </c>
      <c r="N177" t="s">
        <v>1844</v>
      </c>
      <c r="O177" s="4">
        <v>0.8</v>
      </c>
      <c r="P177">
        <v>0</v>
      </c>
      <c r="Q177">
        <v>0</v>
      </c>
    </row>
    <row r="178" spans="1:17" x14ac:dyDescent="0.3">
      <c r="A178">
        <v>40036</v>
      </c>
      <c r="B178" t="s">
        <v>1845</v>
      </c>
      <c r="C178" t="s">
        <v>1846</v>
      </c>
      <c r="D178" s="3">
        <v>28723</v>
      </c>
      <c r="E178" t="s">
        <v>1188</v>
      </c>
      <c r="G178" s="3">
        <v>45364</v>
      </c>
      <c r="H178" t="s">
        <v>1847</v>
      </c>
      <c r="J178" t="s">
        <v>1196</v>
      </c>
      <c r="K178" t="s">
        <v>185</v>
      </c>
      <c r="L178" s="3">
        <v>47210</v>
      </c>
      <c r="M178" s="3">
        <v>47092</v>
      </c>
      <c r="N178" t="s">
        <v>1848</v>
      </c>
      <c r="O178" s="4">
        <v>1</v>
      </c>
      <c r="P178">
        <v>0</v>
      </c>
      <c r="Q178">
        <v>0</v>
      </c>
    </row>
    <row r="179" spans="1:17" x14ac:dyDescent="0.3">
      <c r="A179">
        <v>41296</v>
      </c>
      <c r="B179" t="s">
        <v>1849</v>
      </c>
      <c r="C179" t="s">
        <v>1850</v>
      </c>
      <c r="D179" s="3">
        <v>36719</v>
      </c>
      <c r="E179" t="s">
        <v>1188</v>
      </c>
      <c r="G179" s="3">
        <v>45618</v>
      </c>
      <c r="H179" t="s">
        <v>1851</v>
      </c>
      <c r="J179" t="s">
        <v>1196</v>
      </c>
      <c r="K179" t="s">
        <v>189</v>
      </c>
      <c r="L179" s="3">
        <v>47462</v>
      </c>
      <c r="M179" s="3">
        <v>47433</v>
      </c>
      <c r="N179" t="s">
        <v>1852</v>
      </c>
      <c r="O179" s="4">
        <v>1</v>
      </c>
      <c r="P179">
        <v>0</v>
      </c>
      <c r="Q179">
        <v>0</v>
      </c>
    </row>
    <row r="180" spans="1:17" x14ac:dyDescent="0.3">
      <c r="A180">
        <v>31111</v>
      </c>
      <c r="B180" t="s">
        <v>1853</v>
      </c>
      <c r="C180" t="s">
        <v>1854</v>
      </c>
      <c r="D180" s="3">
        <v>28962</v>
      </c>
      <c r="E180" t="s">
        <v>1188</v>
      </c>
      <c r="F180">
        <v>419</v>
      </c>
      <c r="G180" s="3">
        <v>42604</v>
      </c>
      <c r="H180" t="s">
        <v>1855</v>
      </c>
      <c r="I180">
        <v>486365426</v>
      </c>
      <c r="J180" t="s">
        <v>1220</v>
      </c>
      <c r="K180" t="s">
        <v>191</v>
      </c>
      <c r="L180" s="3">
        <v>46316</v>
      </c>
      <c r="M180" s="3">
        <v>46181</v>
      </c>
      <c r="N180" t="s">
        <v>1856</v>
      </c>
      <c r="O180" s="4">
        <v>1</v>
      </c>
      <c r="P180">
        <v>0</v>
      </c>
      <c r="Q180">
        <v>1</v>
      </c>
    </row>
    <row r="181" spans="1:17" x14ac:dyDescent="0.3">
      <c r="A181">
        <v>28794</v>
      </c>
      <c r="B181" t="s">
        <v>1857</v>
      </c>
      <c r="C181" t="s">
        <v>1858</v>
      </c>
      <c r="D181" s="3">
        <v>31809</v>
      </c>
      <c r="E181" t="s">
        <v>1188</v>
      </c>
      <c r="F181">
        <v>41</v>
      </c>
      <c r="G181" s="3">
        <v>41701</v>
      </c>
      <c r="H181" t="s">
        <v>1859</v>
      </c>
      <c r="J181" t="s">
        <v>1366</v>
      </c>
      <c r="K181" t="s">
        <v>197</v>
      </c>
      <c r="L181" s="3">
        <v>47128</v>
      </c>
      <c r="M181" s="3">
        <v>47077</v>
      </c>
      <c r="N181" t="s">
        <v>1860</v>
      </c>
      <c r="O181" s="4">
        <v>0.8</v>
      </c>
      <c r="P181">
        <v>0</v>
      </c>
      <c r="Q181">
        <v>1</v>
      </c>
    </row>
    <row r="182" spans="1:17" x14ac:dyDescent="0.3">
      <c r="A182">
        <v>37600</v>
      </c>
      <c r="B182" t="s">
        <v>1861</v>
      </c>
      <c r="C182" t="s">
        <v>1862</v>
      </c>
      <c r="D182" s="3">
        <v>29705</v>
      </c>
      <c r="E182" t="s">
        <v>1188</v>
      </c>
      <c r="G182" s="3">
        <v>44704</v>
      </c>
      <c r="H182" t="s">
        <v>1863</v>
      </c>
      <c r="J182" t="s">
        <v>1206</v>
      </c>
      <c r="K182" t="s">
        <v>197</v>
      </c>
      <c r="L182" s="3">
        <v>46546</v>
      </c>
      <c r="M182" s="3">
        <v>46497</v>
      </c>
      <c r="N182" t="s">
        <v>1864</v>
      </c>
      <c r="O182" s="4">
        <v>1</v>
      </c>
      <c r="P182">
        <v>0</v>
      </c>
      <c r="Q182">
        <v>0</v>
      </c>
    </row>
    <row r="183" spans="1:17" x14ac:dyDescent="0.3">
      <c r="A183">
        <v>36425</v>
      </c>
      <c r="B183" t="s">
        <v>1865</v>
      </c>
      <c r="C183" t="s">
        <v>1862</v>
      </c>
      <c r="D183" s="3">
        <v>27833</v>
      </c>
      <c r="E183" t="s">
        <v>1188</v>
      </c>
      <c r="G183" s="3">
        <v>44333</v>
      </c>
      <c r="H183" t="s">
        <v>1866</v>
      </c>
      <c r="J183" t="s">
        <v>1378</v>
      </c>
      <c r="K183" t="s">
        <v>191</v>
      </c>
      <c r="L183" s="3">
        <v>46175</v>
      </c>
      <c r="M183" s="3">
        <v>45936</v>
      </c>
      <c r="N183" t="s">
        <v>1867</v>
      </c>
      <c r="O183" s="4">
        <v>1</v>
      </c>
      <c r="P183">
        <v>0</v>
      </c>
      <c r="Q183">
        <v>1</v>
      </c>
    </row>
    <row r="184" spans="1:17" x14ac:dyDescent="0.3">
      <c r="A184">
        <v>11508</v>
      </c>
      <c r="B184" t="s">
        <v>1868</v>
      </c>
      <c r="C184" t="s">
        <v>1862</v>
      </c>
      <c r="D184" s="3">
        <v>27991</v>
      </c>
      <c r="E184" t="s">
        <v>1188</v>
      </c>
      <c r="F184">
        <v>333</v>
      </c>
      <c r="G184" s="3">
        <v>36388</v>
      </c>
      <c r="H184" t="s">
        <v>1869</v>
      </c>
      <c r="I184">
        <v>92324068</v>
      </c>
      <c r="J184" t="s">
        <v>1303</v>
      </c>
      <c r="K184" t="s">
        <v>197</v>
      </c>
      <c r="L184" s="3">
        <v>45878</v>
      </c>
      <c r="M184" s="3">
        <v>46974</v>
      </c>
      <c r="N184" t="s">
        <v>1870</v>
      </c>
      <c r="O184" s="4">
        <v>1</v>
      </c>
      <c r="P184">
        <v>0</v>
      </c>
      <c r="Q184">
        <v>0</v>
      </c>
    </row>
    <row r="185" spans="1:17" x14ac:dyDescent="0.3">
      <c r="A185">
        <v>41786</v>
      </c>
      <c r="B185" t="s">
        <v>1871</v>
      </c>
      <c r="C185" t="s">
        <v>1872</v>
      </c>
      <c r="D185" s="3">
        <v>34724</v>
      </c>
      <c r="E185" t="s">
        <v>1188</v>
      </c>
      <c r="G185" s="3">
        <v>45763</v>
      </c>
      <c r="H185" t="s">
        <v>1873</v>
      </c>
      <c r="J185" t="s">
        <v>1196</v>
      </c>
      <c r="K185" t="s">
        <v>189</v>
      </c>
      <c r="L185" s="3">
        <v>1</v>
      </c>
      <c r="M185" s="3">
        <v>1</v>
      </c>
      <c r="N185" t="s">
        <v>1874</v>
      </c>
      <c r="O185" s="4">
        <v>1</v>
      </c>
      <c r="P185">
        <v>0</v>
      </c>
      <c r="Q185">
        <v>0</v>
      </c>
    </row>
    <row r="186" spans="1:17" x14ac:dyDescent="0.3">
      <c r="A186">
        <v>31404</v>
      </c>
      <c r="B186" t="s">
        <v>1875</v>
      </c>
      <c r="C186" t="s">
        <v>1872</v>
      </c>
      <c r="D186" s="3">
        <v>28234</v>
      </c>
      <c r="E186" t="s">
        <v>1442</v>
      </c>
      <c r="F186">
        <v>62</v>
      </c>
      <c r="G186" s="3">
        <v>42758</v>
      </c>
      <c r="H186" t="s">
        <v>1876</v>
      </c>
      <c r="J186" t="s">
        <v>1366</v>
      </c>
      <c r="K186" t="s">
        <v>185</v>
      </c>
      <c r="L186" s="3">
        <v>46330</v>
      </c>
      <c r="M186" s="3">
        <v>46320</v>
      </c>
      <c r="N186" t="s">
        <v>1877</v>
      </c>
      <c r="O186" s="4">
        <v>1</v>
      </c>
      <c r="P186">
        <v>0</v>
      </c>
      <c r="Q186">
        <v>0</v>
      </c>
    </row>
    <row r="187" spans="1:17" x14ac:dyDescent="0.3">
      <c r="A187">
        <v>40938</v>
      </c>
      <c r="B187" t="s">
        <v>1878</v>
      </c>
      <c r="C187" t="s">
        <v>1879</v>
      </c>
      <c r="D187" s="3">
        <v>31961</v>
      </c>
      <c r="E187" t="s">
        <v>1188</v>
      </c>
      <c r="G187" s="3">
        <v>45530</v>
      </c>
      <c r="H187" t="s">
        <v>1880</v>
      </c>
      <c r="J187" t="s">
        <v>1196</v>
      </c>
      <c r="K187" t="s">
        <v>185</v>
      </c>
      <c r="L187" s="3">
        <v>47463</v>
      </c>
      <c r="M187" s="3">
        <v>46678</v>
      </c>
      <c r="N187" t="s">
        <v>1881</v>
      </c>
      <c r="O187" s="4">
        <v>1</v>
      </c>
      <c r="P187">
        <v>0</v>
      </c>
      <c r="Q187">
        <v>0</v>
      </c>
    </row>
    <row r="188" spans="1:17" x14ac:dyDescent="0.3">
      <c r="A188">
        <v>37564</v>
      </c>
      <c r="B188" t="s">
        <v>1882</v>
      </c>
      <c r="C188" t="s">
        <v>1883</v>
      </c>
      <c r="D188" s="3">
        <v>37200</v>
      </c>
      <c r="E188" t="s">
        <v>1188</v>
      </c>
      <c r="G188" s="3">
        <v>44683</v>
      </c>
      <c r="H188" t="s">
        <v>1884</v>
      </c>
      <c r="J188" t="s">
        <v>1196</v>
      </c>
      <c r="K188" t="s">
        <v>191</v>
      </c>
      <c r="L188" s="3">
        <v>46524</v>
      </c>
      <c r="M188" s="3">
        <v>46476</v>
      </c>
      <c r="N188" t="s">
        <v>1885</v>
      </c>
      <c r="O188" s="4">
        <v>0.5</v>
      </c>
      <c r="P188">
        <v>0</v>
      </c>
      <c r="Q188">
        <v>0</v>
      </c>
    </row>
    <row r="189" spans="1:17" x14ac:dyDescent="0.3">
      <c r="A189">
        <v>16623</v>
      </c>
      <c r="B189" t="s">
        <v>1886</v>
      </c>
      <c r="C189" t="s">
        <v>1887</v>
      </c>
      <c r="D189" s="3">
        <v>25363</v>
      </c>
      <c r="E189" t="s">
        <v>1188</v>
      </c>
      <c r="F189">
        <v>560</v>
      </c>
      <c r="G189" s="3">
        <v>38019</v>
      </c>
      <c r="H189" t="s">
        <v>1888</v>
      </c>
      <c r="J189" t="s">
        <v>1307</v>
      </c>
      <c r="K189" t="s">
        <v>191</v>
      </c>
      <c r="L189" s="3">
        <v>45865</v>
      </c>
      <c r="M189" s="3">
        <v>46827</v>
      </c>
      <c r="N189" t="s">
        <v>1889</v>
      </c>
      <c r="O189" s="4">
        <v>0.5</v>
      </c>
      <c r="P189">
        <v>0</v>
      </c>
      <c r="Q189">
        <v>0</v>
      </c>
    </row>
    <row r="190" spans="1:17" x14ac:dyDescent="0.3">
      <c r="A190">
        <v>39101</v>
      </c>
      <c r="B190" t="s">
        <v>1890</v>
      </c>
      <c r="C190" t="s">
        <v>1891</v>
      </c>
      <c r="D190" s="3">
        <v>29763</v>
      </c>
      <c r="E190" t="s">
        <v>1188</v>
      </c>
      <c r="G190" s="3">
        <v>45076</v>
      </c>
      <c r="H190" t="s">
        <v>1892</v>
      </c>
      <c r="J190" t="s">
        <v>1196</v>
      </c>
      <c r="K190" t="s">
        <v>189</v>
      </c>
      <c r="L190" s="3">
        <v>47048</v>
      </c>
      <c r="M190" s="3">
        <v>46959</v>
      </c>
      <c r="N190" t="s">
        <v>1893</v>
      </c>
      <c r="O190" s="4">
        <v>1</v>
      </c>
      <c r="P190">
        <v>0</v>
      </c>
      <c r="Q190">
        <v>0</v>
      </c>
    </row>
    <row r="191" spans="1:17" x14ac:dyDescent="0.3">
      <c r="A191">
        <v>37808</v>
      </c>
      <c r="B191" t="s">
        <v>1894</v>
      </c>
      <c r="C191" t="s">
        <v>1891</v>
      </c>
      <c r="D191" s="3">
        <v>29946</v>
      </c>
      <c r="E191" t="s">
        <v>1188</v>
      </c>
      <c r="G191" s="3">
        <v>44795</v>
      </c>
      <c r="H191" t="s">
        <v>1895</v>
      </c>
      <c r="J191" t="s">
        <v>1191</v>
      </c>
      <c r="K191" t="s">
        <v>191</v>
      </c>
      <c r="L191" s="3">
        <v>46637</v>
      </c>
      <c r="M191" s="3">
        <v>46504</v>
      </c>
      <c r="N191" t="s">
        <v>1896</v>
      </c>
      <c r="O191" s="4">
        <v>1</v>
      </c>
      <c r="P191">
        <v>0</v>
      </c>
      <c r="Q191">
        <v>0</v>
      </c>
    </row>
    <row r="192" spans="1:17" x14ac:dyDescent="0.3">
      <c r="A192">
        <v>37439</v>
      </c>
      <c r="B192" t="s">
        <v>1897</v>
      </c>
      <c r="C192" t="s">
        <v>1891</v>
      </c>
      <c r="D192" s="3">
        <v>35810</v>
      </c>
      <c r="E192" t="s">
        <v>1188</v>
      </c>
      <c r="G192" s="3">
        <v>44655</v>
      </c>
      <c r="H192" t="s">
        <v>1898</v>
      </c>
      <c r="J192" t="s">
        <v>1196</v>
      </c>
      <c r="K192" t="s">
        <v>195</v>
      </c>
      <c r="L192" s="3">
        <v>46497</v>
      </c>
      <c r="M192" s="3">
        <v>46445</v>
      </c>
      <c r="N192" t="s">
        <v>1899</v>
      </c>
      <c r="O192" s="4">
        <v>1</v>
      </c>
      <c r="P192">
        <v>0</v>
      </c>
      <c r="Q192">
        <v>0</v>
      </c>
    </row>
    <row r="193" spans="1:17" x14ac:dyDescent="0.3">
      <c r="A193">
        <v>35005</v>
      </c>
      <c r="B193" t="s">
        <v>1900</v>
      </c>
      <c r="C193" t="s">
        <v>1891</v>
      </c>
      <c r="D193" s="3">
        <v>31020</v>
      </c>
      <c r="E193" t="s">
        <v>1188</v>
      </c>
      <c r="F193">
        <v>450</v>
      </c>
      <c r="G193" s="3">
        <v>43850</v>
      </c>
      <c r="H193" t="s">
        <v>1901</v>
      </c>
      <c r="J193" t="s">
        <v>1206</v>
      </c>
      <c r="K193" t="s">
        <v>187</v>
      </c>
      <c r="L193" s="3">
        <v>47239</v>
      </c>
      <c r="M193" s="3">
        <v>47237</v>
      </c>
      <c r="N193" t="s">
        <v>1902</v>
      </c>
      <c r="O193" s="4">
        <v>1</v>
      </c>
      <c r="P193">
        <v>0</v>
      </c>
      <c r="Q193">
        <v>1</v>
      </c>
    </row>
    <row r="194" spans="1:17" x14ac:dyDescent="0.3">
      <c r="A194">
        <v>30623</v>
      </c>
      <c r="B194" t="s">
        <v>1815</v>
      </c>
      <c r="C194" t="s">
        <v>1891</v>
      </c>
      <c r="D194" s="3">
        <v>25613</v>
      </c>
      <c r="E194" t="s">
        <v>1188</v>
      </c>
      <c r="F194">
        <v>51</v>
      </c>
      <c r="G194" s="3">
        <v>42429</v>
      </c>
      <c r="H194" t="s">
        <v>1903</v>
      </c>
      <c r="J194" t="s">
        <v>1366</v>
      </c>
      <c r="K194" t="s">
        <v>195</v>
      </c>
      <c r="L194" s="3">
        <v>45966</v>
      </c>
      <c r="M194" s="3">
        <v>45958</v>
      </c>
      <c r="N194" t="s">
        <v>1904</v>
      </c>
      <c r="O194" s="4">
        <v>1</v>
      </c>
      <c r="P194">
        <v>0</v>
      </c>
      <c r="Q194">
        <v>1</v>
      </c>
    </row>
    <row r="195" spans="1:17" x14ac:dyDescent="0.3">
      <c r="A195">
        <v>23543</v>
      </c>
      <c r="B195" t="s">
        <v>1905</v>
      </c>
      <c r="C195" t="s">
        <v>1891</v>
      </c>
      <c r="D195" s="3">
        <v>30706</v>
      </c>
      <c r="E195" t="s">
        <v>1188</v>
      </c>
      <c r="F195">
        <v>427</v>
      </c>
      <c r="G195" s="3">
        <v>39895</v>
      </c>
      <c r="H195" t="s">
        <v>1906</v>
      </c>
      <c r="J195" t="s">
        <v>1349</v>
      </c>
      <c r="K195" t="s">
        <v>189</v>
      </c>
      <c r="L195" s="3">
        <v>46985</v>
      </c>
      <c r="M195" s="3">
        <v>46981</v>
      </c>
      <c r="N195" t="s">
        <v>1907</v>
      </c>
      <c r="O195" s="4">
        <v>1</v>
      </c>
      <c r="P195">
        <v>0</v>
      </c>
      <c r="Q195">
        <v>1</v>
      </c>
    </row>
    <row r="196" spans="1:17" x14ac:dyDescent="0.3">
      <c r="A196">
        <v>29591</v>
      </c>
      <c r="B196" t="s">
        <v>1908</v>
      </c>
      <c r="C196" t="s">
        <v>1909</v>
      </c>
      <c r="D196" s="3">
        <v>33643</v>
      </c>
      <c r="E196" t="s">
        <v>1188</v>
      </c>
      <c r="F196">
        <v>388</v>
      </c>
      <c r="G196" s="3">
        <v>42023</v>
      </c>
      <c r="H196" t="s">
        <v>1910</v>
      </c>
      <c r="J196" t="s">
        <v>1191</v>
      </c>
      <c r="K196" t="s">
        <v>189</v>
      </c>
      <c r="L196" s="3">
        <v>47399</v>
      </c>
      <c r="M196" s="3">
        <v>47369</v>
      </c>
      <c r="N196" t="s">
        <v>1911</v>
      </c>
      <c r="O196" s="4">
        <v>1</v>
      </c>
      <c r="P196">
        <v>0</v>
      </c>
      <c r="Q196">
        <v>1</v>
      </c>
    </row>
    <row r="197" spans="1:17" x14ac:dyDescent="0.3">
      <c r="A197">
        <v>26266</v>
      </c>
      <c r="B197" t="s">
        <v>1894</v>
      </c>
      <c r="C197" t="s">
        <v>1912</v>
      </c>
      <c r="D197" s="3">
        <v>31706</v>
      </c>
      <c r="E197" t="s">
        <v>1188</v>
      </c>
      <c r="F197">
        <v>36</v>
      </c>
      <c r="G197" s="3">
        <v>40658</v>
      </c>
      <c r="H197" t="s">
        <v>1913</v>
      </c>
      <c r="J197" t="s">
        <v>1277</v>
      </c>
      <c r="K197" t="s">
        <v>191</v>
      </c>
      <c r="L197" s="3">
        <v>72686</v>
      </c>
      <c r="M197" s="3">
        <v>46838</v>
      </c>
      <c r="N197" t="s">
        <v>1914</v>
      </c>
      <c r="O197" s="4">
        <v>0.8</v>
      </c>
      <c r="P197">
        <v>0</v>
      </c>
      <c r="Q197">
        <v>1</v>
      </c>
    </row>
    <row r="198" spans="1:17" x14ac:dyDescent="0.3">
      <c r="A198">
        <v>20954</v>
      </c>
      <c r="B198" t="s">
        <v>1915</v>
      </c>
      <c r="C198" t="s">
        <v>1912</v>
      </c>
      <c r="D198" s="3">
        <v>28705</v>
      </c>
      <c r="E198" t="s">
        <v>1188</v>
      </c>
      <c r="F198">
        <v>244</v>
      </c>
      <c r="G198" s="3">
        <v>39272</v>
      </c>
      <c r="H198" t="s">
        <v>1916</v>
      </c>
      <c r="J198" t="s">
        <v>1214</v>
      </c>
      <c r="K198" t="s">
        <v>193</v>
      </c>
      <c r="L198" s="3">
        <v>46680</v>
      </c>
      <c r="M198" s="3">
        <v>46679</v>
      </c>
      <c r="N198" t="s">
        <v>1917</v>
      </c>
      <c r="O198" s="4">
        <v>1</v>
      </c>
      <c r="P198">
        <v>0</v>
      </c>
      <c r="Q198">
        <v>1</v>
      </c>
    </row>
    <row r="199" spans="1:17" x14ac:dyDescent="0.3">
      <c r="A199">
        <v>39831</v>
      </c>
      <c r="B199" t="s">
        <v>1918</v>
      </c>
      <c r="C199" t="s">
        <v>1919</v>
      </c>
      <c r="D199" s="3">
        <v>35158</v>
      </c>
      <c r="E199" t="s">
        <v>1188</v>
      </c>
      <c r="G199" s="3">
        <v>45264</v>
      </c>
      <c r="H199" t="s">
        <v>1920</v>
      </c>
      <c r="J199" t="s">
        <v>1196</v>
      </c>
      <c r="K199" t="s">
        <v>193</v>
      </c>
      <c r="L199" s="3">
        <v>47106</v>
      </c>
      <c r="M199" s="3">
        <v>47072</v>
      </c>
      <c r="N199" t="s">
        <v>1921</v>
      </c>
      <c r="O199" s="4">
        <v>0.5</v>
      </c>
      <c r="P199">
        <v>0</v>
      </c>
      <c r="Q199">
        <v>0</v>
      </c>
    </row>
    <row r="200" spans="1:17" x14ac:dyDescent="0.3">
      <c r="A200">
        <v>33986</v>
      </c>
      <c r="B200" t="s">
        <v>1922</v>
      </c>
      <c r="C200" t="s">
        <v>1923</v>
      </c>
      <c r="D200" s="3">
        <v>31149</v>
      </c>
      <c r="E200" t="s">
        <v>1188</v>
      </c>
      <c r="F200">
        <v>163</v>
      </c>
      <c r="G200" s="3">
        <v>43605</v>
      </c>
      <c r="H200" t="s">
        <v>1924</v>
      </c>
      <c r="J200" t="s">
        <v>1220</v>
      </c>
      <c r="K200" t="s">
        <v>195</v>
      </c>
      <c r="L200" s="3">
        <v>47162</v>
      </c>
      <c r="M200" s="3">
        <v>47126</v>
      </c>
      <c r="N200" t="s">
        <v>1925</v>
      </c>
      <c r="O200" s="4">
        <v>0.8</v>
      </c>
      <c r="P200">
        <v>0</v>
      </c>
      <c r="Q200">
        <v>1</v>
      </c>
    </row>
    <row r="201" spans="1:17" x14ac:dyDescent="0.3">
      <c r="A201">
        <v>38648</v>
      </c>
      <c r="B201" t="s">
        <v>1926</v>
      </c>
      <c r="C201" t="s">
        <v>1927</v>
      </c>
      <c r="D201" s="3">
        <v>34795</v>
      </c>
      <c r="E201" t="s">
        <v>1188</v>
      </c>
      <c r="G201" s="3">
        <v>45027</v>
      </c>
      <c r="H201" t="s">
        <v>1928</v>
      </c>
      <c r="J201" t="s">
        <v>1196</v>
      </c>
      <c r="K201" t="s">
        <v>197</v>
      </c>
      <c r="L201" s="3">
        <v>46874</v>
      </c>
      <c r="M201" s="3">
        <v>46774</v>
      </c>
      <c r="N201" t="s">
        <v>1929</v>
      </c>
      <c r="O201" s="4">
        <v>1</v>
      </c>
      <c r="P201">
        <v>0</v>
      </c>
      <c r="Q201">
        <v>0</v>
      </c>
    </row>
    <row r="202" spans="1:17" x14ac:dyDescent="0.3">
      <c r="A202">
        <v>39779</v>
      </c>
      <c r="B202" t="s">
        <v>1930</v>
      </c>
      <c r="C202" t="s">
        <v>1931</v>
      </c>
      <c r="D202" s="3">
        <v>33855</v>
      </c>
      <c r="E202" t="s">
        <v>1188</v>
      </c>
      <c r="G202" s="3">
        <v>45250</v>
      </c>
      <c r="H202" t="s">
        <v>1932</v>
      </c>
      <c r="J202" t="s">
        <v>1196</v>
      </c>
      <c r="K202" t="s">
        <v>187</v>
      </c>
      <c r="L202" s="3">
        <v>47093</v>
      </c>
      <c r="M202" s="3">
        <v>47051</v>
      </c>
      <c r="N202" t="s">
        <v>1933</v>
      </c>
      <c r="O202" s="4">
        <v>1</v>
      </c>
      <c r="P202">
        <v>0</v>
      </c>
      <c r="Q202">
        <v>0</v>
      </c>
    </row>
    <row r="203" spans="1:17" x14ac:dyDescent="0.3">
      <c r="A203">
        <v>37179</v>
      </c>
      <c r="B203" t="s">
        <v>1934</v>
      </c>
      <c r="C203" t="s">
        <v>1935</v>
      </c>
      <c r="D203" s="3">
        <v>35029</v>
      </c>
      <c r="E203" t="s">
        <v>1188</v>
      </c>
      <c r="G203" s="3">
        <v>44571</v>
      </c>
      <c r="H203" t="s">
        <v>1936</v>
      </c>
      <c r="J203" t="s">
        <v>1267</v>
      </c>
      <c r="K203" t="s">
        <v>187</v>
      </c>
      <c r="L203" s="3">
        <v>46411</v>
      </c>
      <c r="M203" s="3">
        <v>46340</v>
      </c>
      <c r="N203" t="s">
        <v>1937</v>
      </c>
      <c r="O203" s="4">
        <v>1</v>
      </c>
      <c r="P203">
        <v>0</v>
      </c>
      <c r="Q203">
        <v>1</v>
      </c>
    </row>
    <row r="204" spans="1:17" x14ac:dyDescent="0.3">
      <c r="A204">
        <v>34286</v>
      </c>
      <c r="B204" t="s">
        <v>1938</v>
      </c>
      <c r="C204" t="s">
        <v>1939</v>
      </c>
      <c r="D204" s="3">
        <v>31192</v>
      </c>
      <c r="E204" t="s">
        <v>1188</v>
      </c>
      <c r="F204">
        <v>385</v>
      </c>
      <c r="G204" s="3">
        <v>43724</v>
      </c>
      <c r="H204" t="s">
        <v>1940</v>
      </c>
      <c r="I204">
        <v>485827666</v>
      </c>
      <c r="J204" t="s">
        <v>1229</v>
      </c>
      <c r="K204" t="s">
        <v>199</v>
      </c>
      <c r="L204" s="3">
        <v>47280</v>
      </c>
      <c r="M204" s="3">
        <v>47216</v>
      </c>
      <c r="N204" t="s">
        <v>1941</v>
      </c>
      <c r="O204" s="4">
        <v>1</v>
      </c>
      <c r="P204">
        <v>0</v>
      </c>
      <c r="Q204">
        <v>0</v>
      </c>
    </row>
    <row r="205" spans="1:17" x14ac:dyDescent="0.3">
      <c r="A205">
        <v>21812</v>
      </c>
      <c r="B205" t="s">
        <v>1942</v>
      </c>
      <c r="C205" t="s">
        <v>1943</v>
      </c>
      <c r="D205" s="3">
        <v>29324</v>
      </c>
      <c r="E205" t="s">
        <v>1188</v>
      </c>
      <c r="F205">
        <v>441</v>
      </c>
      <c r="G205" s="3">
        <v>39496</v>
      </c>
      <c r="H205" t="s">
        <v>1944</v>
      </c>
      <c r="J205" t="s">
        <v>1277</v>
      </c>
      <c r="K205" t="s">
        <v>185</v>
      </c>
      <c r="L205" s="3">
        <v>72686</v>
      </c>
      <c r="M205" s="3">
        <v>46672</v>
      </c>
      <c r="N205" t="s">
        <v>1945</v>
      </c>
      <c r="O205" s="4">
        <v>1</v>
      </c>
      <c r="P205">
        <v>0</v>
      </c>
      <c r="Q205">
        <v>1</v>
      </c>
    </row>
    <row r="206" spans="1:17" x14ac:dyDescent="0.3">
      <c r="A206">
        <v>26960</v>
      </c>
      <c r="B206" t="s">
        <v>1203</v>
      </c>
      <c r="C206" t="s">
        <v>1946</v>
      </c>
      <c r="D206" s="3">
        <v>32970</v>
      </c>
      <c r="E206" t="s">
        <v>1188</v>
      </c>
      <c r="F206">
        <v>411</v>
      </c>
      <c r="G206" s="3">
        <v>40861</v>
      </c>
      <c r="I206">
        <v>485002480</v>
      </c>
      <c r="J206" t="s">
        <v>1444</v>
      </c>
      <c r="K206" t="s">
        <v>191</v>
      </c>
      <c r="L206" s="3">
        <v>45952</v>
      </c>
      <c r="M206" s="3">
        <v>45944</v>
      </c>
      <c r="N206" t="s">
        <v>1947</v>
      </c>
      <c r="O206" s="4">
        <v>0.8</v>
      </c>
      <c r="P206">
        <v>0</v>
      </c>
      <c r="Q206">
        <v>0</v>
      </c>
    </row>
    <row r="207" spans="1:17" x14ac:dyDescent="0.3">
      <c r="A207">
        <v>39379</v>
      </c>
      <c r="B207" t="s">
        <v>1948</v>
      </c>
      <c r="C207" t="s">
        <v>1949</v>
      </c>
      <c r="D207" s="3">
        <v>31775</v>
      </c>
      <c r="E207" t="s">
        <v>1188</v>
      </c>
      <c r="F207">
        <v>28</v>
      </c>
      <c r="G207" s="3">
        <v>45194</v>
      </c>
      <c r="H207" t="s">
        <v>1950</v>
      </c>
      <c r="J207" t="s">
        <v>1196</v>
      </c>
      <c r="K207" t="s">
        <v>189</v>
      </c>
      <c r="L207" s="3">
        <v>47036</v>
      </c>
      <c r="M207" s="3">
        <v>46946</v>
      </c>
      <c r="N207" t="s">
        <v>1951</v>
      </c>
      <c r="O207" s="4">
        <v>0.8</v>
      </c>
      <c r="P207">
        <v>0</v>
      </c>
      <c r="Q207">
        <v>0</v>
      </c>
    </row>
    <row r="208" spans="1:17" x14ac:dyDescent="0.3">
      <c r="A208">
        <v>31150</v>
      </c>
      <c r="B208" t="s">
        <v>1952</v>
      </c>
      <c r="C208" t="s">
        <v>1953</v>
      </c>
      <c r="D208" s="3">
        <v>28226</v>
      </c>
      <c r="E208" t="s">
        <v>1188</v>
      </c>
      <c r="F208">
        <v>33</v>
      </c>
      <c r="G208" s="3">
        <v>42643</v>
      </c>
      <c r="H208" t="s">
        <v>1954</v>
      </c>
      <c r="I208">
        <v>94306073</v>
      </c>
      <c r="J208" t="s">
        <v>1411</v>
      </c>
      <c r="K208" t="s">
        <v>195</v>
      </c>
      <c r="L208" s="3">
        <v>46286</v>
      </c>
      <c r="M208" s="3">
        <v>46187</v>
      </c>
      <c r="N208" t="s">
        <v>1955</v>
      </c>
      <c r="O208" s="4">
        <v>1</v>
      </c>
      <c r="P208">
        <v>0</v>
      </c>
      <c r="Q208">
        <v>0</v>
      </c>
    </row>
    <row r="209" spans="1:17" x14ac:dyDescent="0.3">
      <c r="A209">
        <v>28737</v>
      </c>
      <c r="B209" t="s">
        <v>1956</v>
      </c>
      <c r="C209" t="s">
        <v>1957</v>
      </c>
      <c r="D209" s="3">
        <v>27642</v>
      </c>
      <c r="E209" t="s">
        <v>1188</v>
      </c>
      <c r="F209">
        <v>17</v>
      </c>
      <c r="G209" s="3">
        <v>41680</v>
      </c>
      <c r="H209" t="s">
        <v>1958</v>
      </c>
      <c r="J209" t="s">
        <v>1366</v>
      </c>
      <c r="K209" t="s">
        <v>197</v>
      </c>
      <c r="L209" s="3">
        <v>47174</v>
      </c>
      <c r="M209" s="3">
        <v>45867</v>
      </c>
      <c r="N209" t="s">
        <v>1959</v>
      </c>
      <c r="O209" s="4">
        <v>1</v>
      </c>
      <c r="P209">
        <v>0</v>
      </c>
      <c r="Q209">
        <v>1</v>
      </c>
    </row>
    <row r="210" spans="1:17" x14ac:dyDescent="0.3">
      <c r="A210">
        <v>26521</v>
      </c>
      <c r="B210" t="s">
        <v>1960</v>
      </c>
      <c r="C210" t="s">
        <v>1961</v>
      </c>
      <c r="D210" s="3">
        <v>32073</v>
      </c>
      <c r="E210" t="s">
        <v>1188</v>
      </c>
      <c r="F210">
        <v>307</v>
      </c>
      <c r="G210" s="3">
        <v>40728</v>
      </c>
      <c r="H210" t="s">
        <v>1962</v>
      </c>
      <c r="J210" t="s">
        <v>1263</v>
      </c>
      <c r="K210" t="s">
        <v>191</v>
      </c>
      <c r="L210" s="3">
        <v>72686</v>
      </c>
      <c r="M210" s="3">
        <v>47135</v>
      </c>
      <c r="N210" t="s">
        <v>1963</v>
      </c>
      <c r="O210" s="4">
        <v>0.6</v>
      </c>
      <c r="P210">
        <v>0</v>
      </c>
      <c r="Q210">
        <v>1</v>
      </c>
    </row>
    <row r="211" spans="1:17" x14ac:dyDescent="0.3">
      <c r="A211">
        <v>41838</v>
      </c>
      <c r="B211" t="s">
        <v>1964</v>
      </c>
      <c r="C211" t="s">
        <v>1965</v>
      </c>
      <c r="D211" s="3">
        <v>37565</v>
      </c>
      <c r="E211" t="s">
        <v>1188</v>
      </c>
      <c r="G211" s="3">
        <v>45783</v>
      </c>
      <c r="H211" t="s">
        <v>1966</v>
      </c>
      <c r="J211" t="s">
        <v>1196</v>
      </c>
      <c r="K211" t="s">
        <v>199</v>
      </c>
      <c r="L211" s="3">
        <v>1</v>
      </c>
      <c r="M211" s="3">
        <v>1</v>
      </c>
      <c r="N211" t="s">
        <v>1967</v>
      </c>
      <c r="O211" s="4">
        <v>1</v>
      </c>
      <c r="P211">
        <v>0</v>
      </c>
      <c r="Q211">
        <v>0</v>
      </c>
    </row>
    <row r="212" spans="1:17" x14ac:dyDescent="0.3">
      <c r="A212">
        <v>36838</v>
      </c>
      <c r="B212" t="s">
        <v>1968</v>
      </c>
      <c r="C212" t="s">
        <v>1965</v>
      </c>
      <c r="D212" s="3">
        <v>36488</v>
      </c>
      <c r="E212" t="s">
        <v>1188</v>
      </c>
      <c r="G212" s="3">
        <v>44480</v>
      </c>
      <c r="H212" t="s">
        <v>1969</v>
      </c>
      <c r="J212" t="s">
        <v>1395</v>
      </c>
      <c r="K212" t="s">
        <v>185</v>
      </c>
      <c r="L212" s="3">
        <v>47338</v>
      </c>
      <c r="M212" s="3">
        <v>47350</v>
      </c>
      <c r="N212" t="s">
        <v>1970</v>
      </c>
      <c r="O212" s="4">
        <v>0.8</v>
      </c>
      <c r="P212">
        <v>0</v>
      </c>
      <c r="Q212">
        <v>1</v>
      </c>
    </row>
    <row r="213" spans="1:17" x14ac:dyDescent="0.3">
      <c r="A213">
        <v>21121</v>
      </c>
      <c r="B213" t="s">
        <v>1971</v>
      </c>
      <c r="C213" t="s">
        <v>1972</v>
      </c>
      <c r="D213" s="3">
        <v>30571</v>
      </c>
      <c r="E213" t="s">
        <v>1188</v>
      </c>
      <c r="F213">
        <v>309</v>
      </c>
      <c r="G213" s="3">
        <v>39286</v>
      </c>
      <c r="H213" t="s">
        <v>1973</v>
      </c>
      <c r="J213" t="s">
        <v>1214</v>
      </c>
      <c r="K213" t="s">
        <v>195</v>
      </c>
      <c r="L213" s="3">
        <v>72686</v>
      </c>
      <c r="M213" s="3">
        <v>46504</v>
      </c>
      <c r="N213" t="s">
        <v>1974</v>
      </c>
      <c r="O213" s="4">
        <v>1</v>
      </c>
      <c r="P213">
        <v>0</v>
      </c>
      <c r="Q213">
        <v>0</v>
      </c>
    </row>
    <row r="214" spans="1:17" x14ac:dyDescent="0.3">
      <c r="A214">
        <v>26695</v>
      </c>
      <c r="B214" t="s">
        <v>1975</v>
      </c>
      <c r="C214" t="s">
        <v>1976</v>
      </c>
      <c r="D214" s="3">
        <v>31035</v>
      </c>
      <c r="E214" t="s">
        <v>1188</v>
      </c>
      <c r="F214">
        <v>119</v>
      </c>
      <c r="G214" s="3">
        <v>40771</v>
      </c>
      <c r="H214" t="s">
        <v>1977</v>
      </c>
      <c r="J214" t="s">
        <v>1303</v>
      </c>
      <c r="K214" t="s">
        <v>189</v>
      </c>
      <c r="L214" s="3">
        <v>46085</v>
      </c>
      <c r="M214" s="3">
        <v>46028</v>
      </c>
      <c r="N214" t="s">
        <v>1978</v>
      </c>
      <c r="O214" s="4">
        <v>1</v>
      </c>
      <c r="P214">
        <v>0</v>
      </c>
      <c r="Q214">
        <v>1</v>
      </c>
    </row>
    <row r="215" spans="1:17" x14ac:dyDescent="0.3">
      <c r="A215">
        <v>31635</v>
      </c>
      <c r="B215" t="s">
        <v>1979</v>
      </c>
      <c r="C215" t="s">
        <v>1980</v>
      </c>
      <c r="D215" s="3">
        <v>34219</v>
      </c>
      <c r="E215" t="s">
        <v>1188</v>
      </c>
      <c r="F215">
        <v>238</v>
      </c>
      <c r="G215" s="3">
        <v>42863</v>
      </c>
      <c r="H215" t="s">
        <v>1981</v>
      </c>
      <c r="J215" t="s">
        <v>1234</v>
      </c>
      <c r="K215" t="s">
        <v>191</v>
      </c>
      <c r="L215" s="3">
        <v>46377</v>
      </c>
      <c r="M215" s="3">
        <v>46369</v>
      </c>
      <c r="N215" t="s">
        <v>1982</v>
      </c>
      <c r="O215" s="4">
        <v>1</v>
      </c>
      <c r="P215">
        <v>0</v>
      </c>
      <c r="Q215">
        <v>1</v>
      </c>
    </row>
    <row r="216" spans="1:17" x14ac:dyDescent="0.3">
      <c r="A216">
        <v>31118</v>
      </c>
      <c r="B216" t="s">
        <v>1983</v>
      </c>
      <c r="C216" t="s">
        <v>1984</v>
      </c>
      <c r="D216" s="3">
        <v>30190</v>
      </c>
      <c r="E216" t="s">
        <v>1188</v>
      </c>
      <c r="F216">
        <v>13</v>
      </c>
      <c r="G216" s="3">
        <v>42618</v>
      </c>
      <c r="H216" t="s">
        <v>1985</v>
      </c>
      <c r="J216" t="s">
        <v>1220</v>
      </c>
      <c r="K216" t="s">
        <v>193</v>
      </c>
      <c r="L216" s="3">
        <v>46218</v>
      </c>
      <c r="M216" s="3">
        <v>46182</v>
      </c>
      <c r="N216" t="s">
        <v>1986</v>
      </c>
      <c r="O216" s="4">
        <v>1</v>
      </c>
      <c r="P216">
        <v>0</v>
      </c>
      <c r="Q216">
        <v>0</v>
      </c>
    </row>
    <row r="217" spans="1:17" x14ac:dyDescent="0.3">
      <c r="A217">
        <v>27786</v>
      </c>
      <c r="B217" t="s">
        <v>1987</v>
      </c>
      <c r="C217" t="s">
        <v>1988</v>
      </c>
      <c r="D217" s="3">
        <v>24757</v>
      </c>
      <c r="E217" t="s">
        <v>1188</v>
      </c>
      <c r="F217">
        <v>96</v>
      </c>
      <c r="G217" s="3">
        <v>41253</v>
      </c>
      <c r="H217" t="s">
        <v>1989</v>
      </c>
      <c r="J217" t="s">
        <v>1263</v>
      </c>
      <c r="K217" t="s">
        <v>193</v>
      </c>
      <c r="L217" s="3">
        <v>46735</v>
      </c>
      <c r="M217" s="3">
        <v>46254</v>
      </c>
      <c r="N217" t="s">
        <v>1990</v>
      </c>
      <c r="O217" s="4">
        <v>1</v>
      </c>
      <c r="P217">
        <v>0</v>
      </c>
      <c r="Q217">
        <v>1</v>
      </c>
    </row>
    <row r="218" spans="1:17" x14ac:dyDescent="0.3">
      <c r="A218">
        <v>40403</v>
      </c>
      <c r="B218" t="s">
        <v>1991</v>
      </c>
      <c r="C218" t="s">
        <v>1992</v>
      </c>
      <c r="D218" s="3">
        <v>28898</v>
      </c>
      <c r="E218" t="s">
        <v>1188</v>
      </c>
      <c r="G218" s="3">
        <v>45481</v>
      </c>
      <c r="H218" t="s">
        <v>1993</v>
      </c>
      <c r="J218" t="s">
        <v>1196</v>
      </c>
      <c r="K218" t="s">
        <v>185</v>
      </c>
      <c r="L218" s="3">
        <v>45959</v>
      </c>
      <c r="M218" s="3">
        <v>45923</v>
      </c>
      <c r="N218" t="s">
        <v>1994</v>
      </c>
      <c r="O218" s="4">
        <v>1</v>
      </c>
      <c r="P218">
        <v>0</v>
      </c>
      <c r="Q218">
        <v>0</v>
      </c>
    </row>
    <row r="219" spans="1:17" x14ac:dyDescent="0.3">
      <c r="A219">
        <v>40143</v>
      </c>
      <c r="B219" t="s">
        <v>1995</v>
      </c>
      <c r="C219" t="s">
        <v>1996</v>
      </c>
      <c r="D219" s="3">
        <v>33333</v>
      </c>
      <c r="E219" t="s">
        <v>1188</v>
      </c>
      <c r="G219" s="3">
        <v>45335</v>
      </c>
      <c r="H219" t="s">
        <v>1997</v>
      </c>
      <c r="J219" t="s">
        <v>1196</v>
      </c>
      <c r="K219" t="s">
        <v>189</v>
      </c>
      <c r="L219" s="3">
        <v>47181</v>
      </c>
      <c r="M219" s="3">
        <v>47143</v>
      </c>
      <c r="N219" t="s">
        <v>1998</v>
      </c>
      <c r="O219" s="4">
        <v>1</v>
      </c>
      <c r="P219">
        <v>0</v>
      </c>
      <c r="Q219">
        <v>0</v>
      </c>
    </row>
    <row r="220" spans="1:17" x14ac:dyDescent="0.3">
      <c r="A220">
        <v>37908</v>
      </c>
      <c r="B220" t="s">
        <v>1999</v>
      </c>
      <c r="C220" t="s">
        <v>1996</v>
      </c>
      <c r="D220" s="3">
        <v>33185</v>
      </c>
      <c r="E220" t="s">
        <v>1188</v>
      </c>
      <c r="G220" s="3">
        <v>44823</v>
      </c>
      <c r="H220" t="s">
        <v>2000</v>
      </c>
      <c r="J220" t="s">
        <v>1206</v>
      </c>
      <c r="K220" t="s">
        <v>199</v>
      </c>
      <c r="L220" s="3">
        <v>46664</v>
      </c>
      <c r="M220" s="3">
        <v>46518</v>
      </c>
      <c r="N220" t="s">
        <v>2001</v>
      </c>
      <c r="O220" s="4">
        <v>1</v>
      </c>
      <c r="P220">
        <v>0</v>
      </c>
      <c r="Q220">
        <v>0</v>
      </c>
    </row>
    <row r="221" spans="1:17" x14ac:dyDescent="0.3">
      <c r="A221">
        <v>21160</v>
      </c>
      <c r="B221" t="s">
        <v>2002</v>
      </c>
      <c r="C221" t="s">
        <v>2003</v>
      </c>
      <c r="D221" s="3">
        <v>24630</v>
      </c>
      <c r="E221" t="s">
        <v>1188</v>
      </c>
      <c r="F221">
        <v>403</v>
      </c>
      <c r="G221" s="3">
        <v>39300</v>
      </c>
      <c r="H221" t="s">
        <v>2004</v>
      </c>
      <c r="I221">
        <v>93285584</v>
      </c>
      <c r="J221" t="s">
        <v>1214</v>
      </c>
      <c r="K221" t="s">
        <v>199</v>
      </c>
      <c r="L221" s="3">
        <v>72686</v>
      </c>
      <c r="M221" s="3">
        <v>46476</v>
      </c>
      <c r="N221" t="s">
        <v>2005</v>
      </c>
      <c r="O221" s="4">
        <v>1</v>
      </c>
      <c r="P221">
        <v>0</v>
      </c>
      <c r="Q221">
        <v>1</v>
      </c>
    </row>
    <row r="222" spans="1:17" x14ac:dyDescent="0.3">
      <c r="A222">
        <v>29646</v>
      </c>
      <c r="B222" t="s">
        <v>1807</v>
      </c>
      <c r="C222" t="s">
        <v>2006</v>
      </c>
      <c r="D222" s="3">
        <v>30289</v>
      </c>
      <c r="E222" t="s">
        <v>1188</v>
      </c>
      <c r="F222">
        <v>455</v>
      </c>
      <c r="G222" s="3">
        <v>42051</v>
      </c>
      <c r="H222" t="s">
        <v>2007</v>
      </c>
      <c r="J222" t="s">
        <v>1267</v>
      </c>
      <c r="K222" t="s">
        <v>185</v>
      </c>
      <c r="L222" s="3">
        <v>47471</v>
      </c>
      <c r="M222" s="3">
        <v>47462</v>
      </c>
      <c r="N222" t="s">
        <v>2008</v>
      </c>
      <c r="O222" s="4">
        <v>1</v>
      </c>
      <c r="P222">
        <v>0</v>
      </c>
      <c r="Q222">
        <v>1</v>
      </c>
    </row>
    <row r="223" spans="1:17" x14ac:dyDescent="0.3">
      <c r="A223">
        <v>40969</v>
      </c>
      <c r="B223" t="s">
        <v>1652</v>
      </c>
      <c r="C223" t="s">
        <v>2009</v>
      </c>
      <c r="D223" s="3">
        <v>37138</v>
      </c>
      <c r="E223" t="s">
        <v>1188</v>
      </c>
      <c r="G223" s="3">
        <v>45544</v>
      </c>
      <c r="H223" t="s">
        <v>2010</v>
      </c>
      <c r="J223" t="s">
        <v>1196</v>
      </c>
      <c r="K223" t="s">
        <v>199</v>
      </c>
      <c r="L223" s="3">
        <v>47390</v>
      </c>
      <c r="M223" s="3">
        <v>47357</v>
      </c>
      <c r="N223" t="s">
        <v>2011</v>
      </c>
      <c r="O223" s="4">
        <v>0.5</v>
      </c>
      <c r="P223">
        <v>1</v>
      </c>
      <c r="Q223">
        <v>0</v>
      </c>
    </row>
    <row r="224" spans="1:17" x14ac:dyDescent="0.3">
      <c r="A224">
        <v>35216</v>
      </c>
      <c r="B224" t="s">
        <v>2012</v>
      </c>
      <c r="C224" t="s">
        <v>2013</v>
      </c>
      <c r="D224" s="3">
        <v>36459</v>
      </c>
      <c r="E224" t="s">
        <v>1188</v>
      </c>
      <c r="F224">
        <v>421</v>
      </c>
      <c r="G224" s="3">
        <v>43892</v>
      </c>
      <c r="H224" t="s">
        <v>2014</v>
      </c>
      <c r="J224" t="s">
        <v>1229</v>
      </c>
      <c r="K224" t="s">
        <v>197</v>
      </c>
      <c r="L224" s="3">
        <v>47517</v>
      </c>
      <c r="M224" s="3">
        <v>47441</v>
      </c>
      <c r="N224" t="s">
        <v>2015</v>
      </c>
      <c r="O224" s="4">
        <v>1</v>
      </c>
      <c r="P224">
        <v>0</v>
      </c>
      <c r="Q224">
        <v>1</v>
      </c>
    </row>
    <row r="225" spans="1:17" x14ac:dyDescent="0.3">
      <c r="A225">
        <v>37131</v>
      </c>
      <c r="B225" t="s">
        <v>2016</v>
      </c>
      <c r="C225" t="s">
        <v>2017</v>
      </c>
      <c r="D225" s="3">
        <v>29117</v>
      </c>
      <c r="E225" t="s">
        <v>1188</v>
      </c>
      <c r="G225" s="3">
        <v>44585</v>
      </c>
      <c r="H225" t="s">
        <v>2018</v>
      </c>
      <c r="J225" t="s">
        <v>1201</v>
      </c>
      <c r="K225" t="s">
        <v>195</v>
      </c>
      <c r="L225" s="3">
        <v>46431</v>
      </c>
      <c r="M225" s="3">
        <v>46210</v>
      </c>
      <c r="N225" t="s">
        <v>2019</v>
      </c>
      <c r="O225" s="4">
        <v>1</v>
      </c>
      <c r="P225">
        <v>0</v>
      </c>
      <c r="Q225">
        <v>0</v>
      </c>
    </row>
    <row r="226" spans="1:17" x14ac:dyDescent="0.3">
      <c r="A226">
        <v>37313</v>
      </c>
      <c r="B226" t="s">
        <v>2020</v>
      </c>
      <c r="C226" t="s">
        <v>2021</v>
      </c>
      <c r="D226" s="3">
        <v>27618</v>
      </c>
      <c r="E226" t="s">
        <v>1188</v>
      </c>
      <c r="G226" s="3">
        <v>44704</v>
      </c>
      <c r="H226" t="s">
        <v>2022</v>
      </c>
      <c r="J226" t="s">
        <v>1201</v>
      </c>
      <c r="K226" t="s">
        <v>187</v>
      </c>
      <c r="L226" s="3">
        <v>46546</v>
      </c>
      <c r="M226" s="3">
        <v>46431</v>
      </c>
      <c r="N226" t="s">
        <v>2023</v>
      </c>
      <c r="O226" s="4">
        <v>1</v>
      </c>
      <c r="P226">
        <v>0</v>
      </c>
      <c r="Q226">
        <v>0</v>
      </c>
    </row>
    <row r="227" spans="1:17" x14ac:dyDescent="0.3">
      <c r="A227">
        <v>31668</v>
      </c>
      <c r="B227" t="s">
        <v>2024</v>
      </c>
      <c r="C227" t="s">
        <v>2025</v>
      </c>
      <c r="D227" s="3">
        <v>25181</v>
      </c>
      <c r="E227" t="s">
        <v>1188</v>
      </c>
      <c r="F227">
        <v>269</v>
      </c>
      <c r="G227" s="3">
        <v>42877</v>
      </c>
      <c r="H227" t="s">
        <v>2026</v>
      </c>
      <c r="I227" t="s">
        <v>2027</v>
      </c>
      <c r="J227" t="s">
        <v>1378</v>
      </c>
      <c r="K227" t="s">
        <v>185</v>
      </c>
      <c r="L227" s="3">
        <v>46454</v>
      </c>
      <c r="M227" s="3">
        <v>47470</v>
      </c>
      <c r="N227" t="s">
        <v>2028</v>
      </c>
      <c r="O227" s="4">
        <v>0.8</v>
      </c>
      <c r="P227">
        <v>0</v>
      </c>
      <c r="Q227">
        <v>0</v>
      </c>
    </row>
    <row r="228" spans="1:17" x14ac:dyDescent="0.3">
      <c r="A228">
        <v>35334</v>
      </c>
      <c r="B228" t="s">
        <v>2029</v>
      </c>
      <c r="C228" t="s">
        <v>2030</v>
      </c>
      <c r="D228" s="3">
        <v>33578</v>
      </c>
      <c r="E228" t="s">
        <v>1188</v>
      </c>
      <c r="F228">
        <v>114</v>
      </c>
      <c r="G228" s="3">
        <v>43944</v>
      </c>
      <c r="H228" t="s">
        <v>2031</v>
      </c>
      <c r="I228">
        <v>92788949</v>
      </c>
      <c r="J228" t="s">
        <v>1206</v>
      </c>
      <c r="K228" t="s">
        <v>191</v>
      </c>
      <c r="L228" s="3">
        <v>46384</v>
      </c>
      <c r="M228" s="3">
        <v>46378</v>
      </c>
      <c r="N228" t="s">
        <v>2032</v>
      </c>
      <c r="O228" s="4">
        <v>1</v>
      </c>
      <c r="P228">
        <v>0</v>
      </c>
      <c r="Q228">
        <v>1</v>
      </c>
    </row>
    <row r="229" spans="1:17" x14ac:dyDescent="0.3">
      <c r="A229">
        <v>33600</v>
      </c>
      <c r="B229" t="s">
        <v>2033</v>
      </c>
      <c r="C229" t="s">
        <v>2034</v>
      </c>
      <c r="D229" s="3">
        <v>30867</v>
      </c>
      <c r="E229" t="s">
        <v>1188</v>
      </c>
      <c r="F229">
        <v>268</v>
      </c>
      <c r="G229" s="3">
        <v>43514</v>
      </c>
      <c r="H229" t="s">
        <v>2035</v>
      </c>
      <c r="J229" t="s">
        <v>1206</v>
      </c>
      <c r="K229" t="s">
        <v>195</v>
      </c>
      <c r="L229" s="3">
        <v>47135</v>
      </c>
      <c r="M229" s="3">
        <v>47072</v>
      </c>
      <c r="N229" t="s">
        <v>2036</v>
      </c>
      <c r="O229" s="4">
        <v>1</v>
      </c>
      <c r="P229">
        <v>0</v>
      </c>
      <c r="Q229">
        <v>1</v>
      </c>
    </row>
    <row r="230" spans="1:17" x14ac:dyDescent="0.3">
      <c r="A230">
        <v>30389</v>
      </c>
      <c r="B230" t="s">
        <v>2037</v>
      </c>
      <c r="C230" t="s">
        <v>2034</v>
      </c>
      <c r="D230" s="3">
        <v>34452</v>
      </c>
      <c r="E230" t="s">
        <v>1188</v>
      </c>
      <c r="F230">
        <v>374</v>
      </c>
      <c r="G230" s="3">
        <v>42324</v>
      </c>
      <c r="H230" t="s">
        <v>2038</v>
      </c>
      <c r="J230" t="s">
        <v>1201</v>
      </c>
      <c r="K230" t="s">
        <v>197</v>
      </c>
      <c r="L230" s="3">
        <v>45993</v>
      </c>
      <c r="M230" s="3">
        <v>45993</v>
      </c>
      <c r="N230" t="s">
        <v>2039</v>
      </c>
      <c r="O230" s="4">
        <v>0.5</v>
      </c>
      <c r="P230">
        <v>0</v>
      </c>
      <c r="Q230">
        <v>1</v>
      </c>
    </row>
    <row r="231" spans="1:17" x14ac:dyDescent="0.3">
      <c r="A231">
        <v>38633</v>
      </c>
      <c r="B231" t="s">
        <v>2040</v>
      </c>
      <c r="C231" t="s">
        <v>2041</v>
      </c>
      <c r="D231" s="3">
        <v>32105</v>
      </c>
      <c r="E231" t="s">
        <v>1188</v>
      </c>
      <c r="G231" s="3">
        <v>44970</v>
      </c>
      <c r="H231" t="s">
        <v>2042</v>
      </c>
      <c r="J231" t="s">
        <v>1196</v>
      </c>
      <c r="K231" t="s">
        <v>193</v>
      </c>
      <c r="L231" s="3">
        <v>46810</v>
      </c>
      <c r="M231" s="3">
        <v>46770</v>
      </c>
      <c r="N231" t="s">
        <v>2043</v>
      </c>
      <c r="O231" s="4">
        <v>0.4</v>
      </c>
      <c r="P231">
        <v>1</v>
      </c>
      <c r="Q231">
        <v>0</v>
      </c>
    </row>
    <row r="232" spans="1:17" x14ac:dyDescent="0.3">
      <c r="A232">
        <v>34325</v>
      </c>
      <c r="B232" t="s">
        <v>2044</v>
      </c>
      <c r="C232" t="s">
        <v>2045</v>
      </c>
      <c r="D232" s="3">
        <v>30816</v>
      </c>
      <c r="E232" t="s">
        <v>1188</v>
      </c>
      <c r="G232" s="3">
        <v>43710</v>
      </c>
      <c r="H232" t="s">
        <v>2046</v>
      </c>
      <c r="J232" t="s">
        <v>1201</v>
      </c>
      <c r="K232" t="s">
        <v>199</v>
      </c>
      <c r="L232" s="3">
        <v>47267</v>
      </c>
      <c r="M232" s="3">
        <v>47216</v>
      </c>
      <c r="N232" t="s">
        <v>2047</v>
      </c>
      <c r="O232" s="4">
        <v>1</v>
      </c>
      <c r="P232">
        <v>0</v>
      </c>
      <c r="Q232">
        <v>0</v>
      </c>
    </row>
    <row r="233" spans="1:17" x14ac:dyDescent="0.3">
      <c r="A233">
        <v>38047</v>
      </c>
      <c r="B233" t="s">
        <v>2048</v>
      </c>
      <c r="C233" t="s">
        <v>2049</v>
      </c>
      <c r="D233" s="3">
        <v>27600</v>
      </c>
      <c r="E233" t="s">
        <v>1188</v>
      </c>
      <c r="G233" s="3">
        <v>44867</v>
      </c>
      <c r="H233" t="s">
        <v>2050</v>
      </c>
      <c r="J233" t="s">
        <v>1196</v>
      </c>
      <c r="K233" t="s">
        <v>189</v>
      </c>
      <c r="L233" s="3">
        <v>46831</v>
      </c>
      <c r="M233" s="3">
        <v>46084</v>
      </c>
      <c r="N233" t="s">
        <v>2051</v>
      </c>
      <c r="O233" s="4">
        <v>1</v>
      </c>
      <c r="P233">
        <v>0</v>
      </c>
      <c r="Q233">
        <v>0</v>
      </c>
    </row>
    <row r="234" spans="1:17" x14ac:dyDescent="0.3">
      <c r="A234">
        <v>36577</v>
      </c>
      <c r="B234" t="s">
        <v>2052</v>
      </c>
      <c r="C234" t="s">
        <v>2053</v>
      </c>
      <c r="D234" s="3">
        <v>27133</v>
      </c>
      <c r="E234" t="s">
        <v>1188</v>
      </c>
      <c r="G234" s="3">
        <v>44389</v>
      </c>
      <c r="H234" t="s">
        <v>2054</v>
      </c>
      <c r="I234" t="s">
        <v>2055</v>
      </c>
      <c r="J234" t="s">
        <v>1229</v>
      </c>
      <c r="K234" t="s">
        <v>193</v>
      </c>
      <c r="L234" s="3">
        <v>46231</v>
      </c>
      <c r="M234" s="3">
        <v>46140</v>
      </c>
      <c r="N234" t="s">
        <v>2056</v>
      </c>
      <c r="O234" s="4">
        <v>1</v>
      </c>
      <c r="P234">
        <v>0</v>
      </c>
      <c r="Q234">
        <v>0</v>
      </c>
    </row>
    <row r="235" spans="1:17" x14ac:dyDescent="0.3">
      <c r="A235">
        <v>12684</v>
      </c>
      <c r="B235" t="s">
        <v>2057</v>
      </c>
      <c r="C235" t="s">
        <v>2053</v>
      </c>
      <c r="D235" s="3">
        <v>23480</v>
      </c>
      <c r="E235" t="s">
        <v>1188</v>
      </c>
      <c r="F235">
        <v>633</v>
      </c>
      <c r="G235" s="3">
        <v>36815</v>
      </c>
      <c r="H235" t="s">
        <v>2058</v>
      </c>
      <c r="J235" t="s">
        <v>1307</v>
      </c>
      <c r="K235" t="s">
        <v>191</v>
      </c>
      <c r="L235" s="3">
        <v>45963</v>
      </c>
      <c r="M235" s="3">
        <v>45944</v>
      </c>
      <c r="N235" t="s">
        <v>2059</v>
      </c>
      <c r="O235" s="4">
        <v>0.5</v>
      </c>
      <c r="P235">
        <v>0</v>
      </c>
      <c r="Q235">
        <v>0</v>
      </c>
    </row>
    <row r="236" spans="1:17" x14ac:dyDescent="0.3">
      <c r="A236">
        <v>11021</v>
      </c>
      <c r="B236" t="s">
        <v>2060</v>
      </c>
      <c r="C236" t="s">
        <v>2061</v>
      </c>
      <c r="D236" s="3">
        <v>23986</v>
      </c>
      <c r="E236" t="s">
        <v>1188</v>
      </c>
      <c r="F236">
        <v>181</v>
      </c>
      <c r="G236" s="3">
        <v>36227</v>
      </c>
      <c r="H236" t="s">
        <v>2062</v>
      </c>
      <c r="I236">
        <v>93622072</v>
      </c>
      <c r="J236" t="s">
        <v>1290</v>
      </c>
      <c r="K236" t="s">
        <v>199</v>
      </c>
      <c r="L236" s="3">
        <v>73050</v>
      </c>
      <c r="M236" s="3">
        <v>45902</v>
      </c>
      <c r="N236" t="s">
        <v>2063</v>
      </c>
      <c r="O236" s="4">
        <v>1</v>
      </c>
      <c r="P236">
        <v>0</v>
      </c>
      <c r="Q236">
        <v>0</v>
      </c>
    </row>
    <row r="237" spans="1:17" x14ac:dyDescent="0.3">
      <c r="A237">
        <v>39929</v>
      </c>
      <c r="B237" t="s">
        <v>2064</v>
      </c>
      <c r="C237" t="s">
        <v>2065</v>
      </c>
      <c r="D237" s="3">
        <v>30553</v>
      </c>
      <c r="E237" t="s">
        <v>1188</v>
      </c>
      <c r="G237" s="3">
        <v>45299</v>
      </c>
      <c r="H237" t="s">
        <v>2066</v>
      </c>
      <c r="J237" t="s">
        <v>1196</v>
      </c>
      <c r="K237" t="s">
        <v>189</v>
      </c>
      <c r="L237" s="3">
        <v>46530</v>
      </c>
      <c r="M237" s="3">
        <v>45999</v>
      </c>
      <c r="N237" t="s">
        <v>2067</v>
      </c>
      <c r="O237" s="4">
        <v>1</v>
      </c>
      <c r="P237">
        <v>0</v>
      </c>
      <c r="Q237">
        <v>0</v>
      </c>
    </row>
    <row r="238" spans="1:17" x14ac:dyDescent="0.3">
      <c r="A238">
        <v>20653</v>
      </c>
      <c r="B238" t="s">
        <v>2068</v>
      </c>
      <c r="C238" t="s">
        <v>2069</v>
      </c>
      <c r="D238" s="3">
        <v>29923</v>
      </c>
      <c r="E238" t="s">
        <v>1188</v>
      </c>
      <c r="F238">
        <v>341</v>
      </c>
      <c r="G238" s="3">
        <v>39204</v>
      </c>
      <c r="H238" t="s">
        <v>2070</v>
      </c>
      <c r="J238" t="s">
        <v>1214</v>
      </c>
      <c r="K238" t="s">
        <v>187</v>
      </c>
      <c r="L238" s="3">
        <v>72686</v>
      </c>
      <c r="M238" s="3">
        <v>46191</v>
      </c>
      <c r="N238" t="s">
        <v>2071</v>
      </c>
      <c r="O238" s="4">
        <v>1</v>
      </c>
      <c r="P238">
        <v>0</v>
      </c>
      <c r="Q238">
        <v>0</v>
      </c>
    </row>
    <row r="239" spans="1:17" x14ac:dyDescent="0.3">
      <c r="A239">
        <v>25994</v>
      </c>
      <c r="B239" t="s">
        <v>2072</v>
      </c>
      <c r="C239" t="s">
        <v>2073</v>
      </c>
      <c r="D239" s="3">
        <v>27418</v>
      </c>
      <c r="E239" t="s">
        <v>1188</v>
      </c>
      <c r="F239">
        <v>138</v>
      </c>
      <c r="G239" s="3">
        <v>40567</v>
      </c>
      <c r="H239" t="s">
        <v>2074</v>
      </c>
      <c r="J239" t="s">
        <v>1229</v>
      </c>
      <c r="K239" t="s">
        <v>193</v>
      </c>
      <c r="L239" s="3">
        <v>46063</v>
      </c>
      <c r="M239" s="3">
        <v>46497</v>
      </c>
      <c r="N239" t="s">
        <v>2075</v>
      </c>
      <c r="O239" s="4">
        <v>0.8</v>
      </c>
      <c r="P239">
        <v>0</v>
      </c>
      <c r="Q239">
        <v>0</v>
      </c>
    </row>
    <row r="240" spans="1:17" x14ac:dyDescent="0.3">
      <c r="A240">
        <v>20376</v>
      </c>
      <c r="B240" t="s">
        <v>2076</v>
      </c>
      <c r="C240" t="s">
        <v>2073</v>
      </c>
      <c r="D240" s="3">
        <v>26892</v>
      </c>
      <c r="E240" t="s">
        <v>1188</v>
      </c>
      <c r="F240">
        <v>155</v>
      </c>
      <c r="G240" s="3">
        <v>39132</v>
      </c>
      <c r="H240" t="s">
        <v>2077</v>
      </c>
      <c r="J240" t="s">
        <v>1290</v>
      </c>
      <c r="K240" t="s">
        <v>199</v>
      </c>
      <c r="L240" s="3">
        <v>45951</v>
      </c>
      <c r="M240" s="3">
        <v>46364</v>
      </c>
      <c r="N240" t="s">
        <v>2078</v>
      </c>
      <c r="O240" s="4">
        <v>1</v>
      </c>
      <c r="P240">
        <v>0</v>
      </c>
      <c r="Q240">
        <v>1</v>
      </c>
    </row>
    <row r="241" spans="1:17" x14ac:dyDescent="0.3">
      <c r="A241">
        <v>27208</v>
      </c>
      <c r="B241" t="s">
        <v>2079</v>
      </c>
      <c r="C241" t="s">
        <v>2080</v>
      </c>
      <c r="D241" s="3">
        <v>21639</v>
      </c>
      <c r="E241" t="s">
        <v>1188</v>
      </c>
      <c r="F241">
        <v>106</v>
      </c>
      <c r="G241" s="3">
        <v>40973</v>
      </c>
      <c r="H241" t="s">
        <v>2081</v>
      </c>
      <c r="J241" t="s">
        <v>1321</v>
      </c>
      <c r="K241" t="s">
        <v>187</v>
      </c>
      <c r="L241" s="3">
        <v>72686</v>
      </c>
      <c r="M241" s="3">
        <v>46210</v>
      </c>
      <c r="N241" t="s">
        <v>2082</v>
      </c>
      <c r="O241" s="4">
        <v>0.8</v>
      </c>
      <c r="P241">
        <v>0</v>
      </c>
      <c r="Q241">
        <v>0</v>
      </c>
    </row>
    <row r="242" spans="1:17" x14ac:dyDescent="0.3">
      <c r="A242">
        <v>31731</v>
      </c>
      <c r="B242" t="s">
        <v>2083</v>
      </c>
      <c r="C242" t="s">
        <v>2084</v>
      </c>
      <c r="D242" s="3">
        <v>28290</v>
      </c>
      <c r="E242" t="s">
        <v>1188</v>
      </c>
      <c r="F242">
        <v>202</v>
      </c>
      <c r="G242" s="3">
        <v>42919</v>
      </c>
      <c r="H242" t="s">
        <v>2085</v>
      </c>
      <c r="J242" t="s">
        <v>1718</v>
      </c>
      <c r="K242" t="s">
        <v>191</v>
      </c>
      <c r="L242" s="3">
        <v>46466</v>
      </c>
      <c r="M242" s="3">
        <v>46460</v>
      </c>
      <c r="N242" t="s">
        <v>2086</v>
      </c>
      <c r="O242" s="4">
        <v>1</v>
      </c>
      <c r="P242">
        <v>0</v>
      </c>
      <c r="Q242">
        <v>0</v>
      </c>
    </row>
    <row r="243" spans="1:17" x14ac:dyDescent="0.3">
      <c r="A243">
        <v>35493</v>
      </c>
      <c r="B243" t="s">
        <v>2087</v>
      </c>
      <c r="C243" t="s">
        <v>2088</v>
      </c>
      <c r="D243" s="3">
        <v>28007</v>
      </c>
      <c r="E243" t="s">
        <v>1188</v>
      </c>
      <c r="F243">
        <v>282</v>
      </c>
      <c r="G243" s="3">
        <v>44039</v>
      </c>
      <c r="H243" t="s">
        <v>2089</v>
      </c>
      <c r="J243" t="s">
        <v>1220</v>
      </c>
      <c r="K243" t="s">
        <v>197</v>
      </c>
      <c r="L243" s="3">
        <v>45879</v>
      </c>
      <c r="M243" s="3">
        <v>45809</v>
      </c>
      <c r="N243" t="s">
        <v>2090</v>
      </c>
      <c r="O243" s="4">
        <v>1</v>
      </c>
      <c r="P243">
        <v>0</v>
      </c>
      <c r="Q243">
        <v>1</v>
      </c>
    </row>
    <row r="244" spans="1:17" x14ac:dyDescent="0.3">
      <c r="A244">
        <v>40486</v>
      </c>
      <c r="B244" t="s">
        <v>2091</v>
      </c>
      <c r="C244" t="s">
        <v>2092</v>
      </c>
      <c r="D244" s="3">
        <v>36922</v>
      </c>
      <c r="E244" t="s">
        <v>1188</v>
      </c>
      <c r="G244" s="3">
        <v>45427</v>
      </c>
      <c r="H244" t="s">
        <v>2093</v>
      </c>
      <c r="J244" t="s">
        <v>1196</v>
      </c>
      <c r="K244" t="s">
        <v>189</v>
      </c>
      <c r="L244" s="3">
        <v>47273</v>
      </c>
      <c r="M244" s="3">
        <v>47230</v>
      </c>
      <c r="N244" t="s">
        <v>2094</v>
      </c>
      <c r="O244" s="4">
        <v>1</v>
      </c>
      <c r="P244">
        <v>0</v>
      </c>
      <c r="Q244">
        <v>0</v>
      </c>
    </row>
    <row r="245" spans="1:17" x14ac:dyDescent="0.3">
      <c r="A245">
        <v>41813</v>
      </c>
      <c r="B245" t="s">
        <v>2095</v>
      </c>
      <c r="C245" t="s">
        <v>2096</v>
      </c>
      <c r="D245" s="3">
        <v>22464</v>
      </c>
      <c r="E245" t="s">
        <v>1188</v>
      </c>
      <c r="G245" s="3">
        <v>45783</v>
      </c>
      <c r="H245" t="s">
        <v>2097</v>
      </c>
      <c r="K245" t="s">
        <v>189</v>
      </c>
      <c r="L245" s="3">
        <v>1</v>
      </c>
      <c r="M245" s="3">
        <v>1</v>
      </c>
      <c r="N245" t="s">
        <v>2098</v>
      </c>
      <c r="O245" s="4">
        <v>1</v>
      </c>
      <c r="P245">
        <v>0</v>
      </c>
      <c r="Q245">
        <v>0</v>
      </c>
    </row>
    <row r="246" spans="1:17" x14ac:dyDescent="0.3">
      <c r="A246">
        <v>8918</v>
      </c>
      <c r="B246" t="s">
        <v>2099</v>
      </c>
      <c r="C246" t="s">
        <v>2100</v>
      </c>
      <c r="D246" s="3">
        <v>23172</v>
      </c>
      <c r="E246" t="s">
        <v>1188</v>
      </c>
      <c r="F246">
        <v>429</v>
      </c>
      <c r="G246" s="3">
        <v>35394</v>
      </c>
      <c r="H246" t="s">
        <v>2101</v>
      </c>
      <c r="J246" t="s">
        <v>1504</v>
      </c>
      <c r="K246" t="s">
        <v>195</v>
      </c>
      <c r="L246" s="3">
        <v>46000</v>
      </c>
      <c r="M246" s="3">
        <v>46019</v>
      </c>
      <c r="N246" t="s">
        <v>2102</v>
      </c>
      <c r="O246" s="4">
        <v>0.8</v>
      </c>
      <c r="P246">
        <v>0</v>
      </c>
      <c r="Q246">
        <v>0</v>
      </c>
    </row>
    <row r="247" spans="1:17" x14ac:dyDescent="0.3">
      <c r="A247">
        <v>3926</v>
      </c>
      <c r="B247" t="s">
        <v>1301</v>
      </c>
      <c r="C247" t="s">
        <v>2100</v>
      </c>
      <c r="D247" s="3">
        <v>21648</v>
      </c>
      <c r="E247" t="s">
        <v>1188</v>
      </c>
      <c r="F247">
        <v>306</v>
      </c>
      <c r="G247" s="3">
        <v>29885</v>
      </c>
      <c r="H247" t="s">
        <v>2103</v>
      </c>
      <c r="I247">
        <v>93240876</v>
      </c>
      <c r="J247" t="s">
        <v>1321</v>
      </c>
      <c r="K247" t="s">
        <v>187</v>
      </c>
      <c r="L247" s="3">
        <v>72686</v>
      </c>
      <c r="M247" s="3">
        <v>46827</v>
      </c>
      <c r="N247" t="s">
        <v>2104</v>
      </c>
      <c r="O247" s="4">
        <v>1</v>
      </c>
      <c r="P247">
        <v>0</v>
      </c>
      <c r="Q247">
        <v>0</v>
      </c>
    </row>
    <row r="248" spans="1:17" x14ac:dyDescent="0.3">
      <c r="A248">
        <v>36845</v>
      </c>
      <c r="B248" t="s">
        <v>2105</v>
      </c>
      <c r="C248" t="s">
        <v>2100</v>
      </c>
      <c r="D248" s="3">
        <v>21595</v>
      </c>
      <c r="E248" t="s">
        <v>1188</v>
      </c>
      <c r="G248" s="3">
        <v>44440</v>
      </c>
      <c r="J248" t="s">
        <v>1751</v>
      </c>
      <c r="K248" t="s">
        <v>197</v>
      </c>
      <c r="L248" s="3">
        <v>45948</v>
      </c>
      <c r="M248" s="3">
        <v>45930</v>
      </c>
      <c r="N248" t="s">
        <v>2106</v>
      </c>
      <c r="O248" s="4">
        <v>1</v>
      </c>
      <c r="P248">
        <v>0</v>
      </c>
      <c r="Q248">
        <v>0</v>
      </c>
    </row>
    <row r="249" spans="1:17" x14ac:dyDescent="0.3">
      <c r="A249">
        <v>21382</v>
      </c>
      <c r="B249" t="s">
        <v>2107</v>
      </c>
      <c r="C249" t="s">
        <v>2100</v>
      </c>
      <c r="D249" s="3">
        <v>27768</v>
      </c>
      <c r="E249" t="s">
        <v>1188</v>
      </c>
      <c r="F249">
        <v>281</v>
      </c>
      <c r="G249" s="3">
        <v>39356</v>
      </c>
      <c r="H249" t="s">
        <v>2108</v>
      </c>
      <c r="J249" t="s">
        <v>1214</v>
      </c>
      <c r="K249" t="s">
        <v>193</v>
      </c>
      <c r="L249" s="3">
        <v>45844</v>
      </c>
      <c r="M249" s="3">
        <v>46838</v>
      </c>
      <c r="N249" t="s">
        <v>2109</v>
      </c>
      <c r="O249" s="4">
        <v>1</v>
      </c>
      <c r="P249">
        <v>0</v>
      </c>
      <c r="Q249">
        <v>1</v>
      </c>
    </row>
    <row r="250" spans="1:17" x14ac:dyDescent="0.3">
      <c r="A250">
        <v>38555</v>
      </c>
      <c r="B250" t="s">
        <v>2110</v>
      </c>
      <c r="C250" t="s">
        <v>2111</v>
      </c>
      <c r="D250" s="3">
        <v>31437</v>
      </c>
      <c r="E250" t="s">
        <v>1188</v>
      </c>
      <c r="G250" s="3">
        <v>44984</v>
      </c>
      <c r="H250" t="s">
        <v>2112</v>
      </c>
      <c r="J250" t="s">
        <v>1201</v>
      </c>
      <c r="K250" t="s">
        <v>191</v>
      </c>
      <c r="L250" s="3">
        <v>46825</v>
      </c>
      <c r="M250" s="3">
        <v>46735</v>
      </c>
      <c r="N250" t="s">
        <v>2113</v>
      </c>
      <c r="O250" s="4">
        <v>1</v>
      </c>
      <c r="P250">
        <v>0</v>
      </c>
      <c r="Q250">
        <v>0</v>
      </c>
    </row>
    <row r="251" spans="1:17" x14ac:dyDescent="0.3">
      <c r="A251">
        <v>40591</v>
      </c>
      <c r="B251" t="s">
        <v>2114</v>
      </c>
      <c r="C251" t="s">
        <v>2115</v>
      </c>
      <c r="D251" s="3">
        <v>27167</v>
      </c>
      <c r="E251" t="s">
        <v>1188</v>
      </c>
      <c r="G251" s="3">
        <v>45450</v>
      </c>
      <c r="H251" t="s">
        <v>2116</v>
      </c>
      <c r="J251" t="s">
        <v>1196</v>
      </c>
      <c r="K251" t="s">
        <v>185</v>
      </c>
      <c r="L251" s="3">
        <v>47286</v>
      </c>
      <c r="M251" s="3">
        <v>47267</v>
      </c>
      <c r="N251" t="s">
        <v>2117</v>
      </c>
      <c r="O251" s="4">
        <v>1</v>
      </c>
      <c r="P251">
        <v>0</v>
      </c>
      <c r="Q251">
        <v>0</v>
      </c>
    </row>
    <row r="252" spans="1:17" x14ac:dyDescent="0.3">
      <c r="A252">
        <v>40443</v>
      </c>
      <c r="B252" t="s">
        <v>2118</v>
      </c>
      <c r="C252" t="s">
        <v>2115</v>
      </c>
      <c r="D252" s="3">
        <v>37624</v>
      </c>
      <c r="E252" t="s">
        <v>1188</v>
      </c>
      <c r="G252" s="3">
        <v>45408</v>
      </c>
      <c r="H252" t="s">
        <v>2119</v>
      </c>
      <c r="J252" t="s">
        <v>1196</v>
      </c>
      <c r="K252" t="s">
        <v>187</v>
      </c>
      <c r="L252" s="3">
        <v>47245</v>
      </c>
      <c r="M252" s="3">
        <v>47225</v>
      </c>
      <c r="N252" t="s">
        <v>2120</v>
      </c>
      <c r="O252" s="4">
        <v>1</v>
      </c>
      <c r="P252">
        <v>0</v>
      </c>
      <c r="Q252">
        <v>0</v>
      </c>
    </row>
    <row r="253" spans="1:17" x14ac:dyDescent="0.3">
      <c r="A253">
        <v>39988</v>
      </c>
      <c r="B253" t="s">
        <v>2121</v>
      </c>
      <c r="C253" t="s">
        <v>2115</v>
      </c>
      <c r="D253" s="3">
        <v>30468</v>
      </c>
      <c r="E253" t="s">
        <v>1188</v>
      </c>
      <c r="G253" s="3">
        <v>45321</v>
      </c>
      <c r="H253" t="s">
        <v>2122</v>
      </c>
      <c r="J253" t="s">
        <v>1196</v>
      </c>
      <c r="K253" t="s">
        <v>189</v>
      </c>
      <c r="L253" s="3">
        <v>47164</v>
      </c>
      <c r="M253" s="3">
        <v>47092</v>
      </c>
      <c r="N253" t="s">
        <v>2123</v>
      </c>
      <c r="O253" s="4">
        <v>1</v>
      </c>
      <c r="P253">
        <v>0</v>
      </c>
      <c r="Q253">
        <v>0</v>
      </c>
    </row>
    <row r="254" spans="1:17" x14ac:dyDescent="0.3">
      <c r="A254">
        <v>35495</v>
      </c>
      <c r="B254" t="s">
        <v>2124</v>
      </c>
      <c r="C254" t="s">
        <v>2115</v>
      </c>
      <c r="D254" s="3">
        <v>34121</v>
      </c>
      <c r="E254" t="s">
        <v>1188</v>
      </c>
      <c r="F254">
        <v>22</v>
      </c>
      <c r="G254" s="3">
        <v>44025</v>
      </c>
      <c r="H254" t="s">
        <v>2125</v>
      </c>
      <c r="J254" t="s">
        <v>1201</v>
      </c>
      <c r="K254" t="s">
        <v>195</v>
      </c>
      <c r="L254" s="3">
        <v>45880</v>
      </c>
      <c r="M254" s="3">
        <v>45830</v>
      </c>
      <c r="N254" t="s">
        <v>2126</v>
      </c>
      <c r="O254" s="4">
        <v>1</v>
      </c>
      <c r="P254">
        <v>0</v>
      </c>
      <c r="Q254">
        <v>0</v>
      </c>
    </row>
    <row r="255" spans="1:17" x14ac:dyDescent="0.3">
      <c r="A255">
        <v>35494</v>
      </c>
      <c r="B255" t="s">
        <v>2127</v>
      </c>
      <c r="C255" t="s">
        <v>2128</v>
      </c>
      <c r="D255" s="3">
        <v>29509</v>
      </c>
      <c r="E255" t="s">
        <v>1188</v>
      </c>
      <c r="F255">
        <v>260</v>
      </c>
      <c r="G255" s="3">
        <v>44039</v>
      </c>
      <c r="H255" t="s">
        <v>2129</v>
      </c>
      <c r="J255" t="s">
        <v>1206</v>
      </c>
      <c r="K255" t="s">
        <v>191</v>
      </c>
      <c r="L255" s="3">
        <v>45885</v>
      </c>
      <c r="M255" s="3">
        <v>45809</v>
      </c>
      <c r="N255" t="s">
        <v>2130</v>
      </c>
      <c r="O255" s="4">
        <v>0.8</v>
      </c>
      <c r="P255">
        <v>0</v>
      </c>
      <c r="Q255">
        <v>0</v>
      </c>
    </row>
    <row r="256" spans="1:17" x14ac:dyDescent="0.3">
      <c r="A256">
        <v>22143</v>
      </c>
      <c r="B256" t="s">
        <v>2131</v>
      </c>
      <c r="C256" t="s">
        <v>2128</v>
      </c>
      <c r="D256" s="3">
        <v>29586</v>
      </c>
      <c r="E256" t="s">
        <v>1188</v>
      </c>
      <c r="F256">
        <v>514</v>
      </c>
      <c r="G256" s="3">
        <v>39552</v>
      </c>
      <c r="I256" t="s">
        <v>2132</v>
      </c>
      <c r="J256" t="s">
        <v>1307</v>
      </c>
      <c r="K256" t="s">
        <v>191</v>
      </c>
      <c r="L256" s="3">
        <v>45791</v>
      </c>
      <c r="M256" s="3">
        <v>46665</v>
      </c>
      <c r="N256" t="s">
        <v>2133</v>
      </c>
      <c r="O256" s="4">
        <v>0.8</v>
      </c>
      <c r="P256">
        <v>0</v>
      </c>
      <c r="Q256">
        <v>0</v>
      </c>
    </row>
    <row r="257" spans="1:17" x14ac:dyDescent="0.3">
      <c r="A257">
        <v>39985</v>
      </c>
      <c r="B257" t="s">
        <v>2134</v>
      </c>
      <c r="C257" t="s">
        <v>2135</v>
      </c>
      <c r="D257" s="3">
        <v>35670</v>
      </c>
      <c r="E257" t="s">
        <v>1188</v>
      </c>
      <c r="G257" s="3">
        <v>45321</v>
      </c>
      <c r="H257" t="s">
        <v>2136</v>
      </c>
      <c r="J257" t="s">
        <v>1196</v>
      </c>
      <c r="K257" t="s">
        <v>189</v>
      </c>
      <c r="L257" s="3">
        <v>47165</v>
      </c>
      <c r="M257" s="3">
        <v>47105</v>
      </c>
      <c r="N257" t="s">
        <v>2137</v>
      </c>
      <c r="O257" s="4">
        <v>1</v>
      </c>
      <c r="P257">
        <v>0</v>
      </c>
      <c r="Q257">
        <v>0</v>
      </c>
    </row>
    <row r="258" spans="1:17" x14ac:dyDescent="0.3">
      <c r="A258">
        <v>18624</v>
      </c>
      <c r="B258" t="s">
        <v>2138</v>
      </c>
      <c r="C258" t="s">
        <v>2139</v>
      </c>
      <c r="D258" s="3">
        <v>22884</v>
      </c>
      <c r="E258" t="s">
        <v>1188</v>
      </c>
      <c r="F258">
        <v>634</v>
      </c>
      <c r="G258" s="3">
        <v>38593</v>
      </c>
      <c r="H258" t="s">
        <v>2140</v>
      </c>
      <c r="I258" t="s">
        <v>2141</v>
      </c>
      <c r="J258" t="s">
        <v>1307</v>
      </c>
      <c r="K258" t="s">
        <v>187</v>
      </c>
      <c r="L258" s="3">
        <v>46007</v>
      </c>
      <c r="M258" s="3">
        <v>46065</v>
      </c>
      <c r="N258" t="s">
        <v>2142</v>
      </c>
      <c r="O258" s="4">
        <v>0.5</v>
      </c>
      <c r="P258">
        <v>0</v>
      </c>
      <c r="Q258">
        <v>0</v>
      </c>
    </row>
    <row r="259" spans="1:17" x14ac:dyDescent="0.3">
      <c r="A259">
        <v>18141</v>
      </c>
      <c r="B259" t="s">
        <v>2143</v>
      </c>
      <c r="C259" t="s">
        <v>2144</v>
      </c>
      <c r="D259" s="3">
        <v>24596</v>
      </c>
      <c r="E259" t="s">
        <v>1188</v>
      </c>
      <c r="F259">
        <v>68</v>
      </c>
      <c r="G259" s="3">
        <v>38460</v>
      </c>
      <c r="H259" t="s">
        <v>2145</v>
      </c>
      <c r="J259" t="s">
        <v>1267</v>
      </c>
      <c r="K259" t="s">
        <v>189</v>
      </c>
      <c r="L259" s="3">
        <v>47527</v>
      </c>
      <c r="M259" s="3">
        <v>47524</v>
      </c>
      <c r="N259" t="s">
        <v>2146</v>
      </c>
      <c r="O259" s="4">
        <v>0.5</v>
      </c>
      <c r="P259">
        <v>0</v>
      </c>
      <c r="Q259">
        <v>0</v>
      </c>
    </row>
    <row r="260" spans="1:17" x14ac:dyDescent="0.3">
      <c r="A260">
        <v>41032</v>
      </c>
      <c r="B260" t="s">
        <v>2147</v>
      </c>
      <c r="C260" t="s">
        <v>2148</v>
      </c>
      <c r="D260" s="3">
        <v>36725</v>
      </c>
      <c r="E260" t="s">
        <v>1188</v>
      </c>
      <c r="G260" s="3">
        <v>45559</v>
      </c>
      <c r="H260" t="s">
        <v>2149</v>
      </c>
      <c r="J260" t="s">
        <v>1196</v>
      </c>
      <c r="K260" t="s">
        <v>191</v>
      </c>
      <c r="L260" s="3">
        <v>47404</v>
      </c>
      <c r="M260" s="3">
        <v>47371</v>
      </c>
      <c r="N260" t="s">
        <v>2150</v>
      </c>
      <c r="O260" s="4">
        <v>1</v>
      </c>
      <c r="P260">
        <v>0</v>
      </c>
      <c r="Q260">
        <v>0</v>
      </c>
    </row>
    <row r="261" spans="1:17" x14ac:dyDescent="0.3">
      <c r="A261">
        <v>11120</v>
      </c>
      <c r="B261" t="s">
        <v>2151</v>
      </c>
      <c r="C261" t="s">
        <v>2152</v>
      </c>
      <c r="D261" s="3">
        <v>24187</v>
      </c>
      <c r="E261" t="s">
        <v>1188</v>
      </c>
      <c r="F261">
        <v>325</v>
      </c>
      <c r="G261" s="3">
        <v>36262</v>
      </c>
      <c r="H261" t="s">
        <v>2153</v>
      </c>
      <c r="J261" t="s">
        <v>1488</v>
      </c>
      <c r="K261" t="s">
        <v>197</v>
      </c>
      <c r="L261" s="3">
        <v>45938</v>
      </c>
      <c r="M261" s="3">
        <v>46938</v>
      </c>
      <c r="N261" t="s">
        <v>2154</v>
      </c>
      <c r="O261" s="4">
        <v>0.8</v>
      </c>
      <c r="P261">
        <v>0</v>
      </c>
      <c r="Q261">
        <v>1</v>
      </c>
    </row>
    <row r="262" spans="1:17" x14ac:dyDescent="0.3">
      <c r="A262">
        <v>26334</v>
      </c>
      <c r="B262" t="s">
        <v>2155</v>
      </c>
      <c r="C262" t="s">
        <v>2156</v>
      </c>
      <c r="D262" s="3">
        <v>23313</v>
      </c>
      <c r="E262" t="s">
        <v>1188</v>
      </c>
      <c r="F262">
        <v>257</v>
      </c>
      <c r="G262" s="3">
        <v>40679</v>
      </c>
      <c r="H262" t="s">
        <v>2157</v>
      </c>
      <c r="J262" t="s">
        <v>1263</v>
      </c>
      <c r="K262" t="s">
        <v>191</v>
      </c>
      <c r="L262" s="3">
        <v>72686</v>
      </c>
      <c r="M262" s="3">
        <v>46140</v>
      </c>
      <c r="N262" t="s">
        <v>2158</v>
      </c>
      <c r="O262" s="4">
        <v>0.8</v>
      </c>
      <c r="P262">
        <v>0</v>
      </c>
      <c r="Q262">
        <v>1</v>
      </c>
    </row>
    <row r="263" spans="1:17" x14ac:dyDescent="0.3">
      <c r="A263">
        <v>16899</v>
      </c>
      <c r="B263" t="s">
        <v>2159</v>
      </c>
      <c r="C263" t="s">
        <v>2156</v>
      </c>
      <c r="D263" s="3">
        <v>23057</v>
      </c>
      <c r="E263" t="s">
        <v>1188</v>
      </c>
      <c r="F263">
        <v>423</v>
      </c>
      <c r="G263" s="3">
        <v>38103</v>
      </c>
      <c r="H263" t="s">
        <v>2160</v>
      </c>
      <c r="J263" t="s">
        <v>1214</v>
      </c>
      <c r="K263" t="s">
        <v>199</v>
      </c>
      <c r="L263" s="3">
        <v>72686</v>
      </c>
      <c r="M263" s="3">
        <v>47201</v>
      </c>
      <c r="N263" t="s">
        <v>2161</v>
      </c>
      <c r="O263" s="4">
        <v>0.8</v>
      </c>
      <c r="P263">
        <v>0</v>
      </c>
      <c r="Q263">
        <v>0</v>
      </c>
    </row>
    <row r="264" spans="1:17" x14ac:dyDescent="0.3">
      <c r="A264">
        <v>37258</v>
      </c>
      <c r="B264" t="s">
        <v>2162</v>
      </c>
      <c r="C264" t="s">
        <v>2163</v>
      </c>
      <c r="D264" s="3">
        <v>30517</v>
      </c>
      <c r="E264" t="s">
        <v>1188</v>
      </c>
      <c r="G264" s="3">
        <v>44599</v>
      </c>
      <c r="H264" t="s">
        <v>2164</v>
      </c>
      <c r="J264" t="s">
        <v>1196</v>
      </c>
      <c r="K264" t="s">
        <v>191</v>
      </c>
      <c r="L264" s="3">
        <v>46440</v>
      </c>
      <c r="M264" s="3">
        <v>46340</v>
      </c>
      <c r="N264" t="s">
        <v>2165</v>
      </c>
      <c r="O264" s="4">
        <v>1</v>
      </c>
      <c r="P264">
        <v>0</v>
      </c>
      <c r="Q264">
        <v>0</v>
      </c>
    </row>
    <row r="265" spans="1:17" x14ac:dyDescent="0.3">
      <c r="A265">
        <v>40590</v>
      </c>
      <c r="B265" t="s">
        <v>2166</v>
      </c>
      <c r="C265" t="s">
        <v>2167</v>
      </c>
      <c r="D265" s="3">
        <v>31306</v>
      </c>
      <c r="E265" t="s">
        <v>1188</v>
      </c>
      <c r="G265" s="3">
        <v>45464</v>
      </c>
      <c r="H265" t="s">
        <v>2168</v>
      </c>
      <c r="J265" t="s">
        <v>1196</v>
      </c>
      <c r="K265" t="s">
        <v>187</v>
      </c>
      <c r="L265" s="3">
        <v>47300</v>
      </c>
      <c r="M265" s="3">
        <v>47243</v>
      </c>
      <c r="N265" t="s">
        <v>2169</v>
      </c>
      <c r="O265" s="4">
        <v>1</v>
      </c>
      <c r="P265">
        <v>0</v>
      </c>
      <c r="Q265">
        <v>0</v>
      </c>
    </row>
    <row r="266" spans="1:17" x14ac:dyDescent="0.3">
      <c r="A266">
        <v>39654</v>
      </c>
      <c r="B266" t="s">
        <v>2170</v>
      </c>
      <c r="C266" t="s">
        <v>2171</v>
      </c>
      <c r="D266" s="3">
        <v>35555</v>
      </c>
      <c r="E266" t="s">
        <v>1188</v>
      </c>
      <c r="G266" s="3">
        <v>45222</v>
      </c>
      <c r="H266" t="s">
        <v>2172</v>
      </c>
      <c r="J266" t="s">
        <v>1196</v>
      </c>
      <c r="K266" t="s">
        <v>195</v>
      </c>
      <c r="L266" s="3">
        <v>47065</v>
      </c>
      <c r="M266" s="3">
        <v>47016</v>
      </c>
      <c r="N266" t="s">
        <v>2173</v>
      </c>
      <c r="O266" s="4">
        <v>1</v>
      </c>
      <c r="P266">
        <v>0</v>
      </c>
      <c r="Q266">
        <v>0</v>
      </c>
    </row>
    <row r="267" spans="1:17" x14ac:dyDescent="0.3">
      <c r="A267">
        <v>39581</v>
      </c>
      <c r="B267" t="s">
        <v>2174</v>
      </c>
      <c r="C267" t="s">
        <v>2175</v>
      </c>
      <c r="D267" s="3">
        <v>36481</v>
      </c>
      <c r="E267" t="s">
        <v>1188</v>
      </c>
      <c r="G267" s="3">
        <v>45194</v>
      </c>
      <c r="H267" t="s">
        <v>2176</v>
      </c>
      <c r="J267" t="s">
        <v>1718</v>
      </c>
      <c r="K267" t="s">
        <v>193</v>
      </c>
      <c r="L267" s="3">
        <v>47036</v>
      </c>
      <c r="M267" s="3">
        <v>47009</v>
      </c>
      <c r="N267" t="s">
        <v>2177</v>
      </c>
      <c r="O267" s="4">
        <v>0.5</v>
      </c>
      <c r="P267">
        <v>0</v>
      </c>
      <c r="Q267">
        <v>0</v>
      </c>
    </row>
    <row r="268" spans="1:17" x14ac:dyDescent="0.3">
      <c r="A268">
        <v>20375</v>
      </c>
      <c r="B268" t="s">
        <v>2178</v>
      </c>
      <c r="C268" t="s">
        <v>2179</v>
      </c>
      <c r="D268" s="3">
        <v>27391</v>
      </c>
      <c r="E268" t="s">
        <v>1442</v>
      </c>
      <c r="F268">
        <v>402</v>
      </c>
      <c r="G268" s="3">
        <v>39132</v>
      </c>
      <c r="H268" t="s">
        <v>2180</v>
      </c>
      <c r="J268" t="s">
        <v>1290</v>
      </c>
      <c r="K268" t="s">
        <v>185</v>
      </c>
      <c r="L268" s="3">
        <v>72686</v>
      </c>
      <c r="M268" s="3">
        <v>46427</v>
      </c>
      <c r="N268" t="s">
        <v>2181</v>
      </c>
      <c r="O268" s="4">
        <v>1</v>
      </c>
      <c r="P268">
        <v>0</v>
      </c>
      <c r="Q268">
        <v>0</v>
      </c>
    </row>
    <row r="269" spans="1:17" x14ac:dyDescent="0.3">
      <c r="A269">
        <v>28995</v>
      </c>
      <c r="B269" t="s">
        <v>2182</v>
      </c>
      <c r="C269" t="s">
        <v>2183</v>
      </c>
      <c r="D269" s="3">
        <v>22706</v>
      </c>
      <c r="E269" t="s">
        <v>1188</v>
      </c>
      <c r="F269">
        <v>55</v>
      </c>
      <c r="G269" s="3">
        <v>41771</v>
      </c>
      <c r="H269" t="s">
        <v>2184</v>
      </c>
      <c r="J269" t="s">
        <v>1378</v>
      </c>
      <c r="K269" t="s">
        <v>189</v>
      </c>
      <c r="L269" s="3">
        <v>45543</v>
      </c>
      <c r="M269" s="3">
        <v>45306</v>
      </c>
      <c r="N269" t="s">
        <v>2185</v>
      </c>
      <c r="O269" s="4">
        <v>0.8</v>
      </c>
      <c r="P269">
        <v>0</v>
      </c>
      <c r="Q269">
        <v>0</v>
      </c>
    </row>
    <row r="270" spans="1:17" x14ac:dyDescent="0.3">
      <c r="A270">
        <v>27865</v>
      </c>
      <c r="B270" t="s">
        <v>2186</v>
      </c>
      <c r="C270" t="s">
        <v>2187</v>
      </c>
      <c r="D270" s="3">
        <v>25648</v>
      </c>
      <c r="E270" t="s">
        <v>1188</v>
      </c>
      <c r="F270">
        <v>221</v>
      </c>
      <c r="G270" s="3">
        <v>41313</v>
      </c>
      <c r="H270" t="s">
        <v>2188</v>
      </c>
      <c r="J270" t="s">
        <v>1263</v>
      </c>
      <c r="K270" t="s">
        <v>193</v>
      </c>
      <c r="L270" s="3">
        <v>46166</v>
      </c>
      <c r="M270" s="3">
        <v>47135</v>
      </c>
      <c r="N270" t="s">
        <v>2189</v>
      </c>
      <c r="O270" s="4">
        <v>1</v>
      </c>
      <c r="P270">
        <v>0</v>
      </c>
      <c r="Q270">
        <v>1</v>
      </c>
    </row>
    <row r="271" spans="1:17" x14ac:dyDescent="0.3">
      <c r="A271">
        <v>28072</v>
      </c>
      <c r="B271" t="s">
        <v>2190</v>
      </c>
      <c r="C271" t="s">
        <v>2191</v>
      </c>
      <c r="D271" s="3">
        <v>25585</v>
      </c>
      <c r="E271" t="s">
        <v>1188</v>
      </c>
      <c r="F271">
        <v>179</v>
      </c>
      <c r="G271" s="3">
        <v>41372</v>
      </c>
      <c r="H271" t="s">
        <v>2192</v>
      </c>
      <c r="J271" t="s">
        <v>1303</v>
      </c>
      <c r="K271" t="s">
        <v>197</v>
      </c>
      <c r="L271" s="3">
        <v>46877</v>
      </c>
      <c r="M271" s="3">
        <v>47083</v>
      </c>
      <c r="N271" t="s">
        <v>2193</v>
      </c>
      <c r="O271" s="4">
        <v>1</v>
      </c>
      <c r="P271">
        <v>0</v>
      </c>
      <c r="Q271">
        <v>0</v>
      </c>
    </row>
    <row r="272" spans="1:17" x14ac:dyDescent="0.3">
      <c r="A272">
        <v>39014</v>
      </c>
      <c r="B272" t="s">
        <v>2194</v>
      </c>
      <c r="C272" t="s">
        <v>2195</v>
      </c>
      <c r="D272" s="3">
        <v>36757</v>
      </c>
      <c r="E272" t="s">
        <v>1188</v>
      </c>
      <c r="G272" s="3">
        <v>45076</v>
      </c>
      <c r="H272" t="s">
        <v>2196</v>
      </c>
      <c r="J272" t="s">
        <v>1234</v>
      </c>
      <c r="K272" t="s">
        <v>187</v>
      </c>
      <c r="L272" s="3">
        <v>46923</v>
      </c>
      <c r="M272" s="3">
        <v>46860</v>
      </c>
      <c r="N272" t="s">
        <v>2197</v>
      </c>
      <c r="O272" s="4">
        <v>1</v>
      </c>
      <c r="P272">
        <v>0</v>
      </c>
      <c r="Q272">
        <v>0</v>
      </c>
    </row>
    <row r="273" spans="1:17" x14ac:dyDescent="0.3">
      <c r="A273">
        <v>36624</v>
      </c>
      <c r="B273" t="s">
        <v>2198</v>
      </c>
      <c r="C273" t="s">
        <v>2199</v>
      </c>
      <c r="D273" s="3">
        <v>24255</v>
      </c>
      <c r="E273" t="s">
        <v>1188</v>
      </c>
      <c r="G273" s="3">
        <v>44375</v>
      </c>
      <c r="H273" t="s">
        <v>2200</v>
      </c>
      <c r="I273">
        <v>3254255856</v>
      </c>
      <c r="J273" t="s">
        <v>1206</v>
      </c>
      <c r="K273" t="s">
        <v>185</v>
      </c>
      <c r="L273" s="3">
        <v>46208</v>
      </c>
      <c r="M273" s="3">
        <v>46138</v>
      </c>
      <c r="N273" t="s">
        <v>2201</v>
      </c>
      <c r="O273" s="4">
        <v>1</v>
      </c>
      <c r="P273">
        <v>0</v>
      </c>
      <c r="Q273">
        <v>1</v>
      </c>
    </row>
    <row r="274" spans="1:17" x14ac:dyDescent="0.3">
      <c r="A274">
        <v>28165</v>
      </c>
      <c r="B274" t="s">
        <v>1341</v>
      </c>
      <c r="C274" t="s">
        <v>2199</v>
      </c>
      <c r="D274" s="3">
        <v>25640</v>
      </c>
      <c r="E274" t="s">
        <v>1188</v>
      </c>
      <c r="F274">
        <v>3</v>
      </c>
      <c r="G274" s="3">
        <v>41421</v>
      </c>
      <c r="H274" t="s">
        <v>2202</v>
      </c>
      <c r="I274">
        <v>55427502</v>
      </c>
      <c r="J274" t="s">
        <v>1504</v>
      </c>
      <c r="K274" t="s">
        <v>193</v>
      </c>
      <c r="L274" s="3">
        <v>46777</v>
      </c>
      <c r="M274" s="3">
        <v>46763</v>
      </c>
      <c r="N274" t="s">
        <v>2203</v>
      </c>
      <c r="O274" s="4">
        <v>1</v>
      </c>
      <c r="P274">
        <v>0</v>
      </c>
      <c r="Q274">
        <v>0</v>
      </c>
    </row>
    <row r="275" spans="1:17" x14ac:dyDescent="0.3">
      <c r="A275">
        <v>20402</v>
      </c>
      <c r="B275" t="s">
        <v>2204</v>
      </c>
      <c r="C275" t="s">
        <v>2199</v>
      </c>
      <c r="D275" s="3">
        <v>23889</v>
      </c>
      <c r="E275" t="s">
        <v>1188</v>
      </c>
      <c r="F275">
        <v>172</v>
      </c>
      <c r="G275" s="3">
        <v>39146</v>
      </c>
      <c r="H275" t="s">
        <v>2205</v>
      </c>
      <c r="I275">
        <v>55424915</v>
      </c>
      <c r="J275" t="s">
        <v>1307</v>
      </c>
      <c r="K275" t="s">
        <v>193</v>
      </c>
      <c r="L275" s="3">
        <v>45824</v>
      </c>
      <c r="M275" s="3">
        <v>46378</v>
      </c>
      <c r="N275" t="s">
        <v>2206</v>
      </c>
      <c r="O275" s="4">
        <v>0.8</v>
      </c>
      <c r="P275">
        <v>0</v>
      </c>
      <c r="Q275">
        <v>0</v>
      </c>
    </row>
    <row r="276" spans="1:17" x14ac:dyDescent="0.3">
      <c r="A276">
        <v>18139</v>
      </c>
      <c r="B276" t="s">
        <v>2207</v>
      </c>
      <c r="C276" t="s">
        <v>2199</v>
      </c>
      <c r="D276" s="3">
        <v>24575</v>
      </c>
      <c r="E276" t="s">
        <v>1188</v>
      </c>
      <c r="F276">
        <v>348</v>
      </c>
      <c r="G276" s="3">
        <v>38460</v>
      </c>
      <c r="H276" t="s">
        <v>2208</v>
      </c>
      <c r="J276" t="s">
        <v>1290</v>
      </c>
      <c r="K276" t="s">
        <v>187</v>
      </c>
      <c r="L276" s="3">
        <v>72686</v>
      </c>
      <c r="M276" s="3">
        <v>46467</v>
      </c>
      <c r="N276" t="s">
        <v>2209</v>
      </c>
      <c r="O276" s="4">
        <v>0.8</v>
      </c>
      <c r="P276">
        <v>0</v>
      </c>
      <c r="Q276">
        <v>0</v>
      </c>
    </row>
    <row r="277" spans="1:17" x14ac:dyDescent="0.3">
      <c r="A277">
        <v>12024</v>
      </c>
      <c r="B277" t="s">
        <v>2210</v>
      </c>
      <c r="C277" t="s">
        <v>2199</v>
      </c>
      <c r="D277" s="3">
        <v>23853</v>
      </c>
      <c r="E277" t="s">
        <v>1188</v>
      </c>
      <c r="F277">
        <v>214</v>
      </c>
      <c r="G277" s="3">
        <v>36612</v>
      </c>
      <c r="H277" t="s">
        <v>2211</v>
      </c>
      <c r="I277">
        <v>92312370</v>
      </c>
      <c r="J277" t="s">
        <v>1444</v>
      </c>
      <c r="K277" t="s">
        <v>197</v>
      </c>
      <c r="L277" s="3">
        <v>47400</v>
      </c>
      <c r="M277" s="3">
        <v>47399</v>
      </c>
      <c r="N277" t="s">
        <v>2212</v>
      </c>
      <c r="O277" s="4">
        <v>0.8</v>
      </c>
      <c r="P277">
        <v>0</v>
      </c>
      <c r="Q277">
        <v>0</v>
      </c>
    </row>
    <row r="278" spans="1:17" x14ac:dyDescent="0.3">
      <c r="A278">
        <v>15282</v>
      </c>
      <c r="B278" t="s">
        <v>2213</v>
      </c>
      <c r="C278" t="s">
        <v>2214</v>
      </c>
      <c r="D278" s="3">
        <v>26952</v>
      </c>
      <c r="E278" t="s">
        <v>1188</v>
      </c>
      <c r="F278">
        <v>373</v>
      </c>
      <c r="G278" s="3">
        <v>37564</v>
      </c>
      <c r="H278" t="s">
        <v>2215</v>
      </c>
      <c r="J278" t="s">
        <v>1504</v>
      </c>
      <c r="K278" t="s">
        <v>195</v>
      </c>
      <c r="L278" s="3">
        <v>45844</v>
      </c>
      <c r="M278" s="3">
        <v>46201</v>
      </c>
      <c r="N278" t="s">
        <v>2216</v>
      </c>
      <c r="O278" s="4">
        <v>1</v>
      </c>
      <c r="P278">
        <v>0</v>
      </c>
      <c r="Q278">
        <v>0</v>
      </c>
    </row>
    <row r="279" spans="1:17" x14ac:dyDescent="0.3">
      <c r="A279">
        <v>31733</v>
      </c>
      <c r="B279" t="s">
        <v>2217</v>
      </c>
      <c r="C279" t="s">
        <v>2218</v>
      </c>
      <c r="D279" s="3">
        <v>30582</v>
      </c>
      <c r="E279" t="s">
        <v>1442</v>
      </c>
      <c r="F279">
        <v>231</v>
      </c>
      <c r="G279" s="3">
        <v>42919</v>
      </c>
      <c r="H279" t="s">
        <v>2219</v>
      </c>
      <c r="I279">
        <v>477594505</v>
      </c>
      <c r="J279" t="s">
        <v>1299</v>
      </c>
      <c r="K279" t="s">
        <v>185</v>
      </c>
      <c r="L279" s="3">
        <v>46537</v>
      </c>
      <c r="M279" s="3">
        <v>46497</v>
      </c>
      <c r="N279" t="s">
        <v>2220</v>
      </c>
      <c r="O279" s="4">
        <v>1</v>
      </c>
      <c r="P279">
        <v>0</v>
      </c>
      <c r="Q279">
        <v>1</v>
      </c>
    </row>
    <row r="280" spans="1:17" x14ac:dyDescent="0.3">
      <c r="A280">
        <v>29818</v>
      </c>
      <c r="B280" t="s">
        <v>2221</v>
      </c>
      <c r="C280" t="s">
        <v>2218</v>
      </c>
      <c r="D280" s="3">
        <v>32133</v>
      </c>
      <c r="E280" t="s">
        <v>1442</v>
      </c>
      <c r="F280">
        <v>401</v>
      </c>
      <c r="G280" s="3">
        <v>42121</v>
      </c>
      <c r="H280" t="s">
        <v>2222</v>
      </c>
      <c r="J280" t="s">
        <v>1504</v>
      </c>
      <c r="K280" t="s">
        <v>185</v>
      </c>
      <c r="L280" s="3">
        <v>47485</v>
      </c>
      <c r="M280" s="3">
        <v>47470</v>
      </c>
      <c r="N280" t="s">
        <v>2223</v>
      </c>
      <c r="O280" s="4">
        <v>1</v>
      </c>
      <c r="P280">
        <v>0</v>
      </c>
      <c r="Q280">
        <v>0</v>
      </c>
    </row>
    <row r="281" spans="1:17" x14ac:dyDescent="0.3">
      <c r="A281">
        <v>19810</v>
      </c>
      <c r="B281" t="s">
        <v>2224</v>
      </c>
      <c r="C281" t="s">
        <v>2225</v>
      </c>
      <c r="D281" s="3">
        <v>26051</v>
      </c>
      <c r="E281" t="s">
        <v>1188</v>
      </c>
      <c r="F281">
        <v>161</v>
      </c>
      <c r="G281" s="3">
        <v>38971</v>
      </c>
      <c r="H281" t="s">
        <v>2226</v>
      </c>
      <c r="J281" t="s">
        <v>1488</v>
      </c>
      <c r="K281" t="s">
        <v>185</v>
      </c>
      <c r="L281" s="3">
        <v>72686</v>
      </c>
      <c r="M281" s="3">
        <v>46820</v>
      </c>
      <c r="N281" t="s">
        <v>2227</v>
      </c>
      <c r="O281" s="4">
        <v>0.8</v>
      </c>
      <c r="P281">
        <v>0</v>
      </c>
      <c r="Q281">
        <v>0</v>
      </c>
    </row>
    <row r="282" spans="1:17" x14ac:dyDescent="0.3">
      <c r="A282">
        <v>21509</v>
      </c>
      <c r="B282" t="s">
        <v>2228</v>
      </c>
      <c r="C282" t="s">
        <v>2229</v>
      </c>
      <c r="D282" s="3">
        <v>30190</v>
      </c>
      <c r="E282" t="s">
        <v>1188</v>
      </c>
      <c r="F282">
        <v>274</v>
      </c>
      <c r="G282" s="3">
        <v>39405</v>
      </c>
      <c r="H282" t="s">
        <v>2230</v>
      </c>
      <c r="J282" t="s">
        <v>1277</v>
      </c>
      <c r="K282" t="s">
        <v>185</v>
      </c>
      <c r="L282" s="3">
        <v>72686</v>
      </c>
      <c r="M282" s="3">
        <v>46201</v>
      </c>
      <c r="N282" t="s">
        <v>2231</v>
      </c>
      <c r="O282" s="4">
        <v>1</v>
      </c>
      <c r="P282">
        <v>0</v>
      </c>
      <c r="Q282">
        <v>0</v>
      </c>
    </row>
    <row r="283" spans="1:17" x14ac:dyDescent="0.3">
      <c r="A283">
        <v>19520</v>
      </c>
      <c r="B283" t="s">
        <v>2232</v>
      </c>
      <c r="C283" t="s">
        <v>2229</v>
      </c>
      <c r="D283" s="3">
        <v>29721</v>
      </c>
      <c r="E283" t="s">
        <v>1188</v>
      </c>
      <c r="F283">
        <v>52</v>
      </c>
      <c r="G283" s="3">
        <v>38908</v>
      </c>
      <c r="H283" t="s">
        <v>2233</v>
      </c>
      <c r="I283">
        <v>55613250</v>
      </c>
      <c r="J283" t="s">
        <v>1378</v>
      </c>
      <c r="K283" t="s">
        <v>193</v>
      </c>
      <c r="L283" s="3">
        <v>45923</v>
      </c>
      <c r="M283" s="3">
        <v>46005</v>
      </c>
      <c r="N283" t="s">
        <v>2234</v>
      </c>
      <c r="O283" s="4">
        <v>0.8</v>
      </c>
      <c r="P283">
        <v>0</v>
      </c>
      <c r="Q283">
        <v>0</v>
      </c>
    </row>
    <row r="284" spans="1:17" x14ac:dyDescent="0.3">
      <c r="A284">
        <v>27673</v>
      </c>
      <c r="B284" t="s">
        <v>2235</v>
      </c>
      <c r="C284" t="s">
        <v>2236</v>
      </c>
      <c r="D284" s="3">
        <v>27365</v>
      </c>
      <c r="E284" t="s">
        <v>1188</v>
      </c>
      <c r="F284">
        <v>315</v>
      </c>
      <c r="G284" s="3">
        <v>41204</v>
      </c>
      <c r="H284" t="s">
        <v>2237</v>
      </c>
      <c r="J284" t="s">
        <v>1263</v>
      </c>
      <c r="K284" t="s">
        <v>189</v>
      </c>
      <c r="L284" s="3">
        <v>46505</v>
      </c>
      <c r="M284" s="3">
        <v>46497</v>
      </c>
      <c r="N284" t="s">
        <v>2238</v>
      </c>
      <c r="O284" s="4">
        <v>1</v>
      </c>
      <c r="P284">
        <v>0</v>
      </c>
      <c r="Q284">
        <v>0</v>
      </c>
    </row>
    <row r="285" spans="1:17" x14ac:dyDescent="0.3">
      <c r="A285">
        <v>24155</v>
      </c>
      <c r="B285" t="s">
        <v>2239</v>
      </c>
      <c r="C285" t="s">
        <v>2236</v>
      </c>
      <c r="D285" s="3">
        <v>26728</v>
      </c>
      <c r="E285" t="s">
        <v>1188</v>
      </c>
      <c r="F285">
        <v>507</v>
      </c>
      <c r="G285" s="3">
        <v>40000</v>
      </c>
      <c r="H285" t="s">
        <v>2240</v>
      </c>
      <c r="J285" t="s">
        <v>1263</v>
      </c>
      <c r="K285" t="s">
        <v>191</v>
      </c>
      <c r="L285" s="3">
        <v>73050</v>
      </c>
      <c r="M285" s="3">
        <v>46279</v>
      </c>
      <c r="N285" t="s">
        <v>2241</v>
      </c>
      <c r="O285" s="4">
        <v>0.8</v>
      </c>
      <c r="P285">
        <v>0</v>
      </c>
      <c r="Q285">
        <v>1</v>
      </c>
    </row>
    <row r="286" spans="1:17" x14ac:dyDescent="0.3">
      <c r="A286">
        <v>14072</v>
      </c>
      <c r="B286" t="s">
        <v>2242</v>
      </c>
      <c r="C286" t="s">
        <v>2236</v>
      </c>
      <c r="D286" s="3">
        <v>28506</v>
      </c>
      <c r="E286" t="s">
        <v>1188</v>
      </c>
      <c r="F286">
        <v>249</v>
      </c>
      <c r="G286" s="3">
        <v>37214</v>
      </c>
      <c r="H286" t="s">
        <v>2243</v>
      </c>
      <c r="J286" t="s">
        <v>1290</v>
      </c>
      <c r="K286" t="s">
        <v>197</v>
      </c>
      <c r="L286" s="3">
        <v>45840</v>
      </c>
      <c r="M286" s="3">
        <v>46152</v>
      </c>
      <c r="N286" t="s">
        <v>2244</v>
      </c>
      <c r="O286" s="4">
        <v>0.8</v>
      </c>
      <c r="P286">
        <v>0</v>
      </c>
      <c r="Q286">
        <v>0</v>
      </c>
    </row>
    <row r="287" spans="1:17" x14ac:dyDescent="0.3">
      <c r="A287">
        <v>39633</v>
      </c>
      <c r="B287" t="s">
        <v>2245</v>
      </c>
      <c r="C287" t="s">
        <v>2246</v>
      </c>
      <c r="D287" s="3">
        <v>36852</v>
      </c>
      <c r="E287" t="s">
        <v>1188</v>
      </c>
      <c r="G287" s="3">
        <v>45236</v>
      </c>
      <c r="H287" t="s">
        <v>2247</v>
      </c>
      <c r="J287" t="s">
        <v>1196</v>
      </c>
      <c r="K287" t="s">
        <v>197</v>
      </c>
      <c r="L287" s="3">
        <v>47077</v>
      </c>
      <c r="M287" s="3">
        <v>47016</v>
      </c>
      <c r="N287" t="s">
        <v>2248</v>
      </c>
      <c r="O287" s="4">
        <v>0.9</v>
      </c>
      <c r="P287">
        <v>0</v>
      </c>
      <c r="Q287">
        <v>0</v>
      </c>
    </row>
    <row r="288" spans="1:17" x14ac:dyDescent="0.3">
      <c r="A288">
        <v>40414</v>
      </c>
      <c r="B288" t="s">
        <v>2249</v>
      </c>
      <c r="C288" t="s">
        <v>2250</v>
      </c>
      <c r="D288" s="3">
        <v>37300</v>
      </c>
      <c r="E288" t="s">
        <v>1188</v>
      </c>
      <c r="G288" s="3">
        <v>45408</v>
      </c>
      <c r="H288" t="s">
        <v>2251</v>
      </c>
      <c r="J288" t="s">
        <v>1196</v>
      </c>
      <c r="K288" t="s">
        <v>199</v>
      </c>
      <c r="L288" s="3">
        <v>47259</v>
      </c>
      <c r="M288" s="3">
        <v>47216</v>
      </c>
      <c r="N288" t="s">
        <v>2252</v>
      </c>
      <c r="O288" s="4">
        <v>1</v>
      </c>
      <c r="P288">
        <v>0</v>
      </c>
      <c r="Q288">
        <v>0</v>
      </c>
    </row>
    <row r="289" spans="1:17" x14ac:dyDescent="0.3">
      <c r="A289">
        <v>40200</v>
      </c>
      <c r="B289" t="s">
        <v>2253</v>
      </c>
      <c r="C289" t="s">
        <v>2254</v>
      </c>
      <c r="D289" s="3">
        <v>33970</v>
      </c>
      <c r="E289" t="s">
        <v>1188</v>
      </c>
      <c r="G289" s="3">
        <v>45345</v>
      </c>
      <c r="H289" t="s">
        <v>2255</v>
      </c>
      <c r="J289" t="s">
        <v>1196</v>
      </c>
      <c r="K289" t="s">
        <v>185</v>
      </c>
      <c r="L289" s="3">
        <v>46719</v>
      </c>
      <c r="M289" s="3">
        <v>46616</v>
      </c>
      <c r="N289" t="s">
        <v>2256</v>
      </c>
      <c r="O289" s="4">
        <v>1</v>
      </c>
      <c r="P289">
        <v>0</v>
      </c>
      <c r="Q289">
        <v>0</v>
      </c>
    </row>
    <row r="290" spans="1:17" x14ac:dyDescent="0.3">
      <c r="A290">
        <v>36429</v>
      </c>
      <c r="B290" t="s">
        <v>2257</v>
      </c>
      <c r="C290" t="s">
        <v>2258</v>
      </c>
      <c r="D290" s="3">
        <v>31748</v>
      </c>
      <c r="E290" t="s">
        <v>1188</v>
      </c>
      <c r="G290" s="3">
        <v>44312</v>
      </c>
      <c r="H290" t="s">
        <v>2259</v>
      </c>
      <c r="J290" t="s">
        <v>1191</v>
      </c>
      <c r="K290" t="s">
        <v>195</v>
      </c>
      <c r="L290" s="3">
        <v>46152</v>
      </c>
      <c r="M290" s="3">
        <v>46897</v>
      </c>
      <c r="N290" t="s">
        <v>2260</v>
      </c>
      <c r="O290" s="4">
        <v>0.8</v>
      </c>
      <c r="P290">
        <v>0</v>
      </c>
      <c r="Q290">
        <v>0</v>
      </c>
    </row>
    <row r="291" spans="1:17" x14ac:dyDescent="0.3">
      <c r="A291">
        <v>34044</v>
      </c>
      <c r="B291" t="s">
        <v>2261</v>
      </c>
      <c r="C291" t="s">
        <v>2262</v>
      </c>
      <c r="D291" s="3">
        <v>34969</v>
      </c>
      <c r="E291" t="s">
        <v>1188</v>
      </c>
      <c r="F291">
        <v>300</v>
      </c>
      <c r="G291" s="3">
        <v>43640</v>
      </c>
      <c r="H291" t="s">
        <v>2263</v>
      </c>
      <c r="I291">
        <v>494587601</v>
      </c>
      <c r="J291" t="s">
        <v>1267</v>
      </c>
      <c r="K291" t="s">
        <v>189</v>
      </c>
      <c r="L291" s="3">
        <v>47215</v>
      </c>
      <c r="M291" s="3">
        <v>47170</v>
      </c>
      <c r="N291" t="s">
        <v>2264</v>
      </c>
      <c r="O291" s="4">
        <v>1</v>
      </c>
      <c r="P291">
        <v>0</v>
      </c>
      <c r="Q291">
        <v>0</v>
      </c>
    </row>
    <row r="292" spans="1:17" x14ac:dyDescent="0.3">
      <c r="A292">
        <v>31092</v>
      </c>
      <c r="B292" t="s">
        <v>2265</v>
      </c>
      <c r="C292" t="s">
        <v>2262</v>
      </c>
      <c r="D292" s="3">
        <v>34149</v>
      </c>
      <c r="E292" t="s">
        <v>1188</v>
      </c>
      <c r="F292">
        <v>389</v>
      </c>
      <c r="G292" s="3">
        <v>42604</v>
      </c>
      <c r="H292" t="s">
        <v>2266</v>
      </c>
      <c r="J292" t="s">
        <v>1378</v>
      </c>
      <c r="K292" t="s">
        <v>197</v>
      </c>
      <c r="L292" s="3">
        <v>46081</v>
      </c>
      <c r="M292" s="3">
        <v>46056</v>
      </c>
      <c r="N292" t="s">
        <v>2267</v>
      </c>
      <c r="O292" s="4">
        <v>1</v>
      </c>
      <c r="P292">
        <v>0</v>
      </c>
      <c r="Q292">
        <v>1</v>
      </c>
    </row>
    <row r="293" spans="1:17" x14ac:dyDescent="0.3">
      <c r="A293">
        <v>37809</v>
      </c>
      <c r="B293" t="s">
        <v>1358</v>
      </c>
      <c r="C293" t="s">
        <v>2268</v>
      </c>
      <c r="D293" s="3">
        <v>30433</v>
      </c>
      <c r="E293" t="s">
        <v>1188</v>
      </c>
      <c r="G293" s="3">
        <v>44809</v>
      </c>
      <c r="H293" t="s">
        <v>2269</v>
      </c>
      <c r="J293" t="s">
        <v>1196</v>
      </c>
      <c r="K293" t="s">
        <v>199</v>
      </c>
      <c r="L293" s="3">
        <v>46650</v>
      </c>
      <c r="M293" s="3">
        <v>46504</v>
      </c>
      <c r="N293" t="s">
        <v>2270</v>
      </c>
      <c r="O293" s="4">
        <v>1</v>
      </c>
      <c r="P293">
        <v>0</v>
      </c>
      <c r="Q293">
        <v>0</v>
      </c>
    </row>
    <row r="294" spans="1:17" x14ac:dyDescent="0.3">
      <c r="A294">
        <v>34664</v>
      </c>
      <c r="B294" t="s">
        <v>2271</v>
      </c>
      <c r="C294" t="s">
        <v>2268</v>
      </c>
      <c r="D294" s="3">
        <v>34283</v>
      </c>
      <c r="E294" t="s">
        <v>1188</v>
      </c>
      <c r="F294">
        <v>158</v>
      </c>
      <c r="G294" s="3">
        <v>43781</v>
      </c>
      <c r="H294" t="s">
        <v>2272</v>
      </c>
      <c r="J294" t="s">
        <v>1229</v>
      </c>
      <c r="K294" t="s">
        <v>199</v>
      </c>
      <c r="L294" s="3">
        <v>47357</v>
      </c>
      <c r="M294" s="3">
        <v>47357</v>
      </c>
      <c r="N294" t="s">
        <v>2273</v>
      </c>
      <c r="O294" s="4">
        <v>1</v>
      </c>
      <c r="P294">
        <v>0</v>
      </c>
      <c r="Q294">
        <v>1</v>
      </c>
    </row>
    <row r="295" spans="1:17" x14ac:dyDescent="0.3">
      <c r="A295">
        <v>32542</v>
      </c>
      <c r="B295" t="s">
        <v>2274</v>
      </c>
      <c r="C295" t="s">
        <v>2268</v>
      </c>
      <c r="D295" s="3">
        <v>31239</v>
      </c>
      <c r="E295" t="s">
        <v>1188</v>
      </c>
      <c r="F295">
        <v>239</v>
      </c>
      <c r="G295" s="3">
        <v>43150</v>
      </c>
      <c r="H295" t="s">
        <v>2275</v>
      </c>
      <c r="I295" t="s">
        <v>2276</v>
      </c>
      <c r="J295" t="s">
        <v>1242</v>
      </c>
      <c r="K295" t="s">
        <v>185</v>
      </c>
      <c r="L295" s="3">
        <v>46673</v>
      </c>
      <c r="M295" s="3">
        <v>46665</v>
      </c>
      <c r="N295" t="s">
        <v>2277</v>
      </c>
      <c r="O295" s="4">
        <v>0.8</v>
      </c>
      <c r="P295">
        <v>0</v>
      </c>
      <c r="Q295">
        <v>0</v>
      </c>
    </row>
    <row r="296" spans="1:17" x14ac:dyDescent="0.3">
      <c r="A296">
        <v>31659</v>
      </c>
      <c r="B296" t="s">
        <v>2278</v>
      </c>
      <c r="C296" t="s">
        <v>2279</v>
      </c>
      <c r="D296" s="3">
        <v>32677</v>
      </c>
      <c r="E296" t="s">
        <v>1188</v>
      </c>
      <c r="F296">
        <v>44</v>
      </c>
      <c r="G296" s="3">
        <v>42877</v>
      </c>
      <c r="H296" t="s">
        <v>2280</v>
      </c>
      <c r="J296" t="s">
        <v>1395</v>
      </c>
      <c r="K296" t="s">
        <v>187</v>
      </c>
      <c r="L296" s="3">
        <v>46461</v>
      </c>
      <c r="M296" s="3">
        <v>46460</v>
      </c>
      <c r="N296" t="s">
        <v>2281</v>
      </c>
      <c r="O296" s="4">
        <v>1</v>
      </c>
      <c r="P296">
        <v>0</v>
      </c>
      <c r="Q296">
        <v>0</v>
      </c>
    </row>
    <row r="297" spans="1:17" x14ac:dyDescent="0.3">
      <c r="A297">
        <v>20404</v>
      </c>
      <c r="B297" t="s">
        <v>1186</v>
      </c>
      <c r="C297" t="s">
        <v>2279</v>
      </c>
      <c r="D297" s="3">
        <v>26247</v>
      </c>
      <c r="E297" t="s">
        <v>1188</v>
      </c>
      <c r="F297">
        <v>218</v>
      </c>
      <c r="G297" s="3">
        <v>39146</v>
      </c>
      <c r="H297" t="s">
        <v>2282</v>
      </c>
      <c r="J297" t="s">
        <v>1267</v>
      </c>
      <c r="K297" t="s">
        <v>189</v>
      </c>
      <c r="L297" s="3">
        <v>45956</v>
      </c>
      <c r="M297" s="3">
        <v>46306</v>
      </c>
      <c r="N297" t="s">
        <v>2283</v>
      </c>
      <c r="O297" s="4">
        <v>1</v>
      </c>
      <c r="P297">
        <v>0</v>
      </c>
      <c r="Q297">
        <v>0</v>
      </c>
    </row>
    <row r="298" spans="1:17" x14ac:dyDescent="0.3">
      <c r="A298">
        <v>20400</v>
      </c>
      <c r="B298" t="s">
        <v>2284</v>
      </c>
      <c r="C298" t="s">
        <v>2279</v>
      </c>
      <c r="D298" s="3">
        <v>23779</v>
      </c>
      <c r="E298" t="s">
        <v>1188</v>
      </c>
      <c r="F298">
        <v>157</v>
      </c>
      <c r="G298" s="3">
        <v>39146</v>
      </c>
      <c r="H298" t="s">
        <v>2285</v>
      </c>
      <c r="J298" t="s">
        <v>1321</v>
      </c>
      <c r="K298" t="s">
        <v>185</v>
      </c>
      <c r="L298" s="3">
        <v>72686</v>
      </c>
      <c r="M298" s="3">
        <v>46343</v>
      </c>
      <c r="N298" t="s">
        <v>2286</v>
      </c>
      <c r="O298" s="4">
        <v>0.8</v>
      </c>
      <c r="P298">
        <v>0</v>
      </c>
      <c r="Q298">
        <v>0</v>
      </c>
    </row>
    <row r="299" spans="1:17" x14ac:dyDescent="0.3">
      <c r="A299">
        <v>12514</v>
      </c>
      <c r="B299" t="s">
        <v>2052</v>
      </c>
      <c r="C299" t="s">
        <v>2279</v>
      </c>
      <c r="D299" s="3">
        <v>28745</v>
      </c>
      <c r="E299" t="s">
        <v>1188</v>
      </c>
      <c r="F299">
        <v>417</v>
      </c>
      <c r="G299" s="3">
        <v>36759</v>
      </c>
      <c r="H299" t="s">
        <v>2287</v>
      </c>
      <c r="J299" t="s">
        <v>1242</v>
      </c>
      <c r="K299" t="s">
        <v>197</v>
      </c>
      <c r="L299" s="3">
        <v>47356</v>
      </c>
      <c r="M299" s="3">
        <v>47351</v>
      </c>
      <c r="N299" t="s">
        <v>2288</v>
      </c>
      <c r="O299" s="4">
        <v>0.8</v>
      </c>
      <c r="P299">
        <v>0</v>
      </c>
      <c r="Q299">
        <v>0</v>
      </c>
    </row>
    <row r="300" spans="1:17" x14ac:dyDescent="0.3">
      <c r="A300">
        <v>41690</v>
      </c>
      <c r="B300" t="s">
        <v>2289</v>
      </c>
      <c r="C300" t="s">
        <v>2290</v>
      </c>
      <c r="D300" s="3">
        <v>31471</v>
      </c>
      <c r="E300" t="s">
        <v>1188</v>
      </c>
      <c r="G300" s="3">
        <v>45783</v>
      </c>
      <c r="H300" t="s">
        <v>2291</v>
      </c>
      <c r="J300" t="s">
        <v>1196</v>
      </c>
      <c r="K300" t="s">
        <v>193</v>
      </c>
      <c r="L300" s="3">
        <v>1</v>
      </c>
      <c r="M300" s="3">
        <v>1</v>
      </c>
      <c r="N300" t="s">
        <v>2292</v>
      </c>
      <c r="O300" s="4">
        <v>1</v>
      </c>
      <c r="P300">
        <v>0</v>
      </c>
      <c r="Q300">
        <v>0</v>
      </c>
    </row>
    <row r="301" spans="1:17" x14ac:dyDescent="0.3">
      <c r="A301">
        <v>39859</v>
      </c>
      <c r="B301" t="s">
        <v>2293</v>
      </c>
      <c r="C301" t="s">
        <v>2290</v>
      </c>
      <c r="D301" s="3">
        <v>29906</v>
      </c>
      <c r="E301" t="s">
        <v>1188</v>
      </c>
      <c r="G301" s="3">
        <v>45264</v>
      </c>
      <c r="H301" t="s">
        <v>2294</v>
      </c>
      <c r="J301" t="s">
        <v>1196</v>
      </c>
      <c r="K301" t="s">
        <v>187</v>
      </c>
      <c r="L301" s="3">
        <v>47106</v>
      </c>
      <c r="M301" s="3">
        <v>47083</v>
      </c>
      <c r="N301" t="s">
        <v>2295</v>
      </c>
      <c r="O301" s="4">
        <v>1</v>
      </c>
      <c r="P301">
        <v>0</v>
      </c>
      <c r="Q301">
        <v>0</v>
      </c>
    </row>
    <row r="302" spans="1:17" x14ac:dyDescent="0.3">
      <c r="A302">
        <v>39019</v>
      </c>
      <c r="B302" t="s">
        <v>2296</v>
      </c>
      <c r="C302" t="s">
        <v>2290</v>
      </c>
      <c r="D302" s="3">
        <v>30913</v>
      </c>
      <c r="E302" t="s">
        <v>1188</v>
      </c>
      <c r="G302" s="3">
        <v>45061</v>
      </c>
      <c r="H302" t="s">
        <v>2297</v>
      </c>
      <c r="J302" t="s">
        <v>1196</v>
      </c>
      <c r="K302" t="s">
        <v>197</v>
      </c>
      <c r="L302" s="3">
        <v>46904</v>
      </c>
      <c r="M302" s="3">
        <v>46862</v>
      </c>
      <c r="N302" t="s">
        <v>2298</v>
      </c>
      <c r="O302" s="4">
        <v>1</v>
      </c>
      <c r="P302">
        <v>0</v>
      </c>
      <c r="Q302">
        <v>0</v>
      </c>
    </row>
    <row r="303" spans="1:17" x14ac:dyDescent="0.3">
      <c r="A303">
        <v>37794</v>
      </c>
      <c r="B303" t="s">
        <v>1497</v>
      </c>
      <c r="C303" t="s">
        <v>2299</v>
      </c>
      <c r="D303" s="3">
        <v>33202</v>
      </c>
      <c r="E303" t="s">
        <v>1188</v>
      </c>
      <c r="G303" s="3">
        <v>44790</v>
      </c>
      <c r="H303" t="s">
        <v>2300</v>
      </c>
      <c r="J303" t="s">
        <v>1196</v>
      </c>
      <c r="K303" t="s">
        <v>199</v>
      </c>
      <c r="L303" s="3">
        <v>46421</v>
      </c>
      <c r="M303" s="3">
        <v>46120</v>
      </c>
      <c r="N303" t="s">
        <v>2301</v>
      </c>
      <c r="O303" s="4">
        <v>1</v>
      </c>
      <c r="P303">
        <v>0</v>
      </c>
      <c r="Q303">
        <v>0</v>
      </c>
    </row>
    <row r="304" spans="1:17" x14ac:dyDescent="0.3">
      <c r="A304">
        <v>38475</v>
      </c>
      <c r="B304" t="s">
        <v>1762</v>
      </c>
      <c r="C304" t="s">
        <v>2302</v>
      </c>
      <c r="D304" s="3">
        <v>27197</v>
      </c>
      <c r="E304" t="s">
        <v>1188</v>
      </c>
      <c r="G304" s="3">
        <v>44942</v>
      </c>
      <c r="H304" t="s">
        <v>2303</v>
      </c>
      <c r="J304" t="s">
        <v>1234</v>
      </c>
      <c r="K304" t="s">
        <v>193</v>
      </c>
      <c r="L304" s="3">
        <v>46782</v>
      </c>
      <c r="M304" s="3">
        <v>46665</v>
      </c>
      <c r="N304" t="s">
        <v>2304</v>
      </c>
      <c r="O304" s="4">
        <v>1</v>
      </c>
      <c r="P304">
        <v>0</v>
      </c>
      <c r="Q304">
        <v>0</v>
      </c>
    </row>
    <row r="305" spans="1:17" x14ac:dyDescent="0.3">
      <c r="A305">
        <v>15220</v>
      </c>
      <c r="B305" t="s">
        <v>2305</v>
      </c>
      <c r="C305" t="s">
        <v>2302</v>
      </c>
      <c r="D305" s="3">
        <v>26171</v>
      </c>
      <c r="E305" t="s">
        <v>1188</v>
      </c>
      <c r="F305">
        <v>383</v>
      </c>
      <c r="G305" s="3">
        <v>37543</v>
      </c>
      <c r="H305" t="s">
        <v>2306</v>
      </c>
      <c r="J305" t="s">
        <v>1373</v>
      </c>
      <c r="K305" t="s">
        <v>185</v>
      </c>
      <c r="L305" s="3">
        <v>45902</v>
      </c>
      <c r="M305" s="3">
        <v>46434</v>
      </c>
      <c r="N305" t="s">
        <v>2307</v>
      </c>
      <c r="O305" s="4">
        <v>0.8</v>
      </c>
      <c r="P305">
        <v>0</v>
      </c>
      <c r="Q305">
        <v>0</v>
      </c>
    </row>
    <row r="306" spans="1:17" x14ac:dyDescent="0.3">
      <c r="A306">
        <v>29778</v>
      </c>
      <c r="B306" t="s">
        <v>2308</v>
      </c>
      <c r="C306" t="s">
        <v>2309</v>
      </c>
      <c r="D306" s="3">
        <v>24404</v>
      </c>
      <c r="E306" t="s">
        <v>1188</v>
      </c>
      <c r="F306">
        <v>173</v>
      </c>
      <c r="G306" s="3">
        <v>42107</v>
      </c>
      <c r="H306" t="s">
        <v>2310</v>
      </c>
      <c r="I306">
        <v>56371827</v>
      </c>
      <c r="J306" t="s">
        <v>1303</v>
      </c>
      <c r="K306" t="s">
        <v>195</v>
      </c>
      <c r="L306" s="3">
        <v>47322</v>
      </c>
      <c r="M306" s="3">
        <v>47306</v>
      </c>
      <c r="N306" t="s">
        <v>2311</v>
      </c>
      <c r="O306" s="4">
        <v>0.8</v>
      </c>
      <c r="P306">
        <v>0</v>
      </c>
      <c r="Q306">
        <v>0</v>
      </c>
    </row>
    <row r="307" spans="1:17" x14ac:dyDescent="0.3">
      <c r="A307">
        <v>22240</v>
      </c>
      <c r="B307" t="s">
        <v>2312</v>
      </c>
      <c r="C307" t="s">
        <v>2313</v>
      </c>
      <c r="D307" s="3">
        <v>26235</v>
      </c>
      <c r="E307" t="s">
        <v>1188</v>
      </c>
      <c r="F307">
        <v>422</v>
      </c>
      <c r="G307" s="3">
        <v>39587</v>
      </c>
      <c r="H307" t="s">
        <v>2314</v>
      </c>
      <c r="J307" t="s">
        <v>1214</v>
      </c>
      <c r="K307" t="s">
        <v>193</v>
      </c>
      <c r="L307" s="3">
        <v>72686</v>
      </c>
      <c r="M307" s="3">
        <v>46897</v>
      </c>
      <c r="N307" t="s">
        <v>2315</v>
      </c>
      <c r="O307" s="4">
        <v>0.8</v>
      </c>
      <c r="P307">
        <v>0</v>
      </c>
      <c r="Q307">
        <v>0</v>
      </c>
    </row>
    <row r="308" spans="1:17" x14ac:dyDescent="0.3">
      <c r="A308">
        <v>5080</v>
      </c>
      <c r="B308" t="s">
        <v>1757</v>
      </c>
      <c r="C308" t="s">
        <v>2316</v>
      </c>
      <c r="D308" s="3">
        <v>24420</v>
      </c>
      <c r="E308" t="s">
        <v>1188</v>
      </c>
      <c r="F308">
        <v>313</v>
      </c>
      <c r="G308" s="3">
        <v>33308</v>
      </c>
      <c r="H308" t="s">
        <v>2317</v>
      </c>
      <c r="I308">
        <v>92370122</v>
      </c>
      <c r="J308" t="s">
        <v>1303</v>
      </c>
      <c r="K308" t="s">
        <v>191</v>
      </c>
      <c r="L308" s="3">
        <v>45868</v>
      </c>
      <c r="M308" s="3">
        <v>46882</v>
      </c>
      <c r="N308" t="s">
        <v>2318</v>
      </c>
      <c r="O308" s="4">
        <v>0.5</v>
      </c>
      <c r="P308">
        <v>0</v>
      </c>
      <c r="Q308">
        <v>0</v>
      </c>
    </row>
    <row r="309" spans="1:17" x14ac:dyDescent="0.3">
      <c r="A309">
        <v>35246</v>
      </c>
      <c r="B309" t="s">
        <v>2319</v>
      </c>
      <c r="C309" t="s">
        <v>2320</v>
      </c>
      <c r="D309" s="3">
        <v>25938</v>
      </c>
      <c r="E309" t="s">
        <v>1188</v>
      </c>
      <c r="F309">
        <v>160</v>
      </c>
      <c r="G309" s="3">
        <v>43906</v>
      </c>
      <c r="H309" t="s">
        <v>2321</v>
      </c>
      <c r="J309" t="s">
        <v>1206</v>
      </c>
      <c r="K309" t="s">
        <v>191</v>
      </c>
      <c r="L309" s="3">
        <v>47517</v>
      </c>
      <c r="M309" s="3">
        <v>47441</v>
      </c>
      <c r="N309" t="s">
        <v>2322</v>
      </c>
      <c r="O309" s="4">
        <v>1</v>
      </c>
      <c r="P309">
        <v>0</v>
      </c>
      <c r="Q309">
        <v>1</v>
      </c>
    </row>
    <row r="310" spans="1:17" x14ac:dyDescent="0.3">
      <c r="A310">
        <v>36626</v>
      </c>
      <c r="B310" t="s">
        <v>2323</v>
      </c>
      <c r="C310" t="s">
        <v>2324</v>
      </c>
      <c r="D310" s="3">
        <v>35465</v>
      </c>
      <c r="E310" t="s">
        <v>1188</v>
      </c>
      <c r="G310" s="3">
        <v>44389</v>
      </c>
      <c r="H310" t="s">
        <v>2325</v>
      </c>
      <c r="J310" t="s">
        <v>1234</v>
      </c>
      <c r="K310" t="s">
        <v>193</v>
      </c>
      <c r="L310" s="3">
        <v>46230</v>
      </c>
      <c r="M310" s="3">
        <v>46126</v>
      </c>
      <c r="N310" t="s">
        <v>2326</v>
      </c>
      <c r="O310" s="4">
        <v>1</v>
      </c>
      <c r="P310">
        <v>0</v>
      </c>
      <c r="Q310">
        <v>1</v>
      </c>
    </row>
    <row r="311" spans="1:17" x14ac:dyDescent="0.3">
      <c r="A311">
        <v>9999</v>
      </c>
      <c r="B311" t="s">
        <v>2327</v>
      </c>
      <c r="C311" t="s">
        <v>2328</v>
      </c>
      <c r="D311" s="3"/>
      <c r="G311" s="3"/>
      <c r="K311" t="s">
        <v>2329</v>
      </c>
      <c r="L311" s="3"/>
      <c r="M311" s="3"/>
      <c r="O311" s="4"/>
    </row>
    <row r="312" spans="1:17" x14ac:dyDescent="0.3">
      <c r="A312">
        <v>19249</v>
      </c>
      <c r="B312" t="s">
        <v>2330</v>
      </c>
      <c r="C312" t="s">
        <v>2324</v>
      </c>
      <c r="D312" s="3">
        <v>30809</v>
      </c>
      <c r="E312" t="s">
        <v>1188</v>
      </c>
      <c r="F312">
        <v>297</v>
      </c>
      <c r="G312" s="3">
        <v>38852</v>
      </c>
      <c r="H312" t="s">
        <v>2331</v>
      </c>
      <c r="J312" t="s">
        <v>1349</v>
      </c>
      <c r="K312" t="s">
        <v>197</v>
      </c>
      <c r="L312" s="3">
        <v>45889</v>
      </c>
      <c r="M312" s="3">
        <v>46000</v>
      </c>
      <c r="N312" t="s">
        <v>2332</v>
      </c>
      <c r="O312" s="4">
        <v>1</v>
      </c>
      <c r="P312">
        <v>0</v>
      </c>
      <c r="Q312">
        <v>0</v>
      </c>
    </row>
    <row r="313" spans="1:17" x14ac:dyDescent="0.3">
      <c r="A313">
        <v>34328</v>
      </c>
      <c r="B313" t="s">
        <v>2333</v>
      </c>
      <c r="C313" t="s">
        <v>2334</v>
      </c>
      <c r="D313" s="3">
        <v>27707</v>
      </c>
      <c r="E313" t="s">
        <v>1188</v>
      </c>
      <c r="F313">
        <v>445</v>
      </c>
      <c r="G313" s="3">
        <v>43710</v>
      </c>
      <c r="H313" t="s">
        <v>2335</v>
      </c>
      <c r="I313">
        <v>32496141860</v>
      </c>
      <c r="J313" t="s">
        <v>1263</v>
      </c>
      <c r="K313" t="s">
        <v>195</v>
      </c>
      <c r="L313" s="3">
        <v>48784</v>
      </c>
      <c r="M313" s="3">
        <v>46892</v>
      </c>
      <c r="N313" t="s">
        <v>2336</v>
      </c>
      <c r="O313" s="4">
        <v>1</v>
      </c>
      <c r="P313">
        <v>0</v>
      </c>
      <c r="Q313">
        <v>1</v>
      </c>
    </row>
    <row r="314" spans="1:17" x14ac:dyDescent="0.3">
      <c r="A314">
        <v>16971</v>
      </c>
      <c r="B314" t="s">
        <v>2337</v>
      </c>
      <c r="C314" t="s">
        <v>2334</v>
      </c>
      <c r="D314" s="3">
        <v>26011</v>
      </c>
      <c r="E314" t="s">
        <v>1188</v>
      </c>
      <c r="F314">
        <v>384</v>
      </c>
      <c r="G314" s="3">
        <v>38124</v>
      </c>
      <c r="H314" t="s">
        <v>2338</v>
      </c>
      <c r="I314">
        <v>3293117748</v>
      </c>
      <c r="J314" t="s">
        <v>1373</v>
      </c>
      <c r="K314" t="s">
        <v>187</v>
      </c>
      <c r="L314" s="3">
        <v>72686</v>
      </c>
      <c r="M314" s="3">
        <v>47231</v>
      </c>
      <c r="N314" t="s">
        <v>2339</v>
      </c>
      <c r="O314" s="4">
        <v>1</v>
      </c>
      <c r="P314">
        <v>0</v>
      </c>
      <c r="Q314">
        <v>1</v>
      </c>
    </row>
    <row r="315" spans="1:17" x14ac:dyDescent="0.3">
      <c r="A315">
        <v>23924</v>
      </c>
      <c r="B315" t="s">
        <v>2340</v>
      </c>
      <c r="C315" t="s">
        <v>2341</v>
      </c>
      <c r="D315" s="3">
        <v>26572</v>
      </c>
      <c r="E315" t="s">
        <v>1188</v>
      </c>
      <c r="F315">
        <v>75</v>
      </c>
      <c r="G315" s="3">
        <v>39979</v>
      </c>
      <c r="H315" t="s">
        <v>2342</v>
      </c>
      <c r="J315" t="s">
        <v>1214</v>
      </c>
      <c r="K315" t="s">
        <v>189</v>
      </c>
      <c r="L315" s="3">
        <v>47362</v>
      </c>
      <c r="M315" s="3">
        <v>46399</v>
      </c>
      <c r="N315" t="s">
        <v>2343</v>
      </c>
      <c r="O315" s="4">
        <v>1</v>
      </c>
      <c r="P315">
        <v>0</v>
      </c>
      <c r="Q315">
        <v>1</v>
      </c>
    </row>
    <row r="316" spans="1:17" x14ac:dyDescent="0.3">
      <c r="A316">
        <v>40264</v>
      </c>
      <c r="B316" t="s">
        <v>2344</v>
      </c>
      <c r="C316" t="s">
        <v>2345</v>
      </c>
      <c r="D316" s="3">
        <v>32793</v>
      </c>
      <c r="E316" t="s">
        <v>1188</v>
      </c>
      <c r="G316" s="3">
        <v>45364</v>
      </c>
      <c r="H316" t="s">
        <v>2346</v>
      </c>
      <c r="J316" t="s">
        <v>1196</v>
      </c>
      <c r="K316" t="s">
        <v>189</v>
      </c>
      <c r="L316" s="3">
        <v>47224</v>
      </c>
      <c r="M316" s="3">
        <v>47167</v>
      </c>
      <c r="N316" t="s">
        <v>2347</v>
      </c>
      <c r="O316" s="4">
        <v>1</v>
      </c>
      <c r="P316">
        <v>0</v>
      </c>
      <c r="Q316">
        <v>0</v>
      </c>
    </row>
    <row r="317" spans="1:17" x14ac:dyDescent="0.3">
      <c r="A317">
        <v>39927</v>
      </c>
      <c r="B317" t="s">
        <v>2348</v>
      </c>
      <c r="C317" t="s">
        <v>2349</v>
      </c>
      <c r="D317" s="3">
        <v>34161</v>
      </c>
      <c r="E317" t="s">
        <v>1188</v>
      </c>
      <c r="G317" s="3">
        <v>45307</v>
      </c>
      <c r="H317" t="s">
        <v>2350</v>
      </c>
      <c r="J317" t="s">
        <v>1196</v>
      </c>
      <c r="K317" t="s">
        <v>189</v>
      </c>
      <c r="L317" s="3">
        <v>47150</v>
      </c>
      <c r="M317" s="3">
        <v>47092</v>
      </c>
      <c r="N317" t="s">
        <v>2351</v>
      </c>
      <c r="O317" s="4">
        <v>1</v>
      </c>
      <c r="P317">
        <v>0</v>
      </c>
      <c r="Q317">
        <v>0</v>
      </c>
    </row>
    <row r="318" spans="1:17" x14ac:dyDescent="0.3">
      <c r="A318">
        <v>41344</v>
      </c>
      <c r="B318" t="s">
        <v>2352</v>
      </c>
      <c r="C318" t="s">
        <v>2353</v>
      </c>
      <c r="D318" s="3">
        <v>34983</v>
      </c>
      <c r="E318" t="s">
        <v>1188</v>
      </c>
      <c r="G318" s="3">
        <v>45663</v>
      </c>
      <c r="H318" t="s">
        <v>2354</v>
      </c>
      <c r="J318" t="s">
        <v>1196</v>
      </c>
      <c r="K318" t="s">
        <v>191</v>
      </c>
      <c r="L318" s="3">
        <v>46391</v>
      </c>
      <c r="M318" s="3">
        <v>46389</v>
      </c>
      <c r="N318" t="s">
        <v>2355</v>
      </c>
      <c r="O318" s="4">
        <v>1</v>
      </c>
      <c r="P318">
        <v>0</v>
      </c>
      <c r="Q318">
        <v>0</v>
      </c>
    </row>
    <row r="319" spans="1:17" x14ac:dyDescent="0.3">
      <c r="A319">
        <v>36569</v>
      </c>
      <c r="B319" t="s">
        <v>2356</v>
      </c>
      <c r="C319" t="s">
        <v>2357</v>
      </c>
      <c r="D319" s="3">
        <v>35752</v>
      </c>
      <c r="E319" t="s">
        <v>1188</v>
      </c>
      <c r="G319" s="3">
        <v>44347</v>
      </c>
      <c r="H319" t="s">
        <v>2358</v>
      </c>
      <c r="J319" t="s">
        <v>1196</v>
      </c>
      <c r="K319" t="s">
        <v>191</v>
      </c>
      <c r="L319" s="3">
        <v>46188</v>
      </c>
      <c r="M319" s="3">
        <v>46145</v>
      </c>
      <c r="N319" t="s">
        <v>2359</v>
      </c>
      <c r="O319" s="4">
        <v>0.8</v>
      </c>
      <c r="P319">
        <v>0</v>
      </c>
      <c r="Q319">
        <v>1</v>
      </c>
    </row>
    <row r="320" spans="1:17" x14ac:dyDescent="0.3">
      <c r="A320">
        <v>19251</v>
      </c>
      <c r="B320" t="s">
        <v>2360</v>
      </c>
      <c r="C320" t="s">
        <v>2361</v>
      </c>
      <c r="D320" s="3">
        <v>24261</v>
      </c>
      <c r="E320" t="s">
        <v>1188</v>
      </c>
      <c r="G320" s="3">
        <v>38852</v>
      </c>
      <c r="H320" t="s">
        <v>2362</v>
      </c>
      <c r="J320" t="s">
        <v>1206</v>
      </c>
      <c r="K320" t="s">
        <v>185</v>
      </c>
      <c r="L320" s="3">
        <v>45907</v>
      </c>
      <c r="M320" s="3">
        <v>45907</v>
      </c>
      <c r="N320" t="s">
        <v>2363</v>
      </c>
      <c r="O320" s="4">
        <v>0.8</v>
      </c>
      <c r="P320">
        <v>0</v>
      </c>
      <c r="Q320">
        <v>0</v>
      </c>
    </row>
    <row r="321" spans="1:17" x14ac:dyDescent="0.3">
      <c r="A321">
        <v>19766</v>
      </c>
      <c r="B321" t="s">
        <v>2364</v>
      </c>
      <c r="C321" t="s">
        <v>2365</v>
      </c>
      <c r="D321" s="3">
        <v>22649</v>
      </c>
      <c r="E321" t="s">
        <v>1188</v>
      </c>
      <c r="G321" s="3">
        <v>38957</v>
      </c>
      <c r="H321" t="s">
        <v>2366</v>
      </c>
      <c r="J321" t="s">
        <v>1191</v>
      </c>
      <c r="K321" t="s">
        <v>187</v>
      </c>
      <c r="L321" s="3">
        <v>47497</v>
      </c>
      <c r="M321" s="3">
        <v>47470</v>
      </c>
      <c r="N321" t="s">
        <v>2367</v>
      </c>
      <c r="O321" s="4">
        <v>1</v>
      </c>
      <c r="P321">
        <v>0</v>
      </c>
      <c r="Q321">
        <v>0</v>
      </c>
    </row>
    <row r="322" spans="1:17" x14ac:dyDescent="0.3">
      <c r="A322">
        <v>4608</v>
      </c>
      <c r="B322" t="s">
        <v>2368</v>
      </c>
      <c r="C322" t="s">
        <v>2369</v>
      </c>
      <c r="D322" s="3">
        <v>23029</v>
      </c>
      <c r="E322" t="s">
        <v>1188</v>
      </c>
      <c r="F322">
        <v>410</v>
      </c>
      <c r="G322" s="3">
        <v>32644</v>
      </c>
      <c r="H322" t="s">
        <v>2370</v>
      </c>
      <c r="J322" t="s">
        <v>1312</v>
      </c>
      <c r="K322" t="s">
        <v>197</v>
      </c>
      <c r="L322" s="3">
        <v>45846</v>
      </c>
      <c r="M322" s="3">
        <v>46306</v>
      </c>
      <c r="N322" t="s">
        <v>2371</v>
      </c>
      <c r="O322" s="4">
        <v>0.8</v>
      </c>
      <c r="P322">
        <v>0</v>
      </c>
      <c r="Q322">
        <v>0</v>
      </c>
    </row>
    <row r="323" spans="1:17" x14ac:dyDescent="0.3">
      <c r="A323">
        <v>30901</v>
      </c>
      <c r="B323" t="s">
        <v>2372</v>
      </c>
      <c r="C323" t="s">
        <v>2369</v>
      </c>
      <c r="D323" s="3">
        <v>25679</v>
      </c>
      <c r="E323" t="s">
        <v>1188</v>
      </c>
      <c r="F323">
        <v>187</v>
      </c>
      <c r="G323" s="3">
        <v>42534</v>
      </c>
      <c r="H323" t="s">
        <v>2373</v>
      </c>
      <c r="J323" t="s">
        <v>1299</v>
      </c>
      <c r="K323" t="s">
        <v>193</v>
      </c>
      <c r="L323" s="3">
        <v>46134</v>
      </c>
      <c r="M323" s="3">
        <v>46097</v>
      </c>
      <c r="N323" t="s">
        <v>2374</v>
      </c>
      <c r="O323" s="4">
        <v>1</v>
      </c>
      <c r="P323">
        <v>0</v>
      </c>
      <c r="Q323">
        <v>0</v>
      </c>
    </row>
    <row r="324" spans="1:17" x14ac:dyDescent="0.3">
      <c r="A324">
        <v>27577</v>
      </c>
      <c r="B324" t="s">
        <v>2375</v>
      </c>
      <c r="C324" t="s">
        <v>2369</v>
      </c>
      <c r="D324" s="3">
        <v>25646</v>
      </c>
      <c r="E324" t="s">
        <v>1188</v>
      </c>
      <c r="F324">
        <v>72</v>
      </c>
      <c r="G324" s="3">
        <v>41113</v>
      </c>
      <c r="H324" t="s">
        <v>2376</v>
      </c>
      <c r="J324" t="s">
        <v>1263</v>
      </c>
      <c r="K324" t="s">
        <v>189</v>
      </c>
      <c r="L324" s="3">
        <v>1</v>
      </c>
      <c r="M324" s="3">
        <v>46427</v>
      </c>
      <c r="N324" t="s">
        <v>2377</v>
      </c>
      <c r="O324" s="4">
        <v>1</v>
      </c>
      <c r="P324">
        <v>0</v>
      </c>
      <c r="Q324">
        <v>0</v>
      </c>
    </row>
    <row r="325" spans="1:17" x14ac:dyDescent="0.3">
      <c r="A325">
        <v>22767</v>
      </c>
      <c r="B325" t="s">
        <v>2378</v>
      </c>
      <c r="C325" t="s">
        <v>2369</v>
      </c>
      <c r="D325" s="3">
        <v>30532</v>
      </c>
      <c r="E325" t="s">
        <v>1188</v>
      </c>
      <c r="F325">
        <v>80</v>
      </c>
      <c r="G325" s="3">
        <v>39664</v>
      </c>
      <c r="H325" t="s">
        <v>2379</v>
      </c>
      <c r="J325" t="s">
        <v>1277</v>
      </c>
      <c r="K325" t="s">
        <v>185</v>
      </c>
      <c r="L325" s="3">
        <v>72686</v>
      </c>
      <c r="M325" s="3">
        <v>46679</v>
      </c>
      <c r="N325" t="s">
        <v>2380</v>
      </c>
      <c r="O325" s="4">
        <v>1</v>
      </c>
      <c r="P325">
        <v>0</v>
      </c>
      <c r="Q325">
        <v>0</v>
      </c>
    </row>
    <row r="326" spans="1:17" x14ac:dyDescent="0.3">
      <c r="A326">
        <v>39677</v>
      </c>
      <c r="B326" t="s">
        <v>2381</v>
      </c>
      <c r="C326" t="s">
        <v>2382</v>
      </c>
      <c r="D326" s="3">
        <v>36222</v>
      </c>
      <c r="E326" t="s">
        <v>1188</v>
      </c>
      <c r="G326" s="3">
        <v>45222</v>
      </c>
      <c r="H326" t="s">
        <v>2383</v>
      </c>
      <c r="J326" t="s">
        <v>1196</v>
      </c>
      <c r="K326" t="s">
        <v>195</v>
      </c>
      <c r="L326" s="3">
        <v>47064</v>
      </c>
      <c r="M326" s="3">
        <v>47030</v>
      </c>
      <c r="N326" t="s">
        <v>2384</v>
      </c>
      <c r="O326" s="4">
        <v>1</v>
      </c>
      <c r="P326">
        <v>0</v>
      </c>
      <c r="Q326">
        <v>0</v>
      </c>
    </row>
    <row r="327" spans="1:17" x14ac:dyDescent="0.3">
      <c r="A327">
        <v>8391</v>
      </c>
      <c r="B327" t="s">
        <v>2385</v>
      </c>
      <c r="C327" t="s">
        <v>2386</v>
      </c>
      <c r="D327" s="3">
        <v>25627</v>
      </c>
      <c r="E327" t="s">
        <v>1188</v>
      </c>
      <c r="F327">
        <v>508</v>
      </c>
      <c r="G327" s="3">
        <v>35219</v>
      </c>
      <c r="I327">
        <v>474276343</v>
      </c>
      <c r="J327" t="s">
        <v>1307</v>
      </c>
      <c r="K327" t="s">
        <v>191</v>
      </c>
      <c r="L327" s="3">
        <v>45795</v>
      </c>
      <c r="M327" s="3">
        <v>45787</v>
      </c>
      <c r="N327" t="s">
        <v>2387</v>
      </c>
      <c r="O327" s="4">
        <v>0.8</v>
      </c>
      <c r="P327">
        <v>0</v>
      </c>
      <c r="Q327">
        <v>1</v>
      </c>
    </row>
    <row r="328" spans="1:17" x14ac:dyDescent="0.3">
      <c r="A328">
        <v>4720</v>
      </c>
      <c r="B328" t="s">
        <v>1748</v>
      </c>
      <c r="C328" t="s">
        <v>2388</v>
      </c>
      <c r="D328" s="3">
        <v>24146</v>
      </c>
      <c r="E328" t="s">
        <v>1188</v>
      </c>
      <c r="F328">
        <v>509</v>
      </c>
      <c r="G328" s="3">
        <v>32797</v>
      </c>
      <c r="J328" t="s">
        <v>1307</v>
      </c>
      <c r="K328" t="s">
        <v>191</v>
      </c>
      <c r="L328" s="3">
        <v>47602</v>
      </c>
      <c r="M328" s="3">
        <v>46399</v>
      </c>
      <c r="N328" t="s">
        <v>2389</v>
      </c>
      <c r="O328" s="4">
        <v>0.8</v>
      </c>
      <c r="P328">
        <v>0</v>
      </c>
      <c r="Q328">
        <v>0</v>
      </c>
    </row>
    <row r="329" spans="1:17" x14ac:dyDescent="0.3">
      <c r="A329">
        <v>39358</v>
      </c>
      <c r="B329" t="s">
        <v>2390</v>
      </c>
      <c r="C329" t="s">
        <v>2391</v>
      </c>
      <c r="D329" s="3">
        <v>29195</v>
      </c>
      <c r="E329" t="s">
        <v>1188</v>
      </c>
      <c r="G329" s="3">
        <v>45124</v>
      </c>
      <c r="H329" t="s">
        <v>2392</v>
      </c>
      <c r="J329" t="s">
        <v>1196</v>
      </c>
      <c r="K329" t="s">
        <v>189</v>
      </c>
      <c r="L329" s="3">
        <v>47526</v>
      </c>
      <c r="M329" s="3">
        <v>47460</v>
      </c>
      <c r="N329" t="s">
        <v>2393</v>
      </c>
      <c r="O329" s="4">
        <v>1</v>
      </c>
      <c r="P329">
        <v>0</v>
      </c>
      <c r="Q329">
        <v>0</v>
      </c>
    </row>
    <row r="330" spans="1:17" x14ac:dyDescent="0.3">
      <c r="A330">
        <v>21424</v>
      </c>
      <c r="B330" t="s">
        <v>2394</v>
      </c>
      <c r="C330" t="s">
        <v>2395</v>
      </c>
      <c r="D330" s="3">
        <v>27407</v>
      </c>
      <c r="E330" t="s">
        <v>1188</v>
      </c>
      <c r="F330">
        <v>118</v>
      </c>
      <c r="G330" s="3">
        <v>39370</v>
      </c>
      <c r="H330" t="s">
        <v>2396</v>
      </c>
      <c r="J330" t="s">
        <v>1349</v>
      </c>
      <c r="K330" t="s">
        <v>193</v>
      </c>
      <c r="L330" s="3">
        <v>47094</v>
      </c>
      <c r="M330" s="3">
        <v>47083</v>
      </c>
      <c r="N330" t="s">
        <v>2397</v>
      </c>
      <c r="O330" s="4">
        <v>1</v>
      </c>
      <c r="P330">
        <v>0</v>
      </c>
      <c r="Q330">
        <v>1</v>
      </c>
    </row>
    <row r="331" spans="1:17" x14ac:dyDescent="0.3">
      <c r="A331">
        <v>26102</v>
      </c>
      <c r="B331" t="s">
        <v>2398</v>
      </c>
      <c r="C331" t="s">
        <v>2399</v>
      </c>
      <c r="D331" s="3">
        <v>31566</v>
      </c>
      <c r="E331" t="s">
        <v>1188</v>
      </c>
      <c r="F331">
        <v>207</v>
      </c>
      <c r="G331" s="3">
        <v>40602</v>
      </c>
      <c r="H331" t="s">
        <v>2400</v>
      </c>
      <c r="J331" t="s">
        <v>1220</v>
      </c>
      <c r="K331" t="s">
        <v>193</v>
      </c>
      <c r="L331" s="3">
        <v>45896</v>
      </c>
      <c r="M331" s="3">
        <v>45787</v>
      </c>
      <c r="N331" t="s">
        <v>2401</v>
      </c>
      <c r="O331" s="4">
        <v>0.8</v>
      </c>
      <c r="P331">
        <v>0</v>
      </c>
      <c r="Q331">
        <v>0</v>
      </c>
    </row>
    <row r="332" spans="1:17" x14ac:dyDescent="0.3">
      <c r="A332">
        <v>41162</v>
      </c>
      <c r="B332" t="s">
        <v>2402</v>
      </c>
      <c r="C332" t="s">
        <v>2403</v>
      </c>
      <c r="D332" s="3">
        <v>28323</v>
      </c>
      <c r="E332" t="s">
        <v>1188</v>
      </c>
      <c r="G332" s="3">
        <v>45603</v>
      </c>
      <c r="H332" t="s">
        <v>2404</v>
      </c>
      <c r="J332" t="s">
        <v>1196</v>
      </c>
      <c r="K332" t="s">
        <v>185</v>
      </c>
      <c r="L332" s="3">
        <v>47448</v>
      </c>
      <c r="M332" s="3">
        <v>47407</v>
      </c>
      <c r="N332" t="s">
        <v>2405</v>
      </c>
      <c r="O332" s="4">
        <v>1</v>
      </c>
      <c r="P332">
        <v>0</v>
      </c>
      <c r="Q332">
        <v>0</v>
      </c>
    </row>
    <row r="333" spans="1:17" x14ac:dyDescent="0.3">
      <c r="A333">
        <v>30271</v>
      </c>
      <c r="B333" t="s">
        <v>1738</v>
      </c>
      <c r="C333" t="s">
        <v>2403</v>
      </c>
      <c r="D333" s="3">
        <v>31836</v>
      </c>
      <c r="E333" t="s">
        <v>1188</v>
      </c>
      <c r="F333">
        <v>266</v>
      </c>
      <c r="G333" s="3">
        <v>42268</v>
      </c>
      <c r="H333" t="s">
        <v>2406</v>
      </c>
      <c r="J333" t="s">
        <v>1312</v>
      </c>
      <c r="K333" t="s">
        <v>193</v>
      </c>
      <c r="L333" s="3">
        <v>45802</v>
      </c>
      <c r="M333" s="3">
        <v>45787</v>
      </c>
      <c r="N333" t="s">
        <v>2407</v>
      </c>
      <c r="O333" s="4">
        <v>1</v>
      </c>
      <c r="P333">
        <v>0</v>
      </c>
      <c r="Q333">
        <v>1</v>
      </c>
    </row>
    <row r="334" spans="1:17" x14ac:dyDescent="0.3">
      <c r="A334">
        <v>16095</v>
      </c>
      <c r="B334" t="s">
        <v>2408</v>
      </c>
      <c r="C334" t="s">
        <v>2403</v>
      </c>
      <c r="D334" s="3">
        <v>27290</v>
      </c>
      <c r="E334" t="s">
        <v>1188</v>
      </c>
      <c r="F334">
        <v>198</v>
      </c>
      <c r="G334" s="3">
        <v>37830</v>
      </c>
      <c r="H334" t="s">
        <v>2409</v>
      </c>
      <c r="J334" t="s">
        <v>1504</v>
      </c>
      <c r="K334" t="s">
        <v>195</v>
      </c>
      <c r="L334" s="3">
        <v>45816</v>
      </c>
      <c r="M334" s="3">
        <v>46518</v>
      </c>
      <c r="N334" t="s">
        <v>2410</v>
      </c>
      <c r="O334" s="4">
        <v>1</v>
      </c>
      <c r="P334">
        <v>0</v>
      </c>
      <c r="Q334">
        <v>0</v>
      </c>
    </row>
    <row r="335" spans="1:17" x14ac:dyDescent="0.3">
      <c r="A335">
        <v>39267</v>
      </c>
      <c r="B335" t="s">
        <v>1252</v>
      </c>
      <c r="C335" t="s">
        <v>2411</v>
      </c>
      <c r="D335" s="3">
        <v>36104</v>
      </c>
      <c r="E335" t="s">
        <v>1188</v>
      </c>
      <c r="G335" s="3">
        <v>45173</v>
      </c>
      <c r="H335" t="s">
        <v>2412</v>
      </c>
      <c r="J335" t="s">
        <v>1196</v>
      </c>
      <c r="K335" t="s">
        <v>189</v>
      </c>
      <c r="L335" s="3">
        <v>47014</v>
      </c>
      <c r="M335" s="3">
        <v>46903</v>
      </c>
      <c r="N335" t="s">
        <v>2413</v>
      </c>
      <c r="O335" s="4">
        <v>1</v>
      </c>
      <c r="P335">
        <v>0</v>
      </c>
      <c r="Q335">
        <v>0</v>
      </c>
    </row>
    <row r="336" spans="1:17" x14ac:dyDescent="0.3">
      <c r="A336">
        <v>38808</v>
      </c>
      <c r="B336" t="s">
        <v>2414</v>
      </c>
      <c r="C336" t="s">
        <v>2411</v>
      </c>
      <c r="D336" s="3">
        <v>30718</v>
      </c>
      <c r="E336" t="s">
        <v>1188</v>
      </c>
      <c r="G336" s="3">
        <v>45090</v>
      </c>
      <c r="H336" t="s">
        <v>2415</v>
      </c>
      <c r="J336" t="s">
        <v>1378</v>
      </c>
      <c r="K336" t="s">
        <v>193</v>
      </c>
      <c r="L336" s="3">
        <v>46933</v>
      </c>
      <c r="M336" s="3">
        <v>46810</v>
      </c>
      <c r="N336" t="s">
        <v>2416</v>
      </c>
      <c r="O336" s="4">
        <v>1</v>
      </c>
      <c r="P336">
        <v>0</v>
      </c>
      <c r="Q336">
        <v>0</v>
      </c>
    </row>
    <row r="337" spans="1:17" x14ac:dyDescent="0.3">
      <c r="A337">
        <v>11023</v>
      </c>
      <c r="B337" t="s">
        <v>2417</v>
      </c>
      <c r="C337" t="s">
        <v>2418</v>
      </c>
      <c r="D337" s="3">
        <v>27316</v>
      </c>
      <c r="E337" t="s">
        <v>1188</v>
      </c>
      <c r="F337">
        <v>9</v>
      </c>
      <c r="G337" s="3">
        <v>36227</v>
      </c>
      <c r="H337" t="s">
        <v>2419</v>
      </c>
      <c r="J337" t="s">
        <v>1373</v>
      </c>
      <c r="K337" t="s">
        <v>191</v>
      </c>
      <c r="L337" s="3">
        <v>46880</v>
      </c>
      <c r="M337" s="3">
        <v>46853</v>
      </c>
      <c r="N337" t="s">
        <v>2420</v>
      </c>
      <c r="O337" s="4">
        <v>0.8</v>
      </c>
      <c r="P337">
        <v>0</v>
      </c>
      <c r="Q337">
        <v>0</v>
      </c>
    </row>
    <row r="338" spans="1:17" x14ac:dyDescent="0.3">
      <c r="A338">
        <v>23880</v>
      </c>
      <c r="B338" t="s">
        <v>2421</v>
      </c>
      <c r="C338" t="s">
        <v>2422</v>
      </c>
      <c r="D338" s="3">
        <v>24328</v>
      </c>
      <c r="E338" t="s">
        <v>1188</v>
      </c>
      <c r="F338">
        <v>259</v>
      </c>
      <c r="G338" s="3">
        <v>39958</v>
      </c>
      <c r="H338" t="s">
        <v>2423</v>
      </c>
      <c r="J338" t="s">
        <v>1504</v>
      </c>
      <c r="K338" t="s">
        <v>185</v>
      </c>
      <c r="L338" s="3">
        <v>47106</v>
      </c>
      <c r="M338" s="3">
        <v>47105</v>
      </c>
      <c r="N338" t="s">
        <v>2424</v>
      </c>
      <c r="O338" s="4">
        <v>1</v>
      </c>
      <c r="P338">
        <v>0</v>
      </c>
      <c r="Q338">
        <v>0</v>
      </c>
    </row>
    <row r="339" spans="1:17" x14ac:dyDescent="0.3">
      <c r="A339">
        <v>31689</v>
      </c>
      <c r="B339" t="s">
        <v>2425</v>
      </c>
      <c r="C339" t="s">
        <v>2426</v>
      </c>
      <c r="D339" s="3">
        <v>33354</v>
      </c>
      <c r="E339" t="s">
        <v>1188</v>
      </c>
      <c r="F339">
        <v>223</v>
      </c>
      <c r="G339" s="3">
        <v>42892</v>
      </c>
      <c r="H339" t="s">
        <v>2427</v>
      </c>
      <c r="J339" t="s">
        <v>1366</v>
      </c>
      <c r="K339" t="s">
        <v>199</v>
      </c>
      <c r="L339" s="3">
        <v>46531</v>
      </c>
      <c r="M339" s="3">
        <v>46504</v>
      </c>
      <c r="N339" t="s">
        <v>2428</v>
      </c>
      <c r="O339" s="4">
        <v>1</v>
      </c>
      <c r="P339">
        <v>0</v>
      </c>
      <c r="Q339">
        <v>1</v>
      </c>
    </row>
    <row r="340" spans="1:17" x14ac:dyDescent="0.3">
      <c r="A340">
        <v>30999</v>
      </c>
      <c r="B340" t="s">
        <v>2429</v>
      </c>
      <c r="C340" t="s">
        <v>2430</v>
      </c>
      <c r="D340" s="3">
        <v>32844</v>
      </c>
      <c r="E340" t="s">
        <v>1188</v>
      </c>
      <c r="G340" s="3">
        <v>42562</v>
      </c>
      <c r="H340" t="s">
        <v>2431</v>
      </c>
      <c r="J340" t="s">
        <v>1378</v>
      </c>
      <c r="K340" t="s">
        <v>191</v>
      </c>
      <c r="L340" s="3">
        <v>46159</v>
      </c>
      <c r="M340" s="3">
        <v>46147</v>
      </c>
      <c r="N340" t="s">
        <v>2432</v>
      </c>
      <c r="O340" s="4">
        <v>1</v>
      </c>
      <c r="P340">
        <v>0</v>
      </c>
      <c r="Q340">
        <v>0</v>
      </c>
    </row>
    <row r="341" spans="1:17" x14ac:dyDescent="0.3">
      <c r="A341">
        <v>40645</v>
      </c>
      <c r="B341" t="s">
        <v>2433</v>
      </c>
      <c r="C341" t="s">
        <v>2434</v>
      </c>
      <c r="D341" s="3">
        <v>34393</v>
      </c>
      <c r="E341" t="s">
        <v>1188</v>
      </c>
      <c r="G341" s="3">
        <v>45544</v>
      </c>
      <c r="H341" t="s">
        <v>2435</v>
      </c>
      <c r="J341" t="s">
        <v>1196</v>
      </c>
      <c r="K341" t="s">
        <v>193</v>
      </c>
      <c r="L341" s="3">
        <v>47390</v>
      </c>
      <c r="M341" s="3">
        <v>47267</v>
      </c>
      <c r="N341" t="s">
        <v>2436</v>
      </c>
      <c r="O341" s="4">
        <v>1</v>
      </c>
      <c r="P341">
        <v>0</v>
      </c>
      <c r="Q341">
        <v>0</v>
      </c>
    </row>
    <row r="342" spans="1:17" x14ac:dyDescent="0.3">
      <c r="A342">
        <v>38529</v>
      </c>
      <c r="B342" t="s">
        <v>2437</v>
      </c>
      <c r="C342" t="s">
        <v>2438</v>
      </c>
      <c r="D342" s="3">
        <v>30245</v>
      </c>
      <c r="E342" t="s">
        <v>1188</v>
      </c>
      <c r="G342" s="3">
        <v>44956</v>
      </c>
      <c r="H342" t="s">
        <v>2439</v>
      </c>
      <c r="J342" t="s">
        <v>1196</v>
      </c>
      <c r="K342" t="s">
        <v>193</v>
      </c>
      <c r="L342" s="3">
        <v>46796</v>
      </c>
      <c r="M342" s="3">
        <v>46644</v>
      </c>
      <c r="N342" t="s">
        <v>2440</v>
      </c>
      <c r="O342" s="4">
        <v>1</v>
      </c>
      <c r="P342">
        <v>0</v>
      </c>
      <c r="Q342">
        <v>0</v>
      </c>
    </row>
    <row r="343" spans="1:17" x14ac:dyDescent="0.3">
      <c r="A343">
        <v>29540</v>
      </c>
      <c r="B343" t="s">
        <v>2441</v>
      </c>
      <c r="C343" t="s">
        <v>2438</v>
      </c>
      <c r="D343" s="3">
        <v>28532</v>
      </c>
      <c r="E343" t="s">
        <v>1188</v>
      </c>
      <c r="F343">
        <v>330</v>
      </c>
      <c r="G343" s="3">
        <v>41981</v>
      </c>
      <c r="H343" t="s">
        <v>2442</v>
      </c>
      <c r="J343" t="s">
        <v>1299</v>
      </c>
      <c r="K343" t="s">
        <v>197</v>
      </c>
      <c r="L343" s="3">
        <v>47335</v>
      </c>
      <c r="M343" s="3">
        <v>47293</v>
      </c>
      <c r="N343" t="s">
        <v>2443</v>
      </c>
      <c r="O343" s="4">
        <v>1</v>
      </c>
      <c r="P343">
        <v>0</v>
      </c>
      <c r="Q343">
        <v>0</v>
      </c>
    </row>
    <row r="344" spans="1:17" x14ac:dyDescent="0.3">
      <c r="A344">
        <v>21738</v>
      </c>
      <c r="B344" t="s">
        <v>2444</v>
      </c>
      <c r="C344" t="s">
        <v>2438</v>
      </c>
      <c r="D344" s="3">
        <v>30888</v>
      </c>
      <c r="E344" t="s">
        <v>1188</v>
      </c>
      <c r="F344">
        <v>431</v>
      </c>
      <c r="G344" s="3">
        <v>39468</v>
      </c>
      <c r="H344" t="s">
        <v>2445</v>
      </c>
      <c r="J344" t="s">
        <v>1220</v>
      </c>
      <c r="K344" t="s">
        <v>193</v>
      </c>
      <c r="L344" s="3">
        <v>47064</v>
      </c>
      <c r="M344" s="3">
        <v>47044</v>
      </c>
      <c r="N344" t="s">
        <v>2446</v>
      </c>
      <c r="O344" s="4">
        <v>0.8</v>
      </c>
      <c r="P344">
        <v>0</v>
      </c>
      <c r="Q344">
        <v>0</v>
      </c>
    </row>
    <row r="345" spans="1:17" x14ac:dyDescent="0.3">
      <c r="A345">
        <v>13089</v>
      </c>
      <c r="B345" t="s">
        <v>1279</v>
      </c>
      <c r="C345" t="s">
        <v>2438</v>
      </c>
      <c r="D345" s="3">
        <v>29008</v>
      </c>
      <c r="E345" t="s">
        <v>1188</v>
      </c>
      <c r="F345">
        <v>140</v>
      </c>
      <c r="G345" s="3">
        <v>36948</v>
      </c>
      <c r="I345">
        <v>477886484</v>
      </c>
      <c r="J345" t="s">
        <v>1229</v>
      </c>
      <c r="K345" t="s">
        <v>189</v>
      </c>
      <c r="L345" s="3">
        <v>45899</v>
      </c>
      <c r="M345" s="3">
        <v>45867</v>
      </c>
      <c r="N345" t="s">
        <v>2447</v>
      </c>
      <c r="O345" s="4">
        <v>1</v>
      </c>
      <c r="P345">
        <v>0</v>
      </c>
      <c r="Q345">
        <v>0</v>
      </c>
    </row>
    <row r="346" spans="1:17" x14ac:dyDescent="0.3">
      <c r="A346">
        <v>39715</v>
      </c>
      <c r="B346" t="s">
        <v>2448</v>
      </c>
      <c r="C346" t="s">
        <v>2449</v>
      </c>
      <c r="D346" s="3">
        <v>29587</v>
      </c>
      <c r="E346" t="s">
        <v>1188</v>
      </c>
      <c r="G346" s="3">
        <v>45313</v>
      </c>
      <c r="H346" t="s">
        <v>2450</v>
      </c>
      <c r="J346" t="s">
        <v>1196</v>
      </c>
      <c r="K346" t="s">
        <v>195</v>
      </c>
      <c r="L346" s="3">
        <v>46313</v>
      </c>
      <c r="M346" s="3">
        <v>45873</v>
      </c>
      <c r="N346" t="s">
        <v>2451</v>
      </c>
      <c r="O346" s="4">
        <v>1</v>
      </c>
      <c r="P346">
        <v>0</v>
      </c>
      <c r="Q346">
        <v>0</v>
      </c>
    </row>
    <row r="347" spans="1:17" x14ac:dyDescent="0.3">
      <c r="A347">
        <v>39901</v>
      </c>
      <c r="B347" t="s">
        <v>2452</v>
      </c>
      <c r="C347" t="s">
        <v>2453</v>
      </c>
      <c r="D347" s="3">
        <v>34727</v>
      </c>
      <c r="E347" t="s">
        <v>1188</v>
      </c>
      <c r="G347" s="3">
        <v>45307</v>
      </c>
      <c r="H347" t="s">
        <v>2454</v>
      </c>
      <c r="J347" t="s">
        <v>1196</v>
      </c>
      <c r="K347" t="s">
        <v>189</v>
      </c>
      <c r="L347" s="3">
        <v>46999</v>
      </c>
      <c r="M347" s="3">
        <v>46999</v>
      </c>
      <c r="N347" t="s">
        <v>2455</v>
      </c>
      <c r="O347" s="4">
        <v>1</v>
      </c>
      <c r="P347">
        <v>0</v>
      </c>
      <c r="Q347">
        <v>0</v>
      </c>
    </row>
    <row r="348" spans="1:17" x14ac:dyDescent="0.3">
      <c r="A348">
        <v>33085</v>
      </c>
      <c r="B348" t="s">
        <v>1216</v>
      </c>
      <c r="C348" t="s">
        <v>2456</v>
      </c>
      <c r="D348" s="3">
        <v>33077</v>
      </c>
      <c r="E348" t="s">
        <v>1188</v>
      </c>
      <c r="G348" s="3">
        <v>43325</v>
      </c>
      <c r="H348" t="s">
        <v>2457</v>
      </c>
      <c r="J348" t="s">
        <v>1196</v>
      </c>
      <c r="K348" t="s">
        <v>195</v>
      </c>
      <c r="L348" s="3">
        <v>47294</v>
      </c>
      <c r="M348" s="3">
        <v>47233</v>
      </c>
      <c r="N348" t="s">
        <v>2458</v>
      </c>
      <c r="O348" s="4">
        <v>1</v>
      </c>
      <c r="P348">
        <v>0</v>
      </c>
      <c r="Q348">
        <v>0</v>
      </c>
    </row>
    <row r="349" spans="1:17" x14ac:dyDescent="0.3">
      <c r="A349">
        <v>39575</v>
      </c>
      <c r="B349" t="s">
        <v>2459</v>
      </c>
      <c r="C349" t="s">
        <v>2460</v>
      </c>
      <c r="D349" s="3">
        <v>35965</v>
      </c>
      <c r="E349" t="s">
        <v>1188</v>
      </c>
      <c r="G349" s="3">
        <v>45222</v>
      </c>
      <c r="H349" t="s">
        <v>2461</v>
      </c>
      <c r="J349" t="s">
        <v>1196</v>
      </c>
      <c r="K349" t="s">
        <v>193</v>
      </c>
      <c r="L349" s="3">
        <v>47064</v>
      </c>
      <c r="M349" s="3">
        <v>47009</v>
      </c>
      <c r="N349" t="s">
        <v>2462</v>
      </c>
      <c r="O349" s="4">
        <v>1</v>
      </c>
      <c r="P349">
        <v>0</v>
      </c>
      <c r="Q349">
        <v>0</v>
      </c>
    </row>
    <row r="350" spans="1:17" x14ac:dyDescent="0.3">
      <c r="A350">
        <v>40745</v>
      </c>
      <c r="B350" t="s">
        <v>2463</v>
      </c>
      <c r="C350" t="s">
        <v>2464</v>
      </c>
      <c r="D350" s="3">
        <v>33523</v>
      </c>
      <c r="E350" t="s">
        <v>1188</v>
      </c>
      <c r="G350" s="3">
        <v>45498</v>
      </c>
      <c r="H350" t="s">
        <v>2465</v>
      </c>
      <c r="J350" t="s">
        <v>1196</v>
      </c>
      <c r="K350" t="s">
        <v>187</v>
      </c>
      <c r="L350" s="3">
        <v>47342</v>
      </c>
      <c r="M350" s="3">
        <v>45855</v>
      </c>
      <c r="N350" t="s">
        <v>2466</v>
      </c>
      <c r="O350" s="4">
        <v>1</v>
      </c>
      <c r="P350">
        <v>0</v>
      </c>
      <c r="Q350">
        <v>0</v>
      </c>
    </row>
    <row r="351" spans="1:17" x14ac:dyDescent="0.3">
      <c r="A351">
        <v>19676</v>
      </c>
      <c r="B351" t="s">
        <v>2467</v>
      </c>
      <c r="C351" t="s">
        <v>2464</v>
      </c>
      <c r="D351" s="3">
        <v>30660</v>
      </c>
      <c r="E351" t="s">
        <v>1188</v>
      </c>
      <c r="F351">
        <v>347</v>
      </c>
      <c r="G351" s="3">
        <v>38929</v>
      </c>
      <c r="H351" t="s">
        <v>2468</v>
      </c>
      <c r="J351" t="s">
        <v>1263</v>
      </c>
      <c r="K351" t="s">
        <v>199</v>
      </c>
      <c r="L351" s="3">
        <v>72686</v>
      </c>
      <c r="M351" s="3">
        <v>46042</v>
      </c>
      <c r="N351" t="s">
        <v>2469</v>
      </c>
      <c r="O351" s="4">
        <v>1</v>
      </c>
      <c r="P351">
        <v>0</v>
      </c>
      <c r="Q351">
        <v>0</v>
      </c>
    </row>
    <row r="352" spans="1:17" x14ac:dyDescent="0.3">
      <c r="A352">
        <v>30321</v>
      </c>
      <c r="B352" t="s">
        <v>2470</v>
      </c>
      <c r="C352" t="s">
        <v>2471</v>
      </c>
      <c r="D352" s="3">
        <v>34204</v>
      </c>
      <c r="E352" t="s">
        <v>1188</v>
      </c>
      <c r="G352" s="3">
        <v>42296</v>
      </c>
      <c r="H352" t="s">
        <v>2472</v>
      </c>
      <c r="I352">
        <v>0</v>
      </c>
      <c r="J352" t="s">
        <v>1229</v>
      </c>
      <c r="K352" t="s">
        <v>195</v>
      </c>
      <c r="L352" s="3">
        <v>46181</v>
      </c>
      <c r="M352" s="3">
        <v>46105</v>
      </c>
      <c r="N352" t="s">
        <v>2473</v>
      </c>
      <c r="O352" s="4">
        <v>1</v>
      </c>
      <c r="P352">
        <v>0</v>
      </c>
      <c r="Q352">
        <v>1</v>
      </c>
    </row>
    <row r="353" spans="1:17" x14ac:dyDescent="0.3">
      <c r="A353">
        <v>38035</v>
      </c>
      <c r="B353" t="s">
        <v>2474</v>
      </c>
      <c r="C353" t="s">
        <v>2475</v>
      </c>
      <c r="D353" s="3">
        <v>36352</v>
      </c>
      <c r="E353" t="s">
        <v>1188</v>
      </c>
      <c r="G353" s="3">
        <v>44837</v>
      </c>
      <c r="H353" t="s">
        <v>2476</v>
      </c>
      <c r="J353" t="s">
        <v>1196</v>
      </c>
      <c r="K353" t="s">
        <v>187</v>
      </c>
      <c r="L353" s="3">
        <v>46678</v>
      </c>
      <c r="M353" s="3">
        <v>46552</v>
      </c>
      <c r="N353" t="s">
        <v>2477</v>
      </c>
      <c r="O353" s="4">
        <v>1</v>
      </c>
      <c r="P353">
        <v>0</v>
      </c>
      <c r="Q353">
        <v>0</v>
      </c>
    </row>
    <row r="354" spans="1:17" x14ac:dyDescent="0.3">
      <c r="A354">
        <v>16280</v>
      </c>
      <c r="B354" t="s">
        <v>2478</v>
      </c>
      <c r="C354" t="s">
        <v>2479</v>
      </c>
      <c r="D354" s="3">
        <v>27842</v>
      </c>
      <c r="E354" t="s">
        <v>1188</v>
      </c>
      <c r="F354">
        <v>293</v>
      </c>
      <c r="G354" s="3">
        <v>37886</v>
      </c>
      <c r="H354" t="s">
        <v>2480</v>
      </c>
      <c r="J354" t="s">
        <v>1242</v>
      </c>
      <c r="K354" t="s">
        <v>197</v>
      </c>
      <c r="L354" s="3">
        <v>47275</v>
      </c>
      <c r="M354" s="3">
        <v>47237</v>
      </c>
      <c r="N354" t="s">
        <v>2481</v>
      </c>
      <c r="O354" s="4">
        <v>0.8</v>
      </c>
      <c r="P354">
        <v>0</v>
      </c>
      <c r="Q354">
        <v>0</v>
      </c>
    </row>
    <row r="355" spans="1:17" x14ac:dyDescent="0.3">
      <c r="A355">
        <v>5718</v>
      </c>
      <c r="B355" t="s">
        <v>2482</v>
      </c>
      <c r="C355" t="s">
        <v>2483</v>
      </c>
      <c r="D355" s="3">
        <v>25098</v>
      </c>
      <c r="E355" t="s">
        <v>1188</v>
      </c>
      <c r="F355">
        <v>189</v>
      </c>
      <c r="G355" s="3">
        <v>33707</v>
      </c>
      <c r="H355" t="s">
        <v>2484</v>
      </c>
      <c r="I355">
        <v>93848830</v>
      </c>
      <c r="J355" t="s">
        <v>1504</v>
      </c>
      <c r="K355" t="s">
        <v>195</v>
      </c>
      <c r="L355" s="3">
        <v>45872</v>
      </c>
      <c r="M355" s="3">
        <v>46318</v>
      </c>
      <c r="N355" t="s">
        <v>2485</v>
      </c>
      <c r="O355" s="4">
        <v>1</v>
      </c>
      <c r="P355">
        <v>0</v>
      </c>
      <c r="Q355">
        <v>0</v>
      </c>
    </row>
    <row r="356" spans="1:17" x14ac:dyDescent="0.3">
      <c r="A356">
        <v>10782</v>
      </c>
      <c r="B356" t="s">
        <v>2486</v>
      </c>
      <c r="C356" t="s">
        <v>2487</v>
      </c>
      <c r="D356" s="3">
        <v>27384</v>
      </c>
      <c r="E356" t="s">
        <v>1188</v>
      </c>
      <c r="F356">
        <v>48</v>
      </c>
      <c r="G356" s="3">
        <v>36080</v>
      </c>
      <c r="H356" t="s">
        <v>2488</v>
      </c>
      <c r="J356" t="s">
        <v>1242</v>
      </c>
      <c r="K356" t="s">
        <v>195</v>
      </c>
      <c r="L356" s="3">
        <v>45829</v>
      </c>
      <c r="M356" s="3">
        <v>46704</v>
      </c>
      <c r="N356" t="s">
        <v>2489</v>
      </c>
      <c r="O356" s="4">
        <v>1</v>
      </c>
      <c r="P356">
        <v>0</v>
      </c>
      <c r="Q356">
        <v>0</v>
      </c>
    </row>
    <row r="357" spans="1:17" x14ac:dyDescent="0.3">
      <c r="A357">
        <v>34445</v>
      </c>
      <c r="B357" t="s">
        <v>2490</v>
      </c>
      <c r="C357" t="s">
        <v>2491</v>
      </c>
      <c r="D357" s="3">
        <v>34663</v>
      </c>
      <c r="E357" t="s">
        <v>1188</v>
      </c>
      <c r="F357">
        <v>132</v>
      </c>
      <c r="G357" s="3">
        <v>43752</v>
      </c>
      <c r="H357" t="s">
        <v>2492</v>
      </c>
      <c r="I357">
        <v>498707898</v>
      </c>
      <c r="J357" t="s">
        <v>1395</v>
      </c>
      <c r="K357" t="s">
        <v>185</v>
      </c>
      <c r="L357" s="3">
        <v>47274</v>
      </c>
      <c r="M357" s="3">
        <v>47237</v>
      </c>
      <c r="N357" t="s">
        <v>2493</v>
      </c>
      <c r="O357" s="4">
        <v>1</v>
      </c>
      <c r="P357">
        <v>0</v>
      </c>
      <c r="Q357">
        <v>1</v>
      </c>
    </row>
    <row r="358" spans="1:17" x14ac:dyDescent="0.3">
      <c r="A358">
        <v>20543</v>
      </c>
      <c r="B358" t="s">
        <v>2494</v>
      </c>
      <c r="C358" t="s">
        <v>2495</v>
      </c>
      <c r="D358" s="3">
        <v>24788</v>
      </c>
      <c r="E358" t="s">
        <v>1188</v>
      </c>
      <c r="F358">
        <v>290</v>
      </c>
      <c r="G358" s="3">
        <v>39174</v>
      </c>
      <c r="H358" t="s">
        <v>2496</v>
      </c>
      <c r="J358" t="s">
        <v>1214</v>
      </c>
      <c r="K358" t="s">
        <v>195</v>
      </c>
      <c r="L358" s="3">
        <v>72686</v>
      </c>
      <c r="M358" s="3">
        <v>72686</v>
      </c>
      <c r="N358" t="s">
        <v>2497</v>
      </c>
      <c r="O358" s="4">
        <v>0.5</v>
      </c>
      <c r="P358">
        <v>1</v>
      </c>
      <c r="Q358">
        <v>0</v>
      </c>
    </row>
    <row r="359" spans="1:17" x14ac:dyDescent="0.3">
      <c r="A359">
        <v>41871</v>
      </c>
      <c r="B359" t="s">
        <v>2498</v>
      </c>
      <c r="C359" t="s">
        <v>2499</v>
      </c>
      <c r="D359" s="3">
        <v>36357</v>
      </c>
      <c r="E359" t="s">
        <v>1188</v>
      </c>
      <c r="G359" s="3">
        <v>45798</v>
      </c>
      <c r="H359" t="s">
        <v>2500</v>
      </c>
      <c r="J359" t="s">
        <v>1196</v>
      </c>
      <c r="K359" t="s">
        <v>185</v>
      </c>
      <c r="L359" s="3">
        <v>1</v>
      </c>
      <c r="M359" s="3">
        <v>1</v>
      </c>
      <c r="N359" t="s">
        <v>2501</v>
      </c>
      <c r="O359" s="4">
        <v>1</v>
      </c>
      <c r="P359">
        <v>0</v>
      </c>
      <c r="Q359">
        <v>0</v>
      </c>
    </row>
    <row r="360" spans="1:17" x14ac:dyDescent="0.3">
      <c r="A360">
        <v>41685</v>
      </c>
      <c r="B360" t="s">
        <v>2502</v>
      </c>
      <c r="C360" t="s">
        <v>2503</v>
      </c>
      <c r="D360" s="3">
        <v>37767</v>
      </c>
      <c r="E360" t="s">
        <v>1188</v>
      </c>
      <c r="G360" s="3">
        <v>45735</v>
      </c>
      <c r="H360" t="s">
        <v>2504</v>
      </c>
      <c r="J360" t="s">
        <v>1196</v>
      </c>
      <c r="K360" t="s">
        <v>195</v>
      </c>
      <c r="L360" s="3">
        <v>47582</v>
      </c>
      <c r="M360" s="3">
        <v>47538</v>
      </c>
      <c r="N360" t="s">
        <v>2505</v>
      </c>
      <c r="O360" s="4">
        <v>1</v>
      </c>
      <c r="P360">
        <v>0</v>
      </c>
      <c r="Q360">
        <v>0</v>
      </c>
    </row>
    <row r="361" spans="1:17" x14ac:dyDescent="0.3">
      <c r="A361">
        <v>35761</v>
      </c>
      <c r="B361" t="s">
        <v>2474</v>
      </c>
      <c r="C361" t="s">
        <v>2506</v>
      </c>
      <c r="D361" s="3">
        <v>33856</v>
      </c>
      <c r="E361" t="s">
        <v>1188</v>
      </c>
      <c r="F361">
        <v>324</v>
      </c>
      <c r="G361" s="3">
        <v>44067</v>
      </c>
      <c r="H361" t="s">
        <v>2507</v>
      </c>
      <c r="J361" t="s">
        <v>1196</v>
      </c>
      <c r="K361" t="s">
        <v>193</v>
      </c>
      <c r="L361" s="3">
        <v>45916</v>
      </c>
      <c r="M361" s="3">
        <v>45874</v>
      </c>
      <c r="N361" t="s">
        <v>2508</v>
      </c>
      <c r="O361" s="4">
        <v>1</v>
      </c>
      <c r="P361">
        <v>0</v>
      </c>
      <c r="Q361">
        <v>1</v>
      </c>
    </row>
    <row r="362" spans="1:17" x14ac:dyDescent="0.3">
      <c r="A362">
        <v>36635</v>
      </c>
      <c r="B362" t="s">
        <v>2509</v>
      </c>
      <c r="C362" t="s">
        <v>2510</v>
      </c>
      <c r="D362" s="3">
        <v>34087</v>
      </c>
      <c r="E362" t="s">
        <v>1188</v>
      </c>
      <c r="G362" s="3">
        <v>44417</v>
      </c>
      <c r="H362" t="s">
        <v>2511</v>
      </c>
      <c r="J362" t="s">
        <v>1196</v>
      </c>
      <c r="K362" t="s">
        <v>195</v>
      </c>
      <c r="L362" s="3">
        <v>46257</v>
      </c>
      <c r="M362" s="3">
        <v>46147</v>
      </c>
      <c r="N362" t="s">
        <v>2512</v>
      </c>
      <c r="O362" s="4">
        <v>1</v>
      </c>
      <c r="P362">
        <v>0</v>
      </c>
      <c r="Q362">
        <v>0</v>
      </c>
    </row>
    <row r="363" spans="1:17" x14ac:dyDescent="0.3">
      <c r="A363">
        <v>35450</v>
      </c>
      <c r="B363" t="s">
        <v>2513</v>
      </c>
      <c r="C363" t="s">
        <v>2514</v>
      </c>
      <c r="D363" s="3">
        <v>30458</v>
      </c>
      <c r="E363" t="s">
        <v>1188</v>
      </c>
      <c r="F363">
        <v>400</v>
      </c>
      <c r="G363" s="3">
        <v>43997</v>
      </c>
      <c r="H363" t="s">
        <v>2515</v>
      </c>
      <c r="J363" t="s">
        <v>1234</v>
      </c>
      <c r="K363" t="s">
        <v>193</v>
      </c>
      <c r="L363" s="3">
        <v>45839</v>
      </c>
      <c r="M363" s="3">
        <v>45782</v>
      </c>
      <c r="N363" t="s">
        <v>2516</v>
      </c>
      <c r="O363" s="4">
        <v>1</v>
      </c>
      <c r="P363">
        <v>0</v>
      </c>
      <c r="Q363">
        <v>0</v>
      </c>
    </row>
    <row r="364" spans="1:17" x14ac:dyDescent="0.3">
      <c r="A364">
        <v>33757</v>
      </c>
      <c r="B364" t="s">
        <v>2517</v>
      </c>
      <c r="C364" t="s">
        <v>2514</v>
      </c>
      <c r="D364" s="3">
        <v>24507</v>
      </c>
      <c r="E364" t="s">
        <v>1188</v>
      </c>
      <c r="F364">
        <v>220</v>
      </c>
      <c r="G364" s="3">
        <v>43556</v>
      </c>
      <c r="H364" t="s">
        <v>2518</v>
      </c>
      <c r="I364">
        <v>499245846</v>
      </c>
      <c r="J364" t="s">
        <v>1206</v>
      </c>
      <c r="K364" t="s">
        <v>199</v>
      </c>
      <c r="L364" s="3">
        <v>47222</v>
      </c>
      <c r="M364" s="3">
        <v>46404</v>
      </c>
      <c r="N364" t="s">
        <v>2519</v>
      </c>
      <c r="O364" s="4">
        <v>1</v>
      </c>
      <c r="P364">
        <v>0</v>
      </c>
      <c r="Q364">
        <v>0</v>
      </c>
    </row>
    <row r="365" spans="1:17" x14ac:dyDescent="0.3">
      <c r="A365">
        <v>36354</v>
      </c>
      <c r="B365" t="s">
        <v>2520</v>
      </c>
      <c r="C365" t="s">
        <v>2521</v>
      </c>
      <c r="D365" s="3">
        <v>35740</v>
      </c>
      <c r="E365" t="s">
        <v>1188</v>
      </c>
      <c r="G365" s="3">
        <v>44298</v>
      </c>
      <c r="H365" t="s">
        <v>2522</v>
      </c>
      <c r="I365">
        <v>471573703</v>
      </c>
      <c r="J365" t="s">
        <v>1196</v>
      </c>
      <c r="K365" t="s">
        <v>191</v>
      </c>
      <c r="L365" s="3">
        <v>46138</v>
      </c>
      <c r="M365" s="3">
        <v>45923</v>
      </c>
      <c r="N365" t="s">
        <v>2523</v>
      </c>
      <c r="O365" s="4">
        <v>1</v>
      </c>
      <c r="P365">
        <v>0</v>
      </c>
      <c r="Q365">
        <v>1</v>
      </c>
    </row>
    <row r="366" spans="1:17" x14ac:dyDescent="0.3">
      <c r="A366">
        <v>14667</v>
      </c>
      <c r="B366" t="s">
        <v>2524</v>
      </c>
      <c r="C366" t="s">
        <v>2525</v>
      </c>
      <c r="D366" s="3">
        <v>26648</v>
      </c>
      <c r="E366" t="s">
        <v>1188</v>
      </c>
      <c r="F366">
        <v>190</v>
      </c>
      <c r="G366" s="3">
        <v>37424</v>
      </c>
      <c r="H366" t="s">
        <v>2526</v>
      </c>
      <c r="J366" t="s">
        <v>1488</v>
      </c>
      <c r="K366" t="s">
        <v>193</v>
      </c>
      <c r="L366" s="3">
        <v>72686</v>
      </c>
      <c r="M366" s="3">
        <v>46369</v>
      </c>
      <c r="N366" t="s">
        <v>2527</v>
      </c>
      <c r="O366" s="4">
        <v>1</v>
      </c>
      <c r="P366">
        <v>0</v>
      </c>
      <c r="Q366">
        <v>0</v>
      </c>
    </row>
    <row r="367" spans="1:17" x14ac:dyDescent="0.3">
      <c r="A367">
        <v>38205</v>
      </c>
      <c r="B367" t="s">
        <v>2528</v>
      </c>
      <c r="C367" t="s">
        <v>2529</v>
      </c>
      <c r="D367" s="3">
        <v>26731</v>
      </c>
      <c r="E367" t="s">
        <v>1188</v>
      </c>
      <c r="G367" s="3">
        <v>44893</v>
      </c>
      <c r="H367" t="s">
        <v>2530</v>
      </c>
      <c r="I367">
        <v>93280697</v>
      </c>
      <c r="J367" t="s">
        <v>1196</v>
      </c>
      <c r="K367" t="s">
        <v>195</v>
      </c>
      <c r="L367" s="3">
        <v>46734</v>
      </c>
      <c r="M367" s="3">
        <v>46616</v>
      </c>
      <c r="N367" t="s">
        <v>2531</v>
      </c>
      <c r="O367" s="4">
        <v>1</v>
      </c>
      <c r="P367">
        <v>0</v>
      </c>
      <c r="Q367">
        <v>0</v>
      </c>
    </row>
    <row r="368" spans="1:17" x14ac:dyDescent="0.3">
      <c r="A368">
        <v>32387</v>
      </c>
      <c r="B368" t="s">
        <v>2532</v>
      </c>
      <c r="C368" t="s">
        <v>2533</v>
      </c>
      <c r="D368" s="3">
        <v>23792</v>
      </c>
      <c r="E368" t="s">
        <v>1188</v>
      </c>
      <c r="F368">
        <v>217</v>
      </c>
      <c r="G368" s="3">
        <v>43108</v>
      </c>
      <c r="H368" t="s">
        <v>2534</v>
      </c>
      <c r="J368" t="s">
        <v>1378</v>
      </c>
      <c r="K368" t="s">
        <v>199</v>
      </c>
      <c r="L368" s="3">
        <v>46620</v>
      </c>
      <c r="M368" s="3">
        <v>46616</v>
      </c>
      <c r="N368" t="s">
        <v>2535</v>
      </c>
      <c r="O368" s="4">
        <v>0.8</v>
      </c>
      <c r="P368">
        <v>0</v>
      </c>
      <c r="Q368">
        <v>1</v>
      </c>
    </row>
    <row r="369" spans="1:17" x14ac:dyDescent="0.3">
      <c r="A369">
        <v>40469</v>
      </c>
      <c r="B369" t="s">
        <v>2536</v>
      </c>
      <c r="C369" t="s">
        <v>2537</v>
      </c>
      <c r="D369" s="3">
        <v>29573</v>
      </c>
      <c r="E369" t="s">
        <v>1188</v>
      </c>
      <c r="G369" s="3">
        <v>45408</v>
      </c>
      <c r="H369" t="s">
        <v>2538</v>
      </c>
      <c r="J369" t="s">
        <v>1196</v>
      </c>
      <c r="K369" t="s">
        <v>193</v>
      </c>
      <c r="L369" s="3">
        <v>47258</v>
      </c>
      <c r="M369" s="3">
        <v>47225</v>
      </c>
      <c r="N369" t="s">
        <v>2539</v>
      </c>
      <c r="O369" s="4">
        <v>1</v>
      </c>
      <c r="P369">
        <v>0</v>
      </c>
      <c r="Q369">
        <v>0</v>
      </c>
    </row>
    <row r="370" spans="1:17" x14ac:dyDescent="0.3">
      <c r="A370">
        <v>39673</v>
      </c>
      <c r="B370" t="s">
        <v>2540</v>
      </c>
      <c r="C370" t="s">
        <v>2541</v>
      </c>
      <c r="D370" s="3">
        <v>25391</v>
      </c>
      <c r="E370" t="s">
        <v>1188</v>
      </c>
      <c r="G370" s="3">
        <v>45236</v>
      </c>
      <c r="H370" t="s">
        <v>2542</v>
      </c>
      <c r="J370" t="s">
        <v>1196</v>
      </c>
      <c r="K370" t="s">
        <v>191</v>
      </c>
      <c r="L370" s="3">
        <v>47110</v>
      </c>
      <c r="M370" s="3">
        <v>47030</v>
      </c>
      <c r="N370" t="s">
        <v>2543</v>
      </c>
      <c r="O370" s="4">
        <v>1</v>
      </c>
      <c r="P370">
        <v>0</v>
      </c>
      <c r="Q370">
        <v>0</v>
      </c>
    </row>
    <row r="371" spans="1:17" x14ac:dyDescent="0.3">
      <c r="A371">
        <v>32002</v>
      </c>
      <c r="B371" t="s">
        <v>2544</v>
      </c>
      <c r="C371" t="s">
        <v>2545</v>
      </c>
      <c r="D371" s="3">
        <v>26130</v>
      </c>
      <c r="E371" t="s">
        <v>1188</v>
      </c>
      <c r="F371">
        <v>204</v>
      </c>
      <c r="G371" s="3">
        <v>42989</v>
      </c>
      <c r="H371" t="s">
        <v>2546</v>
      </c>
      <c r="J371" t="s">
        <v>1229</v>
      </c>
      <c r="K371" t="s">
        <v>199</v>
      </c>
      <c r="L371" s="3">
        <v>46518</v>
      </c>
      <c r="M371" s="3">
        <v>46511</v>
      </c>
      <c r="N371" t="s">
        <v>2547</v>
      </c>
      <c r="O371" s="4">
        <v>1</v>
      </c>
      <c r="P371">
        <v>0</v>
      </c>
      <c r="Q371">
        <v>1</v>
      </c>
    </row>
    <row r="372" spans="1:17" x14ac:dyDescent="0.3">
      <c r="A372">
        <v>29478</v>
      </c>
      <c r="B372" t="s">
        <v>2548</v>
      </c>
      <c r="C372" t="s">
        <v>2549</v>
      </c>
      <c r="D372" s="3">
        <v>21893</v>
      </c>
      <c r="E372" t="s">
        <v>1188</v>
      </c>
      <c r="F372">
        <v>437</v>
      </c>
      <c r="G372" s="3">
        <v>41946</v>
      </c>
      <c r="H372" t="s">
        <v>2550</v>
      </c>
      <c r="J372" t="s">
        <v>1321</v>
      </c>
      <c r="K372" t="s">
        <v>193</v>
      </c>
      <c r="L372" s="3">
        <v>47509</v>
      </c>
      <c r="M372" s="3">
        <v>47460</v>
      </c>
      <c r="N372" t="s">
        <v>2551</v>
      </c>
      <c r="O372" s="4">
        <v>1</v>
      </c>
      <c r="P372">
        <v>0</v>
      </c>
      <c r="Q372">
        <v>1</v>
      </c>
    </row>
    <row r="373" spans="1:17" x14ac:dyDescent="0.3">
      <c r="A373">
        <v>35395</v>
      </c>
      <c r="B373" t="s">
        <v>2552</v>
      </c>
      <c r="C373" t="s">
        <v>2553</v>
      </c>
      <c r="D373" s="3">
        <v>28038</v>
      </c>
      <c r="E373" t="s">
        <v>1188</v>
      </c>
      <c r="F373">
        <v>335</v>
      </c>
      <c r="G373" s="3">
        <v>43980</v>
      </c>
      <c r="H373" t="s">
        <v>2554</v>
      </c>
      <c r="J373" t="s">
        <v>1395</v>
      </c>
      <c r="K373" t="s">
        <v>199</v>
      </c>
      <c r="L373" s="3">
        <v>45826</v>
      </c>
      <c r="M373" s="3">
        <v>47460</v>
      </c>
      <c r="N373" t="s">
        <v>2555</v>
      </c>
      <c r="O373" s="4">
        <v>0.8</v>
      </c>
      <c r="P373">
        <v>0</v>
      </c>
      <c r="Q373">
        <v>1</v>
      </c>
    </row>
    <row r="374" spans="1:17" x14ac:dyDescent="0.3">
      <c r="A374">
        <v>17931</v>
      </c>
      <c r="B374" t="s">
        <v>2556</v>
      </c>
      <c r="C374" t="s">
        <v>2557</v>
      </c>
      <c r="D374" s="3">
        <v>25055</v>
      </c>
      <c r="E374" t="s">
        <v>1188</v>
      </c>
      <c r="F374">
        <v>53</v>
      </c>
      <c r="G374" s="3">
        <v>38390</v>
      </c>
      <c r="H374" t="s">
        <v>2558</v>
      </c>
      <c r="I374" t="s">
        <v>2559</v>
      </c>
      <c r="J374" t="s">
        <v>1214</v>
      </c>
      <c r="K374" t="s">
        <v>193</v>
      </c>
      <c r="L374" s="3">
        <v>72686</v>
      </c>
      <c r="M374" s="3">
        <v>47323</v>
      </c>
      <c r="N374" t="s">
        <v>2560</v>
      </c>
      <c r="O374" s="4">
        <v>0.5</v>
      </c>
      <c r="P374">
        <v>0</v>
      </c>
      <c r="Q374">
        <v>0</v>
      </c>
    </row>
    <row r="375" spans="1:17" x14ac:dyDescent="0.3">
      <c r="A375">
        <v>37542</v>
      </c>
      <c r="B375" t="s">
        <v>2561</v>
      </c>
      <c r="C375" t="s">
        <v>2562</v>
      </c>
      <c r="D375" s="3">
        <v>25000</v>
      </c>
      <c r="E375" t="s">
        <v>1188</v>
      </c>
      <c r="G375" s="3">
        <v>44683</v>
      </c>
      <c r="H375" t="s">
        <v>2563</v>
      </c>
      <c r="J375" t="s">
        <v>1196</v>
      </c>
      <c r="K375" t="s">
        <v>187</v>
      </c>
      <c r="L375" s="3">
        <v>46524</v>
      </c>
      <c r="M375" s="3">
        <v>46470</v>
      </c>
      <c r="N375" t="s">
        <v>2564</v>
      </c>
      <c r="O375" s="4">
        <v>1</v>
      </c>
      <c r="P375">
        <v>0</v>
      </c>
      <c r="Q375">
        <v>0</v>
      </c>
    </row>
    <row r="376" spans="1:17" x14ac:dyDescent="0.3">
      <c r="A376">
        <v>41944</v>
      </c>
      <c r="B376" t="s">
        <v>2565</v>
      </c>
      <c r="C376" t="s">
        <v>2566</v>
      </c>
      <c r="D376" s="3">
        <v>36537</v>
      </c>
      <c r="E376" t="s">
        <v>1188</v>
      </c>
      <c r="G376" s="3">
        <v>45798</v>
      </c>
      <c r="H376" t="s">
        <v>2567</v>
      </c>
      <c r="J376" t="s">
        <v>1196</v>
      </c>
      <c r="K376" t="s">
        <v>185</v>
      </c>
      <c r="L376" s="3">
        <v>1</v>
      </c>
      <c r="M376" s="3">
        <v>1</v>
      </c>
      <c r="N376" t="s">
        <v>2568</v>
      </c>
      <c r="O376" s="4">
        <v>1</v>
      </c>
      <c r="P376">
        <v>0</v>
      </c>
      <c r="Q376">
        <v>0</v>
      </c>
    </row>
    <row r="377" spans="1:17" x14ac:dyDescent="0.3">
      <c r="A377">
        <v>38938</v>
      </c>
      <c r="B377" t="s">
        <v>2569</v>
      </c>
      <c r="C377" t="s">
        <v>2570</v>
      </c>
      <c r="D377" s="3">
        <v>33351</v>
      </c>
      <c r="E377" t="s">
        <v>1188</v>
      </c>
      <c r="G377" s="3">
        <v>45061</v>
      </c>
      <c r="H377" t="s">
        <v>2571</v>
      </c>
      <c r="J377" t="s">
        <v>1196</v>
      </c>
      <c r="K377" t="s">
        <v>197</v>
      </c>
      <c r="L377" s="3">
        <v>46904</v>
      </c>
      <c r="M377" s="3">
        <v>46838</v>
      </c>
      <c r="N377" t="s">
        <v>2572</v>
      </c>
      <c r="O377" s="4">
        <v>1</v>
      </c>
      <c r="P377">
        <v>0</v>
      </c>
      <c r="Q377">
        <v>0</v>
      </c>
    </row>
    <row r="378" spans="1:17" x14ac:dyDescent="0.3">
      <c r="A378">
        <v>34312</v>
      </c>
      <c r="B378" t="s">
        <v>2573</v>
      </c>
      <c r="C378" t="s">
        <v>2574</v>
      </c>
      <c r="D378" s="3">
        <v>34089</v>
      </c>
      <c r="E378" t="s">
        <v>1188</v>
      </c>
      <c r="F378">
        <v>351</v>
      </c>
      <c r="G378" s="3">
        <v>43710</v>
      </c>
      <c r="H378" t="s">
        <v>2575</v>
      </c>
      <c r="I378">
        <v>488372246</v>
      </c>
      <c r="J378" t="s">
        <v>1229</v>
      </c>
      <c r="K378" t="s">
        <v>199</v>
      </c>
      <c r="L378" s="3">
        <v>47281</v>
      </c>
      <c r="M378" s="3">
        <v>47267</v>
      </c>
      <c r="N378" t="s">
        <v>2576</v>
      </c>
      <c r="O378" s="4">
        <v>1</v>
      </c>
      <c r="P378">
        <v>0</v>
      </c>
      <c r="Q378">
        <v>1</v>
      </c>
    </row>
    <row r="379" spans="1:17" x14ac:dyDescent="0.3">
      <c r="A379">
        <v>39013</v>
      </c>
      <c r="B379" t="s">
        <v>2577</v>
      </c>
      <c r="C379" t="s">
        <v>2578</v>
      </c>
      <c r="D379" s="3">
        <v>27937</v>
      </c>
      <c r="E379" t="s">
        <v>1188</v>
      </c>
      <c r="G379" s="3">
        <v>45076</v>
      </c>
      <c r="H379" t="s">
        <v>2579</v>
      </c>
      <c r="J379" t="s">
        <v>1196</v>
      </c>
      <c r="K379" t="s">
        <v>193</v>
      </c>
      <c r="L379" s="3">
        <v>46923</v>
      </c>
      <c r="M379" s="3">
        <v>46827</v>
      </c>
      <c r="N379" t="s">
        <v>2580</v>
      </c>
      <c r="O379" s="4">
        <v>1</v>
      </c>
      <c r="P379">
        <v>0</v>
      </c>
      <c r="Q379">
        <v>0</v>
      </c>
    </row>
    <row r="380" spans="1:17" x14ac:dyDescent="0.3">
      <c r="A380">
        <v>22877</v>
      </c>
      <c r="B380" t="s">
        <v>1248</v>
      </c>
      <c r="C380" t="s">
        <v>2581</v>
      </c>
      <c r="D380" s="3">
        <v>25777</v>
      </c>
      <c r="E380" t="s">
        <v>1188</v>
      </c>
      <c r="F380">
        <v>393</v>
      </c>
      <c r="G380" s="3">
        <v>39706</v>
      </c>
      <c r="H380" t="s">
        <v>2582</v>
      </c>
      <c r="J380" t="s">
        <v>1411</v>
      </c>
      <c r="K380" t="s">
        <v>193</v>
      </c>
      <c r="L380" s="3">
        <v>45816</v>
      </c>
      <c r="M380" s="3">
        <v>46791</v>
      </c>
      <c r="N380" t="s">
        <v>2583</v>
      </c>
      <c r="O380" s="4">
        <v>0.5</v>
      </c>
      <c r="P380">
        <v>0</v>
      </c>
      <c r="Q380">
        <v>0</v>
      </c>
    </row>
    <row r="381" spans="1:17" x14ac:dyDescent="0.3">
      <c r="A381">
        <v>18173</v>
      </c>
      <c r="B381" t="s">
        <v>2584</v>
      </c>
      <c r="C381" t="s">
        <v>2585</v>
      </c>
      <c r="D381" s="3">
        <v>29127</v>
      </c>
      <c r="E381" t="s">
        <v>1188</v>
      </c>
      <c r="F381">
        <v>580</v>
      </c>
      <c r="G381" s="3">
        <v>38481</v>
      </c>
      <c r="H381" t="s">
        <v>2586</v>
      </c>
      <c r="J381" t="s">
        <v>1299</v>
      </c>
      <c r="K381" t="s">
        <v>195</v>
      </c>
      <c r="L381" s="3">
        <v>47434</v>
      </c>
      <c r="M381" s="3">
        <v>47408</v>
      </c>
      <c r="N381" t="s">
        <v>2587</v>
      </c>
      <c r="O381" s="4">
        <v>1</v>
      </c>
      <c r="P381">
        <v>0</v>
      </c>
      <c r="Q381">
        <v>0</v>
      </c>
    </row>
    <row r="382" spans="1:17" x14ac:dyDescent="0.3">
      <c r="A382">
        <v>11213</v>
      </c>
      <c r="B382" t="s">
        <v>2588</v>
      </c>
      <c r="C382" t="s">
        <v>2589</v>
      </c>
      <c r="D382" s="3">
        <v>27019</v>
      </c>
      <c r="E382" t="s">
        <v>1188</v>
      </c>
      <c r="F382">
        <v>246</v>
      </c>
      <c r="G382" s="3">
        <v>36311</v>
      </c>
      <c r="H382" t="s">
        <v>2590</v>
      </c>
      <c r="J382" t="s">
        <v>1488</v>
      </c>
      <c r="K382" t="s">
        <v>187</v>
      </c>
      <c r="L382" s="3">
        <v>45854</v>
      </c>
      <c r="M382" s="3">
        <v>47189</v>
      </c>
      <c r="N382" t="s">
        <v>2591</v>
      </c>
      <c r="O382" s="4">
        <v>1</v>
      </c>
      <c r="P382">
        <v>0</v>
      </c>
      <c r="Q382">
        <v>1</v>
      </c>
    </row>
    <row r="383" spans="1:17" x14ac:dyDescent="0.3">
      <c r="A383">
        <v>4943</v>
      </c>
      <c r="B383" t="s">
        <v>2592</v>
      </c>
      <c r="C383" t="s">
        <v>2593</v>
      </c>
      <c r="D383" s="3">
        <v>22990</v>
      </c>
      <c r="E383" t="s">
        <v>1188</v>
      </c>
      <c r="F383">
        <v>368</v>
      </c>
      <c r="G383" s="3">
        <v>33098</v>
      </c>
      <c r="H383" t="s">
        <v>2594</v>
      </c>
      <c r="I383">
        <v>93290244</v>
      </c>
      <c r="J383" t="s">
        <v>1373</v>
      </c>
      <c r="K383" t="s">
        <v>193</v>
      </c>
      <c r="L383" s="3">
        <v>72686</v>
      </c>
      <c r="M383" s="3">
        <v>47046</v>
      </c>
      <c r="N383" t="s">
        <v>2595</v>
      </c>
      <c r="O383" s="4">
        <v>0.8</v>
      </c>
      <c r="P383">
        <v>0</v>
      </c>
      <c r="Q383">
        <v>0</v>
      </c>
    </row>
    <row r="384" spans="1:17" x14ac:dyDescent="0.3">
      <c r="A384">
        <v>37208</v>
      </c>
      <c r="B384" t="s">
        <v>2596</v>
      </c>
      <c r="C384" t="s">
        <v>2597</v>
      </c>
      <c r="D384" s="3">
        <v>33504</v>
      </c>
      <c r="E384" t="s">
        <v>1188</v>
      </c>
      <c r="G384" s="3">
        <v>44641</v>
      </c>
      <c r="H384" t="s">
        <v>2598</v>
      </c>
      <c r="J384" t="s">
        <v>1201</v>
      </c>
      <c r="K384" t="s">
        <v>195</v>
      </c>
      <c r="L384" s="3">
        <v>46482</v>
      </c>
      <c r="M384" s="3">
        <v>46364</v>
      </c>
      <c r="N384" t="s">
        <v>2599</v>
      </c>
      <c r="O384" s="4">
        <v>0.8</v>
      </c>
      <c r="P384">
        <v>0</v>
      </c>
      <c r="Q384">
        <v>0</v>
      </c>
    </row>
    <row r="385" spans="1:17" x14ac:dyDescent="0.3">
      <c r="A385">
        <v>40444</v>
      </c>
      <c r="B385" t="s">
        <v>1757</v>
      </c>
      <c r="C385" t="s">
        <v>2600</v>
      </c>
      <c r="D385" s="3">
        <v>34034</v>
      </c>
      <c r="E385" t="s">
        <v>1188</v>
      </c>
      <c r="G385" s="3">
        <v>45408</v>
      </c>
      <c r="H385" t="s">
        <v>2601</v>
      </c>
      <c r="J385" t="s">
        <v>1196</v>
      </c>
      <c r="K385" t="s">
        <v>193</v>
      </c>
      <c r="L385" s="3">
        <v>47253</v>
      </c>
      <c r="M385" s="3">
        <v>47225</v>
      </c>
      <c r="N385" t="s">
        <v>2602</v>
      </c>
      <c r="O385" s="4">
        <v>1</v>
      </c>
      <c r="P385">
        <v>0</v>
      </c>
      <c r="Q385">
        <v>0</v>
      </c>
    </row>
    <row r="386" spans="1:17" x14ac:dyDescent="0.3">
      <c r="A386">
        <v>39660</v>
      </c>
      <c r="B386" t="s">
        <v>2603</v>
      </c>
      <c r="C386" t="s">
        <v>2600</v>
      </c>
      <c r="D386" s="3">
        <v>32368</v>
      </c>
      <c r="E386" t="s">
        <v>1188</v>
      </c>
      <c r="G386" s="3">
        <v>45222</v>
      </c>
      <c r="H386" t="s">
        <v>2604</v>
      </c>
      <c r="J386" t="s">
        <v>1196</v>
      </c>
      <c r="K386" t="s">
        <v>187</v>
      </c>
      <c r="L386" s="3">
        <v>47064</v>
      </c>
      <c r="M386" s="3">
        <v>47027</v>
      </c>
      <c r="N386" t="s">
        <v>2605</v>
      </c>
      <c r="O386" s="4">
        <v>1</v>
      </c>
      <c r="P386">
        <v>0</v>
      </c>
      <c r="Q386">
        <v>0</v>
      </c>
    </row>
    <row r="387" spans="1:17" x14ac:dyDescent="0.3">
      <c r="A387">
        <v>35588</v>
      </c>
      <c r="B387" t="s">
        <v>1861</v>
      </c>
      <c r="C387" t="s">
        <v>2600</v>
      </c>
      <c r="D387" s="3">
        <v>33879</v>
      </c>
      <c r="E387" t="s">
        <v>1188</v>
      </c>
      <c r="F387">
        <v>435</v>
      </c>
      <c r="G387" s="3">
        <v>44039</v>
      </c>
      <c r="H387" t="s">
        <v>2606</v>
      </c>
      <c r="J387" t="s">
        <v>1201</v>
      </c>
      <c r="K387" t="s">
        <v>197</v>
      </c>
      <c r="L387" s="3">
        <v>45881</v>
      </c>
      <c r="M387" s="3">
        <v>45818</v>
      </c>
      <c r="N387" t="s">
        <v>2607</v>
      </c>
      <c r="O387" s="4">
        <v>1</v>
      </c>
      <c r="P387">
        <v>0</v>
      </c>
      <c r="Q387">
        <v>1</v>
      </c>
    </row>
    <row r="388" spans="1:17" x14ac:dyDescent="0.3">
      <c r="A388">
        <v>40652</v>
      </c>
      <c r="B388" t="s">
        <v>1757</v>
      </c>
      <c r="C388" t="s">
        <v>2608</v>
      </c>
      <c r="D388" s="3">
        <v>36483</v>
      </c>
      <c r="E388" t="s">
        <v>1188</v>
      </c>
      <c r="G388" s="3">
        <v>45470</v>
      </c>
      <c r="H388" t="s">
        <v>2609</v>
      </c>
      <c r="J388" t="s">
        <v>1196</v>
      </c>
      <c r="K388" t="s">
        <v>191</v>
      </c>
      <c r="L388" s="3">
        <v>47314</v>
      </c>
      <c r="M388" s="3">
        <v>47314</v>
      </c>
      <c r="N388" t="s">
        <v>2610</v>
      </c>
      <c r="O388" s="4">
        <v>1</v>
      </c>
      <c r="P388">
        <v>0</v>
      </c>
      <c r="Q388">
        <v>0</v>
      </c>
    </row>
    <row r="389" spans="1:17" x14ac:dyDescent="0.3">
      <c r="A389">
        <v>33965</v>
      </c>
      <c r="B389" t="s">
        <v>2611</v>
      </c>
      <c r="C389" t="s">
        <v>2612</v>
      </c>
      <c r="D389" s="3">
        <v>34310</v>
      </c>
      <c r="E389" t="s">
        <v>1188</v>
      </c>
      <c r="G389" s="3">
        <v>43605</v>
      </c>
      <c r="H389" t="s">
        <v>2613</v>
      </c>
      <c r="I389">
        <v>471897684</v>
      </c>
      <c r="J389" t="s">
        <v>1201</v>
      </c>
      <c r="K389" t="s">
        <v>195</v>
      </c>
      <c r="L389" s="3">
        <v>47202</v>
      </c>
      <c r="M389" s="3">
        <v>47170</v>
      </c>
      <c r="N389" t="s">
        <v>2614</v>
      </c>
      <c r="O389" s="4">
        <v>1</v>
      </c>
      <c r="P389">
        <v>0</v>
      </c>
      <c r="Q389">
        <v>0</v>
      </c>
    </row>
    <row r="390" spans="1:17" x14ac:dyDescent="0.3">
      <c r="A390">
        <v>36378</v>
      </c>
      <c r="B390" t="s">
        <v>2615</v>
      </c>
      <c r="C390" t="s">
        <v>2616</v>
      </c>
      <c r="D390" s="3">
        <v>22566</v>
      </c>
      <c r="E390" t="s">
        <v>1188</v>
      </c>
      <c r="G390" s="3">
        <v>44336</v>
      </c>
      <c r="H390" t="s">
        <v>2617</v>
      </c>
      <c r="J390" t="s">
        <v>1201</v>
      </c>
      <c r="K390" t="s">
        <v>197</v>
      </c>
      <c r="L390" s="3">
        <v>45809</v>
      </c>
      <c r="M390" s="3">
        <v>45803</v>
      </c>
      <c r="N390" t="s">
        <v>2618</v>
      </c>
      <c r="O390" s="4">
        <v>1</v>
      </c>
      <c r="P390">
        <v>0</v>
      </c>
      <c r="Q390">
        <v>1</v>
      </c>
    </row>
    <row r="391" spans="1:17" x14ac:dyDescent="0.3">
      <c r="A391">
        <v>26792</v>
      </c>
      <c r="B391" t="s">
        <v>2619</v>
      </c>
      <c r="C391" t="s">
        <v>2620</v>
      </c>
      <c r="D391" s="3">
        <v>24034</v>
      </c>
      <c r="E391" t="s">
        <v>1188</v>
      </c>
      <c r="F391">
        <v>203</v>
      </c>
      <c r="G391" s="3">
        <v>40812</v>
      </c>
      <c r="H391" t="s">
        <v>2621</v>
      </c>
      <c r="I391">
        <v>93348063</v>
      </c>
      <c r="J391" t="s">
        <v>1444</v>
      </c>
      <c r="K391" t="s">
        <v>197</v>
      </c>
      <c r="L391" s="3">
        <v>46870</v>
      </c>
      <c r="M391" s="3">
        <v>46862</v>
      </c>
      <c r="N391" t="s">
        <v>2622</v>
      </c>
      <c r="O391" s="4">
        <v>1</v>
      </c>
      <c r="P391">
        <v>0</v>
      </c>
      <c r="Q391">
        <v>0</v>
      </c>
    </row>
    <row r="392" spans="1:17" x14ac:dyDescent="0.3">
      <c r="A392">
        <v>29674</v>
      </c>
      <c r="B392" t="s">
        <v>2623</v>
      </c>
      <c r="C392" t="s">
        <v>2624</v>
      </c>
      <c r="D392" s="3">
        <v>33868</v>
      </c>
      <c r="E392" t="s">
        <v>1188</v>
      </c>
      <c r="G392" s="3">
        <v>42065</v>
      </c>
      <c r="H392" t="s">
        <v>2625</v>
      </c>
      <c r="J392" t="s">
        <v>1196</v>
      </c>
      <c r="K392" t="s">
        <v>185</v>
      </c>
      <c r="L392" s="3">
        <v>47499</v>
      </c>
      <c r="M392" s="3">
        <v>47441</v>
      </c>
      <c r="N392" t="s">
        <v>2626</v>
      </c>
      <c r="O392" s="4">
        <v>1</v>
      </c>
      <c r="P392">
        <v>0</v>
      </c>
      <c r="Q392">
        <v>0</v>
      </c>
    </row>
    <row r="393" spans="1:17" x14ac:dyDescent="0.3">
      <c r="A393">
        <v>4525</v>
      </c>
      <c r="B393" t="s">
        <v>2627</v>
      </c>
      <c r="C393" t="s">
        <v>2628</v>
      </c>
      <c r="D393" s="3">
        <v>24001</v>
      </c>
      <c r="E393" t="s">
        <v>1188</v>
      </c>
      <c r="F393">
        <v>16</v>
      </c>
      <c r="G393" s="3">
        <v>32489</v>
      </c>
      <c r="H393" t="s">
        <v>2629</v>
      </c>
      <c r="J393" t="s">
        <v>1504</v>
      </c>
      <c r="K393" t="s">
        <v>195</v>
      </c>
      <c r="L393" s="3">
        <v>47590</v>
      </c>
      <c r="M393" s="3">
        <v>46960</v>
      </c>
      <c r="N393" t="s">
        <v>2630</v>
      </c>
      <c r="O393" s="4">
        <v>0.8</v>
      </c>
      <c r="P393">
        <v>0</v>
      </c>
      <c r="Q393">
        <v>0</v>
      </c>
    </row>
    <row r="394" spans="1:17" x14ac:dyDescent="0.3">
      <c r="A394">
        <v>26638</v>
      </c>
      <c r="B394" t="s">
        <v>2631</v>
      </c>
      <c r="C394" t="s">
        <v>2628</v>
      </c>
      <c r="D394" s="3">
        <v>27001</v>
      </c>
      <c r="E394" t="s">
        <v>1188</v>
      </c>
      <c r="F394">
        <v>211</v>
      </c>
      <c r="G394" s="3">
        <v>40749</v>
      </c>
      <c r="H394" t="s">
        <v>2632</v>
      </c>
      <c r="J394" t="s">
        <v>1349</v>
      </c>
      <c r="K394" t="s">
        <v>185</v>
      </c>
      <c r="L394" s="3">
        <v>46175</v>
      </c>
      <c r="M394" s="3">
        <v>45996</v>
      </c>
      <c r="N394" t="s">
        <v>2633</v>
      </c>
      <c r="O394" s="4">
        <v>1</v>
      </c>
      <c r="P394">
        <v>0</v>
      </c>
      <c r="Q394">
        <v>0</v>
      </c>
    </row>
    <row r="395" spans="1:17" x14ac:dyDescent="0.3">
      <c r="A395">
        <v>25234</v>
      </c>
      <c r="B395" t="s">
        <v>2634</v>
      </c>
      <c r="C395" t="s">
        <v>2628</v>
      </c>
      <c r="D395" s="3">
        <v>23931</v>
      </c>
      <c r="E395" t="s">
        <v>1188</v>
      </c>
      <c r="F395">
        <v>613</v>
      </c>
      <c r="G395" s="3">
        <v>40350</v>
      </c>
      <c r="H395" t="s">
        <v>2635</v>
      </c>
      <c r="I395">
        <v>53622213</v>
      </c>
      <c r="J395" t="s">
        <v>1263</v>
      </c>
      <c r="K395" t="s">
        <v>195</v>
      </c>
      <c r="L395" s="3">
        <v>72686</v>
      </c>
      <c r="M395" s="3">
        <v>47189</v>
      </c>
      <c r="N395" t="s">
        <v>2636</v>
      </c>
      <c r="O395" s="4">
        <v>1</v>
      </c>
      <c r="P395">
        <v>0</v>
      </c>
      <c r="Q395">
        <v>0</v>
      </c>
    </row>
    <row r="396" spans="1:17" x14ac:dyDescent="0.3">
      <c r="A396">
        <v>19219</v>
      </c>
      <c r="B396" t="s">
        <v>2637</v>
      </c>
      <c r="C396" t="s">
        <v>2628</v>
      </c>
      <c r="D396" s="3">
        <v>23793</v>
      </c>
      <c r="E396" t="s">
        <v>1188</v>
      </c>
      <c r="F396">
        <v>461</v>
      </c>
      <c r="G396" s="3">
        <v>38831</v>
      </c>
      <c r="H396" t="s">
        <v>2638</v>
      </c>
      <c r="J396" t="s">
        <v>1312</v>
      </c>
      <c r="K396" t="s">
        <v>197</v>
      </c>
      <c r="L396" s="3">
        <v>47588</v>
      </c>
      <c r="M396" s="3">
        <v>47573</v>
      </c>
      <c r="N396" t="s">
        <v>2639</v>
      </c>
      <c r="O396" s="4">
        <v>1</v>
      </c>
      <c r="P396">
        <v>0</v>
      </c>
      <c r="Q396">
        <v>0</v>
      </c>
    </row>
    <row r="397" spans="1:17" x14ac:dyDescent="0.3">
      <c r="A397">
        <v>40400</v>
      </c>
      <c r="B397" t="s">
        <v>2640</v>
      </c>
      <c r="C397" t="s">
        <v>2641</v>
      </c>
      <c r="D397" s="3">
        <v>25646</v>
      </c>
      <c r="E397" t="s">
        <v>1188</v>
      </c>
      <c r="G397" s="3">
        <v>45478</v>
      </c>
      <c r="H397" t="s">
        <v>2642</v>
      </c>
      <c r="J397" t="s">
        <v>1196</v>
      </c>
      <c r="K397" t="s">
        <v>185</v>
      </c>
      <c r="L397" s="3">
        <v>46733</v>
      </c>
      <c r="M397" s="3">
        <v>46040</v>
      </c>
      <c r="N397" t="s">
        <v>2643</v>
      </c>
      <c r="O397" s="4">
        <v>1</v>
      </c>
      <c r="P397">
        <v>0</v>
      </c>
      <c r="Q397">
        <v>0</v>
      </c>
    </row>
    <row r="398" spans="1:17" x14ac:dyDescent="0.3">
      <c r="A398">
        <v>27607</v>
      </c>
      <c r="B398" t="s">
        <v>2644</v>
      </c>
      <c r="C398" t="s">
        <v>2645</v>
      </c>
      <c r="D398" s="3">
        <v>29887</v>
      </c>
      <c r="E398" t="s">
        <v>1188</v>
      </c>
      <c r="F398">
        <v>277</v>
      </c>
      <c r="G398" s="3">
        <v>41141</v>
      </c>
      <c r="H398" t="s">
        <v>2646</v>
      </c>
      <c r="J398" t="s">
        <v>1263</v>
      </c>
      <c r="K398" t="s">
        <v>195</v>
      </c>
      <c r="L398" s="3">
        <v>72686</v>
      </c>
      <c r="M398" s="3">
        <v>46621</v>
      </c>
      <c r="N398" t="s">
        <v>2647</v>
      </c>
      <c r="O398" s="4">
        <v>1</v>
      </c>
      <c r="P398">
        <v>0</v>
      </c>
      <c r="Q398">
        <v>1</v>
      </c>
    </row>
    <row r="399" spans="1:17" x14ac:dyDescent="0.3">
      <c r="A399">
        <v>36021</v>
      </c>
      <c r="B399" t="s">
        <v>2648</v>
      </c>
      <c r="C399" t="s">
        <v>2649</v>
      </c>
      <c r="D399" s="3">
        <v>33168</v>
      </c>
      <c r="E399" t="s">
        <v>1188</v>
      </c>
      <c r="F399">
        <v>308</v>
      </c>
      <c r="G399" s="3">
        <v>44151</v>
      </c>
      <c r="H399" t="s">
        <v>2650</v>
      </c>
      <c r="J399" t="s">
        <v>1196</v>
      </c>
      <c r="K399" t="s">
        <v>197</v>
      </c>
      <c r="L399" s="3">
        <v>45992</v>
      </c>
      <c r="M399" s="3">
        <v>45915</v>
      </c>
      <c r="N399" t="s">
        <v>2651</v>
      </c>
      <c r="O399" s="4">
        <v>1</v>
      </c>
      <c r="P399">
        <v>0</v>
      </c>
      <c r="Q399">
        <v>0</v>
      </c>
    </row>
    <row r="400" spans="1:17" x14ac:dyDescent="0.3">
      <c r="A400">
        <v>20610</v>
      </c>
      <c r="B400" t="s">
        <v>2652</v>
      </c>
      <c r="C400" t="s">
        <v>2649</v>
      </c>
      <c r="D400" s="3">
        <v>27176</v>
      </c>
      <c r="E400" t="s">
        <v>1188</v>
      </c>
      <c r="F400">
        <v>279</v>
      </c>
      <c r="G400" s="3">
        <v>39188</v>
      </c>
      <c r="J400" t="s">
        <v>1263</v>
      </c>
      <c r="K400" t="s">
        <v>199</v>
      </c>
      <c r="L400" s="3">
        <v>72686</v>
      </c>
      <c r="M400" s="3">
        <v>46182</v>
      </c>
      <c r="N400" t="s">
        <v>2653</v>
      </c>
      <c r="O400" s="4">
        <v>0.5</v>
      </c>
      <c r="P400">
        <v>0</v>
      </c>
      <c r="Q400">
        <v>0</v>
      </c>
    </row>
    <row r="401" spans="1:17" x14ac:dyDescent="0.3">
      <c r="A401">
        <v>25871</v>
      </c>
      <c r="B401" t="s">
        <v>2654</v>
      </c>
      <c r="C401" t="s">
        <v>2655</v>
      </c>
      <c r="D401" s="3">
        <v>29751</v>
      </c>
      <c r="E401" t="s">
        <v>1188</v>
      </c>
      <c r="F401">
        <v>617</v>
      </c>
      <c r="G401" s="3">
        <v>40525</v>
      </c>
      <c r="H401" t="s">
        <v>2656</v>
      </c>
      <c r="J401" t="s">
        <v>1307</v>
      </c>
      <c r="K401" t="s">
        <v>195</v>
      </c>
      <c r="L401" s="3">
        <v>45882</v>
      </c>
      <c r="M401" s="3">
        <v>45865</v>
      </c>
      <c r="N401" t="s">
        <v>2657</v>
      </c>
      <c r="O401" s="4">
        <v>1</v>
      </c>
      <c r="P401">
        <v>0</v>
      </c>
      <c r="Q401">
        <v>0</v>
      </c>
    </row>
    <row r="402" spans="1:17" x14ac:dyDescent="0.3">
      <c r="A402">
        <v>35471</v>
      </c>
      <c r="B402" t="s">
        <v>1549</v>
      </c>
      <c r="C402" t="s">
        <v>2658</v>
      </c>
      <c r="D402" s="3">
        <v>18345</v>
      </c>
      <c r="E402" t="s">
        <v>1188</v>
      </c>
      <c r="G402" s="3">
        <v>43993</v>
      </c>
      <c r="J402" t="s">
        <v>1751</v>
      </c>
      <c r="K402" t="s">
        <v>197</v>
      </c>
      <c r="L402" s="3">
        <v>45851</v>
      </c>
      <c r="M402" s="3">
        <v>45078</v>
      </c>
      <c r="N402" t="s">
        <v>2659</v>
      </c>
      <c r="O402" s="4">
        <v>1</v>
      </c>
      <c r="P402">
        <v>0</v>
      </c>
      <c r="Q402">
        <v>0</v>
      </c>
    </row>
    <row r="403" spans="1:17" x14ac:dyDescent="0.3">
      <c r="A403">
        <v>16895</v>
      </c>
      <c r="B403" t="s">
        <v>2660</v>
      </c>
      <c r="C403" t="s">
        <v>2658</v>
      </c>
      <c r="D403" s="3">
        <v>24194</v>
      </c>
      <c r="E403" t="s">
        <v>1188</v>
      </c>
      <c r="F403">
        <v>213</v>
      </c>
      <c r="G403" s="3">
        <v>38103</v>
      </c>
      <c r="I403">
        <v>93572904</v>
      </c>
      <c r="J403" t="s">
        <v>1214</v>
      </c>
      <c r="K403" t="s">
        <v>187</v>
      </c>
      <c r="L403" s="3">
        <v>72686</v>
      </c>
      <c r="M403" s="3">
        <v>72686</v>
      </c>
      <c r="N403" t="s">
        <v>2661</v>
      </c>
      <c r="O403" s="4">
        <v>1</v>
      </c>
      <c r="P403">
        <v>0</v>
      </c>
      <c r="Q403">
        <v>0</v>
      </c>
    </row>
    <row r="404" spans="1:17" x14ac:dyDescent="0.3">
      <c r="A404">
        <v>11236</v>
      </c>
      <c r="B404" t="s">
        <v>1617</v>
      </c>
      <c r="C404" t="s">
        <v>2658</v>
      </c>
      <c r="D404" s="3">
        <v>23283</v>
      </c>
      <c r="E404" t="s">
        <v>1188</v>
      </c>
      <c r="F404">
        <v>632</v>
      </c>
      <c r="G404" s="3">
        <v>36332</v>
      </c>
      <c r="H404" t="s">
        <v>2662</v>
      </c>
      <c r="J404" t="s">
        <v>1307</v>
      </c>
      <c r="K404" t="s">
        <v>187</v>
      </c>
      <c r="L404" s="3">
        <v>45844</v>
      </c>
      <c r="M404" s="3">
        <v>46974</v>
      </c>
      <c r="N404" t="s">
        <v>2663</v>
      </c>
      <c r="O404" s="4">
        <v>1</v>
      </c>
      <c r="P404">
        <v>0</v>
      </c>
      <c r="Q404">
        <v>0</v>
      </c>
    </row>
    <row r="405" spans="1:17" x14ac:dyDescent="0.3">
      <c r="A405">
        <v>29181</v>
      </c>
      <c r="B405" t="s">
        <v>2664</v>
      </c>
      <c r="C405" t="s">
        <v>2665</v>
      </c>
      <c r="D405" s="3">
        <v>25391</v>
      </c>
      <c r="E405" t="s">
        <v>1188</v>
      </c>
      <c r="F405">
        <v>339</v>
      </c>
      <c r="G405" s="3">
        <v>41827</v>
      </c>
      <c r="H405" t="s">
        <v>2666</v>
      </c>
      <c r="J405" t="s">
        <v>1378</v>
      </c>
      <c r="K405" t="s">
        <v>187</v>
      </c>
      <c r="L405" s="3">
        <v>47243</v>
      </c>
      <c r="M405" s="3">
        <v>47196</v>
      </c>
      <c r="N405" t="s">
        <v>2667</v>
      </c>
      <c r="O405" s="4">
        <v>1</v>
      </c>
      <c r="P405">
        <v>0</v>
      </c>
      <c r="Q405">
        <v>1</v>
      </c>
    </row>
    <row r="406" spans="1:17" x14ac:dyDescent="0.3">
      <c r="A406">
        <v>26199</v>
      </c>
      <c r="B406" t="s">
        <v>2668</v>
      </c>
      <c r="C406" t="s">
        <v>2665</v>
      </c>
      <c r="D406" s="3">
        <v>23749</v>
      </c>
      <c r="E406" t="s">
        <v>1188</v>
      </c>
      <c r="F406">
        <v>109</v>
      </c>
      <c r="G406" s="3">
        <v>40637</v>
      </c>
      <c r="H406" t="s">
        <v>2669</v>
      </c>
      <c r="I406">
        <v>92257858</v>
      </c>
      <c r="J406" t="s">
        <v>1214</v>
      </c>
      <c r="K406" t="s">
        <v>191</v>
      </c>
      <c r="L406" s="3">
        <v>72686</v>
      </c>
      <c r="M406" s="3">
        <v>46210</v>
      </c>
      <c r="N406" t="s">
        <v>2670</v>
      </c>
      <c r="O406" s="4">
        <v>0.8</v>
      </c>
      <c r="P406">
        <v>0</v>
      </c>
      <c r="Q406">
        <v>0</v>
      </c>
    </row>
    <row r="407" spans="1:17" x14ac:dyDescent="0.3">
      <c r="A407">
        <v>21581</v>
      </c>
      <c r="B407" t="s">
        <v>2671</v>
      </c>
      <c r="C407" t="s">
        <v>2665</v>
      </c>
      <c r="D407" s="3">
        <v>26100</v>
      </c>
      <c r="E407" t="s">
        <v>1188</v>
      </c>
      <c r="F407">
        <v>148</v>
      </c>
      <c r="G407" s="3">
        <v>39433</v>
      </c>
      <c r="H407" t="s">
        <v>2672</v>
      </c>
      <c r="J407" t="s">
        <v>1312</v>
      </c>
      <c r="K407" t="s">
        <v>197</v>
      </c>
      <c r="L407" s="3">
        <v>47602</v>
      </c>
      <c r="M407" s="3">
        <v>46511</v>
      </c>
      <c r="N407" t="s">
        <v>2673</v>
      </c>
      <c r="O407" s="4">
        <v>1</v>
      </c>
      <c r="P407">
        <v>0</v>
      </c>
      <c r="Q407">
        <v>0</v>
      </c>
    </row>
    <row r="408" spans="1:17" x14ac:dyDescent="0.3">
      <c r="A408">
        <v>37744</v>
      </c>
      <c r="B408" t="s">
        <v>1612</v>
      </c>
      <c r="C408" t="s">
        <v>2674</v>
      </c>
      <c r="D408" s="3">
        <v>24576</v>
      </c>
      <c r="E408" t="s">
        <v>1188</v>
      </c>
      <c r="G408" s="3">
        <v>44753</v>
      </c>
      <c r="H408" t="s">
        <v>2675</v>
      </c>
      <c r="J408" t="s">
        <v>1191</v>
      </c>
      <c r="K408" t="s">
        <v>185</v>
      </c>
      <c r="L408" s="3">
        <v>46595</v>
      </c>
      <c r="M408" s="3">
        <v>46530</v>
      </c>
      <c r="N408" t="s">
        <v>2676</v>
      </c>
      <c r="O408" s="4">
        <v>1</v>
      </c>
      <c r="P408">
        <v>0</v>
      </c>
      <c r="Q408">
        <v>0</v>
      </c>
    </row>
    <row r="409" spans="1:17" x14ac:dyDescent="0.3">
      <c r="A409">
        <v>19917</v>
      </c>
      <c r="B409" t="s">
        <v>2677</v>
      </c>
      <c r="C409" t="s">
        <v>2674</v>
      </c>
      <c r="D409" s="3">
        <v>24135</v>
      </c>
      <c r="E409" t="s">
        <v>1188</v>
      </c>
      <c r="F409">
        <v>532</v>
      </c>
      <c r="G409" s="3">
        <v>39006</v>
      </c>
      <c r="H409" t="s">
        <v>2678</v>
      </c>
      <c r="J409" t="s">
        <v>1411</v>
      </c>
      <c r="K409" t="s">
        <v>187</v>
      </c>
      <c r="L409" s="3">
        <v>47467</v>
      </c>
      <c r="M409" s="3">
        <v>46729</v>
      </c>
      <c r="N409" t="s">
        <v>2679</v>
      </c>
      <c r="O409" s="4">
        <v>1</v>
      </c>
      <c r="P409">
        <v>0</v>
      </c>
      <c r="Q409">
        <v>0</v>
      </c>
    </row>
    <row r="410" spans="1:17" x14ac:dyDescent="0.3">
      <c r="A410">
        <v>15412</v>
      </c>
      <c r="B410" t="s">
        <v>2680</v>
      </c>
      <c r="C410" t="s">
        <v>2674</v>
      </c>
      <c r="D410" s="3">
        <v>24476</v>
      </c>
      <c r="E410" t="s">
        <v>1188</v>
      </c>
      <c r="F410">
        <v>503</v>
      </c>
      <c r="G410" s="3">
        <v>37634</v>
      </c>
      <c r="H410" t="s">
        <v>2681</v>
      </c>
      <c r="J410" t="s">
        <v>1307</v>
      </c>
      <c r="K410" t="s">
        <v>187</v>
      </c>
      <c r="L410" s="3">
        <v>45810</v>
      </c>
      <c r="M410" s="3">
        <v>46530</v>
      </c>
      <c r="N410" t="s">
        <v>2682</v>
      </c>
      <c r="O410" s="4">
        <v>0.8</v>
      </c>
      <c r="P410">
        <v>0</v>
      </c>
      <c r="Q410">
        <v>0</v>
      </c>
    </row>
    <row r="411" spans="1:17" x14ac:dyDescent="0.3">
      <c r="A411">
        <v>40278</v>
      </c>
      <c r="B411" t="s">
        <v>2683</v>
      </c>
      <c r="C411" t="s">
        <v>2684</v>
      </c>
      <c r="D411" s="3">
        <v>30353</v>
      </c>
      <c r="E411" t="s">
        <v>1188</v>
      </c>
      <c r="G411" s="3">
        <v>45378</v>
      </c>
      <c r="H411" t="s">
        <v>2685</v>
      </c>
      <c r="J411" t="s">
        <v>1196</v>
      </c>
      <c r="K411" t="s">
        <v>189</v>
      </c>
      <c r="L411" s="3">
        <v>47229</v>
      </c>
      <c r="M411" s="3">
        <v>47167</v>
      </c>
      <c r="N411" t="s">
        <v>2686</v>
      </c>
      <c r="O411" s="4">
        <v>1</v>
      </c>
      <c r="P411">
        <v>0</v>
      </c>
      <c r="Q411">
        <v>0</v>
      </c>
    </row>
    <row r="412" spans="1:17" x14ac:dyDescent="0.3">
      <c r="A412">
        <v>29271</v>
      </c>
      <c r="B412" t="s">
        <v>1345</v>
      </c>
      <c r="C412" t="s">
        <v>2687</v>
      </c>
      <c r="D412" s="3">
        <v>29005</v>
      </c>
      <c r="E412" t="s">
        <v>1188</v>
      </c>
      <c r="F412">
        <v>298</v>
      </c>
      <c r="G412" s="3">
        <v>41855</v>
      </c>
      <c r="H412" t="s">
        <v>2688</v>
      </c>
      <c r="J412" t="s">
        <v>1411</v>
      </c>
      <c r="K412" t="s">
        <v>193</v>
      </c>
      <c r="L412" s="3">
        <v>47205</v>
      </c>
      <c r="M412" s="3">
        <v>47195</v>
      </c>
      <c r="N412" t="s">
        <v>2689</v>
      </c>
      <c r="O412" s="4">
        <v>1</v>
      </c>
      <c r="P412">
        <v>0</v>
      </c>
      <c r="Q412">
        <v>0</v>
      </c>
    </row>
    <row r="413" spans="1:17" x14ac:dyDescent="0.3">
      <c r="A413">
        <v>18051</v>
      </c>
      <c r="B413" t="s">
        <v>2690</v>
      </c>
      <c r="C413" t="s">
        <v>2687</v>
      </c>
      <c r="D413" s="3">
        <v>24058</v>
      </c>
      <c r="E413" t="s">
        <v>1188</v>
      </c>
      <c r="F413">
        <v>76</v>
      </c>
      <c r="G413" s="3">
        <v>38446</v>
      </c>
      <c r="H413" t="s">
        <v>2691</v>
      </c>
      <c r="I413">
        <v>92783143</v>
      </c>
      <c r="J413" t="s">
        <v>1504</v>
      </c>
      <c r="K413" t="s">
        <v>189</v>
      </c>
      <c r="L413" s="3">
        <v>45983</v>
      </c>
      <c r="M413" s="3">
        <v>45936</v>
      </c>
      <c r="N413" t="s">
        <v>2692</v>
      </c>
      <c r="O413" s="4">
        <v>0.8</v>
      </c>
      <c r="P413">
        <v>0</v>
      </c>
      <c r="Q413">
        <v>0</v>
      </c>
    </row>
    <row r="414" spans="1:17" x14ac:dyDescent="0.3">
      <c r="A414">
        <v>15320</v>
      </c>
      <c r="B414" t="s">
        <v>1999</v>
      </c>
      <c r="C414" t="s">
        <v>2687</v>
      </c>
      <c r="D414" s="3">
        <v>28129</v>
      </c>
      <c r="E414" t="s">
        <v>1188</v>
      </c>
      <c r="F414">
        <v>561</v>
      </c>
      <c r="G414" s="3">
        <v>37585</v>
      </c>
      <c r="H414" t="s">
        <v>2693</v>
      </c>
      <c r="J414" t="s">
        <v>1444</v>
      </c>
      <c r="K414" t="s">
        <v>191</v>
      </c>
      <c r="L414" s="3">
        <v>45851</v>
      </c>
      <c r="M414" s="3">
        <v>46511</v>
      </c>
      <c r="N414" t="s">
        <v>2694</v>
      </c>
      <c r="O414" s="4">
        <v>1</v>
      </c>
      <c r="P414">
        <v>0</v>
      </c>
      <c r="Q414">
        <v>0</v>
      </c>
    </row>
    <row r="415" spans="1:17" x14ac:dyDescent="0.3">
      <c r="A415">
        <v>41710</v>
      </c>
      <c r="B415" t="s">
        <v>1938</v>
      </c>
      <c r="C415" t="s">
        <v>2695</v>
      </c>
      <c r="D415" s="3">
        <v>25405</v>
      </c>
      <c r="E415" t="s">
        <v>1188</v>
      </c>
      <c r="G415" s="3">
        <v>45735</v>
      </c>
      <c r="H415" t="s">
        <v>2696</v>
      </c>
      <c r="J415" t="s">
        <v>1196</v>
      </c>
      <c r="K415" t="s">
        <v>191</v>
      </c>
      <c r="L415" s="3">
        <v>47581</v>
      </c>
      <c r="M415" s="3">
        <v>46817</v>
      </c>
      <c r="N415" t="s">
        <v>2697</v>
      </c>
      <c r="O415" s="4">
        <v>1</v>
      </c>
      <c r="P415">
        <v>0</v>
      </c>
      <c r="Q415">
        <v>0</v>
      </c>
    </row>
    <row r="416" spans="1:17" x14ac:dyDescent="0.3">
      <c r="A416">
        <v>31360</v>
      </c>
      <c r="B416" t="s">
        <v>2474</v>
      </c>
      <c r="C416" t="s">
        <v>2698</v>
      </c>
      <c r="D416" s="3">
        <v>34227</v>
      </c>
      <c r="E416" t="s">
        <v>1188</v>
      </c>
      <c r="F416">
        <v>229</v>
      </c>
      <c r="G416" s="3">
        <v>42744</v>
      </c>
      <c r="H416" t="s">
        <v>2699</v>
      </c>
      <c r="J416" t="s">
        <v>1366</v>
      </c>
      <c r="K416" t="s">
        <v>185</v>
      </c>
      <c r="L416" s="3">
        <v>46279</v>
      </c>
      <c r="M416" s="3">
        <v>46201</v>
      </c>
      <c r="N416" t="s">
        <v>2700</v>
      </c>
      <c r="O416" s="4">
        <v>1</v>
      </c>
      <c r="P416">
        <v>0</v>
      </c>
      <c r="Q416">
        <v>0</v>
      </c>
    </row>
    <row r="417" spans="1:17" x14ac:dyDescent="0.3">
      <c r="A417">
        <v>30967</v>
      </c>
      <c r="B417" t="s">
        <v>2701</v>
      </c>
      <c r="C417" t="s">
        <v>2698</v>
      </c>
      <c r="D417" s="3">
        <v>29408</v>
      </c>
      <c r="E417" t="s">
        <v>1188</v>
      </c>
      <c r="F417">
        <v>128</v>
      </c>
      <c r="G417" s="3">
        <v>42548</v>
      </c>
      <c r="H417" t="s">
        <v>2702</v>
      </c>
      <c r="J417" t="s">
        <v>1444</v>
      </c>
      <c r="K417" t="s">
        <v>185</v>
      </c>
      <c r="L417" s="3">
        <v>46207</v>
      </c>
      <c r="M417" s="3">
        <v>45935</v>
      </c>
      <c r="N417" t="s">
        <v>2703</v>
      </c>
      <c r="O417" s="4">
        <v>1</v>
      </c>
      <c r="P417">
        <v>0</v>
      </c>
      <c r="Q417">
        <v>1</v>
      </c>
    </row>
    <row r="418" spans="1:17" x14ac:dyDescent="0.3">
      <c r="A418">
        <v>27186</v>
      </c>
      <c r="B418" t="s">
        <v>2704</v>
      </c>
      <c r="C418" t="s">
        <v>2705</v>
      </c>
      <c r="D418" s="3">
        <v>27314</v>
      </c>
      <c r="E418" t="s">
        <v>1188</v>
      </c>
      <c r="G418" s="3">
        <v>40959</v>
      </c>
      <c r="H418" t="s">
        <v>2706</v>
      </c>
      <c r="J418" t="s">
        <v>1196</v>
      </c>
      <c r="K418" t="s">
        <v>189</v>
      </c>
      <c r="L418" s="3">
        <v>46272</v>
      </c>
      <c r="M418" s="3">
        <v>46266</v>
      </c>
      <c r="N418" t="s">
        <v>2707</v>
      </c>
      <c r="O418" s="4">
        <v>1</v>
      </c>
      <c r="P418">
        <v>0</v>
      </c>
      <c r="Q418">
        <v>0</v>
      </c>
    </row>
    <row r="419" spans="1:17" x14ac:dyDescent="0.3">
      <c r="A419">
        <v>29821</v>
      </c>
      <c r="B419" t="s">
        <v>2708</v>
      </c>
      <c r="C419" t="s">
        <v>2709</v>
      </c>
      <c r="D419" s="3">
        <v>24617</v>
      </c>
      <c r="E419" t="s">
        <v>1188</v>
      </c>
      <c r="F419">
        <v>346</v>
      </c>
      <c r="G419" s="3">
        <v>42121</v>
      </c>
      <c r="H419" t="s">
        <v>2710</v>
      </c>
      <c r="I419">
        <v>0</v>
      </c>
      <c r="J419" t="s">
        <v>1242</v>
      </c>
      <c r="K419" t="s">
        <v>185</v>
      </c>
      <c r="L419" s="3">
        <v>47614</v>
      </c>
      <c r="M419" s="3">
        <v>47195</v>
      </c>
      <c r="N419" t="s">
        <v>2711</v>
      </c>
      <c r="O419" s="4">
        <v>1</v>
      </c>
      <c r="P419">
        <v>0</v>
      </c>
      <c r="Q419">
        <v>1</v>
      </c>
    </row>
    <row r="420" spans="1:17" x14ac:dyDescent="0.3">
      <c r="A420">
        <v>6067</v>
      </c>
      <c r="B420" t="s">
        <v>2712</v>
      </c>
      <c r="C420" t="s">
        <v>2713</v>
      </c>
      <c r="D420" s="3">
        <v>25610</v>
      </c>
      <c r="E420" t="s">
        <v>1188</v>
      </c>
      <c r="F420">
        <v>467</v>
      </c>
      <c r="G420" s="3">
        <v>33848</v>
      </c>
      <c r="H420" t="s">
        <v>2714</v>
      </c>
      <c r="J420" t="s">
        <v>1312</v>
      </c>
      <c r="K420" t="s">
        <v>197</v>
      </c>
      <c r="L420" s="3">
        <v>45894</v>
      </c>
      <c r="M420" s="3">
        <v>46152</v>
      </c>
      <c r="N420" t="s">
        <v>2715</v>
      </c>
      <c r="O420" s="4">
        <v>0</v>
      </c>
      <c r="P420">
        <v>0</v>
      </c>
      <c r="Q420">
        <v>0</v>
      </c>
    </row>
    <row r="421" spans="1:17" x14ac:dyDescent="0.3">
      <c r="A421">
        <v>38931</v>
      </c>
      <c r="B421" t="s">
        <v>2716</v>
      </c>
      <c r="C421" t="s">
        <v>2717</v>
      </c>
      <c r="D421" s="3">
        <v>36438</v>
      </c>
      <c r="E421" t="s">
        <v>1188</v>
      </c>
      <c r="G421" s="3">
        <v>45040</v>
      </c>
      <c r="H421" t="s">
        <v>2718</v>
      </c>
      <c r="J421" t="s">
        <v>1196</v>
      </c>
      <c r="K421" t="s">
        <v>187</v>
      </c>
      <c r="L421" s="3">
        <v>46882</v>
      </c>
      <c r="M421" s="3">
        <v>46842</v>
      </c>
      <c r="N421" t="s">
        <v>2719</v>
      </c>
      <c r="O421" s="4">
        <v>1</v>
      </c>
      <c r="P421">
        <v>0</v>
      </c>
      <c r="Q421">
        <v>0</v>
      </c>
    </row>
    <row r="422" spans="1:17" x14ac:dyDescent="0.3">
      <c r="A422">
        <v>40393</v>
      </c>
      <c r="B422" t="s">
        <v>2720</v>
      </c>
      <c r="C422" t="s">
        <v>2721</v>
      </c>
      <c r="D422" s="3">
        <v>35772</v>
      </c>
      <c r="E422" t="s">
        <v>1188</v>
      </c>
      <c r="G422" s="3">
        <v>45408</v>
      </c>
      <c r="H422" t="s">
        <v>2722</v>
      </c>
      <c r="J422" t="s">
        <v>1234</v>
      </c>
      <c r="K422" t="s">
        <v>185</v>
      </c>
      <c r="L422" s="3">
        <v>47258</v>
      </c>
      <c r="M422" s="3">
        <v>47204</v>
      </c>
      <c r="N422" t="s">
        <v>2723</v>
      </c>
      <c r="O422" s="4">
        <v>1</v>
      </c>
      <c r="P422">
        <v>0</v>
      </c>
      <c r="Q422">
        <v>0</v>
      </c>
    </row>
    <row r="423" spans="1:17" x14ac:dyDescent="0.3">
      <c r="A423">
        <v>37132</v>
      </c>
      <c r="B423" t="s">
        <v>2724</v>
      </c>
      <c r="C423" t="s">
        <v>2725</v>
      </c>
      <c r="D423" s="3">
        <v>34746</v>
      </c>
      <c r="E423" t="s">
        <v>1188</v>
      </c>
      <c r="G423" s="3">
        <v>44599</v>
      </c>
      <c r="H423" t="s">
        <v>2726</v>
      </c>
      <c r="J423" t="s">
        <v>1196</v>
      </c>
      <c r="K423" t="s">
        <v>185</v>
      </c>
      <c r="L423" s="3">
        <v>46439</v>
      </c>
      <c r="M423" s="3">
        <v>46320</v>
      </c>
      <c r="N423" t="s">
        <v>2727</v>
      </c>
      <c r="O423" s="4">
        <v>1</v>
      </c>
      <c r="P423">
        <v>0</v>
      </c>
      <c r="Q423">
        <v>0</v>
      </c>
    </row>
    <row r="424" spans="1:17" x14ac:dyDescent="0.3">
      <c r="A424">
        <v>16545</v>
      </c>
      <c r="B424" t="s">
        <v>2728</v>
      </c>
      <c r="C424" t="s">
        <v>2729</v>
      </c>
      <c r="D424" s="3">
        <v>24848</v>
      </c>
      <c r="E424" t="s">
        <v>1188</v>
      </c>
      <c r="F424">
        <v>535</v>
      </c>
      <c r="G424" s="3">
        <v>37991</v>
      </c>
      <c r="H424" t="s">
        <v>2730</v>
      </c>
      <c r="I424">
        <v>93557570</v>
      </c>
      <c r="J424" t="s">
        <v>1307</v>
      </c>
      <c r="K424" t="s">
        <v>187</v>
      </c>
      <c r="L424" s="3">
        <v>46889</v>
      </c>
      <c r="M424" s="3">
        <v>46882</v>
      </c>
      <c r="N424" t="s">
        <v>2731</v>
      </c>
      <c r="O424" s="4">
        <v>1</v>
      </c>
      <c r="P424">
        <v>0</v>
      </c>
      <c r="Q424">
        <v>0</v>
      </c>
    </row>
    <row r="425" spans="1:17" x14ac:dyDescent="0.3">
      <c r="A425">
        <v>4764</v>
      </c>
      <c r="B425" t="s">
        <v>2732</v>
      </c>
      <c r="C425" t="s">
        <v>2733</v>
      </c>
      <c r="D425" s="3">
        <v>24539</v>
      </c>
      <c r="E425" t="s">
        <v>1188</v>
      </c>
      <c r="F425">
        <v>539</v>
      </c>
      <c r="G425" s="3">
        <v>32924</v>
      </c>
      <c r="H425" t="s">
        <v>2734</v>
      </c>
      <c r="J425" t="s">
        <v>1307</v>
      </c>
      <c r="K425" t="s">
        <v>187</v>
      </c>
      <c r="L425" s="3">
        <v>45943</v>
      </c>
      <c r="M425" s="3">
        <v>46637</v>
      </c>
      <c r="N425" t="s">
        <v>2735</v>
      </c>
      <c r="O425" s="4">
        <v>0.8</v>
      </c>
      <c r="P425">
        <v>0</v>
      </c>
      <c r="Q425">
        <v>0</v>
      </c>
    </row>
    <row r="426" spans="1:17" x14ac:dyDescent="0.3">
      <c r="A426">
        <v>20476</v>
      </c>
      <c r="B426" t="s">
        <v>2736</v>
      </c>
      <c r="C426" t="s">
        <v>2733</v>
      </c>
      <c r="D426" s="3">
        <v>30153</v>
      </c>
      <c r="E426" t="s">
        <v>1442</v>
      </c>
      <c r="F426">
        <v>83</v>
      </c>
      <c r="G426" s="3">
        <v>39160</v>
      </c>
      <c r="H426" t="s">
        <v>2737</v>
      </c>
      <c r="J426" t="s">
        <v>1290</v>
      </c>
      <c r="K426" t="s">
        <v>185</v>
      </c>
      <c r="L426" s="3">
        <v>72686</v>
      </c>
      <c r="M426" s="3">
        <v>46838</v>
      </c>
      <c r="N426" t="s">
        <v>2738</v>
      </c>
      <c r="O426" s="4">
        <v>1</v>
      </c>
      <c r="P426">
        <v>0</v>
      </c>
      <c r="Q426">
        <v>0</v>
      </c>
    </row>
    <row r="427" spans="1:17" x14ac:dyDescent="0.3">
      <c r="A427">
        <v>9824</v>
      </c>
      <c r="B427" t="s">
        <v>2198</v>
      </c>
      <c r="C427" t="s">
        <v>2739</v>
      </c>
      <c r="D427" s="3">
        <v>23784</v>
      </c>
      <c r="E427" t="s">
        <v>1188</v>
      </c>
      <c r="F427">
        <v>192</v>
      </c>
      <c r="G427" s="3">
        <v>35723</v>
      </c>
      <c r="H427" t="s">
        <v>2740</v>
      </c>
      <c r="J427" t="s">
        <v>1290</v>
      </c>
      <c r="K427" t="s">
        <v>199</v>
      </c>
      <c r="L427" s="3">
        <v>72686</v>
      </c>
      <c r="M427" s="3">
        <v>46236</v>
      </c>
      <c r="N427" t="s">
        <v>2741</v>
      </c>
      <c r="O427" s="4">
        <v>1</v>
      </c>
      <c r="P427">
        <v>0</v>
      </c>
      <c r="Q427">
        <v>1</v>
      </c>
    </row>
    <row r="428" spans="1:17" x14ac:dyDescent="0.3">
      <c r="A428">
        <v>40421</v>
      </c>
      <c r="B428" t="s">
        <v>2742</v>
      </c>
      <c r="C428" t="s">
        <v>2739</v>
      </c>
      <c r="D428" s="3">
        <v>20536</v>
      </c>
      <c r="E428" t="s">
        <v>1188</v>
      </c>
      <c r="G428" s="3">
        <v>45407</v>
      </c>
      <c r="J428" t="s">
        <v>1751</v>
      </c>
      <c r="K428" t="s">
        <v>197</v>
      </c>
      <c r="L428" s="3">
        <v>1</v>
      </c>
      <c r="M428" s="3">
        <v>1</v>
      </c>
      <c r="N428" t="s">
        <v>2743</v>
      </c>
      <c r="O428" s="4">
        <v>1</v>
      </c>
      <c r="P428">
        <v>0</v>
      </c>
      <c r="Q428">
        <v>0</v>
      </c>
    </row>
    <row r="429" spans="1:17" x14ac:dyDescent="0.3">
      <c r="A429">
        <v>35187</v>
      </c>
      <c r="B429" t="s">
        <v>2744</v>
      </c>
      <c r="C429" t="s">
        <v>2739</v>
      </c>
      <c r="D429" s="3">
        <v>19500</v>
      </c>
      <c r="E429" t="s">
        <v>1188</v>
      </c>
      <c r="G429" s="3">
        <v>43891</v>
      </c>
      <c r="H429" t="s">
        <v>2745</v>
      </c>
      <c r="J429" t="s">
        <v>1751</v>
      </c>
      <c r="K429" t="s">
        <v>197</v>
      </c>
      <c r="L429" s="3">
        <v>1</v>
      </c>
      <c r="M429" s="3">
        <v>1</v>
      </c>
      <c r="N429" t="s">
        <v>2746</v>
      </c>
      <c r="O429" s="4">
        <v>1</v>
      </c>
      <c r="P429">
        <v>0</v>
      </c>
      <c r="Q429">
        <v>0</v>
      </c>
    </row>
    <row r="430" spans="1:17" x14ac:dyDescent="0.3">
      <c r="A430">
        <v>32091</v>
      </c>
      <c r="B430" t="s">
        <v>2747</v>
      </c>
      <c r="C430" t="s">
        <v>2748</v>
      </c>
      <c r="D430" s="3">
        <v>29257</v>
      </c>
      <c r="E430" t="s">
        <v>1188</v>
      </c>
      <c r="F430">
        <v>69</v>
      </c>
      <c r="G430" s="3">
        <v>43003</v>
      </c>
      <c r="H430" t="s">
        <v>2749</v>
      </c>
      <c r="I430">
        <v>474517590</v>
      </c>
      <c r="J430" t="s">
        <v>1229</v>
      </c>
      <c r="K430" t="s">
        <v>195</v>
      </c>
      <c r="L430" s="3">
        <v>46610</v>
      </c>
      <c r="M430" s="3">
        <v>46565</v>
      </c>
      <c r="N430" t="s">
        <v>2750</v>
      </c>
      <c r="O430" s="4">
        <v>1</v>
      </c>
      <c r="P430">
        <v>0</v>
      </c>
      <c r="Q430">
        <v>1</v>
      </c>
    </row>
    <row r="431" spans="1:17" x14ac:dyDescent="0.3">
      <c r="A431">
        <v>20542</v>
      </c>
      <c r="B431" t="s">
        <v>2751</v>
      </c>
      <c r="C431" t="s">
        <v>2752</v>
      </c>
      <c r="D431" s="3">
        <v>31215</v>
      </c>
      <c r="E431" t="s">
        <v>1188</v>
      </c>
      <c r="F431">
        <v>267</v>
      </c>
      <c r="G431" s="3">
        <v>39174</v>
      </c>
      <c r="H431" t="s">
        <v>2753</v>
      </c>
      <c r="J431" t="s">
        <v>1191</v>
      </c>
      <c r="K431" t="s">
        <v>193</v>
      </c>
      <c r="L431" s="3">
        <v>46187</v>
      </c>
      <c r="M431" s="3">
        <v>46274</v>
      </c>
      <c r="N431" t="s">
        <v>2754</v>
      </c>
      <c r="O431" s="4">
        <v>0.8</v>
      </c>
      <c r="P431">
        <v>0</v>
      </c>
      <c r="Q431">
        <v>0</v>
      </c>
    </row>
    <row r="432" spans="1:17" x14ac:dyDescent="0.3">
      <c r="A432">
        <v>28821</v>
      </c>
      <c r="B432" t="s">
        <v>2755</v>
      </c>
      <c r="C432" t="s">
        <v>2756</v>
      </c>
      <c r="D432" s="3">
        <v>27974</v>
      </c>
      <c r="E432" t="s">
        <v>1188</v>
      </c>
      <c r="F432">
        <v>652</v>
      </c>
      <c r="G432" s="3">
        <v>41708</v>
      </c>
      <c r="H432" t="s">
        <v>2757</v>
      </c>
      <c r="J432" t="s">
        <v>1411</v>
      </c>
      <c r="K432" t="s">
        <v>187</v>
      </c>
      <c r="L432" s="3">
        <v>45846</v>
      </c>
      <c r="M432" s="3">
        <v>46974</v>
      </c>
      <c r="N432" t="s">
        <v>2758</v>
      </c>
      <c r="O432" s="4">
        <v>0.6</v>
      </c>
      <c r="P432">
        <v>0</v>
      </c>
      <c r="Q432">
        <v>0</v>
      </c>
    </row>
    <row r="433" spans="1:17" x14ac:dyDescent="0.3">
      <c r="A433">
        <v>28717</v>
      </c>
      <c r="B433" t="s">
        <v>2482</v>
      </c>
      <c r="C433" t="s">
        <v>2756</v>
      </c>
      <c r="D433" s="3">
        <v>27229</v>
      </c>
      <c r="E433" t="s">
        <v>1188</v>
      </c>
      <c r="F433">
        <v>25</v>
      </c>
      <c r="G433" s="3">
        <v>41659</v>
      </c>
      <c r="H433" t="s">
        <v>2759</v>
      </c>
      <c r="J433" t="s">
        <v>1220</v>
      </c>
      <c r="K433" t="s">
        <v>197</v>
      </c>
      <c r="L433" s="3">
        <v>46859</v>
      </c>
      <c r="M433" s="3">
        <v>46853</v>
      </c>
      <c r="N433" t="s">
        <v>2760</v>
      </c>
      <c r="O433" s="4">
        <v>1</v>
      </c>
      <c r="P433">
        <v>0</v>
      </c>
      <c r="Q433">
        <v>0</v>
      </c>
    </row>
    <row r="434" spans="1:17" x14ac:dyDescent="0.3">
      <c r="A434">
        <v>39858</v>
      </c>
      <c r="B434" t="s">
        <v>2761</v>
      </c>
      <c r="C434" t="s">
        <v>2762</v>
      </c>
      <c r="D434" s="3">
        <v>36686</v>
      </c>
      <c r="E434" t="s">
        <v>1188</v>
      </c>
      <c r="G434" s="3">
        <v>45264</v>
      </c>
      <c r="H434" t="s">
        <v>2763</v>
      </c>
      <c r="J434" t="s">
        <v>1196</v>
      </c>
      <c r="K434" t="s">
        <v>193</v>
      </c>
      <c r="L434" s="3">
        <v>47107</v>
      </c>
      <c r="M434" s="3">
        <v>47072</v>
      </c>
      <c r="N434" t="s">
        <v>2764</v>
      </c>
      <c r="O434" s="4">
        <v>0.5</v>
      </c>
      <c r="P434">
        <v>1</v>
      </c>
      <c r="Q434">
        <v>0</v>
      </c>
    </row>
    <row r="435" spans="1:17" x14ac:dyDescent="0.3">
      <c r="A435">
        <v>36358</v>
      </c>
      <c r="B435" t="s">
        <v>2765</v>
      </c>
      <c r="C435" t="s">
        <v>2766</v>
      </c>
      <c r="D435" s="3">
        <v>36236</v>
      </c>
      <c r="E435" t="s">
        <v>1188</v>
      </c>
      <c r="G435" s="3">
        <v>44270</v>
      </c>
      <c r="H435" t="s">
        <v>2767</v>
      </c>
      <c r="J435" t="s">
        <v>1196</v>
      </c>
      <c r="K435" t="s">
        <v>193</v>
      </c>
      <c r="L435" s="3">
        <v>46112</v>
      </c>
      <c r="M435" s="3">
        <v>46064</v>
      </c>
      <c r="N435" t="s">
        <v>2768</v>
      </c>
      <c r="O435" s="4">
        <v>1</v>
      </c>
      <c r="P435">
        <v>0</v>
      </c>
      <c r="Q435">
        <v>1</v>
      </c>
    </row>
    <row r="436" spans="1:17" x14ac:dyDescent="0.3">
      <c r="A436">
        <v>21809</v>
      </c>
      <c r="B436" t="s">
        <v>2305</v>
      </c>
      <c r="C436" t="s">
        <v>2769</v>
      </c>
      <c r="D436" s="3">
        <v>29830</v>
      </c>
      <c r="E436" t="s">
        <v>1188</v>
      </c>
      <c r="F436">
        <v>438</v>
      </c>
      <c r="G436" s="3">
        <v>39496</v>
      </c>
      <c r="H436" t="s">
        <v>2770</v>
      </c>
      <c r="J436" t="s">
        <v>1242</v>
      </c>
      <c r="K436" t="s">
        <v>193</v>
      </c>
      <c r="L436" s="3">
        <v>47454</v>
      </c>
      <c r="M436" s="3">
        <v>47272</v>
      </c>
      <c r="N436" t="s">
        <v>2771</v>
      </c>
      <c r="O436" s="4">
        <v>0.8</v>
      </c>
      <c r="P436">
        <v>0</v>
      </c>
      <c r="Q436">
        <v>1</v>
      </c>
    </row>
    <row r="437" spans="1:17" x14ac:dyDescent="0.3">
      <c r="A437">
        <v>32620</v>
      </c>
      <c r="B437" t="s">
        <v>2772</v>
      </c>
      <c r="C437" t="s">
        <v>2773</v>
      </c>
      <c r="D437" s="3">
        <v>35347</v>
      </c>
      <c r="E437" t="s">
        <v>1188</v>
      </c>
      <c r="F437">
        <v>296</v>
      </c>
      <c r="G437" s="3">
        <v>43193</v>
      </c>
      <c r="H437" t="s">
        <v>2774</v>
      </c>
      <c r="J437" t="s">
        <v>1263</v>
      </c>
      <c r="K437" t="s">
        <v>191</v>
      </c>
      <c r="L437" s="3">
        <v>46856</v>
      </c>
      <c r="M437" s="3">
        <v>45944</v>
      </c>
      <c r="N437" t="s">
        <v>2775</v>
      </c>
      <c r="O437" s="4">
        <v>1</v>
      </c>
      <c r="P437">
        <v>0</v>
      </c>
      <c r="Q437">
        <v>1</v>
      </c>
    </row>
    <row r="438" spans="1:17" x14ac:dyDescent="0.3">
      <c r="A438">
        <v>4419</v>
      </c>
      <c r="B438" t="s">
        <v>2776</v>
      </c>
      <c r="C438" t="s">
        <v>2777</v>
      </c>
      <c r="D438" s="3">
        <v>23958</v>
      </c>
      <c r="E438" t="s">
        <v>1188</v>
      </c>
      <c r="F438">
        <v>446</v>
      </c>
      <c r="G438" s="3">
        <v>32223</v>
      </c>
      <c r="H438" t="s">
        <v>2778</v>
      </c>
      <c r="I438">
        <v>93365628</v>
      </c>
      <c r="J438" t="s">
        <v>1312</v>
      </c>
      <c r="K438" t="s">
        <v>197</v>
      </c>
      <c r="L438" s="3">
        <v>46863</v>
      </c>
      <c r="M438" s="3">
        <v>46838</v>
      </c>
      <c r="N438" t="s">
        <v>2779</v>
      </c>
      <c r="O438" s="4">
        <v>0.8</v>
      </c>
      <c r="P438">
        <v>0</v>
      </c>
      <c r="Q438">
        <v>0</v>
      </c>
    </row>
    <row r="439" spans="1:17" x14ac:dyDescent="0.3">
      <c r="A439">
        <v>37609</v>
      </c>
      <c r="B439" t="s">
        <v>2780</v>
      </c>
      <c r="C439" t="s">
        <v>2781</v>
      </c>
      <c r="D439" s="3">
        <v>34406</v>
      </c>
      <c r="E439" t="s">
        <v>1188</v>
      </c>
      <c r="G439" s="3">
        <v>44704</v>
      </c>
      <c r="H439" t="s">
        <v>2782</v>
      </c>
      <c r="J439" t="s">
        <v>1196</v>
      </c>
      <c r="K439" t="s">
        <v>195</v>
      </c>
      <c r="L439" s="3">
        <v>46547</v>
      </c>
      <c r="M439" s="3">
        <v>46497</v>
      </c>
      <c r="N439" t="s">
        <v>2783</v>
      </c>
      <c r="O439" s="4">
        <v>1</v>
      </c>
      <c r="P439">
        <v>0</v>
      </c>
      <c r="Q439">
        <v>0</v>
      </c>
    </row>
    <row r="440" spans="1:17" x14ac:dyDescent="0.3">
      <c r="A440">
        <v>31231</v>
      </c>
      <c r="B440" t="s">
        <v>2784</v>
      </c>
      <c r="C440" t="s">
        <v>2781</v>
      </c>
      <c r="D440" s="3">
        <v>34747</v>
      </c>
      <c r="E440" t="s">
        <v>1188</v>
      </c>
      <c r="F440">
        <v>89</v>
      </c>
      <c r="G440" s="3">
        <v>42674</v>
      </c>
      <c r="H440" t="s">
        <v>2785</v>
      </c>
      <c r="J440" t="s">
        <v>1196</v>
      </c>
      <c r="K440" t="s">
        <v>191</v>
      </c>
      <c r="L440" s="3">
        <v>46263</v>
      </c>
      <c r="M440" s="3">
        <v>46210</v>
      </c>
      <c r="N440" t="s">
        <v>2786</v>
      </c>
      <c r="O440" s="4">
        <v>1</v>
      </c>
      <c r="P440">
        <v>0</v>
      </c>
      <c r="Q440">
        <v>0</v>
      </c>
    </row>
    <row r="441" spans="1:17" x14ac:dyDescent="0.3">
      <c r="A441">
        <v>29179</v>
      </c>
      <c r="B441" t="s">
        <v>2787</v>
      </c>
      <c r="C441" t="s">
        <v>2788</v>
      </c>
      <c r="D441" s="3">
        <v>32059</v>
      </c>
      <c r="E441" t="s">
        <v>1188</v>
      </c>
      <c r="F441">
        <v>276</v>
      </c>
      <c r="G441" s="3">
        <v>41827</v>
      </c>
      <c r="H441" t="s">
        <v>2789</v>
      </c>
      <c r="I441" t="s">
        <v>2790</v>
      </c>
      <c r="J441" t="s">
        <v>1366</v>
      </c>
      <c r="K441" t="s">
        <v>193</v>
      </c>
      <c r="L441" s="3">
        <v>47278</v>
      </c>
      <c r="M441" s="3">
        <v>46042</v>
      </c>
      <c r="N441" t="s">
        <v>2791</v>
      </c>
      <c r="O441" s="4">
        <v>1</v>
      </c>
      <c r="P441">
        <v>0</v>
      </c>
      <c r="Q441">
        <v>0</v>
      </c>
    </row>
    <row r="442" spans="1:17" x14ac:dyDescent="0.3">
      <c r="A442">
        <v>41092</v>
      </c>
      <c r="B442" t="s">
        <v>2792</v>
      </c>
      <c r="C442" t="s">
        <v>2793</v>
      </c>
      <c r="D442" s="3">
        <v>29089</v>
      </c>
      <c r="E442" t="s">
        <v>1188</v>
      </c>
      <c r="G442" s="3">
        <v>45574</v>
      </c>
      <c r="H442" t="s">
        <v>2794</v>
      </c>
      <c r="J442" t="s">
        <v>1196</v>
      </c>
      <c r="K442" t="s">
        <v>185</v>
      </c>
      <c r="L442" s="3">
        <v>47418</v>
      </c>
      <c r="M442" s="3">
        <v>47379</v>
      </c>
      <c r="N442" t="s">
        <v>2795</v>
      </c>
      <c r="O442" s="4">
        <v>1</v>
      </c>
      <c r="P442">
        <v>0</v>
      </c>
      <c r="Q442">
        <v>0</v>
      </c>
    </row>
    <row r="443" spans="1:17" x14ac:dyDescent="0.3">
      <c r="A443">
        <v>7422</v>
      </c>
      <c r="B443" t="s">
        <v>2623</v>
      </c>
      <c r="C443" t="s">
        <v>2796</v>
      </c>
      <c r="D443" s="3">
        <v>26956</v>
      </c>
      <c r="E443" t="s">
        <v>1188</v>
      </c>
      <c r="F443">
        <v>557</v>
      </c>
      <c r="G443" s="3">
        <v>34834</v>
      </c>
      <c r="H443" t="s">
        <v>2797</v>
      </c>
      <c r="J443" t="s">
        <v>1307</v>
      </c>
      <c r="K443" t="s">
        <v>187</v>
      </c>
      <c r="L443" s="3">
        <v>45850</v>
      </c>
      <c r="M443" s="3">
        <v>45993</v>
      </c>
      <c r="N443" t="s">
        <v>2798</v>
      </c>
      <c r="O443" s="4">
        <v>1</v>
      </c>
      <c r="P443">
        <v>0</v>
      </c>
      <c r="Q443">
        <v>1</v>
      </c>
    </row>
    <row r="444" spans="1:17" x14ac:dyDescent="0.3">
      <c r="A444">
        <v>37222</v>
      </c>
      <c r="B444" t="s">
        <v>2799</v>
      </c>
      <c r="C444" t="s">
        <v>2796</v>
      </c>
      <c r="D444" s="3">
        <v>32283</v>
      </c>
      <c r="E444" t="s">
        <v>1188</v>
      </c>
      <c r="G444" s="3">
        <v>44599</v>
      </c>
      <c r="H444" t="s">
        <v>2800</v>
      </c>
      <c r="J444" t="s">
        <v>1196</v>
      </c>
      <c r="K444" t="s">
        <v>197</v>
      </c>
      <c r="L444" s="3">
        <v>46439</v>
      </c>
      <c r="M444" s="3">
        <v>46236</v>
      </c>
      <c r="N444" t="s">
        <v>2801</v>
      </c>
      <c r="O444" s="4">
        <v>0.6</v>
      </c>
      <c r="P444">
        <v>0</v>
      </c>
      <c r="Q444">
        <v>0</v>
      </c>
    </row>
    <row r="445" spans="1:17" x14ac:dyDescent="0.3">
      <c r="A445">
        <v>35107</v>
      </c>
      <c r="B445" t="s">
        <v>2802</v>
      </c>
      <c r="C445" t="s">
        <v>2796</v>
      </c>
      <c r="D445" s="3">
        <v>26227</v>
      </c>
      <c r="E445" t="s">
        <v>1188</v>
      </c>
      <c r="F445">
        <v>311</v>
      </c>
      <c r="G445" s="3">
        <v>43864</v>
      </c>
      <c r="H445" t="s">
        <v>2803</v>
      </c>
      <c r="J445" t="s">
        <v>1201</v>
      </c>
      <c r="K445" t="s">
        <v>187</v>
      </c>
      <c r="L445" s="3">
        <v>47485</v>
      </c>
      <c r="M445" s="3">
        <v>47441</v>
      </c>
      <c r="N445" t="s">
        <v>2804</v>
      </c>
      <c r="O445" s="4">
        <v>0.5</v>
      </c>
      <c r="P445">
        <v>0</v>
      </c>
      <c r="Q445">
        <v>0</v>
      </c>
    </row>
    <row r="446" spans="1:17" x14ac:dyDescent="0.3">
      <c r="A446">
        <v>15628</v>
      </c>
      <c r="B446" t="s">
        <v>2805</v>
      </c>
      <c r="C446" t="s">
        <v>2796</v>
      </c>
      <c r="D446" s="3">
        <v>26166</v>
      </c>
      <c r="E446" t="s">
        <v>1188</v>
      </c>
      <c r="G446" s="3">
        <v>37718</v>
      </c>
      <c r="H446" t="s">
        <v>2806</v>
      </c>
      <c r="J446" t="s">
        <v>1366</v>
      </c>
      <c r="K446" t="s">
        <v>195</v>
      </c>
      <c r="L446" s="3">
        <v>46168</v>
      </c>
      <c r="M446" s="3">
        <v>46056</v>
      </c>
      <c r="N446" t="s">
        <v>2807</v>
      </c>
      <c r="O446" s="4">
        <v>1</v>
      </c>
      <c r="P446">
        <v>0</v>
      </c>
      <c r="Q446">
        <v>0</v>
      </c>
    </row>
    <row r="447" spans="1:17" x14ac:dyDescent="0.3">
      <c r="A447">
        <v>9667</v>
      </c>
      <c r="B447" t="s">
        <v>2808</v>
      </c>
      <c r="C447" t="s">
        <v>2809</v>
      </c>
      <c r="D447" s="3">
        <v>26311</v>
      </c>
      <c r="E447" t="s">
        <v>1188</v>
      </c>
      <c r="F447">
        <v>608</v>
      </c>
      <c r="G447" s="3">
        <v>35667</v>
      </c>
      <c r="H447" t="s">
        <v>2810</v>
      </c>
      <c r="J447" t="s">
        <v>1488</v>
      </c>
      <c r="K447" t="s">
        <v>195</v>
      </c>
      <c r="L447" s="3">
        <v>47558</v>
      </c>
      <c r="M447" s="3">
        <v>46369</v>
      </c>
      <c r="N447" t="s">
        <v>2811</v>
      </c>
      <c r="O447" s="4">
        <v>1</v>
      </c>
      <c r="P447">
        <v>0</v>
      </c>
      <c r="Q447">
        <v>0</v>
      </c>
    </row>
    <row r="448" spans="1:17" x14ac:dyDescent="0.3">
      <c r="A448">
        <v>40608</v>
      </c>
      <c r="B448" t="s">
        <v>2812</v>
      </c>
      <c r="C448" t="s">
        <v>2813</v>
      </c>
      <c r="D448" s="3">
        <v>34274</v>
      </c>
      <c r="E448" t="s">
        <v>1188</v>
      </c>
      <c r="G448" s="3">
        <v>45456</v>
      </c>
      <c r="H448" t="s">
        <v>2814</v>
      </c>
      <c r="J448" t="s">
        <v>1196</v>
      </c>
      <c r="K448" t="s">
        <v>197</v>
      </c>
      <c r="L448" s="3">
        <v>47300</v>
      </c>
      <c r="M448" s="3">
        <v>47272</v>
      </c>
      <c r="N448" t="s">
        <v>2815</v>
      </c>
      <c r="O448" s="4">
        <v>1</v>
      </c>
      <c r="P448">
        <v>0</v>
      </c>
      <c r="Q448">
        <v>0</v>
      </c>
    </row>
    <row r="449" spans="1:17" x14ac:dyDescent="0.3">
      <c r="A449">
        <v>18987</v>
      </c>
      <c r="B449" t="s">
        <v>2816</v>
      </c>
      <c r="C449" t="s">
        <v>2817</v>
      </c>
      <c r="D449" s="3">
        <v>29733</v>
      </c>
      <c r="E449" t="s">
        <v>1188</v>
      </c>
      <c r="F449">
        <v>310</v>
      </c>
      <c r="G449" s="3">
        <v>38754</v>
      </c>
      <c r="H449" t="s">
        <v>2818</v>
      </c>
      <c r="J449" t="s">
        <v>1504</v>
      </c>
      <c r="K449" t="s">
        <v>199</v>
      </c>
      <c r="L449" s="3">
        <v>45895</v>
      </c>
      <c r="M449" s="3">
        <v>45973</v>
      </c>
      <c r="N449" t="s">
        <v>2819</v>
      </c>
      <c r="O449" s="4">
        <v>0.8</v>
      </c>
      <c r="P449">
        <v>0</v>
      </c>
      <c r="Q449">
        <v>0</v>
      </c>
    </row>
    <row r="450" spans="1:17" x14ac:dyDescent="0.3">
      <c r="A450">
        <v>22296</v>
      </c>
      <c r="B450" t="s">
        <v>2820</v>
      </c>
      <c r="C450" t="s">
        <v>2821</v>
      </c>
      <c r="D450" s="3">
        <v>29517</v>
      </c>
      <c r="E450" t="s">
        <v>1188</v>
      </c>
      <c r="F450">
        <v>457</v>
      </c>
      <c r="G450" s="3">
        <v>39601</v>
      </c>
      <c r="H450" t="s">
        <v>2822</v>
      </c>
      <c r="J450" t="s">
        <v>1214</v>
      </c>
      <c r="K450" t="s">
        <v>193</v>
      </c>
      <c r="L450" s="3">
        <v>45839</v>
      </c>
      <c r="M450" s="3">
        <v>45818</v>
      </c>
      <c r="N450" t="s">
        <v>2823</v>
      </c>
      <c r="O450" s="4">
        <v>0.8</v>
      </c>
      <c r="P450">
        <v>0</v>
      </c>
      <c r="Q450">
        <v>0</v>
      </c>
    </row>
    <row r="451" spans="1:17" x14ac:dyDescent="0.3">
      <c r="A451">
        <v>6309</v>
      </c>
      <c r="B451" t="s">
        <v>2824</v>
      </c>
      <c r="C451" t="s">
        <v>2825</v>
      </c>
      <c r="D451" s="3">
        <v>26147</v>
      </c>
      <c r="E451" t="s">
        <v>1188</v>
      </c>
      <c r="F451">
        <v>413</v>
      </c>
      <c r="G451" s="3">
        <v>34078</v>
      </c>
      <c r="H451" t="s">
        <v>2826</v>
      </c>
      <c r="J451" t="s">
        <v>1349</v>
      </c>
      <c r="K451" t="s">
        <v>195</v>
      </c>
      <c r="L451" s="3">
        <v>47594</v>
      </c>
      <c r="M451" s="3">
        <v>46497</v>
      </c>
      <c r="N451" t="s">
        <v>2827</v>
      </c>
      <c r="O451" s="4">
        <v>1</v>
      </c>
      <c r="P451">
        <v>0</v>
      </c>
      <c r="Q451">
        <v>0</v>
      </c>
    </row>
    <row r="452" spans="1:17" x14ac:dyDescent="0.3">
      <c r="A452">
        <v>41137</v>
      </c>
      <c r="B452" t="s">
        <v>2828</v>
      </c>
      <c r="C452" t="s">
        <v>2825</v>
      </c>
      <c r="D452" s="3">
        <v>25087</v>
      </c>
      <c r="E452" t="s">
        <v>1188</v>
      </c>
      <c r="G452" s="3">
        <v>45616</v>
      </c>
      <c r="H452" t="s">
        <v>2829</v>
      </c>
      <c r="J452" t="s">
        <v>1196</v>
      </c>
      <c r="K452" t="s">
        <v>185</v>
      </c>
      <c r="L452" s="3">
        <v>46896</v>
      </c>
      <c r="M452" s="3">
        <v>46165</v>
      </c>
      <c r="N452" t="s">
        <v>2830</v>
      </c>
      <c r="O452" s="4">
        <v>1</v>
      </c>
      <c r="P452">
        <v>0</v>
      </c>
      <c r="Q452">
        <v>0</v>
      </c>
    </row>
    <row r="453" spans="1:17" x14ac:dyDescent="0.3">
      <c r="A453">
        <v>35430</v>
      </c>
      <c r="B453" t="s">
        <v>2831</v>
      </c>
      <c r="C453" t="s">
        <v>2825</v>
      </c>
      <c r="D453" s="3">
        <v>22829</v>
      </c>
      <c r="E453" t="s">
        <v>1188</v>
      </c>
      <c r="F453">
        <v>28</v>
      </c>
      <c r="G453" s="3">
        <v>44011</v>
      </c>
      <c r="H453" t="s">
        <v>2832</v>
      </c>
      <c r="J453" t="s">
        <v>1201</v>
      </c>
      <c r="K453" t="s">
        <v>191</v>
      </c>
      <c r="L453" s="3">
        <v>45851</v>
      </c>
      <c r="M453" s="3">
        <v>45787</v>
      </c>
      <c r="N453" t="s">
        <v>2833</v>
      </c>
      <c r="O453" s="4">
        <v>0.5</v>
      </c>
      <c r="P453">
        <v>1</v>
      </c>
      <c r="Q453">
        <v>1</v>
      </c>
    </row>
    <row r="454" spans="1:17" x14ac:dyDescent="0.3">
      <c r="A454">
        <v>33049</v>
      </c>
      <c r="B454" t="s">
        <v>2834</v>
      </c>
      <c r="C454" t="s">
        <v>2825</v>
      </c>
      <c r="D454" s="3">
        <v>24920</v>
      </c>
      <c r="E454" t="s">
        <v>1188</v>
      </c>
      <c r="F454">
        <v>205</v>
      </c>
      <c r="G454" s="3">
        <v>43318</v>
      </c>
      <c r="H454" t="s">
        <v>2835</v>
      </c>
      <c r="J454" t="s">
        <v>1395</v>
      </c>
      <c r="K454" t="s">
        <v>195</v>
      </c>
      <c r="L454" s="3">
        <v>46915</v>
      </c>
      <c r="M454" s="3">
        <v>46166</v>
      </c>
      <c r="N454" t="s">
        <v>2836</v>
      </c>
      <c r="O454" s="4">
        <v>1</v>
      </c>
      <c r="P454">
        <v>0</v>
      </c>
      <c r="Q454">
        <v>1</v>
      </c>
    </row>
    <row r="455" spans="1:17" x14ac:dyDescent="0.3">
      <c r="A455">
        <v>15088</v>
      </c>
      <c r="B455" t="s">
        <v>2837</v>
      </c>
      <c r="C455" t="s">
        <v>2825</v>
      </c>
      <c r="D455" s="3">
        <v>24300</v>
      </c>
      <c r="E455" t="s">
        <v>1188</v>
      </c>
      <c r="F455">
        <v>505</v>
      </c>
      <c r="G455" s="3">
        <v>37501</v>
      </c>
      <c r="H455" t="s">
        <v>2838</v>
      </c>
      <c r="I455">
        <v>92365262</v>
      </c>
      <c r="J455" t="s">
        <v>1307</v>
      </c>
      <c r="K455" t="s">
        <v>191</v>
      </c>
      <c r="L455" s="3">
        <v>45854</v>
      </c>
      <c r="M455" s="3">
        <v>46279</v>
      </c>
      <c r="N455" t="s">
        <v>2839</v>
      </c>
      <c r="O455" s="4">
        <v>0.8</v>
      </c>
      <c r="P455">
        <v>0</v>
      </c>
      <c r="Q455">
        <v>1</v>
      </c>
    </row>
    <row r="456" spans="1:17" x14ac:dyDescent="0.3">
      <c r="A456">
        <v>36503</v>
      </c>
      <c r="B456" t="s">
        <v>2840</v>
      </c>
      <c r="C456" t="s">
        <v>2841</v>
      </c>
      <c r="D456" s="3">
        <v>30035</v>
      </c>
      <c r="E456" t="s">
        <v>1188</v>
      </c>
      <c r="G456" s="3">
        <v>44333</v>
      </c>
      <c r="H456" t="s">
        <v>2842</v>
      </c>
      <c r="J456" t="s">
        <v>1196</v>
      </c>
      <c r="K456" t="s">
        <v>189</v>
      </c>
      <c r="L456" s="3">
        <v>46174</v>
      </c>
      <c r="M456" s="3">
        <v>46004</v>
      </c>
      <c r="N456" t="s">
        <v>2843</v>
      </c>
      <c r="O456" s="4">
        <v>1</v>
      </c>
      <c r="P456">
        <v>0</v>
      </c>
      <c r="Q456">
        <v>0</v>
      </c>
    </row>
    <row r="457" spans="1:17" x14ac:dyDescent="0.3">
      <c r="A457">
        <v>34351</v>
      </c>
      <c r="B457" t="s">
        <v>2844</v>
      </c>
      <c r="C457" t="s">
        <v>2845</v>
      </c>
      <c r="D457" s="3">
        <v>30411</v>
      </c>
      <c r="E457" t="s">
        <v>1188</v>
      </c>
      <c r="F457">
        <v>11</v>
      </c>
      <c r="G457" s="3">
        <v>43710</v>
      </c>
      <c r="H457" t="s">
        <v>2846</v>
      </c>
      <c r="I457">
        <v>468493588</v>
      </c>
      <c r="J457" t="s">
        <v>1201</v>
      </c>
      <c r="K457" t="s">
        <v>191</v>
      </c>
      <c r="L457" s="3">
        <v>47337</v>
      </c>
      <c r="M457" s="3">
        <v>47316</v>
      </c>
      <c r="N457" t="s">
        <v>2847</v>
      </c>
      <c r="O457" s="4">
        <v>1</v>
      </c>
      <c r="P457">
        <v>0</v>
      </c>
      <c r="Q457">
        <v>1</v>
      </c>
    </row>
    <row r="458" spans="1:17" x14ac:dyDescent="0.3">
      <c r="A458">
        <v>20705</v>
      </c>
      <c r="B458" t="s">
        <v>2848</v>
      </c>
      <c r="C458" t="s">
        <v>2849</v>
      </c>
      <c r="D458" s="3">
        <v>31394</v>
      </c>
      <c r="E458" t="s">
        <v>1188</v>
      </c>
      <c r="F458">
        <v>319</v>
      </c>
      <c r="G458" s="3">
        <v>39223</v>
      </c>
      <c r="H458" t="s">
        <v>2850</v>
      </c>
      <c r="J458" t="s">
        <v>1349</v>
      </c>
      <c r="K458" t="s">
        <v>191</v>
      </c>
      <c r="L458" s="3">
        <v>45887</v>
      </c>
      <c r="M458" s="3">
        <v>46236</v>
      </c>
      <c r="N458" t="s">
        <v>2851</v>
      </c>
      <c r="O458" s="4">
        <v>1</v>
      </c>
      <c r="P458">
        <v>0</v>
      </c>
      <c r="Q458">
        <v>0</v>
      </c>
    </row>
    <row r="459" spans="1:17" x14ac:dyDescent="0.3">
      <c r="A459">
        <v>7746</v>
      </c>
      <c r="B459" t="s">
        <v>2155</v>
      </c>
      <c r="C459" t="s">
        <v>2852</v>
      </c>
      <c r="D459" s="3">
        <v>23497</v>
      </c>
      <c r="E459" t="s">
        <v>1188</v>
      </c>
      <c r="F459">
        <v>356</v>
      </c>
      <c r="G459" s="3">
        <v>34932</v>
      </c>
      <c r="I459">
        <v>93293469</v>
      </c>
      <c r="J459" t="s">
        <v>1303</v>
      </c>
      <c r="K459" t="s">
        <v>189</v>
      </c>
      <c r="L459" s="3">
        <v>45854</v>
      </c>
      <c r="M459" s="3">
        <v>47369</v>
      </c>
      <c r="N459" t="s">
        <v>2853</v>
      </c>
      <c r="O459" s="4">
        <v>1</v>
      </c>
      <c r="P459">
        <v>0</v>
      </c>
      <c r="Q459">
        <v>0</v>
      </c>
    </row>
    <row r="460" spans="1:17" x14ac:dyDescent="0.3">
      <c r="A460">
        <v>38481</v>
      </c>
      <c r="B460" t="s">
        <v>2573</v>
      </c>
      <c r="C460" t="s">
        <v>2854</v>
      </c>
      <c r="D460" s="3">
        <v>36732</v>
      </c>
      <c r="E460" t="s">
        <v>1188</v>
      </c>
      <c r="G460" s="3">
        <v>44970</v>
      </c>
      <c r="H460" t="s">
        <v>2855</v>
      </c>
      <c r="J460" t="s">
        <v>1196</v>
      </c>
      <c r="K460" t="s">
        <v>195</v>
      </c>
      <c r="L460" s="3">
        <v>46810</v>
      </c>
      <c r="M460" s="3">
        <v>46707</v>
      </c>
      <c r="N460" t="s">
        <v>2856</v>
      </c>
      <c r="O460" s="4">
        <v>1</v>
      </c>
      <c r="P460">
        <v>0</v>
      </c>
      <c r="Q460">
        <v>0</v>
      </c>
    </row>
    <row r="461" spans="1:17" x14ac:dyDescent="0.3">
      <c r="A461">
        <v>16901</v>
      </c>
      <c r="B461" t="s">
        <v>2857</v>
      </c>
      <c r="C461" t="s">
        <v>2858</v>
      </c>
      <c r="D461" s="3">
        <v>30189</v>
      </c>
      <c r="E461" t="s">
        <v>1188</v>
      </c>
      <c r="F461">
        <v>409</v>
      </c>
      <c r="G461" s="3">
        <v>38103</v>
      </c>
      <c r="H461" t="s">
        <v>2859</v>
      </c>
      <c r="J461" t="s">
        <v>1277</v>
      </c>
      <c r="K461" t="s">
        <v>187</v>
      </c>
      <c r="L461" s="3">
        <v>72686</v>
      </c>
      <c r="M461" s="3">
        <v>46882</v>
      </c>
      <c r="N461" t="s">
        <v>2860</v>
      </c>
      <c r="O461" s="4">
        <v>1</v>
      </c>
      <c r="P461">
        <v>0</v>
      </c>
      <c r="Q461">
        <v>0</v>
      </c>
    </row>
    <row r="462" spans="1:17" x14ac:dyDescent="0.3">
      <c r="A462">
        <v>30323</v>
      </c>
      <c r="B462" t="s">
        <v>2861</v>
      </c>
      <c r="C462" t="s">
        <v>2862</v>
      </c>
      <c r="D462" s="3">
        <v>27976</v>
      </c>
      <c r="E462" t="s">
        <v>1188</v>
      </c>
      <c r="F462">
        <v>474</v>
      </c>
      <c r="G462" s="3">
        <v>42296</v>
      </c>
      <c r="H462" t="s">
        <v>2863</v>
      </c>
      <c r="I462">
        <v>93845873</v>
      </c>
      <c r="J462" t="s">
        <v>1378</v>
      </c>
      <c r="K462" t="s">
        <v>187</v>
      </c>
      <c r="L462" s="3">
        <v>47602</v>
      </c>
      <c r="M462" s="3">
        <v>47594</v>
      </c>
      <c r="N462" t="s">
        <v>2864</v>
      </c>
      <c r="O462" s="4">
        <v>1</v>
      </c>
      <c r="P462">
        <v>0</v>
      </c>
      <c r="Q462">
        <v>1</v>
      </c>
    </row>
    <row r="463" spans="1:17" x14ac:dyDescent="0.3">
      <c r="A463">
        <v>9062</v>
      </c>
      <c r="B463" t="s">
        <v>2865</v>
      </c>
      <c r="C463" t="s">
        <v>2866</v>
      </c>
      <c r="D463" s="3">
        <v>26633</v>
      </c>
      <c r="E463" t="s">
        <v>1188</v>
      </c>
      <c r="F463">
        <v>382</v>
      </c>
      <c r="G463" s="3">
        <v>35478</v>
      </c>
      <c r="H463" t="s">
        <v>2867</v>
      </c>
      <c r="J463" t="s">
        <v>1373</v>
      </c>
      <c r="K463" t="s">
        <v>195</v>
      </c>
      <c r="L463" s="3">
        <v>45955</v>
      </c>
      <c r="M463" s="3">
        <v>46273</v>
      </c>
      <c r="N463" t="s">
        <v>2868</v>
      </c>
      <c r="O463" s="4">
        <v>0.8</v>
      </c>
      <c r="P463">
        <v>0</v>
      </c>
      <c r="Q463">
        <v>0</v>
      </c>
    </row>
    <row r="464" spans="1:17" x14ac:dyDescent="0.3">
      <c r="A464">
        <v>35419</v>
      </c>
      <c r="B464" t="s">
        <v>2869</v>
      </c>
      <c r="C464" t="s">
        <v>2866</v>
      </c>
      <c r="D464" s="3">
        <v>28965</v>
      </c>
      <c r="E464" t="s">
        <v>1188</v>
      </c>
      <c r="F464">
        <v>95</v>
      </c>
      <c r="G464" s="3">
        <v>44011</v>
      </c>
      <c r="H464" t="s">
        <v>2870</v>
      </c>
      <c r="I464">
        <v>0</v>
      </c>
      <c r="J464" t="s">
        <v>1220</v>
      </c>
      <c r="K464" t="s">
        <v>197</v>
      </c>
      <c r="L464" s="3">
        <v>47498</v>
      </c>
      <c r="M464" s="3">
        <v>47126</v>
      </c>
      <c r="N464" t="s">
        <v>2871</v>
      </c>
      <c r="O464" s="4">
        <v>1</v>
      </c>
      <c r="P464">
        <v>0</v>
      </c>
      <c r="Q464">
        <v>0</v>
      </c>
    </row>
    <row r="465" spans="1:17" x14ac:dyDescent="0.3">
      <c r="A465">
        <v>16970</v>
      </c>
      <c r="B465" t="s">
        <v>2872</v>
      </c>
      <c r="C465" t="s">
        <v>2866</v>
      </c>
      <c r="D465" s="3">
        <v>29646</v>
      </c>
      <c r="E465" t="s">
        <v>1188</v>
      </c>
      <c r="F465">
        <v>358</v>
      </c>
      <c r="G465" s="3">
        <v>38124</v>
      </c>
      <c r="H465" t="s">
        <v>2873</v>
      </c>
      <c r="J465" t="s">
        <v>1277</v>
      </c>
      <c r="K465" t="s">
        <v>187</v>
      </c>
      <c r="L465" s="3">
        <v>72686</v>
      </c>
      <c r="M465" s="3">
        <v>47316</v>
      </c>
      <c r="N465" t="s">
        <v>2874</v>
      </c>
      <c r="O465" s="4">
        <v>0.8</v>
      </c>
      <c r="P465">
        <v>0</v>
      </c>
      <c r="Q465">
        <v>1</v>
      </c>
    </row>
    <row r="466" spans="1:17" x14ac:dyDescent="0.3">
      <c r="A466">
        <v>24472</v>
      </c>
      <c r="B466" t="s">
        <v>1894</v>
      </c>
      <c r="C466" t="s">
        <v>2875</v>
      </c>
      <c r="D466" s="3">
        <v>30762</v>
      </c>
      <c r="E466" t="s">
        <v>1442</v>
      </c>
      <c r="F466">
        <v>614</v>
      </c>
      <c r="G466" s="3">
        <v>40049</v>
      </c>
      <c r="H466" t="s">
        <v>2876</v>
      </c>
      <c r="J466" t="s">
        <v>1349</v>
      </c>
      <c r="K466" t="s">
        <v>185</v>
      </c>
      <c r="L466" s="3">
        <v>47139</v>
      </c>
      <c r="M466" s="3">
        <v>47105</v>
      </c>
      <c r="N466" t="s">
        <v>2877</v>
      </c>
      <c r="O466" s="4">
        <v>1</v>
      </c>
      <c r="P466">
        <v>0</v>
      </c>
      <c r="Q466">
        <v>0</v>
      </c>
    </row>
    <row r="467" spans="1:17" x14ac:dyDescent="0.3">
      <c r="A467">
        <v>36627</v>
      </c>
      <c r="B467" t="s">
        <v>2878</v>
      </c>
      <c r="C467" t="s">
        <v>2207</v>
      </c>
      <c r="D467" s="3">
        <v>28213</v>
      </c>
      <c r="E467" t="s">
        <v>1188</v>
      </c>
      <c r="G467" s="3">
        <v>44384</v>
      </c>
      <c r="H467" t="s">
        <v>2879</v>
      </c>
      <c r="J467" t="s">
        <v>1378</v>
      </c>
      <c r="K467" t="s">
        <v>193</v>
      </c>
      <c r="L467" s="3">
        <v>46162</v>
      </c>
      <c r="M467" s="3">
        <v>46162</v>
      </c>
      <c r="N467" t="s">
        <v>2880</v>
      </c>
      <c r="O467" s="4">
        <v>1</v>
      </c>
      <c r="P467">
        <v>0</v>
      </c>
      <c r="Q467">
        <v>0</v>
      </c>
    </row>
    <row r="468" spans="1:17" x14ac:dyDescent="0.3">
      <c r="A468">
        <v>27711</v>
      </c>
      <c r="B468" t="s">
        <v>2881</v>
      </c>
      <c r="C468" t="s">
        <v>2207</v>
      </c>
      <c r="D468" s="3">
        <v>27392</v>
      </c>
      <c r="E468" t="s">
        <v>1188</v>
      </c>
      <c r="F468">
        <v>379</v>
      </c>
      <c r="G468" s="3">
        <v>41218</v>
      </c>
      <c r="H468" t="s">
        <v>2882</v>
      </c>
      <c r="I468">
        <v>93286345</v>
      </c>
      <c r="J468" t="s">
        <v>1242</v>
      </c>
      <c r="K468" t="s">
        <v>189</v>
      </c>
      <c r="L468" s="3">
        <v>46475</v>
      </c>
      <c r="M468" s="3">
        <v>46427</v>
      </c>
      <c r="N468" t="s">
        <v>2883</v>
      </c>
      <c r="O468" s="4">
        <v>1</v>
      </c>
      <c r="P468">
        <v>0</v>
      </c>
      <c r="Q468">
        <v>1</v>
      </c>
    </row>
    <row r="469" spans="1:17" x14ac:dyDescent="0.3">
      <c r="A469">
        <v>26847</v>
      </c>
      <c r="B469" t="s">
        <v>2375</v>
      </c>
      <c r="C469" t="s">
        <v>2207</v>
      </c>
      <c r="D469" s="3">
        <v>25315</v>
      </c>
      <c r="E469" t="s">
        <v>1188</v>
      </c>
      <c r="F469">
        <v>245</v>
      </c>
      <c r="G469" s="3">
        <v>40826</v>
      </c>
      <c r="H469" t="s">
        <v>2884</v>
      </c>
      <c r="J469" t="s">
        <v>1263</v>
      </c>
      <c r="K469" t="s">
        <v>187</v>
      </c>
      <c r="L469" s="3">
        <v>72686</v>
      </c>
      <c r="M469" s="3">
        <v>46266</v>
      </c>
      <c r="N469" t="s">
        <v>2885</v>
      </c>
      <c r="O469" s="4">
        <v>1</v>
      </c>
      <c r="P469">
        <v>0</v>
      </c>
      <c r="Q469">
        <v>1</v>
      </c>
    </row>
    <row r="470" spans="1:17" x14ac:dyDescent="0.3">
      <c r="A470">
        <v>19088</v>
      </c>
      <c r="B470" t="s">
        <v>2886</v>
      </c>
      <c r="C470" t="s">
        <v>2207</v>
      </c>
      <c r="D470" s="3">
        <v>27422</v>
      </c>
      <c r="E470" t="s">
        <v>1188</v>
      </c>
      <c r="F470">
        <v>275</v>
      </c>
      <c r="G470" s="3">
        <v>38789</v>
      </c>
      <c r="H470" t="s">
        <v>2887</v>
      </c>
      <c r="J470" t="s">
        <v>1307</v>
      </c>
      <c r="K470" t="s">
        <v>195</v>
      </c>
      <c r="L470" s="3">
        <v>45969</v>
      </c>
      <c r="M470" s="3">
        <v>45965</v>
      </c>
      <c r="N470" t="s">
        <v>2888</v>
      </c>
      <c r="O470" s="4">
        <v>0.8</v>
      </c>
      <c r="P470">
        <v>0</v>
      </c>
      <c r="Q470">
        <v>0</v>
      </c>
    </row>
    <row r="471" spans="1:17" x14ac:dyDescent="0.3">
      <c r="A471">
        <v>12819</v>
      </c>
      <c r="B471" t="s">
        <v>2889</v>
      </c>
      <c r="C471" t="s">
        <v>2207</v>
      </c>
      <c r="D471" s="3">
        <v>27540</v>
      </c>
      <c r="E471" t="s">
        <v>1188</v>
      </c>
      <c r="F471">
        <v>536</v>
      </c>
      <c r="G471" s="3">
        <v>36853</v>
      </c>
      <c r="H471" t="s">
        <v>2890</v>
      </c>
      <c r="J471" t="s">
        <v>1349</v>
      </c>
      <c r="K471" t="s">
        <v>187</v>
      </c>
      <c r="L471" s="3">
        <v>45859</v>
      </c>
      <c r="M471" s="3">
        <v>45855</v>
      </c>
      <c r="N471" t="s">
        <v>2891</v>
      </c>
      <c r="O471" s="4">
        <v>1</v>
      </c>
      <c r="P471">
        <v>0</v>
      </c>
      <c r="Q471">
        <v>1</v>
      </c>
    </row>
    <row r="472" spans="1:17" x14ac:dyDescent="0.3">
      <c r="A472">
        <v>12173</v>
      </c>
      <c r="B472" t="s">
        <v>2892</v>
      </c>
      <c r="C472" t="s">
        <v>2207</v>
      </c>
      <c r="D472" s="3">
        <v>25839</v>
      </c>
      <c r="E472" t="s">
        <v>1188</v>
      </c>
      <c r="F472">
        <v>176</v>
      </c>
      <c r="G472" s="3">
        <v>36690</v>
      </c>
      <c r="H472" t="s">
        <v>2893</v>
      </c>
      <c r="J472" t="s">
        <v>1303</v>
      </c>
      <c r="K472" t="s">
        <v>191</v>
      </c>
      <c r="L472" s="3">
        <v>47337</v>
      </c>
      <c r="M472" s="3">
        <v>47328</v>
      </c>
      <c r="N472" t="s">
        <v>2894</v>
      </c>
      <c r="O472" s="4">
        <v>1</v>
      </c>
      <c r="P472">
        <v>0</v>
      </c>
      <c r="Q472">
        <v>0</v>
      </c>
    </row>
    <row r="473" spans="1:17" x14ac:dyDescent="0.3">
      <c r="A473">
        <v>21845</v>
      </c>
      <c r="B473" t="s">
        <v>2360</v>
      </c>
      <c r="C473" t="s">
        <v>2895</v>
      </c>
      <c r="D473" s="3">
        <v>28968</v>
      </c>
      <c r="E473" t="s">
        <v>1188</v>
      </c>
      <c r="F473">
        <v>443</v>
      </c>
      <c r="G473" s="3">
        <v>39510</v>
      </c>
      <c r="H473" t="s">
        <v>2896</v>
      </c>
      <c r="J473" t="s">
        <v>1263</v>
      </c>
      <c r="K473" t="s">
        <v>199</v>
      </c>
      <c r="L473" s="3">
        <v>72686</v>
      </c>
      <c r="M473" s="3">
        <v>46776</v>
      </c>
      <c r="N473" t="s">
        <v>2897</v>
      </c>
      <c r="O473" s="4">
        <v>0.8</v>
      </c>
      <c r="P473">
        <v>0</v>
      </c>
      <c r="Q473">
        <v>0</v>
      </c>
    </row>
    <row r="474" spans="1:17" x14ac:dyDescent="0.3">
      <c r="A474">
        <v>8792</v>
      </c>
      <c r="B474" t="s">
        <v>2898</v>
      </c>
      <c r="C474" t="s">
        <v>2899</v>
      </c>
      <c r="D474" s="3">
        <v>27910</v>
      </c>
      <c r="E474" t="s">
        <v>1188</v>
      </c>
      <c r="F474">
        <v>466</v>
      </c>
      <c r="G474" s="3">
        <v>35338</v>
      </c>
      <c r="H474" t="s">
        <v>2900</v>
      </c>
      <c r="I474">
        <v>93244163</v>
      </c>
      <c r="J474" t="s">
        <v>1290</v>
      </c>
      <c r="K474" t="s">
        <v>187</v>
      </c>
      <c r="L474" s="3">
        <v>45865</v>
      </c>
      <c r="M474" s="3">
        <v>46820</v>
      </c>
      <c r="N474" t="s">
        <v>2901</v>
      </c>
      <c r="O474" s="4">
        <v>1</v>
      </c>
      <c r="P474">
        <v>0</v>
      </c>
      <c r="Q474">
        <v>1</v>
      </c>
    </row>
    <row r="475" spans="1:17" x14ac:dyDescent="0.3">
      <c r="A475">
        <v>9065</v>
      </c>
      <c r="B475" t="s">
        <v>2902</v>
      </c>
      <c r="C475" t="s">
        <v>2903</v>
      </c>
      <c r="D475" s="3">
        <v>24694</v>
      </c>
      <c r="E475" t="s">
        <v>1188</v>
      </c>
      <c r="F475">
        <v>398</v>
      </c>
      <c r="G475" s="3">
        <v>35478</v>
      </c>
      <c r="H475" t="s">
        <v>2904</v>
      </c>
      <c r="J475" t="s">
        <v>1488</v>
      </c>
      <c r="K475" t="s">
        <v>191</v>
      </c>
      <c r="L475" s="3">
        <v>45868</v>
      </c>
      <c r="M475" s="3">
        <v>46194</v>
      </c>
      <c r="N475" t="s">
        <v>2905</v>
      </c>
      <c r="O475" s="4">
        <v>0.5</v>
      </c>
      <c r="P475">
        <v>0</v>
      </c>
      <c r="Q475">
        <v>0</v>
      </c>
    </row>
    <row r="476" spans="1:17" x14ac:dyDescent="0.3">
      <c r="A476">
        <v>33698</v>
      </c>
      <c r="B476" t="s">
        <v>2906</v>
      </c>
      <c r="C476" t="s">
        <v>2903</v>
      </c>
      <c r="D476" s="3">
        <v>30937</v>
      </c>
      <c r="E476" t="s">
        <v>1188</v>
      </c>
      <c r="F476">
        <v>270</v>
      </c>
      <c r="G476" s="3">
        <v>43542</v>
      </c>
      <c r="H476" t="s">
        <v>2907</v>
      </c>
      <c r="J476" t="s">
        <v>1229</v>
      </c>
      <c r="K476" t="s">
        <v>199</v>
      </c>
      <c r="L476" s="3">
        <v>47154</v>
      </c>
      <c r="M476" s="3">
        <v>47100</v>
      </c>
      <c r="N476" t="s">
        <v>2908</v>
      </c>
      <c r="O476" s="4">
        <v>1</v>
      </c>
      <c r="P476">
        <v>0</v>
      </c>
      <c r="Q476">
        <v>1</v>
      </c>
    </row>
    <row r="477" spans="1:17" x14ac:dyDescent="0.3">
      <c r="A477">
        <v>26265</v>
      </c>
      <c r="B477" t="s">
        <v>2909</v>
      </c>
      <c r="C477" t="s">
        <v>2903</v>
      </c>
      <c r="D477" s="3">
        <v>24341</v>
      </c>
      <c r="E477" t="s">
        <v>1188</v>
      </c>
      <c r="F477">
        <v>27</v>
      </c>
      <c r="G477" s="3">
        <v>40658</v>
      </c>
      <c r="H477" t="s">
        <v>2910</v>
      </c>
      <c r="J477" t="s">
        <v>1214</v>
      </c>
      <c r="K477" t="s">
        <v>189</v>
      </c>
      <c r="L477" s="3">
        <v>47575</v>
      </c>
      <c r="M477" s="3">
        <v>47197</v>
      </c>
      <c r="N477" t="s">
        <v>2911</v>
      </c>
      <c r="O477" s="4">
        <v>0.8</v>
      </c>
      <c r="P477">
        <v>0</v>
      </c>
      <c r="Q477">
        <v>1</v>
      </c>
    </row>
    <row r="478" spans="1:17" x14ac:dyDescent="0.3">
      <c r="A478">
        <v>21124</v>
      </c>
      <c r="B478" t="s">
        <v>2912</v>
      </c>
      <c r="C478" t="s">
        <v>2903</v>
      </c>
      <c r="D478" s="3">
        <v>28233</v>
      </c>
      <c r="E478" t="s">
        <v>1188</v>
      </c>
      <c r="F478">
        <v>360</v>
      </c>
      <c r="G478" s="3">
        <v>39286</v>
      </c>
      <c r="H478" t="s">
        <v>2913</v>
      </c>
      <c r="J478" t="s">
        <v>1229</v>
      </c>
      <c r="K478" t="s">
        <v>189</v>
      </c>
      <c r="L478" s="3">
        <v>46039</v>
      </c>
      <c r="M478" s="3">
        <v>46985</v>
      </c>
      <c r="N478" t="s">
        <v>2914</v>
      </c>
      <c r="O478" s="4">
        <v>0.5</v>
      </c>
      <c r="P478">
        <v>0</v>
      </c>
      <c r="Q478">
        <v>0</v>
      </c>
    </row>
    <row r="479" spans="1:17" x14ac:dyDescent="0.3">
      <c r="A479">
        <v>36337</v>
      </c>
      <c r="B479" t="s">
        <v>2915</v>
      </c>
      <c r="C479" t="s">
        <v>2916</v>
      </c>
      <c r="D479" s="3">
        <v>24304</v>
      </c>
      <c r="E479" t="s">
        <v>1188</v>
      </c>
      <c r="G479" s="3">
        <v>44284</v>
      </c>
      <c r="H479" t="s">
        <v>2917</v>
      </c>
      <c r="J479" t="s">
        <v>1395</v>
      </c>
      <c r="K479" t="s">
        <v>195</v>
      </c>
      <c r="L479" s="3">
        <v>46125</v>
      </c>
      <c r="M479" s="3">
        <v>45951</v>
      </c>
      <c r="N479" t="s">
        <v>2918</v>
      </c>
      <c r="O479" s="4">
        <v>1</v>
      </c>
      <c r="P479">
        <v>0</v>
      </c>
      <c r="Q479">
        <v>0</v>
      </c>
    </row>
    <row r="480" spans="1:17" x14ac:dyDescent="0.3">
      <c r="A480">
        <v>35120</v>
      </c>
      <c r="B480" t="s">
        <v>2919</v>
      </c>
      <c r="C480" t="s">
        <v>2916</v>
      </c>
      <c r="D480" s="3">
        <v>32582</v>
      </c>
      <c r="E480" t="s">
        <v>1188</v>
      </c>
      <c r="F480">
        <v>480</v>
      </c>
      <c r="G480" s="3">
        <v>43878</v>
      </c>
      <c r="H480" t="s">
        <v>2920</v>
      </c>
      <c r="I480">
        <v>494132438</v>
      </c>
      <c r="J480" t="s">
        <v>1206</v>
      </c>
      <c r="K480" t="s">
        <v>193</v>
      </c>
      <c r="L480" s="3">
        <v>47461</v>
      </c>
      <c r="M480" s="3">
        <v>47460</v>
      </c>
      <c r="N480" t="s">
        <v>2921</v>
      </c>
      <c r="O480" s="4">
        <v>1</v>
      </c>
      <c r="P480">
        <v>0</v>
      </c>
      <c r="Q480">
        <v>1</v>
      </c>
    </row>
    <row r="481" spans="1:17" x14ac:dyDescent="0.3">
      <c r="A481">
        <v>27635</v>
      </c>
      <c r="B481" t="s">
        <v>2922</v>
      </c>
      <c r="C481" t="s">
        <v>2923</v>
      </c>
      <c r="D481" s="3">
        <v>31904</v>
      </c>
      <c r="E481" t="s">
        <v>1188</v>
      </c>
      <c r="F481">
        <v>363</v>
      </c>
      <c r="G481" s="3">
        <v>41176</v>
      </c>
      <c r="H481" t="s">
        <v>2924</v>
      </c>
      <c r="J481" t="s">
        <v>1196</v>
      </c>
      <c r="K481" t="s">
        <v>195</v>
      </c>
      <c r="L481" s="3">
        <v>46523</v>
      </c>
      <c r="M481" s="3">
        <v>46466</v>
      </c>
      <c r="N481" t="s">
        <v>2925</v>
      </c>
      <c r="O481" s="4">
        <v>1</v>
      </c>
      <c r="P481">
        <v>0</v>
      </c>
      <c r="Q481">
        <v>0</v>
      </c>
    </row>
    <row r="482" spans="1:17" x14ac:dyDescent="0.3">
      <c r="A482">
        <v>33400</v>
      </c>
      <c r="B482" t="s">
        <v>2926</v>
      </c>
      <c r="C482" t="s">
        <v>2927</v>
      </c>
      <c r="D482" s="3">
        <v>34591</v>
      </c>
      <c r="E482" t="s">
        <v>1188</v>
      </c>
      <c r="F482">
        <v>85</v>
      </c>
      <c r="G482" s="3">
        <v>43444</v>
      </c>
      <c r="H482" t="s">
        <v>2928</v>
      </c>
      <c r="I482">
        <v>476620718</v>
      </c>
      <c r="J482" t="s">
        <v>1395</v>
      </c>
      <c r="K482" t="s">
        <v>189</v>
      </c>
      <c r="L482" s="3">
        <v>47085</v>
      </c>
      <c r="M482" s="3">
        <v>46946</v>
      </c>
      <c r="N482" t="s">
        <v>2929</v>
      </c>
      <c r="O482" s="4">
        <v>0.8</v>
      </c>
      <c r="P482">
        <v>0</v>
      </c>
      <c r="Q482">
        <v>1</v>
      </c>
    </row>
    <row r="483" spans="1:17" x14ac:dyDescent="0.3">
      <c r="A483">
        <v>26524</v>
      </c>
      <c r="B483" t="s">
        <v>1804</v>
      </c>
      <c r="C483" t="s">
        <v>2927</v>
      </c>
      <c r="D483" s="3">
        <v>32548</v>
      </c>
      <c r="E483" t="s">
        <v>1188</v>
      </c>
      <c r="F483">
        <v>322</v>
      </c>
      <c r="G483" s="3">
        <v>40728</v>
      </c>
      <c r="H483" t="s">
        <v>2930</v>
      </c>
      <c r="J483" t="s">
        <v>1321</v>
      </c>
      <c r="K483" t="s">
        <v>191</v>
      </c>
      <c r="L483" s="3">
        <v>72686</v>
      </c>
      <c r="M483" s="3">
        <v>46201</v>
      </c>
      <c r="N483" t="s">
        <v>2931</v>
      </c>
      <c r="O483" s="4">
        <v>0.8</v>
      </c>
      <c r="P483">
        <v>0</v>
      </c>
      <c r="Q483">
        <v>1</v>
      </c>
    </row>
    <row r="484" spans="1:17" x14ac:dyDescent="0.3">
      <c r="A484">
        <v>16279</v>
      </c>
      <c r="B484" t="s">
        <v>2932</v>
      </c>
      <c r="C484" t="s">
        <v>2927</v>
      </c>
      <c r="D484" s="3">
        <v>28331</v>
      </c>
      <c r="E484" t="s">
        <v>1188</v>
      </c>
      <c r="F484">
        <v>4</v>
      </c>
      <c r="G484" s="3">
        <v>37886</v>
      </c>
      <c r="H484" t="s">
        <v>2933</v>
      </c>
      <c r="I484">
        <v>92728505</v>
      </c>
      <c r="J484" t="s">
        <v>1488</v>
      </c>
      <c r="K484" t="s">
        <v>185</v>
      </c>
      <c r="L484" s="3">
        <v>72686</v>
      </c>
      <c r="M484" s="3">
        <v>46469</v>
      </c>
      <c r="N484" t="s">
        <v>2934</v>
      </c>
      <c r="O484" s="4">
        <v>1</v>
      </c>
      <c r="P484">
        <v>0</v>
      </c>
      <c r="Q484">
        <v>1</v>
      </c>
    </row>
    <row r="485" spans="1:17" x14ac:dyDescent="0.3">
      <c r="A485">
        <v>13088</v>
      </c>
      <c r="B485" t="s">
        <v>2816</v>
      </c>
      <c r="C485" t="s">
        <v>2935</v>
      </c>
      <c r="D485" s="3">
        <v>25548</v>
      </c>
      <c r="E485" t="s">
        <v>1188</v>
      </c>
      <c r="F485">
        <v>56</v>
      </c>
      <c r="G485" s="3">
        <v>36948</v>
      </c>
      <c r="H485" t="s">
        <v>2936</v>
      </c>
      <c r="J485" t="s">
        <v>1373</v>
      </c>
      <c r="K485" t="s">
        <v>185</v>
      </c>
      <c r="L485" s="3">
        <v>45833</v>
      </c>
      <c r="M485" s="3">
        <v>45818</v>
      </c>
      <c r="N485" t="s">
        <v>2937</v>
      </c>
      <c r="O485" s="4">
        <v>0.8</v>
      </c>
      <c r="P485">
        <v>0</v>
      </c>
      <c r="Q485">
        <v>0</v>
      </c>
    </row>
    <row r="486" spans="1:17" x14ac:dyDescent="0.3">
      <c r="A486">
        <v>17951</v>
      </c>
      <c r="B486" t="s">
        <v>2938</v>
      </c>
      <c r="C486" t="s">
        <v>2939</v>
      </c>
      <c r="D486" s="3">
        <v>22267</v>
      </c>
      <c r="E486" t="s">
        <v>1188</v>
      </c>
      <c r="F486">
        <v>227</v>
      </c>
      <c r="G486" s="3">
        <v>38404</v>
      </c>
      <c r="H486" t="s">
        <v>2940</v>
      </c>
      <c r="J486" t="s">
        <v>1321</v>
      </c>
      <c r="K486" t="s">
        <v>187</v>
      </c>
      <c r="L486" s="3">
        <v>72686</v>
      </c>
      <c r="M486" s="3">
        <v>45867</v>
      </c>
      <c r="N486" t="s">
        <v>2941</v>
      </c>
      <c r="O486" s="4">
        <v>0.8</v>
      </c>
      <c r="P486">
        <v>0</v>
      </c>
      <c r="Q486">
        <v>0</v>
      </c>
    </row>
    <row r="487" spans="1:17" x14ac:dyDescent="0.3">
      <c r="A487">
        <v>37951</v>
      </c>
      <c r="B487" t="s">
        <v>2942</v>
      </c>
      <c r="C487" t="s">
        <v>2943</v>
      </c>
      <c r="D487" s="3">
        <v>27961</v>
      </c>
      <c r="E487" t="s">
        <v>1188</v>
      </c>
      <c r="G487" s="3">
        <v>44837</v>
      </c>
      <c r="H487" t="s">
        <v>2944</v>
      </c>
      <c r="J487" t="s">
        <v>1267</v>
      </c>
      <c r="K487" t="s">
        <v>197</v>
      </c>
      <c r="L487" s="3">
        <v>46678</v>
      </c>
      <c r="M487" s="3">
        <v>46593</v>
      </c>
      <c r="N487" t="s">
        <v>2945</v>
      </c>
      <c r="O487" s="4">
        <v>0.8</v>
      </c>
      <c r="P487">
        <v>0</v>
      </c>
      <c r="Q487">
        <v>0</v>
      </c>
    </row>
    <row r="488" spans="1:17" x14ac:dyDescent="0.3">
      <c r="A488">
        <v>35623</v>
      </c>
      <c r="B488" t="s">
        <v>2946</v>
      </c>
      <c r="C488" t="s">
        <v>2947</v>
      </c>
      <c r="D488" s="3">
        <v>29006</v>
      </c>
      <c r="E488" t="s">
        <v>1188</v>
      </c>
      <c r="F488">
        <v>278</v>
      </c>
      <c r="G488" s="3">
        <v>44081</v>
      </c>
      <c r="H488" t="s">
        <v>2948</v>
      </c>
      <c r="J488" t="s">
        <v>1206</v>
      </c>
      <c r="K488" t="s">
        <v>187</v>
      </c>
      <c r="L488" s="3">
        <v>45922</v>
      </c>
      <c r="M488" s="3">
        <v>47407</v>
      </c>
      <c r="N488" t="s">
        <v>2949</v>
      </c>
      <c r="O488" s="4">
        <v>1</v>
      </c>
      <c r="P488">
        <v>0</v>
      </c>
      <c r="Q488">
        <v>0</v>
      </c>
    </row>
    <row r="489" spans="1:17" x14ac:dyDescent="0.3">
      <c r="A489">
        <v>23700</v>
      </c>
      <c r="B489" t="s">
        <v>2950</v>
      </c>
      <c r="C489" t="s">
        <v>2947</v>
      </c>
      <c r="D489" s="3">
        <v>28357</v>
      </c>
      <c r="E489" t="s">
        <v>1188</v>
      </c>
      <c r="G489" s="3">
        <v>39909</v>
      </c>
      <c r="H489" t="s">
        <v>2951</v>
      </c>
      <c r="I489">
        <v>93285649</v>
      </c>
      <c r="J489" t="s">
        <v>1234</v>
      </c>
      <c r="K489" t="s">
        <v>185</v>
      </c>
      <c r="L489" s="3">
        <v>47363</v>
      </c>
      <c r="M489" s="3">
        <v>46005</v>
      </c>
      <c r="N489" t="s">
        <v>2952</v>
      </c>
      <c r="O489" s="4">
        <v>1</v>
      </c>
      <c r="P489">
        <v>0</v>
      </c>
      <c r="Q489">
        <v>0</v>
      </c>
    </row>
    <row r="490" spans="1:17" x14ac:dyDescent="0.3">
      <c r="A490">
        <v>23791</v>
      </c>
      <c r="B490" t="s">
        <v>2953</v>
      </c>
      <c r="C490" t="s">
        <v>2954</v>
      </c>
      <c r="D490" s="3">
        <v>24373</v>
      </c>
      <c r="E490" t="s">
        <v>1188</v>
      </c>
      <c r="F490">
        <v>371</v>
      </c>
      <c r="G490" s="3">
        <v>39923</v>
      </c>
      <c r="H490" t="s">
        <v>2955</v>
      </c>
      <c r="J490" t="s">
        <v>1214</v>
      </c>
      <c r="K490" t="s">
        <v>185</v>
      </c>
      <c r="L490" s="3">
        <v>73050</v>
      </c>
      <c r="M490" s="3">
        <v>47369</v>
      </c>
      <c r="N490" t="s">
        <v>2956</v>
      </c>
      <c r="O490" s="4">
        <v>0.8</v>
      </c>
      <c r="P490">
        <v>0</v>
      </c>
      <c r="Q490">
        <v>0</v>
      </c>
    </row>
    <row r="491" spans="1:17" x14ac:dyDescent="0.3">
      <c r="A491">
        <v>15218</v>
      </c>
      <c r="B491" t="s">
        <v>2957</v>
      </c>
      <c r="C491" t="s">
        <v>2958</v>
      </c>
      <c r="D491" s="3">
        <v>25192</v>
      </c>
      <c r="E491" t="s">
        <v>1188</v>
      </c>
      <c r="F491">
        <v>563</v>
      </c>
      <c r="G491" s="3">
        <v>37543</v>
      </c>
      <c r="H491" t="s">
        <v>2959</v>
      </c>
      <c r="J491" t="s">
        <v>1444</v>
      </c>
      <c r="K491" t="s">
        <v>191</v>
      </c>
      <c r="L491" s="3">
        <v>45843</v>
      </c>
      <c r="M491" s="3">
        <v>46294</v>
      </c>
      <c r="N491" t="s">
        <v>2960</v>
      </c>
      <c r="O491" s="4">
        <v>0.8</v>
      </c>
      <c r="P491">
        <v>0</v>
      </c>
      <c r="Q491">
        <v>0</v>
      </c>
    </row>
    <row r="492" spans="1:17" x14ac:dyDescent="0.3">
      <c r="A492">
        <v>38283</v>
      </c>
      <c r="B492" t="s">
        <v>2961</v>
      </c>
      <c r="C492" t="s">
        <v>2962</v>
      </c>
      <c r="D492" s="3">
        <v>23006</v>
      </c>
      <c r="E492" t="s">
        <v>1188</v>
      </c>
      <c r="F492">
        <v>106</v>
      </c>
      <c r="G492" s="3">
        <v>44886</v>
      </c>
      <c r="H492" t="s">
        <v>2963</v>
      </c>
      <c r="J492" t="s">
        <v>1196</v>
      </c>
      <c r="K492" t="s">
        <v>199</v>
      </c>
      <c r="L492" s="3">
        <v>46733</v>
      </c>
      <c r="M492" s="3">
        <v>46686</v>
      </c>
      <c r="N492" t="s">
        <v>2964</v>
      </c>
      <c r="O492" s="4">
        <v>0.8</v>
      </c>
      <c r="P492">
        <v>0</v>
      </c>
      <c r="Q492">
        <v>0</v>
      </c>
    </row>
    <row r="493" spans="1:17" x14ac:dyDescent="0.3">
      <c r="A493">
        <v>33450</v>
      </c>
      <c r="B493" t="s">
        <v>2965</v>
      </c>
      <c r="C493" t="s">
        <v>2966</v>
      </c>
      <c r="D493" s="3">
        <v>26216</v>
      </c>
      <c r="E493" t="s">
        <v>1188</v>
      </c>
      <c r="F493">
        <v>197</v>
      </c>
      <c r="G493" s="3">
        <v>43472</v>
      </c>
      <c r="H493" t="s">
        <v>2967</v>
      </c>
      <c r="J493" t="s">
        <v>1196</v>
      </c>
      <c r="K493" t="s">
        <v>195</v>
      </c>
      <c r="L493" s="3">
        <v>47011</v>
      </c>
      <c r="M493" s="3">
        <v>47009</v>
      </c>
      <c r="N493" t="s">
        <v>2968</v>
      </c>
      <c r="O493" s="4">
        <v>1</v>
      </c>
      <c r="P493">
        <v>0</v>
      </c>
      <c r="Q493">
        <v>1</v>
      </c>
    </row>
    <row r="494" spans="1:17" x14ac:dyDescent="0.3">
      <c r="A494">
        <v>14021</v>
      </c>
      <c r="B494" t="s">
        <v>2969</v>
      </c>
      <c r="C494" t="s">
        <v>2966</v>
      </c>
      <c r="D494" s="3">
        <v>29626</v>
      </c>
      <c r="E494" t="s">
        <v>1188</v>
      </c>
      <c r="F494">
        <v>37</v>
      </c>
      <c r="G494" s="3">
        <v>37193</v>
      </c>
      <c r="H494" t="s">
        <v>2970</v>
      </c>
      <c r="J494" t="s">
        <v>1214</v>
      </c>
      <c r="K494" t="s">
        <v>199</v>
      </c>
      <c r="L494" s="3">
        <v>72686</v>
      </c>
      <c r="M494" s="3">
        <v>46742</v>
      </c>
      <c r="N494" t="s">
        <v>2971</v>
      </c>
      <c r="O494" s="4">
        <v>1</v>
      </c>
      <c r="P494">
        <v>0</v>
      </c>
      <c r="Q494">
        <v>1</v>
      </c>
    </row>
    <row r="495" spans="1:17" x14ac:dyDescent="0.3">
      <c r="A495">
        <v>37683</v>
      </c>
      <c r="B495" t="s">
        <v>2131</v>
      </c>
      <c r="C495" t="s">
        <v>2972</v>
      </c>
      <c r="D495" s="3">
        <v>35863</v>
      </c>
      <c r="E495" t="s">
        <v>1188</v>
      </c>
      <c r="G495" s="3">
        <v>44739</v>
      </c>
      <c r="H495" t="s">
        <v>2973</v>
      </c>
      <c r="J495" t="s">
        <v>1378</v>
      </c>
      <c r="K495" t="s">
        <v>199</v>
      </c>
      <c r="L495" s="3">
        <v>46610</v>
      </c>
      <c r="M495" s="3">
        <v>46511</v>
      </c>
      <c r="N495" t="s">
        <v>2974</v>
      </c>
      <c r="O495" s="4">
        <v>1</v>
      </c>
      <c r="P495">
        <v>0</v>
      </c>
      <c r="Q495">
        <v>0</v>
      </c>
    </row>
    <row r="496" spans="1:17" x14ac:dyDescent="0.3">
      <c r="A496">
        <v>37999</v>
      </c>
      <c r="B496" t="s">
        <v>2975</v>
      </c>
      <c r="C496" t="s">
        <v>2976</v>
      </c>
      <c r="D496" s="3">
        <v>22487</v>
      </c>
      <c r="E496" t="s">
        <v>1188</v>
      </c>
      <c r="G496" s="3">
        <v>44805</v>
      </c>
      <c r="J496" t="s">
        <v>1751</v>
      </c>
      <c r="K496" t="s">
        <v>199</v>
      </c>
      <c r="L496" s="3">
        <v>1</v>
      </c>
      <c r="M496" s="3">
        <v>45949</v>
      </c>
      <c r="N496" t="s">
        <v>2977</v>
      </c>
      <c r="O496" s="4">
        <v>1</v>
      </c>
      <c r="P496">
        <v>0</v>
      </c>
      <c r="Q496">
        <v>0</v>
      </c>
    </row>
    <row r="497" spans="1:17" x14ac:dyDescent="0.3">
      <c r="A497">
        <v>40362</v>
      </c>
      <c r="B497" t="s">
        <v>2978</v>
      </c>
      <c r="C497" t="s">
        <v>1506</v>
      </c>
      <c r="D497" s="3">
        <v>28613</v>
      </c>
      <c r="E497" t="s">
        <v>1188</v>
      </c>
      <c r="G497" s="3">
        <v>45394</v>
      </c>
      <c r="H497" t="s">
        <v>2979</v>
      </c>
      <c r="J497" t="s">
        <v>1718</v>
      </c>
      <c r="K497" t="s">
        <v>195</v>
      </c>
      <c r="L497" s="3">
        <v>47239</v>
      </c>
      <c r="M497" s="3">
        <v>47201</v>
      </c>
      <c r="N497" t="s">
        <v>2980</v>
      </c>
      <c r="O497" s="4">
        <v>1</v>
      </c>
      <c r="P497">
        <v>0</v>
      </c>
      <c r="Q497">
        <v>0</v>
      </c>
    </row>
    <row r="498" spans="1:17" x14ac:dyDescent="0.3">
      <c r="A498">
        <v>21249</v>
      </c>
      <c r="B498" t="s">
        <v>2573</v>
      </c>
      <c r="C498" t="s">
        <v>2981</v>
      </c>
      <c r="D498" s="3">
        <v>30655</v>
      </c>
      <c r="E498" t="s">
        <v>1188</v>
      </c>
      <c r="F498">
        <v>139</v>
      </c>
      <c r="G498" s="3">
        <v>39314</v>
      </c>
      <c r="H498" t="s">
        <v>2982</v>
      </c>
      <c r="I498">
        <v>92255582</v>
      </c>
      <c r="J498" t="s">
        <v>1229</v>
      </c>
      <c r="K498" t="s">
        <v>189</v>
      </c>
      <c r="L498" s="3">
        <v>46447</v>
      </c>
      <c r="M498" s="3">
        <v>46418</v>
      </c>
      <c r="N498" t="s">
        <v>2983</v>
      </c>
      <c r="O498" s="4">
        <v>0.8</v>
      </c>
      <c r="P498">
        <v>0</v>
      </c>
      <c r="Q498">
        <v>1</v>
      </c>
    </row>
    <row r="499" spans="1:17" x14ac:dyDescent="0.3">
      <c r="A499">
        <v>39558</v>
      </c>
      <c r="B499" t="s">
        <v>2780</v>
      </c>
      <c r="C499" t="s">
        <v>2984</v>
      </c>
      <c r="D499" s="3">
        <v>31519</v>
      </c>
      <c r="E499" t="s">
        <v>1188</v>
      </c>
      <c r="G499" s="3">
        <v>45208</v>
      </c>
      <c r="H499" t="s">
        <v>2985</v>
      </c>
      <c r="J499" t="s">
        <v>1196</v>
      </c>
      <c r="K499" t="s">
        <v>199</v>
      </c>
      <c r="L499" s="3">
        <v>47052</v>
      </c>
      <c r="M499" s="3">
        <v>46974</v>
      </c>
      <c r="N499" t="s">
        <v>2986</v>
      </c>
      <c r="O499" s="4">
        <v>1</v>
      </c>
      <c r="P499">
        <v>0</v>
      </c>
      <c r="Q499">
        <v>0</v>
      </c>
    </row>
    <row r="500" spans="1:17" x14ac:dyDescent="0.3">
      <c r="A500">
        <v>38807</v>
      </c>
      <c r="B500" t="s">
        <v>2987</v>
      </c>
      <c r="C500" t="s">
        <v>2988</v>
      </c>
      <c r="D500" s="3">
        <v>24130</v>
      </c>
      <c r="E500" t="s">
        <v>1188</v>
      </c>
      <c r="G500" s="3">
        <v>45027</v>
      </c>
      <c r="H500" t="s">
        <v>2989</v>
      </c>
      <c r="J500" t="s">
        <v>1196</v>
      </c>
      <c r="K500" t="s">
        <v>189</v>
      </c>
      <c r="L500" s="3">
        <v>46874</v>
      </c>
      <c r="M500" s="3">
        <v>46810</v>
      </c>
      <c r="N500" t="s">
        <v>2990</v>
      </c>
      <c r="O500" s="4">
        <v>1</v>
      </c>
      <c r="P500">
        <v>0</v>
      </c>
      <c r="Q500">
        <v>0</v>
      </c>
    </row>
    <row r="501" spans="1:17" x14ac:dyDescent="0.3">
      <c r="A501">
        <v>40058</v>
      </c>
      <c r="B501" t="s">
        <v>2991</v>
      </c>
      <c r="C501" t="s">
        <v>2992</v>
      </c>
      <c r="D501" s="3">
        <v>37636</v>
      </c>
      <c r="E501" t="s">
        <v>1188</v>
      </c>
      <c r="G501" s="3">
        <v>45321</v>
      </c>
      <c r="H501" t="s">
        <v>2993</v>
      </c>
      <c r="J501" t="s">
        <v>1196</v>
      </c>
      <c r="K501" t="s">
        <v>189</v>
      </c>
      <c r="L501" s="3">
        <v>47164</v>
      </c>
      <c r="M501" s="3">
        <v>47134</v>
      </c>
      <c r="N501" t="s">
        <v>2994</v>
      </c>
      <c r="O501" s="4">
        <v>1</v>
      </c>
      <c r="P501">
        <v>0</v>
      </c>
      <c r="Q501">
        <v>0</v>
      </c>
    </row>
    <row r="502" spans="1:17" x14ac:dyDescent="0.3">
      <c r="A502">
        <v>37950</v>
      </c>
      <c r="B502" t="s">
        <v>2995</v>
      </c>
      <c r="C502" t="s">
        <v>2996</v>
      </c>
      <c r="D502" s="3">
        <v>26858</v>
      </c>
      <c r="E502" t="s">
        <v>1188</v>
      </c>
      <c r="G502" s="3">
        <v>44809</v>
      </c>
      <c r="H502" t="s">
        <v>2997</v>
      </c>
      <c r="J502" t="s">
        <v>1718</v>
      </c>
      <c r="K502" t="s">
        <v>185</v>
      </c>
      <c r="L502" s="3">
        <v>46651</v>
      </c>
      <c r="M502" s="3">
        <v>46565</v>
      </c>
      <c r="N502" t="s">
        <v>2998</v>
      </c>
      <c r="O502" s="4">
        <v>1</v>
      </c>
      <c r="P502">
        <v>0</v>
      </c>
      <c r="Q502">
        <v>0</v>
      </c>
    </row>
    <row r="503" spans="1:17" x14ac:dyDescent="0.3">
      <c r="A503">
        <v>25993</v>
      </c>
      <c r="B503" t="s">
        <v>2999</v>
      </c>
      <c r="C503" t="s">
        <v>2996</v>
      </c>
      <c r="D503" s="3">
        <v>27364</v>
      </c>
      <c r="E503" t="s">
        <v>1188</v>
      </c>
      <c r="F503">
        <v>137</v>
      </c>
      <c r="G503" s="3">
        <v>40567</v>
      </c>
      <c r="H503" t="s">
        <v>3000</v>
      </c>
      <c r="J503" t="s">
        <v>1229</v>
      </c>
      <c r="K503" t="s">
        <v>189</v>
      </c>
      <c r="L503" s="3">
        <v>45931</v>
      </c>
      <c r="M503" s="3">
        <v>45902</v>
      </c>
      <c r="N503" t="s">
        <v>3001</v>
      </c>
      <c r="O503" s="4">
        <v>1</v>
      </c>
      <c r="P503">
        <v>0</v>
      </c>
      <c r="Q503">
        <v>1</v>
      </c>
    </row>
    <row r="504" spans="1:17" x14ac:dyDescent="0.3">
      <c r="A504">
        <v>35490</v>
      </c>
      <c r="B504" t="s">
        <v>3002</v>
      </c>
      <c r="C504" t="s">
        <v>3003</v>
      </c>
      <c r="D504" s="3">
        <v>35139</v>
      </c>
      <c r="E504" t="s">
        <v>1188</v>
      </c>
      <c r="F504">
        <v>10</v>
      </c>
      <c r="G504" s="3">
        <v>44025</v>
      </c>
      <c r="H504" t="s">
        <v>3004</v>
      </c>
      <c r="J504" t="s">
        <v>1201</v>
      </c>
      <c r="K504" t="s">
        <v>199</v>
      </c>
      <c r="L504" s="3">
        <v>47526</v>
      </c>
      <c r="M504" s="3">
        <v>47524</v>
      </c>
      <c r="N504" t="s">
        <v>3005</v>
      </c>
      <c r="O504" s="4">
        <v>1</v>
      </c>
      <c r="P504">
        <v>0</v>
      </c>
      <c r="Q504">
        <v>0</v>
      </c>
    </row>
    <row r="505" spans="1:17" x14ac:dyDescent="0.3">
      <c r="A505">
        <v>36512</v>
      </c>
      <c r="B505" t="s">
        <v>3006</v>
      </c>
      <c r="C505" t="s">
        <v>3007</v>
      </c>
      <c r="D505" s="3">
        <v>36403</v>
      </c>
      <c r="E505" t="s">
        <v>1188</v>
      </c>
      <c r="G505" s="3">
        <v>44333</v>
      </c>
      <c r="H505" t="s">
        <v>3008</v>
      </c>
      <c r="J505" t="s">
        <v>1299</v>
      </c>
      <c r="K505" t="s">
        <v>199</v>
      </c>
      <c r="L505" s="3">
        <v>46174</v>
      </c>
      <c r="M505" s="3">
        <v>46124</v>
      </c>
      <c r="N505" t="s">
        <v>3009</v>
      </c>
      <c r="O505" s="4">
        <v>0.8</v>
      </c>
      <c r="P505">
        <v>0</v>
      </c>
      <c r="Q505">
        <v>1</v>
      </c>
    </row>
    <row r="506" spans="1:17" x14ac:dyDescent="0.3">
      <c r="A506">
        <v>35414</v>
      </c>
      <c r="B506" t="s">
        <v>3010</v>
      </c>
      <c r="C506" t="s">
        <v>3011</v>
      </c>
      <c r="D506" s="3">
        <v>31067</v>
      </c>
      <c r="E506" t="s">
        <v>1188</v>
      </c>
      <c r="F506">
        <v>324</v>
      </c>
      <c r="G506" s="3">
        <v>44039</v>
      </c>
      <c r="H506" t="s">
        <v>3012</v>
      </c>
      <c r="J506" t="s">
        <v>1196</v>
      </c>
      <c r="K506" t="s">
        <v>199</v>
      </c>
      <c r="L506" s="3">
        <v>47393</v>
      </c>
      <c r="M506" s="3">
        <v>47351</v>
      </c>
      <c r="N506" t="s">
        <v>3013</v>
      </c>
      <c r="O506" s="4">
        <v>1</v>
      </c>
      <c r="P506">
        <v>0</v>
      </c>
      <c r="Q506">
        <v>0</v>
      </c>
    </row>
    <row r="507" spans="1:17" x14ac:dyDescent="0.3">
      <c r="A507">
        <v>29477</v>
      </c>
      <c r="B507" t="s">
        <v>3014</v>
      </c>
      <c r="C507" t="s">
        <v>3015</v>
      </c>
      <c r="D507" s="3">
        <v>30968</v>
      </c>
      <c r="E507" t="s">
        <v>1188</v>
      </c>
      <c r="F507">
        <v>436</v>
      </c>
      <c r="G507" s="3">
        <v>41946</v>
      </c>
      <c r="H507" t="s">
        <v>3016</v>
      </c>
      <c r="J507" t="s">
        <v>1444</v>
      </c>
      <c r="K507" t="s">
        <v>197</v>
      </c>
      <c r="L507" s="3">
        <v>47279</v>
      </c>
      <c r="M507" s="3">
        <v>47267</v>
      </c>
      <c r="N507" t="s">
        <v>3017</v>
      </c>
      <c r="O507" s="4">
        <v>0.8</v>
      </c>
      <c r="P507">
        <v>0</v>
      </c>
      <c r="Q507">
        <v>0</v>
      </c>
    </row>
    <row r="508" spans="1:17" x14ac:dyDescent="0.3">
      <c r="A508">
        <v>41550</v>
      </c>
      <c r="B508" t="s">
        <v>3018</v>
      </c>
      <c r="C508" t="s">
        <v>3019</v>
      </c>
      <c r="D508" s="3">
        <v>31677</v>
      </c>
      <c r="E508" t="s">
        <v>1188</v>
      </c>
      <c r="G508" s="3">
        <v>45735</v>
      </c>
      <c r="H508" t="s">
        <v>3020</v>
      </c>
      <c r="J508" t="s">
        <v>1196</v>
      </c>
      <c r="K508" t="s">
        <v>189</v>
      </c>
      <c r="L508" s="3">
        <v>47115</v>
      </c>
      <c r="M508" s="3">
        <v>47015</v>
      </c>
      <c r="N508" t="s">
        <v>3021</v>
      </c>
      <c r="O508" s="4">
        <v>1</v>
      </c>
      <c r="P508">
        <v>0</v>
      </c>
      <c r="Q508">
        <v>0</v>
      </c>
    </row>
    <row r="509" spans="1:17" x14ac:dyDescent="0.3">
      <c r="A509">
        <v>37226</v>
      </c>
      <c r="B509" t="s">
        <v>3022</v>
      </c>
      <c r="C509" t="s">
        <v>3019</v>
      </c>
      <c r="D509" s="3">
        <v>33397</v>
      </c>
      <c r="E509" t="s">
        <v>1188</v>
      </c>
      <c r="G509" s="3">
        <v>44613</v>
      </c>
      <c r="H509" t="s">
        <v>3023</v>
      </c>
      <c r="J509" t="s">
        <v>1229</v>
      </c>
      <c r="K509" t="s">
        <v>193</v>
      </c>
      <c r="L509" s="3">
        <v>46453</v>
      </c>
      <c r="M509" s="3">
        <v>46273</v>
      </c>
      <c r="N509" t="s">
        <v>3024</v>
      </c>
      <c r="O509" s="4">
        <v>0.8</v>
      </c>
      <c r="P509">
        <v>0</v>
      </c>
      <c r="Q509">
        <v>1</v>
      </c>
    </row>
    <row r="510" spans="1:17" x14ac:dyDescent="0.3">
      <c r="A510">
        <v>39907</v>
      </c>
      <c r="B510" t="s">
        <v>3025</v>
      </c>
      <c r="C510" t="s">
        <v>3026</v>
      </c>
      <c r="D510" s="3">
        <v>29982</v>
      </c>
      <c r="E510" t="s">
        <v>1188</v>
      </c>
      <c r="G510" s="3">
        <v>45299</v>
      </c>
      <c r="H510" t="s">
        <v>3027</v>
      </c>
      <c r="J510" t="s">
        <v>1196</v>
      </c>
      <c r="K510" t="s">
        <v>195</v>
      </c>
      <c r="L510" s="3">
        <v>47169</v>
      </c>
      <c r="M510" s="3">
        <v>47077</v>
      </c>
      <c r="N510" t="s">
        <v>3028</v>
      </c>
      <c r="O510" s="4">
        <v>1</v>
      </c>
      <c r="P510">
        <v>0</v>
      </c>
      <c r="Q510">
        <v>0</v>
      </c>
    </row>
    <row r="511" spans="1:17" x14ac:dyDescent="0.3">
      <c r="A511">
        <v>36438</v>
      </c>
      <c r="B511" t="s">
        <v>3029</v>
      </c>
      <c r="C511" t="s">
        <v>3030</v>
      </c>
      <c r="D511" s="3">
        <v>26348</v>
      </c>
      <c r="E511" t="s">
        <v>1188</v>
      </c>
      <c r="G511" s="3">
        <v>44298</v>
      </c>
      <c r="H511" t="s">
        <v>3031</v>
      </c>
      <c r="J511" t="s">
        <v>1191</v>
      </c>
      <c r="K511" t="s">
        <v>187</v>
      </c>
      <c r="L511" s="3">
        <v>46138</v>
      </c>
      <c r="M511" s="3">
        <v>46097</v>
      </c>
      <c r="N511" t="s">
        <v>3032</v>
      </c>
      <c r="O511" s="4">
        <v>1</v>
      </c>
      <c r="P511">
        <v>0</v>
      </c>
      <c r="Q511">
        <v>1</v>
      </c>
    </row>
    <row r="512" spans="1:17" x14ac:dyDescent="0.3">
      <c r="A512">
        <v>40223</v>
      </c>
      <c r="B512" t="s">
        <v>3033</v>
      </c>
      <c r="C512" t="s">
        <v>3034</v>
      </c>
      <c r="D512" s="3">
        <v>35832</v>
      </c>
      <c r="E512" t="s">
        <v>1188</v>
      </c>
      <c r="G512" s="3">
        <v>45349</v>
      </c>
      <c r="H512" t="s">
        <v>3035</v>
      </c>
      <c r="J512" t="s">
        <v>1196</v>
      </c>
      <c r="K512" t="s">
        <v>185</v>
      </c>
      <c r="L512" s="3">
        <v>47194</v>
      </c>
      <c r="M512" s="3">
        <v>47168</v>
      </c>
      <c r="N512" t="s">
        <v>3036</v>
      </c>
      <c r="O512" s="4">
        <v>0.8</v>
      </c>
      <c r="P512">
        <v>0</v>
      </c>
      <c r="Q512">
        <v>0</v>
      </c>
    </row>
    <row r="513" spans="1:17" x14ac:dyDescent="0.3">
      <c r="A513">
        <v>37543</v>
      </c>
      <c r="B513" t="s">
        <v>3037</v>
      </c>
      <c r="C513" t="s">
        <v>3038</v>
      </c>
      <c r="D513" s="3">
        <v>25212</v>
      </c>
      <c r="E513" t="s">
        <v>1188</v>
      </c>
      <c r="G513" s="3">
        <v>44683</v>
      </c>
      <c r="H513" t="s">
        <v>3039</v>
      </c>
      <c r="J513" t="s">
        <v>1196</v>
      </c>
      <c r="K513" t="s">
        <v>195</v>
      </c>
      <c r="L513" s="3">
        <v>46529</v>
      </c>
      <c r="M513" s="3">
        <v>46470</v>
      </c>
      <c r="N513" t="s">
        <v>3040</v>
      </c>
      <c r="O513" s="4">
        <v>1</v>
      </c>
      <c r="P513">
        <v>0</v>
      </c>
      <c r="Q513">
        <v>0</v>
      </c>
    </row>
    <row r="514" spans="1:17" x14ac:dyDescent="0.3">
      <c r="A514">
        <v>28835</v>
      </c>
      <c r="B514" t="s">
        <v>3041</v>
      </c>
      <c r="C514" t="s">
        <v>3042</v>
      </c>
      <c r="D514" s="3">
        <v>33067</v>
      </c>
      <c r="E514" t="s">
        <v>1188</v>
      </c>
      <c r="F514">
        <v>241</v>
      </c>
      <c r="G514" s="3">
        <v>41722</v>
      </c>
      <c r="H514" t="s">
        <v>3043</v>
      </c>
      <c r="J514" t="s">
        <v>1303</v>
      </c>
      <c r="K514" t="s">
        <v>189</v>
      </c>
      <c r="L514" s="3">
        <v>47135</v>
      </c>
      <c r="M514" s="3">
        <v>47051</v>
      </c>
      <c r="N514" t="s">
        <v>3044</v>
      </c>
      <c r="O514" s="4">
        <v>0.8</v>
      </c>
      <c r="P514">
        <v>0</v>
      </c>
      <c r="Q514">
        <v>0</v>
      </c>
    </row>
    <row r="515" spans="1:17" x14ac:dyDescent="0.3">
      <c r="A515">
        <v>32245</v>
      </c>
      <c r="B515" t="s">
        <v>3045</v>
      </c>
      <c r="C515" t="s">
        <v>3046</v>
      </c>
      <c r="D515" s="3">
        <v>28206</v>
      </c>
      <c r="E515" t="s">
        <v>1188</v>
      </c>
      <c r="F515">
        <v>240</v>
      </c>
      <c r="G515" s="3">
        <v>43073</v>
      </c>
      <c r="H515" t="s">
        <v>3047</v>
      </c>
      <c r="I515" t="s">
        <v>3048</v>
      </c>
      <c r="J515" t="s">
        <v>1718</v>
      </c>
      <c r="K515" t="s">
        <v>191</v>
      </c>
      <c r="L515" s="3">
        <v>46676</v>
      </c>
      <c r="M515" s="3">
        <v>46616</v>
      </c>
      <c r="N515" t="s">
        <v>3049</v>
      </c>
      <c r="O515" s="4">
        <v>1</v>
      </c>
      <c r="P515">
        <v>0</v>
      </c>
      <c r="Q515">
        <v>0</v>
      </c>
    </row>
    <row r="516" spans="1:17" x14ac:dyDescent="0.3">
      <c r="A516">
        <v>5076</v>
      </c>
      <c r="B516" t="s">
        <v>3050</v>
      </c>
      <c r="C516" t="s">
        <v>3051</v>
      </c>
      <c r="D516" s="3">
        <v>23694</v>
      </c>
      <c r="E516" t="s">
        <v>1188</v>
      </c>
      <c r="F516">
        <v>630</v>
      </c>
      <c r="G516" s="3">
        <v>33308</v>
      </c>
      <c r="H516" t="s">
        <v>3052</v>
      </c>
      <c r="I516">
        <v>92277204</v>
      </c>
      <c r="J516" t="s">
        <v>1307</v>
      </c>
      <c r="K516" t="s">
        <v>187</v>
      </c>
      <c r="L516" s="3">
        <v>45844</v>
      </c>
      <c r="M516" s="3">
        <v>46834</v>
      </c>
      <c r="N516" t="s">
        <v>3053</v>
      </c>
      <c r="O516" s="4">
        <v>0.8</v>
      </c>
      <c r="P516">
        <v>0</v>
      </c>
      <c r="Q516">
        <v>0</v>
      </c>
    </row>
    <row r="517" spans="1:17" x14ac:dyDescent="0.3">
      <c r="A517">
        <v>23918</v>
      </c>
      <c r="B517" t="s">
        <v>3054</v>
      </c>
      <c r="C517" t="s">
        <v>3051</v>
      </c>
      <c r="D517" s="3">
        <v>26005</v>
      </c>
      <c r="E517" t="s">
        <v>1188</v>
      </c>
      <c r="F517">
        <v>376</v>
      </c>
      <c r="G517" s="3">
        <v>39972</v>
      </c>
      <c r="H517" t="s">
        <v>3055</v>
      </c>
      <c r="J517" t="s">
        <v>1303</v>
      </c>
      <c r="K517" t="s">
        <v>191</v>
      </c>
      <c r="L517" s="3">
        <v>47143</v>
      </c>
      <c r="M517" s="3">
        <v>46005</v>
      </c>
      <c r="N517" t="s">
        <v>3056</v>
      </c>
      <c r="O517" s="4">
        <v>1</v>
      </c>
      <c r="P517">
        <v>0</v>
      </c>
      <c r="Q517">
        <v>1</v>
      </c>
    </row>
    <row r="518" spans="1:17" x14ac:dyDescent="0.3">
      <c r="A518">
        <v>40890</v>
      </c>
      <c r="B518" t="s">
        <v>3057</v>
      </c>
      <c r="C518" t="s">
        <v>3058</v>
      </c>
      <c r="D518" s="3">
        <v>37705</v>
      </c>
      <c r="E518" t="s">
        <v>1188</v>
      </c>
      <c r="G518" s="3">
        <v>45530</v>
      </c>
      <c r="H518" t="s">
        <v>3059</v>
      </c>
      <c r="I518">
        <v>497579525</v>
      </c>
      <c r="J518" t="s">
        <v>1196</v>
      </c>
      <c r="K518" t="s">
        <v>185</v>
      </c>
      <c r="L518" s="3">
        <v>47372</v>
      </c>
      <c r="M518" s="3">
        <v>47303</v>
      </c>
      <c r="N518" t="s">
        <v>3060</v>
      </c>
      <c r="O518" s="4">
        <v>1</v>
      </c>
      <c r="P518">
        <v>0</v>
      </c>
      <c r="Q518">
        <v>0</v>
      </c>
    </row>
    <row r="519" spans="1:17" x14ac:dyDescent="0.3">
      <c r="A519">
        <v>40006</v>
      </c>
      <c r="B519" t="s">
        <v>2912</v>
      </c>
      <c r="C519" t="s">
        <v>3061</v>
      </c>
      <c r="D519" s="3">
        <v>38314</v>
      </c>
      <c r="E519" t="s">
        <v>1188</v>
      </c>
      <c r="G519" s="3">
        <v>45307</v>
      </c>
      <c r="H519" t="s">
        <v>3062</v>
      </c>
      <c r="J519" t="s">
        <v>1196</v>
      </c>
      <c r="K519" t="s">
        <v>189</v>
      </c>
      <c r="L519" s="3">
        <v>47154</v>
      </c>
      <c r="M519" s="3">
        <v>47126</v>
      </c>
      <c r="N519" t="s">
        <v>3063</v>
      </c>
      <c r="O519" s="4">
        <v>1</v>
      </c>
      <c r="P519">
        <v>0</v>
      </c>
      <c r="Q519">
        <v>0</v>
      </c>
    </row>
    <row r="520" spans="1:17" x14ac:dyDescent="0.3">
      <c r="A520">
        <v>36275</v>
      </c>
      <c r="B520" t="s">
        <v>3064</v>
      </c>
      <c r="C520" t="s">
        <v>3065</v>
      </c>
      <c r="D520" s="3">
        <v>27839</v>
      </c>
      <c r="E520" t="s">
        <v>1442</v>
      </c>
      <c r="G520" s="3">
        <v>44270</v>
      </c>
      <c r="H520" t="s">
        <v>3066</v>
      </c>
      <c r="J520" t="s">
        <v>1299</v>
      </c>
      <c r="K520" t="s">
        <v>185</v>
      </c>
      <c r="L520" s="3">
        <v>46368</v>
      </c>
      <c r="M520" s="3">
        <v>46120</v>
      </c>
      <c r="N520" t="s">
        <v>3067</v>
      </c>
      <c r="O520" s="4">
        <v>1</v>
      </c>
      <c r="P520">
        <v>0</v>
      </c>
      <c r="Q520">
        <v>0</v>
      </c>
    </row>
    <row r="521" spans="1:17" x14ac:dyDescent="0.3">
      <c r="A521">
        <v>19086</v>
      </c>
      <c r="B521" t="s">
        <v>2271</v>
      </c>
      <c r="C521" t="s">
        <v>3068</v>
      </c>
      <c r="D521" s="3">
        <v>29513</v>
      </c>
      <c r="E521" t="s">
        <v>1188</v>
      </c>
      <c r="F521">
        <v>264</v>
      </c>
      <c r="G521" s="3">
        <v>38789</v>
      </c>
      <c r="H521" t="s">
        <v>3069</v>
      </c>
      <c r="J521" t="s">
        <v>1263</v>
      </c>
      <c r="K521" t="s">
        <v>199</v>
      </c>
      <c r="L521" s="3">
        <v>72686</v>
      </c>
      <c r="M521" s="3">
        <v>46932</v>
      </c>
      <c r="N521" t="s">
        <v>3070</v>
      </c>
      <c r="O521" s="4">
        <v>1</v>
      </c>
      <c r="P521">
        <v>0</v>
      </c>
      <c r="Q521">
        <v>0</v>
      </c>
    </row>
    <row r="522" spans="1:17" x14ac:dyDescent="0.3">
      <c r="A522">
        <v>41521</v>
      </c>
      <c r="B522" t="s">
        <v>3071</v>
      </c>
      <c r="C522" t="s">
        <v>3072</v>
      </c>
      <c r="D522" s="3">
        <v>31115</v>
      </c>
      <c r="E522" t="s">
        <v>1188</v>
      </c>
      <c r="G522" s="3">
        <v>45720</v>
      </c>
      <c r="H522" t="s">
        <v>3073</v>
      </c>
      <c r="J522" t="s">
        <v>1196</v>
      </c>
      <c r="K522" t="s">
        <v>195</v>
      </c>
      <c r="L522" s="3">
        <v>1</v>
      </c>
      <c r="M522" s="3">
        <v>1</v>
      </c>
      <c r="N522" t="s">
        <v>3074</v>
      </c>
      <c r="O522" s="4">
        <v>1</v>
      </c>
      <c r="P522">
        <v>0</v>
      </c>
      <c r="Q522">
        <v>0</v>
      </c>
    </row>
    <row r="523" spans="1:17" x14ac:dyDescent="0.3">
      <c r="A523">
        <v>39856</v>
      </c>
      <c r="B523" t="s">
        <v>3075</v>
      </c>
      <c r="C523" t="s">
        <v>3076</v>
      </c>
      <c r="D523" s="3">
        <v>33698</v>
      </c>
      <c r="E523" t="s">
        <v>1188</v>
      </c>
      <c r="G523" s="3">
        <v>45264</v>
      </c>
      <c r="H523" t="s">
        <v>3077</v>
      </c>
      <c r="J523" t="s">
        <v>1196</v>
      </c>
      <c r="K523" t="s">
        <v>195</v>
      </c>
      <c r="L523" s="3">
        <v>47108</v>
      </c>
      <c r="M523" s="3">
        <v>47072</v>
      </c>
      <c r="N523" t="s">
        <v>3078</v>
      </c>
      <c r="O523" s="4">
        <v>1</v>
      </c>
      <c r="P523">
        <v>0</v>
      </c>
      <c r="Q523">
        <v>0</v>
      </c>
    </row>
    <row r="524" spans="1:17" x14ac:dyDescent="0.3">
      <c r="A524">
        <v>39610</v>
      </c>
      <c r="B524" t="s">
        <v>3079</v>
      </c>
      <c r="C524" t="s">
        <v>3080</v>
      </c>
      <c r="D524" s="3">
        <v>35615</v>
      </c>
      <c r="E524" t="s">
        <v>1188</v>
      </c>
      <c r="G524" s="3">
        <v>45208</v>
      </c>
      <c r="H524" t="s">
        <v>3081</v>
      </c>
      <c r="J524" t="s">
        <v>1196</v>
      </c>
      <c r="K524" t="s">
        <v>187</v>
      </c>
      <c r="L524" s="3">
        <v>47049</v>
      </c>
      <c r="M524" s="3">
        <v>47009</v>
      </c>
      <c r="N524" t="s">
        <v>3082</v>
      </c>
      <c r="O524" s="4">
        <v>1</v>
      </c>
      <c r="P524">
        <v>0</v>
      </c>
      <c r="Q524">
        <v>0</v>
      </c>
    </row>
    <row r="525" spans="1:17" x14ac:dyDescent="0.3">
      <c r="A525">
        <v>5063</v>
      </c>
      <c r="B525" t="s">
        <v>3083</v>
      </c>
      <c r="C525" t="s">
        <v>3084</v>
      </c>
      <c r="D525" s="3">
        <v>25160</v>
      </c>
      <c r="E525" t="s">
        <v>1188</v>
      </c>
      <c r="F525">
        <v>232</v>
      </c>
      <c r="G525" s="3">
        <v>33287</v>
      </c>
      <c r="H525" t="s">
        <v>3085</v>
      </c>
      <c r="J525" t="s">
        <v>1488</v>
      </c>
      <c r="K525" t="s">
        <v>197</v>
      </c>
      <c r="L525" s="3">
        <v>45952</v>
      </c>
      <c r="M525" s="3">
        <v>46665</v>
      </c>
      <c r="N525" t="s">
        <v>3086</v>
      </c>
      <c r="O525" s="4">
        <v>0.8</v>
      </c>
      <c r="P525">
        <v>0</v>
      </c>
      <c r="Q525">
        <v>0</v>
      </c>
    </row>
    <row r="526" spans="1:17" x14ac:dyDescent="0.3">
      <c r="A526">
        <v>41230</v>
      </c>
      <c r="B526" t="s">
        <v>3087</v>
      </c>
      <c r="C526" t="s">
        <v>3084</v>
      </c>
      <c r="D526" s="3">
        <v>27424</v>
      </c>
      <c r="E526" t="s">
        <v>1188</v>
      </c>
      <c r="G526" s="3">
        <v>45603</v>
      </c>
      <c r="H526" t="s">
        <v>3088</v>
      </c>
      <c r="J526" t="s">
        <v>1196</v>
      </c>
      <c r="K526" t="s">
        <v>185</v>
      </c>
      <c r="L526" s="3">
        <v>47448</v>
      </c>
      <c r="M526" s="3">
        <v>47407</v>
      </c>
      <c r="N526" t="s">
        <v>3089</v>
      </c>
      <c r="O526" s="4">
        <v>1</v>
      </c>
      <c r="P526">
        <v>0</v>
      </c>
      <c r="Q526">
        <v>0</v>
      </c>
    </row>
    <row r="527" spans="1:17" x14ac:dyDescent="0.3">
      <c r="A527">
        <v>27713</v>
      </c>
      <c r="B527" t="s">
        <v>3090</v>
      </c>
      <c r="C527" t="s">
        <v>3084</v>
      </c>
      <c r="D527" s="3">
        <v>25474</v>
      </c>
      <c r="E527" t="s">
        <v>1188</v>
      </c>
      <c r="F527">
        <v>77</v>
      </c>
      <c r="G527" s="3">
        <v>41218</v>
      </c>
      <c r="H527" t="s">
        <v>3091</v>
      </c>
      <c r="J527" t="s">
        <v>1263</v>
      </c>
      <c r="K527" t="s">
        <v>193</v>
      </c>
      <c r="L527" s="3">
        <v>46601</v>
      </c>
      <c r="M527" s="3">
        <v>46593</v>
      </c>
      <c r="N527" t="s">
        <v>3092</v>
      </c>
      <c r="O527" s="4">
        <v>0.8</v>
      </c>
      <c r="P527">
        <v>0</v>
      </c>
      <c r="Q527">
        <v>0</v>
      </c>
    </row>
    <row r="528" spans="1:17" x14ac:dyDescent="0.3">
      <c r="A528">
        <v>25486</v>
      </c>
      <c r="B528" t="s">
        <v>2417</v>
      </c>
      <c r="C528" t="s">
        <v>3084</v>
      </c>
      <c r="D528" s="3">
        <v>25942</v>
      </c>
      <c r="E528" t="s">
        <v>1188</v>
      </c>
      <c r="F528">
        <v>471</v>
      </c>
      <c r="G528" s="3">
        <v>40385</v>
      </c>
      <c r="H528" t="s">
        <v>3093</v>
      </c>
      <c r="J528" t="s">
        <v>1267</v>
      </c>
      <c r="K528" t="s">
        <v>189</v>
      </c>
      <c r="L528" s="3">
        <v>47467</v>
      </c>
      <c r="M528" s="3">
        <v>46718</v>
      </c>
      <c r="N528" t="s">
        <v>3094</v>
      </c>
      <c r="O528" s="4">
        <v>1</v>
      </c>
      <c r="P528">
        <v>0</v>
      </c>
      <c r="Q528">
        <v>0</v>
      </c>
    </row>
    <row r="529" spans="1:17" x14ac:dyDescent="0.3">
      <c r="A529">
        <v>22042</v>
      </c>
      <c r="B529" t="s">
        <v>3095</v>
      </c>
      <c r="C529" t="s">
        <v>3084</v>
      </c>
      <c r="D529" s="3">
        <v>31562</v>
      </c>
      <c r="E529" t="s">
        <v>1188</v>
      </c>
      <c r="F529">
        <v>286</v>
      </c>
      <c r="G529" s="3">
        <v>39538</v>
      </c>
      <c r="H529" t="s">
        <v>3096</v>
      </c>
      <c r="J529" t="s">
        <v>1366</v>
      </c>
      <c r="K529" t="s">
        <v>199</v>
      </c>
      <c r="L529" s="3">
        <v>45845</v>
      </c>
      <c r="M529" s="3">
        <v>46686</v>
      </c>
      <c r="N529" t="s">
        <v>3097</v>
      </c>
      <c r="O529" s="4">
        <v>1</v>
      </c>
      <c r="P529">
        <v>0</v>
      </c>
      <c r="Q529">
        <v>1</v>
      </c>
    </row>
    <row r="530" spans="1:17" x14ac:dyDescent="0.3">
      <c r="A530">
        <v>21507</v>
      </c>
      <c r="B530" t="s">
        <v>2210</v>
      </c>
      <c r="C530" t="s">
        <v>3084</v>
      </c>
      <c r="D530" s="3">
        <v>29938</v>
      </c>
      <c r="E530" t="s">
        <v>1188</v>
      </c>
      <c r="F530">
        <v>284</v>
      </c>
      <c r="G530" s="3">
        <v>39405</v>
      </c>
      <c r="H530" t="s">
        <v>3098</v>
      </c>
      <c r="J530" t="s">
        <v>1504</v>
      </c>
      <c r="K530" t="s">
        <v>195</v>
      </c>
      <c r="L530" s="3">
        <v>46662</v>
      </c>
      <c r="M530" s="3">
        <v>46658</v>
      </c>
      <c r="N530" t="s">
        <v>3099</v>
      </c>
      <c r="O530" s="4">
        <v>0.8</v>
      </c>
      <c r="P530">
        <v>0</v>
      </c>
      <c r="Q530">
        <v>0</v>
      </c>
    </row>
    <row r="531" spans="1:17" x14ac:dyDescent="0.3">
      <c r="A531">
        <v>20656</v>
      </c>
      <c r="B531" t="s">
        <v>1549</v>
      </c>
      <c r="C531" t="s">
        <v>3084</v>
      </c>
      <c r="D531" s="3">
        <v>25256</v>
      </c>
      <c r="E531" t="s">
        <v>1188</v>
      </c>
      <c r="F531">
        <v>502</v>
      </c>
      <c r="G531" s="3">
        <v>39204</v>
      </c>
      <c r="H531" t="s">
        <v>3100</v>
      </c>
      <c r="I531">
        <v>3254244570</v>
      </c>
      <c r="J531" t="s">
        <v>1349</v>
      </c>
      <c r="K531" t="s">
        <v>191</v>
      </c>
      <c r="L531" s="3">
        <v>45831</v>
      </c>
      <c r="M531" s="3">
        <v>46776</v>
      </c>
      <c r="N531" t="s">
        <v>3101</v>
      </c>
      <c r="O531" s="4">
        <v>0.8</v>
      </c>
      <c r="P531">
        <v>0</v>
      </c>
      <c r="Q531">
        <v>0</v>
      </c>
    </row>
    <row r="532" spans="1:17" x14ac:dyDescent="0.3">
      <c r="A532">
        <v>39728</v>
      </c>
      <c r="B532" t="s">
        <v>3102</v>
      </c>
      <c r="C532" t="s">
        <v>3103</v>
      </c>
      <c r="D532" s="3">
        <v>36347</v>
      </c>
      <c r="E532" t="s">
        <v>1188</v>
      </c>
      <c r="G532" s="3">
        <v>45250</v>
      </c>
      <c r="H532" t="s">
        <v>3104</v>
      </c>
      <c r="J532" t="s">
        <v>1196</v>
      </c>
      <c r="K532" t="s">
        <v>197</v>
      </c>
      <c r="L532" s="3">
        <v>47092</v>
      </c>
      <c r="M532" s="3">
        <v>47027</v>
      </c>
      <c r="N532" t="s">
        <v>3105</v>
      </c>
      <c r="O532" s="4">
        <v>1</v>
      </c>
      <c r="P532">
        <v>0</v>
      </c>
      <c r="Q532">
        <v>0</v>
      </c>
    </row>
    <row r="533" spans="1:17" x14ac:dyDescent="0.3">
      <c r="A533">
        <v>35434</v>
      </c>
      <c r="B533" t="s">
        <v>3106</v>
      </c>
      <c r="C533" t="s">
        <v>3107</v>
      </c>
      <c r="D533" s="3">
        <v>29155</v>
      </c>
      <c r="E533" t="s">
        <v>1188</v>
      </c>
      <c r="F533">
        <v>426</v>
      </c>
      <c r="G533" s="3">
        <v>44081</v>
      </c>
      <c r="H533" t="s">
        <v>3108</v>
      </c>
      <c r="J533" t="s">
        <v>1229</v>
      </c>
      <c r="K533" t="s">
        <v>185</v>
      </c>
      <c r="L533" s="3">
        <v>47435</v>
      </c>
      <c r="M533" s="3">
        <v>46646</v>
      </c>
      <c r="N533" t="s">
        <v>3109</v>
      </c>
      <c r="O533" s="4">
        <v>1</v>
      </c>
      <c r="P533">
        <v>0</v>
      </c>
      <c r="Q533">
        <v>1</v>
      </c>
    </row>
    <row r="534" spans="1:17" x14ac:dyDescent="0.3">
      <c r="A534">
        <v>24156</v>
      </c>
      <c r="B534" t="s">
        <v>3106</v>
      </c>
      <c r="C534" t="s">
        <v>3110</v>
      </c>
      <c r="D534" s="3">
        <v>32241</v>
      </c>
      <c r="E534" t="s">
        <v>1188</v>
      </c>
      <c r="F534">
        <v>432</v>
      </c>
      <c r="G534" s="3">
        <v>40000</v>
      </c>
      <c r="H534" t="s">
        <v>3111</v>
      </c>
      <c r="J534" t="s">
        <v>1229</v>
      </c>
      <c r="K534" t="s">
        <v>189</v>
      </c>
      <c r="L534" s="3">
        <v>47129</v>
      </c>
      <c r="M534" s="3">
        <v>47105</v>
      </c>
      <c r="N534" t="s">
        <v>3112</v>
      </c>
      <c r="O534" s="4">
        <v>1</v>
      </c>
      <c r="P534">
        <v>0</v>
      </c>
      <c r="Q534">
        <v>1</v>
      </c>
    </row>
    <row r="535" spans="1:17" x14ac:dyDescent="0.3">
      <c r="A535">
        <v>41520</v>
      </c>
      <c r="B535" t="s">
        <v>3113</v>
      </c>
      <c r="C535" t="s">
        <v>3114</v>
      </c>
      <c r="D535" s="3">
        <v>35076</v>
      </c>
      <c r="E535" t="s">
        <v>1188</v>
      </c>
      <c r="G535" s="3">
        <v>45720</v>
      </c>
      <c r="H535" t="s">
        <v>3115</v>
      </c>
      <c r="J535" t="s">
        <v>1196</v>
      </c>
      <c r="K535" t="s">
        <v>189</v>
      </c>
      <c r="L535" s="3">
        <v>47562</v>
      </c>
      <c r="M535" s="3">
        <v>47456</v>
      </c>
      <c r="N535" t="s">
        <v>3116</v>
      </c>
      <c r="O535" s="4">
        <v>1</v>
      </c>
      <c r="P535">
        <v>0</v>
      </c>
      <c r="Q535">
        <v>0</v>
      </c>
    </row>
    <row r="536" spans="1:17" x14ac:dyDescent="0.3">
      <c r="A536">
        <v>23790</v>
      </c>
      <c r="B536" t="s">
        <v>3117</v>
      </c>
      <c r="C536" t="s">
        <v>3118</v>
      </c>
      <c r="D536" s="3">
        <v>26528</v>
      </c>
      <c r="E536" t="s">
        <v>1188</v>
      </c>
      <c r="F536">
        <v>318</v>
      </c>
      <c r="G536" s="3">
        <v>39923</v>
      </c>
      <c r="H536" t="s">
        <v>3119</v>
      </c>
      <c r="J536" t="s">
        <v>1504</v>
      </c>
      <c r="K536" t="s">
        <v>185</v>
      </c>
      <c r="L536" s="3">
        <v>47154</v>
      </c>
      <c r="M536" s="3">
        <v>46981</v>
      </c>
      <c r="N536" t="s">
        <v>3120</v>
      </c>
      <c r="O536" s="4">
        <v>0.8</v>
      </c>
      <c r="P536">
        <v>0</v>
      </c>
      <c r="Q536">
        <v>0</v>
      </c>
    </row>
    <row r="537" spans="1:17" x14ac:dyDescent="0.3">
      <c r="A537">
        <v>41064</v>
      </c>
      <c r="B537" t="s">
        <v>3121</v>
      </c>
      <c r="C537" t="s">
        <v>3122</v>
      </c>
      <c r="D537" s="3">
        <v>37647</v>
      </c>
      <c r="E537" t="s">
        <v>1188</v>
      </c>
      <c r="G537" s="3">
        <v>45588</v>
      </c>
      <c r="H537" t="s">
        <v>3123</v>
      </c>
      <c r="J537" t="s">
        <v>1196</v>
      </c>
      <c r="K537" t="s">
        <v>185</v>
      </c>
      <c r="L537" s="3">
        <v>47435</v>
      </c>
      <c r="M537" s="3">
        <v>47379</v>
      </c>
      <c r="N537" t="s">
        <v>3124</v>
      </c>
      <c r="O537" s="4">
        <v>1</v>
      </c>
      <c r="P537">
        <v>0</v>
      </c>
      <c r="Q537">
        <v>0</v>
      </c>
    </row>
    <row r="538" spans="1:17" x14ac:dyDescent="0.3">
      <c r="A538">
        <v>36228</v>
      </c>
      <c r="B538" t="s">
        <v>3125</v>
      </c>
      <c r="C538" t="s">
        <v>3126</v>
      </c>
      <c r="D538" s="3">
        <v>36109</v>
      </c>
      <c r="E538" t="s">
        <v>1188</v>
      </c>
      <c r="G538" s="3">
        <v>44256</v>
      </c>
      <c r="H538" t="s">
        <v>3127</v>
      </c>
      <c r="J538" t="s">
        <v>1196</v>
      </c>
      <c r="K538" t="s">
        <v>191</v>
      </c>
      <c r="L538" s="3">
        <v>46096</v>
      </c>
      <c r="M538" s="3">
        <v>45903</v>
      </c>
      <c r="N538" t="s">
        <v>3128</v>
      </c>
      <c r="O538" s="4">
        <v>1</v>
      </c>
      <c r="P538">
        <v>0</v>
      </c>
      <c r="Q538">
        <v>0</v>
      </c>
    </row>
    <row r="539" spans="1:17" x14ac:dyDescent="0.3">
      <c r="A539">
        <v>40201</v>
      </c>
      <c r="B539" t="s">
        <v>2898</v>
      </c>
      <c r="C539" t="s">
        <v>3129</v>
      </c>
      <c r="D539" s="3">
        <v>37879</v>
      </c>
      <c r="E539" t="s">
        <v>1188</v>
      </c>
      <c r="G539" s="3">
        <v>45378</v>
      </c>
      <c r="H539" t="s">
        <v>3130</v>
      </c>
      <c r="J539" t="s">
        <v>1196</v>
      </c>
      <c r="K539" t="s">
        <v>185</v>
      </c>
      <c r="L539" s="3">
        <v>47224</v>
      </c>
      <c r="M539" s="3">
        <v>47150</v>
      </c>
      <c r="N539" t="s">
        <v>3131</v>
      </c>
      <c r="O539" s="4">
        <v>1</v>
      </c>
      <c r="P539">
        <v>0</v>
      </c>
      <c r="Q539">
        <v>0</v>
      </c>
    </row>
    <row r="540" spans="1:17" x14ac:dyDescent="0.3">
      <c r="A540">
        <v>40294</v>
      </c>
      <c r="B540" t="s">
        <v>3132</v>
      </c>
      <c r="C540" t="s">
        <v>3133</v>
      </c>
      <c r="D540" s="3">
        <v>33604</v>
      </c>
      <c r="E540" t="s">
        <v>1188</v>
      </c>
      <c r="G540" s="3">
        <v>45404</v>
      </c>
      <c r="H540" t="s">
        <v>3134</v>
      </c>
      <c r="J540" t="s">
        <v>1196</v>
      </c>
      <c r="K540" t="s">
        <v>189</v>
      </c>
      <c r="L540" s="3">
        <v>47504</v>
      </c>
      <c r="M540" s="3">
        <v>47498</v>
      </c>
      <c r="N540" t="s">
        <v>3135</v>
      </c>
      <c r="O540" s="4">
        <v>1</v>
      </c>
      <c r="P540">
        <v>0</v>
      </c>
      <c r="Q540">
        <v>0</v>
      </c>
    </row>
    <row r="541" spans="1:17" x14ac:dyDescent="0.3">
      <c r="A541">
        <v>8394</v>
      </c>
      <c r="B541" t="s">
        <v>3136</v>
      </c>
      <c r="C541" t="s">
        <v>3137</v>
      </c>
      <c r="D541" s="3">
        <v>26996</v>
      </c>
      <c r="E541" t="s">
        <v>1188</v>
      </c>
      <c r="F541">
        <v>71</v>
      </c>
      <c r="G541" s="3">
        <v>35219</v>
      </c>
      <c r="H541" t="s">
        <v>3138</v>
      </c>
      <c r="J541" t="s">
        <v>1312</v>
      </c>
      <c r="K541" t="s">
        <v>197</v>
      </c>
      <c r="L541" s="3">
        <v>45880</v>
      </c>
      <c r="M541" s="3">
        <v>46014</v>
      </c>
      <c r="N541" t="s">
        <v>3139</v>
      </c>
      <c r="O541" s="4">
        <v>1</v>
      </c>
      <c r="P541">
        <v>0</v>
      </c>
      <c r="Q541">
        <v>1</v>
      </c>
    </row>
    <row r="542" spans="1:17" x14ac:dyDescent="0.3">
      <c r="A542">
        <v>6229</v>
      </c>
      <c r="B542" t="s">
        <v>2319</v>
      </c>
      <c r="C542" t="s">
        <v>3137</v>
      </c>
      <c r="D542" s="3">
        <v>20773</v>
      </c>
      <c r="E542" t="s">
        <v>1188</v>
      </c>
      <c r="F542">
        <v>628</v>
      </c>
      <c r="G542" s="3">
        <v>34008</v>
      </c>
      <c r="H542" t="s">
        <v>3140</v>
      </c>
      <c r="J542" t="s">
        <v>1321</v>
      </c>
      <c r="K542" t="s">
        <v>191</v>
      </c>
      <c r="L542" s="3">
        <v>47481</v>
      </c>
      <c r="M542" s="3">
        <v>47456</v>
      </c>
      <c r="N542" t="s">
        <v>3141</v>
      </c>
      <c r="O542" s="4">
        <v>0.5</v>
      </c>
      <c r="P542">
        <v>0</v>
      </c>
      <c r="Q542">
        <v>0</v>
      </c>
    </row>
    <row r="543" spans="1:17" x14ac:dyDescent="0.3">
      <c r="A543">
        <v>38740</v>
      </c>
      <c r="B543" t="s">
        <v>3142</v>
      </c>
      <c r="C543" t="s">
        <v>3143</v>
      </c>
      <c r="D543" s="3">
        <v>33360</v>
      </c>
      <c r="E543" t="s">
        <v>1188</v>
      </c>
      <c r="G543" s="3">
        <v>45027</v>
      </c>
      <c r="H543" t="s">
        <v>3144</v>
      </c>
      <c r="J543" t="s">
        <v>1196</v>
      </c>
      <c r="K543" t="s">
        <v>189</v>
      </c>
      <c r="L543" s="3">
        <v>46869</v>
      </c>
      <c r="M543" s="3">
        <v>46791</v>
      </c>
      <c r="N543" t="s">
        <v>3145</v>
      </c>
      <c r="O543" s="4">
        <v>1</v>
      </c>
      <c r="P543">
        <v>0</v>
      </c>
      <c r="Q543">
        <v>0</v>
      </c>
    </row>
    <row r="544" spans="1:17" x14ac:dyDescent="0.3">
      <c r="A544">
        <v>29746</v>
      </c>
      <c r="B544" t="s">
        <v>3146</v>
      </c>
      <c r="C544" t="s">
        <v>3147</v>
      </c>
      <c r="D544" s="3">
        <v>28476</v>
      </c>
      <c r="E544" t="s">
        <v>1188</v>
      </c>
      <c r="F544">
        <v>70</v>
      </c>
      <c r="G544" s="3">
        <v>42093</v>
      </c>
      <c r="H544" t="s">
        <v>3148</v>
      </c>
      <c r="J544" t="s">
        <v>1378</v>
      </c>
      <c r="K544" t="s">
        <v>187</v>
      </c>
      <c r="L544" s="3">
        <v>47454</v>
      </c>
      <c r="M544" s="3">
        <v>47449</v>
      </c>
      <c r="N544" t="s">
        <v>3149</v>
      </c>
      <c r="O544" s="4">
        <v>1</v>
      </c>
      <c r="P544">
        <v>0</v>
      </c>
      <c r="Q544">
        <v>1</v>
      </c>
    </row>
    <row r="545" spans="1:17" x14ac:dyDescent="0.3">
      <c r="A545">
        <v>8708</v>
      </c>
      <c r="B545" t="s">
        <v>3150</v>
      </c>
      <c r="C545" t="s">
        <v>3151</v>
      </c>
      <c r="D545" s="3">
        <v>27571</v>
      </c>
      <c r="E545" t="s">
        <v>1188</v>
      </c>
      <c r="F545">
        <v>2</v>
      </c>
      <c r="G545" s="3">
        <v>35303</v>
      </c>
      <c r="I545">
        <v>93568611</v>
      </c>
      <c r="J545" t="s">
        <v>1312</v>
      </c>
      <c r="K545" t="s">
        <v>197</v>
      </c>
      <c r="L545" s="3">
        <v>47576</v>
      </c>
      <c r="M545" s="3">
        <v>47573</v>
      </c>
      <c r="N545" t="s">
        <v>3152</v>
      </c>
      <c r="O545" s="4">
        <v>0.8</v>
      </c>
      <c r="P545">
        <v>0</v>
      </c>
      <c r="Q545">
        <v>0</v>
      </c>
    </row>
    <row r="546" spans="1:17" x14ac:dyDescent="0.3">
      <c r="A546">
        <v>33551</v>
      </c>
      <c r="B546" t="s">
        <v>3153</v>
      </c>
      <c r="C546" t="s">
        <v>3151</v>
      </c>
      <c r="D546" s="3">
        <v>31396</v>
      </c>
      <c r="E546" t="s">
        <v>1188</v>
      </c>
      <c r="G546" s="3">
        <v>43500</v>
      </c>
      <c r="H546" t="s">
        <v>3154</v>
      </c>
      <c r="I546" t="s">
        <v>3154</v>
      </c>
      <c r="J546" t="s">
        <v>1196</v>
      </c>
      <c r="K546" t="s">
        <v>191</v>
      </c>
      <c r="L546" s="3">
        <v>47161</v>
      </c>
      <c r="M546" s="3">
        <v>47136</v>
      </c>
      <c r="N546" t="s">
        <v>3155</v>
      </c>
      <c r="O546" s="4">
        <v>0.8</v>
      </c>
      <c r="P546">
        <v>0</v>
      </c>
      <c r="Q546">
        <v>0</v>
      </c>
    </row>
    <row r="547" spans="1:17" x14ac:dyDescent="0.3">
      <c r="A547">
        <v>20655</v>
      </c>
      <c r="B547" t="s">
        <v>3156</v>
      </c>
      <c r="C547" t="s">
        <v>3151</v>
      </c>
      <c r="D547" s="3">
        <v>30082</v>
      </c>
      <c r="E547" t="s">
        <v>1188</v>
      </c>
      <c r="F547">
        <v>344</v>
      </c>
      <c r="G547" s="3">
        <v>39204</v>
      </c>
      <c r="H547" t="s">
        <v>3157</v>
      </c>
      <c r="J547" t="s">
        <v>1290</v>
      </c>
      <c r="K547" t="s">
        <v>193</v>
      </c>
      <c r="L547" s="3">
        <v>73050</v>
      </c>
      <c r="M547" s="3">
        <v>47201</v>
      </c>
      <c r="N547" t="s">
        <v>3158</v>
      </c>
      <c r="O547" s="4">
        <v>0.8</v>
      </c>
      <c r="P547">
        <v>0</v>
      </c>
      <c r="Q547">
        <v>0</v>
      </c>
    </row>
    <row r="548" spans="1:17" x14ac:dyDescent="0.3">
      <c r="A548">
        <v>16897</v>
      </c>
      <c r="B548" t="s">
        <v>2898</v>
      </c>
      <c r="C548" t="s">
        <v>3151</v>
      </c>
      <c r="D548" s="3">
        <v>30395</v>
      </c>
      <c r="E548" t="s">
        <v>1188</v>
      </c>
      <c r="F548">
        <v>416</v>
      </c>
      <c r="G548" s="3">
        <v>38103</v>
      </c>
      <c r="H548" t="s">
        <v>3159</v>
      </c>
      <c r="J548" t="s">
        <v>1290</v>
      </c>
      <c r="K548" t="s">
        <v>199</v>
      </c>
      <c r="L548" s="3">
        <v>72686</v>
      </c>
      <c r="M548" s="3">
        <v>47323</v>
      </c>
      <c r="N548" t="s">
        <v>3160</v>
      </c>
      <c r="O548" s="4">
        <v>0.8</v>
      </c>
      <c r="P548">
        <v>0</v>
      </c>
      <c r="Q548">
        <v>0</v>
      </c>
    </row>
    <row r="549" spans="1:17" x14ac:dyDescent="0.3">
      <c r="A549">
        <v>30121</v>
      </c>
      <c r="B549" t="s">
        <v>3161</v>
      </c>
      <c r="C549" t="s">
        <v>3162</v>
      </c>
      <c r="D549" s="3">
        <v>22410</v>
      </c>
      <c r="E549" t="s">
        <v>1188</v>
      </c>
      <c r="F549">
        <v>134</v>
      </c>
      <c r="G549" s="3">
        <v>42198</v>
      </c>
      <c r="H549" t="s">
        <v>3163</v>
      </c>
      <c r="I549">
        <v>92280648</v>
      </c>
      <c r="J549" t="s">
        <v>1378</v>
      </c>
      <c r="K549" t="s">
        <v>189</v>
      </c>
      <c r="L549" s="3">
        <v>47533</v>
      </c>
      <c r="M549" s="3">
        <v>47524</v>
      </c>
      <c r="N549" t="s">
        <v>3164</v>
      </c>
      <c r="O549" s="4">
        <v>1</v>
      </c>
      <c r="P549">
        <v>0</v>
      </c>
      <c r="Q549">
        <v>0</v>
      </c>
    </row>
    <row r="550" spans="1:17" x14ac:dyDescent="0.3">
      <c r="A550">
        <v>39183</v>
      </c>
      <c r="B550" t="s">
        <v>3165</v>
      </c>
      <c r="C550" t="s">
        <v>3166</v>
      </c>
      <c r="D550" s="3">
        <v>32148</v>
      </c>
      <c r="E550" t="s">
        <v>1188</v>
      </c>
      <c r="G550" s="3">
        <v>45103</v>
      </c>
      <c r="H550" t="s">
        <v>3167</v>
      </c>
      <c r="J550" t="s">
        <v>1196</v>
      </c>
      <c r="K550" t="s">
        <v>189</v>
      </c>
      <c r="L550" s="3">
        <v>46946</v>
      </c>
      <c r="M550" s="3">
        <v>46887</v>
      </c>
      <c r="N550" t="s">
        <v>3168</v>
      </c>
      <c r="O550" s="4">
        <v>1</v>
      </c>
      <c r="P550">
        <v>0</v>
      </c>
      <c r="Q550">
        <v>0</v>
      </c>
    </row>
    <row r="551" spans="1:17" x14ac:dyDescent="0.3">
      <c r="A551">
        <v>40055</v>
      </c>
      <c r="B551" t="s">
        <v>3169</v>
      </c>
      <c r="C551" t="s">
        <v>3170</v>
      </c>
      <c r="D551" s="3">
        <v>34746</v>
      </c>
      <c r="E551" t="s">
        <v>1188</v>
      </c>
      <c r="G551" s="3">
        <v>45321</v>
      </c>
      <c r="H551" t="s">
        <v>3171</v>
      </c>
      <c r="J551" t="s">
        <v>1196</v>
      </c>
      <c r="K551" t="s">
        <v>191</v>
      </c>
      <c r="L551" s="3">
        <v>47168</v>
      </c>
      <c r="M551" s="3">
        <v>47129</v>
      </c>
      <c r="N551" t="s">
        <v>3172</v>
      </c>
      <c r="O551" s="4">
        <v>1</v>
      </c>
      <c r="P551">
        <v>0</v>
      </c>
      <c r="Q551">
        <v>0</v>
      </c>
    </row>
    <row r="552" spans="1:17" x14ac:dyDescent="0.3">
      <c r="A552">
        <v>40478</v>
      </c>
      <c r="B552" t="s">
        <v>3173</v>
      </c>
      <c r="C552" t="s">
        <v>3174</v>
      </c>
      <c r="D552" s="3">
        <v>36547</v>
      </c>
      <c r="E552" t="s">
        <v>1188</v>
      </c>
      <c r="G552" s="3">
        <v>45442</v>
      </c>
      <c r="H552" t="s">
        <v>3175</v>
      </c>
      <c r="J552" t="s">
        <v>1196</v>
      </c>
      <c r="K552" t="s">
        <v>187</v>
      </c>
      <c r="L552" s="3">
        <v>47286</v>
      </c>
      <c r="M552" s="3">
        <v>47222</v>
      </c>
      <c r="N552" t="s">
        <v>3176</v>
      </c>
      <c r="O552" s="4">
        <v>1</v>
      </c>
      <c r="P552">
        <v>0</v>
      </c>
      <c r="Q552">
        <v>0</v>
      </c>
    </row>
    <row r="553" spans="1:17" x14ac:dyDescent="0.3">
      <c r="A553">
        <v>40521</v>
      </c>
      <c r="B553" t="s">
        <v>3177</v>
      </c>
      <c r="C553" t="s">
        <v>3178</v>
      </c>
      <c r="D553" s="3">
        <v>31462</v>
      </c>
      <c r="E553" t="s">
        <v>1188</v>
      </c>
      <c r="G553" s="3">
        <v>45419</v>
      </c>
      <c r="H553" t="s">
        <v>3179</v>
      </c>
      <c r="J553" t="s">
        <v>1196</v>
      </c>
      <c r="K553" t="s">
        <v>197</v>
      </c>
      <c r="L553" s="3">
        <v>46281</v>
      </c>
      <c r="M553" s="3">
        <v>46244</v>
      </c>
      <c r="N553" t="s">
        <v>3180</v>
      </c>
      <c r="O553" s="4">
        <v>1</v>
      </c>
      <c r="P553">
        <v>0</v>
      </c>
      <c r="Q553">
        <v>0</v>
      </c>
    </row>
    <row r="554" spans="1:17" x14ac:dyDescent="0.3">
      <c r="A554">
        <v>39251</v>
      </c>
      <c r="B554" t="s">
        <v>3181</v>
      </c>
      <c r="C554" t="s">
        <v>3178</v>
      </c>
      <c r="D554" s="3">
        <v>36822</v>
      </c>
      <c r="E554" t="s">
        <v>1188</v>
      </c>
      <c r="G554" s="3">
        <v>45103</v>
      </c>
      <c r="H554" t="s">
        <v>3182</v>
      </c>
      <c r="J554" t="s">
        <v>1196</v>
      </c>
      <c r="K554" t="s">
        <v>193</v>
      </c>
      <c r="L554" s="3">
        <v>46945</v>
      </c>
      <c r="M554" s="3">
        <v>46925</v>
      </c>
      <c r="N554" t="s">
        <v>3183</v>
      </c>
      <c r="O554" s="4">
        <v>1</v>
      </c>
      <c r="P554">
        <v>0</v>
      </c>
      <c r="Q554">
        <v>0</v>
      </c>
    </row>
    <row r="555" spans="1:17" x14ac:dyDescent="0.3">
      <c r="A555">
        <v>24367</v>
      </c>
      <c r="B555" t="s">
        <v>3184</v>
      </c>
      <c r="C555" t="s">
        <v>3178</v>
      </c>
      <c r="D555" s="3">
        <v>26948</v>
      </c>
      <c r="E555" t="s">
        <v>1188</v>
      </c>
      <c r="F555">
        <v>605</v>
      </c>
      <c r="G555" s="3">
        <v>40035</v>
      </c>
      <c r="H555" t="s">
        <v>3185</v>
      </c>
      <c r="J555" t="s">
        <v>1201</v>
      </c>
      <c r="K555" t="s">
        <v>187</v>
      </c>
      <c r="L555" s="3">
        <v>47150</v>
      </c>
      <c r="M555" s="3">
        <v>47141</v>
      </c>
      <c r="N555" t="s">
        <v>3186</v>
      </c>
      <c r="O555" s="4">
        <v>1</v>
      </c>
      <c r="P555">
        <v>0</v>
      </c>
      <c r="Q555">
        <v>0</v>
      </c>
    </row>
    <row r="556" spans="1:17" x14ac:dyDescent="0.3">
      <c r="A556">
        <v>37936</v>
      </c>
      <c r="B556" t="s">
        <v>3187</v>
      </c>
      <c r="C556" t="s">
        <v>3188</v>
      </c>
      <c r="D556" s="3">
        <v>34889</v>
      </c>
      <c r="E556" t="s">
        <v>1188</v>
      </c>
      <c r="G556" s="3">
        <v>44837</v>
      </c>
      <c r="H556" t="s">
        <v>3189</v>
      </c>
      <c r="J556" t="s">
        <v>1206</v>
      </c>
      <c r="K556" t="s">
        <v>199</v>
      </c>
      <c r="L556" s="3">
        <v>46553</v>
      </c>
      <c r="M556" s="3">
        <v>46680</v>
      </c>
      <c r="N556" t="s">
        <v>3190</v>
      </c>
      <c r="O556" s="4">
        <v>1</v>
      </c>
      <c r="P556">
        <v>0</v>
      </c>
      <c r="Q556">
        <v>0</v>
      </c>
    </row>
    <row r="557" spans="1:17" x14ac:dyDescent="0.3">
      <c r="A557">
        <v>39146</v>
      </c>
      <c r="B557" t="s">
        <v>3191</v>
      </c>
      <c r="C557" t="s">
        <v>3192</v>
      </c>
      <c r="D557" s="3">
        <v>28674</v>
      </c>
      <c r="E557" t="s">
        <v>1188</v>
      </c>
      <c r="G557" s="3">
        <v>45090</v>
      </c>
      <c r="H557" t="s">
        <v>3193</v>
      </c>
      <c r="J557" t="s">
        <v>1196</v>
      </c>
      <c r="K557" t="s">
        <v>193</v>
      </c>
      <c r="L557" s="3">
        <v>46933</v>
      </c>
      <c r="M557" s="3">
        <v>46883</v>
      </c>
      <c r="N557" t="s">
        <v>3194</v>
      </c>
      <c r="O557" s="4">
        <v>1</v>
      </c>
      <c r="P557">
        <v>0</v>
      </c>
      <c r="Q557">
        <v>0</v>
      </c>
    </row>
    <row r="558" spans="1:17" x14ac:dyDescent="0.3">
      <c r="A558">
        <v>21466</v>
      </c>
      <c r="B558" t="s">
        <v>1868</v>
      </c>
      <c r="C558" t="s">
        <v>3192</v>
      </c>
      <c r="D558" s="3">
        <v>25358</v>
      </c>
      <c r="E558" t="s">
        <v>1188</v>
      </c>
      <c r="F558">
        <v>395</v>
      </c>
      <c r="G558" s="3">
        <v>39391</v>
      </c>
      <c r="I558">
        <v>479662027</v>
      </c>
      <c r="J558" t="s">
        <v>1312</v>
      </c>
      <c r="K558" t="s">
        <v>197</v>
      </c>
      <c r="L558" s="3">
        <v>45843</v>
      </c>
      <c r="M558" s="3">
        <v>46369</v>
      </c>
      <c r="N558" t="s">
        <v>3195</v>
      </c>
      <c r="O558" s="4">
        <v>1</v>
      </c>
      <c r="P558">
        <v>0</v>
      </c>
      <c r="Q558">
        <v>0</v>
      </c>
    </row>
    <row r="559" spans="1:17" x14ac:dyDescent="0.3">
      <c r="A559">
        <v>37907</v>
      </c>
      <c r="B559" t="s">
        <v>3196</v>
      </c>
      <c r="C559" t="s">
        <v>3197</v>
      </c>
      <c r="D559" s="3">
        <v>36493</v>
      </c>
      <c r="E559" t="s">
        <v>1188</v>
      </c>
      <c r="G559" s="3">
        <v>44809</v>
      </c>
      <c r="H559" t="s">
        <v>3198</v>
      </c>
      <c r="J559" t="s">
        <v>1196</v>
      </c>
      <c r="K559" t="s">
        <v>185</v>
      </c>
      <c r="L559" s="3">
        <v>46652</v>
      </c>
      <c r="M559" s="3">
        <v>46574</v>
      </c>
      <c r="N559" t="s">
        <v>3199</v>
      </c>
      <c r="O559" s="4">
        <v>1</v>
      </c>
      <c r="P559">
        <v>0</v>
      </c>
      <c r="Q559">
        <v>0</v>
      </c>
    </row>
    <row r="560" spans="1:17" x14ac:dyDescent="0.3">
      <c r="A560">
        <v>6049</v>
      </c>
      <c r="B560" t="s">
        <v>3200</v>
      </c>
      <c r="C560" t="s">
        <v>3201</v>
      </c>
      <c r="D560" s="3">
        <v>23942</v>
      </c>
      <c r="E560" t="s">
        <v>1188</v>
      </c>
      <c r="F560">
        <v>193</v>
      </c>
      <c r="G560" s="3">
        <v>33819</v>
      </c>
      <c r="H560" t="s">
        <v>3202</v>
      </c>
      <c r="J560" t="s">
        <v>1312</v>
      </c>
      <c r="K560" t="s">
        <v>197</v>
      </c>
      <c r="L560" s="3">
        <v>45843</v>
      </c>
      <c r="M560" s="3">
        <v>46364</v>
      </c>
      <c r="N560" t="s">
        <v>3203</v>
      </c>
      <c r="O560" s="4">
        <v>0.8</v>
      </c>
      <c r="P560">
        <v>0</v>
      </c>
      <c r="Q560">
        <v>1</v>
      </c>
    </row>
    <row r="561" spans="1:17" x14ac:dyDescent="0.3">
      <c r="A561">
        <v>35397</v>
      </c>
      <c r="B561" t="s">
        <v>3204</v>
      </c>
      <c r="C561" t="s">
        <v>3205</v>
      </c>
      <c r="D561" s="3">
        <v>30513</v>
      </c>
      <c r="E561" t="s">
        <v>1188</v>
      </c>
      <c r="F561">
        <v>387</v>
      </c>
      <c r="G561" s="3">
        <v>43984</v>
      </c>
      <c r="H561" t="s">
        <v>3206</v>
      </c>
      <c r="I561">
        <v>92567935</v>
      </c>
      <c r="J561" t="s">
        <v>1229</v>
      </c>
      <c r="K561" t="s">
        <v>197</v>
      </c>
      <c r="L561" s="3">
        <v>47450</v>
      </c>
      <c r="M561" s="3">
        <v>47441</v>
      </c>
      <c r="N561" t="s">
        <v>3207</v>
      </c>
      <c r="O561" s="4">
        <v>1</v>
      </c>
      <c r="P561">
        <v>0</v>
      </c>
      <c r="Q561">
        <v>1</v>
      </c>
    </row>
    <row r="562" spans="1:17" x14ac:dyDescent="0.3">
      <c r="A562">
        <v>38013</v>
      </c>
      <c r="B562" t="s">
        <v>3208</v>
      </c>
      <c r="C562" t="s">
        <v>1656</v>
      </c>
      <c r="D562" s="3">
        <v>32771</v>
      </c>
      <c r="E562" t="s">
        <v>1188</v>
      </c>
      <c r="G562" s="3">
        <v>44837</v>
      </c>
      <c r="H562" t="s">
        <v>3209</v>
      </c>
      <c r="J562" t="s">
        <v>1191</v>
      </c>
      <c r="K562" t="s">
        <v>197</v>
      </c>
      <c r="L562" s="3">
        <v>46683</v>
      </c>
      <c r="M562" s="3">
        <v>46565</v>
      </c>
      <c r="N562" t="s">
        <v>3210</v>
      </c>
      <c r="O562" s="4">
        <v>1</v>
      </c>
      <c r="P562">
        <v>0</v>
      </c>
      <c r="Q562">
        <v>0</v>
      </c>
    </row>
    <row r="563" spans="1:17" x14ac:dyDescent="0.3">
      <c r="A563">
        <v>25829</v>
      </c>
      <c r="B563" t="s">
        <v>3211</v>
      </c>
      <c r="C563" t="s">
        <v>1656</v>
      </c>
      <c r="D563" s="3">
        <v>28120</v>
      </c>
      <c r="E563" t="s">
        <v>1188</v>
      </c>
      <c r="F563">
        <v>74</v>
      </c>
      <c r="G563" s="3">
        <v>40497</v>
      </c>
      <c r="H563" t="s">
        <v>3212</v>
      </c>
      <c r="J563" t="s">
        <v>1321</v>
      </c>
      <c r="K563" t="s">
        <v>199</v>
      </c>
      <c r="L563" s="3">
        <v>45914</v>
      </c>
      <c r="M563" s="3">
        <v>45909</v>
      </c>
      <c r="N563" t="s">
        <v>3213</v>
      </c>
      <c r="O563" s="4">
        <v>1</v>
      </c>
      <c r="P563">
        <v>0</v>
      </c>
      <c r="Q563">
        <v>0</v>
      </c>
    </row>
    <row r="564" spans="1:17" x14ac:dyDescent="0.3">
      <c r="A564">
        <v>35220</v>
      </c>
      <c r="B564" t="s">
        <v>3214</v>
      </c>
      <c r="C564" t="s">
        <v>3215</v>
      </c>
      <c r="D564" s="3">
        <v>32543</v>
      </c>
      <c r="E564" t="s">
        <v>1188</v>
      </c>
      <c r="G564" s="3">
        <v>43906</v>
      </c>
      <c r="H564" t="s">
        <v>3216</v>
      </c>
      <c r="I564" t="s">
        <v>3217</v>
      </c>
      <c r="J564" t="s">
        <v>1196</v>
      </c>
      <c r="K564" t="s">
        <v>197</v>
      </c>
      <c r="L564" s="3">
        <v>47504</v>
      </c>
      <c r="M564" s="3">
        <v>47460</v>
      </c>
      <c r="N564" t="s">
        <v>3218</v>
      </c>
      <c r="O564" s="4">
        <v>1</v>
      </c>
      <c r="P564">
        <v>0</v>
      </c>
      <c r="Q564">
        <v>1</v>
      </c>
    </row>
    <row r="565" spans="1:17" x14ac:dyDescent="0.3">
      <c r="A565">
        <v>39106</v>
      </c>
      <c r="B565" t="s">
        <v>3219</v>
      </c>
      <c r="C565" t="s">
        <v>3220</v>
      </c>
      <c r="D565" s="3">
        <v>36995</v>
      </c>
      <c r="E565" t="s">
        <v>1188</v>
      </c>
      <c r="G565" s="3">
        <v>45076</v>
      </c>
      <c r="H565" t="s">
        <v>3221</v>
      </c>
      <c r="J565" t="s">
        <v>1196</v>
      </c>
      <c r="K565" t="s">
        <v>187</v>
      </c>
      <c r="L565" s="3">
        <v>46919</v>
      </c>
      <c r="M565" s="3">
        <v>46880</v>
      </c>
      <c r="N565" t="s">
        <v>3222</v>
      </c>
      <c r="O565" s="4">
        <v>1</v>
      </c>
      <c r="P565">
        <v>0</v>
      </c>
      <c r="Q565">
        <v>0</v>
      </c>
    </row>
    <row r="566" spans="1:17" x14ac:dyDescent="0.3">
      <c r="A566">
        <v>19691</v>
      </c>
      <c r="B566" t="s">
        <v>3223</v>
      </c>
      <c r="C566" t="s">
        <v>3220</v>
      </c>
      <c r="D566" s="3">
        <v>23974</v>
      </c>
      <c r="E566" t="s">
        <v>1188</v>
      </c>
      <c r="F566">
        <v>506</v>
      </c>
      <c r="G566" s="3">
        <v>38936</v>
      </c>
      <c r="H566" t="s">
        <v>3224</v>
      </c>
      <c r="J566" t="s">
        <v>1307</v>
      </c>
      <c r="K566" t="s">
        <v>191</v>
      </c>
      <c r="L566" s="3">
        <v>45964</v>
      </c>
      <c r="M566" s="3">
        <v>46056</v>
      </c>
      <c r="N566" t="s">
        <v>3225</v>
      </c>
      <c r="O566" s="4">
        <v>0.8</v>
      </c>
      <c r="P566">
        <v>0</v>
      </c>
      <c r="Q566">
        <v>0</v>
      </c>
    </row>
    <row r="567" spans="1:17" x14ac:dyDescent="0.3">
      <c r="A567">
        <v>13020</v>
      </c>
      <c r="B567" t="s">
        <v>3226</v>
      </c>
      <c r="C567" t="s">
        <v>3220</v>
      </c>
      <c r="D567" s="3">
        <v>22182</v>
      </c>
      <c r="E567" t="s">
        <v>1188</v>
      </c>
      <c r="F567">
        <v>236</v>
      </c>
      <c r="G567" s="3">
        <v>36923</v>
      </c>
      <c r="H567" t="s">
        <v>3227</v>
      </c>
      <c r="I567">
        <v>92262940</v>
      </c>
      <c r="J567" t="s">
        <v>1373</v>
      </c>
      <c r="K567" t="s">
        <v>197</v>
      </c>
      <c r="L567" s="3">
        <v>72686</v>
      </c>
      <c r="M567" s="3">
        <v>72686</v>
      </c>
      <c r="N567" t="s">
        <v>3228</v>
      </c>
      <c r="O567" s="4">
        <v>0.8</v>
      </c>
      <c r="P567">
        <v>0</v>
      </c>
      <c r="Q567">
        <v>0</v>
      </c>
    </row>
    <row r="568" spans="1:17" x14ac:dyDescent="0.3">
      <c r="A568">
        <v>38551</v>
      </c>
      <c r="B568" t="s">
        <v>3229</v>
      </c>
      <c r="C568" t="s">
        <v>3230</v>
      </c>
      <c r="D568" s="3">
        <v>29593</v>
      </c>
      <c r="E568" t="s">
        <v>1188</v>
      </c>
      <c r="G568" s="3">
        <v>44970</v>
      </c>
      <c r="H568" t="s">
        <v>3231</v>
      </c>
      <c r="J568" t="s">
        <v>1201</v>
      </c>
      <c r="K568" t="s">
        <v>187</v>
      </c>
      <c r="L568" s="3">
        <v>46817</v>
      </c>
      <c r="M568" s="3">
        <v>46735</v>
      </c>
      <c r="N568" t="s">
        <v>3232</v>
      </c>
      <c r="O568" s="4">
        <v>1</v>
      </c>
      <c r="P568">
        <v>0</v>
      </c>
      <c r="Q568">
        <v>0</v>
      </c>
    </row>
    <row r="569" spans="1:17" x14ac:dyDescent="0.3">
      <c r="A569">
        <v>36663</v>
      </c>
      <c r="B569" t="s">
        <v>3233</v>
      </c>
      <c r="C569" t="s">
        <v>3234</v>
      </c>
      <c r="D569" s="3">
        <v>36031</v>
      </c>
      <c r="E569" t="s">
        <v>1188</v>
      </c>
      <c r="G569" s="3">
        <v>44431</v>
      </c>
      <c r="H569" t="s">
        <v>3235</v>
      </c>
      <c r="J569" t="s">
        <v>1191</v>
      </c>
      <c r="K569" t="s">
        <v>185</v>
      </c>
      <c r="L569" s="3">
        <v>46277</v>
      </c>
      <c r="M569" s="3">
        <v>46175</v>
      </c>
      <c r="N569" t="s">
        <v>3236</v>
      </c>
      <c r="O569" s="4">
        <v>0.8</v>
      </c>
      <c r="P569">
        <v>0</v>
      </c>
      <c r="Q569">
        <v>1</v>
      </c>
    </row>
    <row r="570" spans="1:17" x14ac:dyDescent="0.3">
      <c r="A570">
        <v>25733</v>
      </c>
      <c r="B570" t="s">
        <v>2474</v>
      </c>
      <c r="C570" t="s">
        <v>3237</v>
      </c>
      <c r="D570" s="3">
        <v>30480</v>
      </c>
      <c r="E570" t="s">
        <v>1188</v>
      </c>
      <c r="F570">
        <v>24</v>
      </c>
      <c r="G570" s="3">
        <v>40469</v>
      </c>
      <c r="H570" t="s">
        <v>3238</v>
      </c>
      <c r="J570" t="s">
        <v>1277</v>
      </c>
      <c r="K570" t="s">
        <v>191</v>
      </c>
      <c r="L570" s="3">
        <v>45827</v>
      </c>
      <c r="M570" s="3">
        <v>45787</v>
      </c>
      <c r="N570" t="s">
        <v>3239</v>
      </c>
      <c r="O570" s="4">
        <v>1</v>
      </c>
      <c r="P570">
        <v>0</v>
      </c>
      <c r="Q570">
        <v>0</v>
      </c>
    </row>
    <row r="571" spans="1:17" x14ac:dyDescent="0.3">
      <c r="A571">
        <v>35055</v>
      </c>
      <c r="B571" t="s">
        <v>3240</v>
      </c>
      <c r="C571" t="s">
        <v>3241</v>
      </c>
      <c r="D571" s="3">
        <v>36273</v>
      </c>
      <c r="E571" t="s">
        <v>1188</v>
      </c>
      <c r="F571">
        <v>405</v>
      </c>
      <c r="G571" s="3">
        <v>43864</v>
      </c>
      <c r="H571" t="s">
        <v>3242</v>
      </c>
      <c r="J571" t="s">
        <v>1201</v>
      </c>
      <c r="K571" t="s">
        <v>191</v>
      </c>
      <c r="L571" s="3">
        <v>47470</v>
      </c>
      <c r="M571" s="3">
        <v>47460</v>
      </c>
      <c r="N571" t="s">
        <v>3243</v>
      </c>
      <c r="O571" s="4">
        <v>1</v>
      </c>
      <c r="P571">
        <v>0</v>
      </c>
      <c r="Q571">
        <v>1</v>
      </c>
    </row>
    <row r="572" spans="1:17" x14ac:dyDescent="0.3">
      <c r="A572">
        <v>36426</v>
      </c>
      <c r="B572" t="s">
        <v>3244</v>
      </c>
      <c r="C572" t="s">
        <v>3245</v>
      </c>
      <c r="D572" s="3">
        <v>32703</v>
      </c>
      <c r="E572" t="s">
        <v>1188</v>
      </c>
      <c r="G572" s="3">
        <v>44305</v>
      </c>
      <c r="H572" t="s">
        <v>3246</v>
      </c>
      <c r="J572" t="s">
        <v>1191</v>
      </c>
      <c r="K572" t="s">
        <v>187</v>
      </c>
      <c r="L572" s="3">
        <v>46138</v>
      </c>
      <c r="M572" s="3">
        <v>46090</v>
      </c>
      <c r="N572" t="s">
        <v>3247</v>
      </c>
      <c r="O572" s="4">
        <v>1</v>
      </c>
      <c r="P572">
        <v>0</v>
      </c>
      <c r="Q572">
        <v>1</v>
      </c>
    </row>
    <row r="573" spans="1:17" x14ac:dyDescent="0.3">
      <c r="A573">
        <v>22416</v>
      </c>
      <c r="B573" t="s">
        <v>3248</v>
      </c>
      <c r="C573" t="s">
        <v>3249</v>
      </c>
      <c r="D573" s="3">
        <v>31696</v>
      </c>
      <c r="E573" t="s">
        <v>1188</v>
      </c>
      <c r="F573">
        <v>342</v>
      </c>
      <c r="G573" s="3">
        <v>39615</v>
      </c>
      <c r="H573" t="s">
        <v>3250</v>
      </c>
      <c r="J573" t="s">
        <v>1277</v>
      </c>
      <c r="K573" t="s">
        <v>189</v>
      </c>
      <c r="L573" s="3">
        <v>45879</v>
      </c>
      <c r="M573" s="3">
        <v>46672</v>
      </c>
      <c r="N573" t="s">
        <v>3251</v>
      </c>
      <c r="O573" s="4">
        <v>1</v>
      </c>
      <c r="P573">
        <v>0</v>
      </c>
      <c r="Q573">
        <v>1</v>
      </c>
    </row>
    <row r="574" spans="1:17" x14ac:dyDescent="0.3">
      <c r="A574">
        <v>39899</v>
      </c>
      <c r="B574" t="s">
        <v>3071</v>
      </c>
      <c r="C574" t="s">
        <v>3252</v>
      </c>
      <c r="D574" s="3">
        <v>22796</v>
      </c>
      <c r="E574" t="s">
        <v>1188</v>
      </c>
      <c r="G574" s="3">
        <v>45315</v>
      </c>
      <c r="H574" t="s">
        <v>3253</v>
      </c>
      <c r="J574" t="s">
        <v>1196</v>
      </c>
      <c r="K574" t="s">
        <v>189</v>
      </c>
      <c r="L574" s="3">
        <v>46497</v>
      </c>
      <c r="M574" s="3">
        <v>46431</v>
      </c>
      <c r="N574" t="s">
        <v>3254</v>
      </c>
      <c r="O574" s="4">
        <v>1</v>
      </c>
      <c r="P574">
        <v>0</v>
      </c>
      <c r="Q574">
        <v>0</v>
      </c>
    </row>
    <row r="575" spans="1:17" x14ac:dyDescent="0.3">
      <c r="A575">
        <v>41821</v>
      </c>
      <c r="B575" t="s">
        <v>3255</v>
      </c>
      <c r="C575" t="s">
        <v>3256</v>
      </c>
      <c r="D575" s="3">
        <v>37792</v>
      </c>
      <c r="E575" t="s">
        <v>1188</v>
      </c>
      <c r="G575" s="3">
        <v>45783</v>
      </c>
      <c r="H575" t="s">
        <v>3257</v>
      </c>
      <c r="J575" t="s">
        <v>1196</v>
      </c>
      <c r="K575" t="s">
        <v>189</v>
      </c>
      <c r="L575" s="3">
        <v>1</v>
      </c>
      <c r="M575" s="3">
        <v>1</v>
      </c>
      <c r="N575" t="s">
        <v>3258</v>
      </c>
      <c r="O575" s="4">
        <v>1</v>
      </c>
      <c r="P575">
        <v>0</v>
      </c>
      <c r="Q575">
        <v>0</v>
      </c>
    </row>
    <row r="576" spans="1:17" x14ac:dyDescent="0.3">
      <c r="A576">
        <v>23326</v>
      </c>
      <c r="B576" t="s">
        <v>3259</v>
      </c>
      <c r="C576" t="s">
        <v>3260</v>
      </c>
      <c r="D576" s="3">
        <v>28126</v>
      </c>
      <c r="E576" t="s">
        <v>1188</v>
      </c>
      <c r="F576">
        <v>327</v>
      </c>
      <c r="G576" s="3">
        <v>39839</v>
      </c>
      <c r="H576" t="s">
        <v>3261</v>
      </c>
      <c r="J576" t="s">
        <v>1214</v>
      </c>
      <c r="K576" t="s">
        <v>185</v>
      </c>
      <c r="L576" s="3">
        <v>73050</v>
      </c>
      <c r="M576" s="3">
        <v>45891</v>
      </c>
      <c r="N576" t="s">
        <v>3262</v>
      </c>
      <c r="O576" s="4">
        <v>1</v>
      </c>
      <c r="P576">
        <v>0</v>
      </c>
      <c r="Q576">
        <v>1</v>
      </c>
    </row>
    <row r="577" spans="1:17" x14ac:dyDescent="0.3">
      <c r="A577">
        <v>32528</v>
      </c>
      <c r="B577" t="s">
        <v>3263</v>
      </c>
      <c r="C577" t="s">
        <v>3264</v>
      </c>
      <c r="D577" s="3">
        <v>30914</v>
      </c>
      <c r="E577" t="s">
        <v>1188</v>
      </c>
      <c r="F577">
        <v>115</v>
      </c>
      <c r="G577" s="3">
        <v>43164</v>
      </c>
      <c r="H577" t="s">
        <v>3265</v>
      </c>
      <c r="J577" t="s">
        <v>1206</v>
      </c>
      <c r="K577" t="s">
        <v>199</v>
      </c>
      <c r="L577" s="3">
        <v>46624</v>
      </c>
      <c r="M577" s="3">
        <v>46621</v>
      </c>
      <c r="N577" t="s">
        <v>3266</v>
      </c>
      <c r="O577" s="4">
        <v>0.8</v>
      </c>
      <c r="P577">
        <v>0</v>
      </c>
      <c r="Q577">
        <v>1</v>
      </c>
    </row>
    <row r="578" spans="1:17" x14ac:dyDescent="0.3">
      <c r="A578">
        <v>40859</v>
      </c>
      <c r="B578" t="s">
        <v>3267</v>
      </c>
      <c r="C578" t="s">
        <v>3268</v>
      </c>
      <c r="D578" s="3">
        <v>29961</v>
      </c>
      <c r="E578" t="s">
        <v>1188</v>
      </c>
      <c r="G578" s="3">
        <v>45544</v>
      </c>
      <c r="H578" t="s">
        <v>3269</v>
      </c>
      <c r="J578" t="s">
        <v>1196</v>
      </c>
      <c r="K578" t="s">
        <v>191</v>
      </c>
      <c r="L578" s="3">
        <v>47391</v>
      </c>
      <c r="M578" s="3">
        <v>47294</v>
      </c>
      <c r="N578" t="s">
        <v>3270</v>
      </c>
      <c r="O578" s="4">
        <v>1</v>
      </c>
      <c r="P578">
        <v>0</v>
      </c>
      <c r="Q578">
        <v>0</v>
      </c>
    </row>
    <row r="579" spans="1:17" x14ac:dyDescent="0.3">
      <c r="A579">
        <v>38691</v>
      </c>
      <c r="B579" t="s">
        <v>3271</v>
      </c>
      <c r="C579" t="s">
        <v>3272</v>
      </c>
      <c r="D579" s="3">
        <v>37281</v>
      </c>
      <c r="E579" t="s">
        <v>1188</v>
      </c>
      <c r="G579" s="3">
        <v>45012</v>
      </c>
      <c r="H579" t="s">
        <v>3273</v>
      </c>
      <c r="J579" t="s">
        <v>1196</v>
      </c>
      <c r="K579" t="s">
        <v>193</v>
      </c>
      <c r="L579" s="3">
        <v>46855</v>
      </c>
      <c r="M579" s="3">
        <v>46763</v>
      </c>
      <c r="N579" t="s">
        <v>3274</v>
      </c>
      <c r="O579" s="4">
        <v>1</v>
      </c>
      <c r="P579">
        <v>0</v>
      </c>
      <c r="Q579">
        <v>0</v>
      </c>
    </row>
    <row r="580" spans="1:17" x14ac:dyDescent="0.3">
      <c r="A580">
        <v>42002</v>
      </c>
      <c r="B580" t="s">
        <v>3373</v>
      </c>
      <c r="C580" t="s">
        <v>2262</v>
      </c>
      <c r="K580" t="s">
        <v>191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46466AA-FDEB-4E13-AA3D-4CF1279C84A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schemas.microsoft.com/office/infopath/2007/PartnerControls"/>
    <ds:schemaRef ds:uri="7c39ca50-98bd-4160-b872-a8563b4a0b41"/>
    <ds:schemaRef ds:uri="e1121cbe-d8bb-4beb-a860-aaa43271e878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4</vt:i4>
      </vt:variant>
    </vt:vector>
  </HeadingPairs>
  <TitlesOfParts>
    <vt:vector size="4" baseType="lpstr">
      <vt:lpstr>Nieuw Dashboard</vt:lpstr>
      <vt:lpstr>BRON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cp:lastPrinted>2025-06-24T15:10:12Z</cp:lastPrinted>
  <dcterms:created xsi:type="dcterms:W3CDTF">2025-02-27T18:28:42Z</dcterms:created>
  <dcterms:modified xsi:type="dcterms:W3CDTF">2025-08-06T07:31:54Z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