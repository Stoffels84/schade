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9" documentId="13_ncr:1_{10FCACA5-8197-478D-90D3-5F83063FB753}" xr6:coauthVersionLast="47" xr6:coauthVersionMax="47" xr10:uidLastSave="{332911EF-DFA2-4DF0-B1C4-611023FE34A2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<sst xmlns="http://schemas.openxmlformats.org/spreadsheetml/2006/main" count="8924" uniqueCount="3817">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</sst>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9" activePane="bottomLeft" state="frozen"/>
      <selection activeCell="F1" sqref="F1"/>
      <selection pane="bottomLeft" activeCell="T970" sqref="T97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x14ac:dyDescent="0.25">
      <c r="A970">
        <v>39558</v>
      </c>
      <c r="B970" t="str">
        <f>_xlfn.CONCAT(bron[[#This Row],[personeelsnr]]," ",bron[[#This Row],[achternaam]]," ",bron[[#This Row],[voornaam]])</f>
        <v>39558 De Groote Cedric</v>
      </c>
      <c r="C970" t="str">
        <f>VLOOKUP(bron[[#This Row],[personeelsnr]],'data hastus'!$A:$C,2,0)</f>
        <v>De Groote</v>
      </c>
      <c r="D970" t="str">
        <f>VLOOKUP(bron[[#This Row],[personeelsnr]],'data hastus'!$A:$C,3,0)</f>
        <v>Cedric</v>
      </c>
      <c r="E970" s="2" t="str">
        <f>VLOOKUP(bron[[#This Row],[personeelsnr]],'data hastus'!A:K,11,FALSE)</f>
        <v>Steven Storm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2025-11-24T07:53:38Z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