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47" documentId="13_ncr:1_{BC833B0D-2F54-40DF-A6AF-902741D0EBA0}" xr6:coauthVersionLast="47" xr6:coauthVersionMax="47" xr10:uidLastSave="{1F428E55-7B4C-4F36-BD18-BEDFC9DA0893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8" i="1" l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<sst xmlns="http://schemas.openxmlformats.org/spreadsheetml/2006/main" count="7460" uniqueCount="3595">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</sst>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</cellXfs>
  <cellStyles count="2">
    <cellStyle name="Hyperlink" xfId="1" builtinId="8"/>
    <cellStyle name="Standaard" xfId="0" builtinId="0"/>
  </cellStyles>
  <dxfs count="6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4">
      <pivotArea dataOnly="0" labelOnly="1" fieldPosition="0">
        <references count="1">
          <reference field="1" count="1">
            <x v="511"/>
          </reference>
        </references>
      </pivotArea>
    </format>
    <format dxfId="63">
      <pivotArea dataOnly="0" labelOnly="1" fieldPosition="0">
        <references count="1">
          <reference field="1" count="1">
            <x v="473"/>
          </reference>
        </references>
      </pivotArea>
    </format>
    <format dxfId="62">
      <pivotArea dataOnly="0" labelOnly="1" fieldPosition="0">
        <references count="1">
          <reference field="1" count="1">
            <x v="497"/>
          </reference>
        </references>
      </pivotArea>
    </format>
    <format dxfId="61">
      <pivotArea dataOnly="0" labelOnly="1" fieldPosition="0">
        <references count="1">
          <reference field="1" count="1">
            <x v="512"/>
          </reference>
        </references>
      </pivotArea>
    </format>
    <format dxfId="60">
      <pivotArea dataOnly="0" labelOnly="1" fieldPosition="0">
        <references count="1">
          <reference field="1" count="1">
            <x v="504"/>
          </reference>
        </references>
      </pivotArea>
    </format>
    <format dxfId="59">
      <pivotArea dataOnly="0" labelOnly="1" fieldPosition="0">
        <references count="1">
          <reference field="1" count="1">
            <x v="90"/>
          </reference>
        </references>
      </pivotArea>
    </format>
    <format dxfId="58">
      <pivotArea dataOnly="0" labelOnly="1" fieldPosition="0">
        <references count="1">
          <reference field="1" count="1">
            <x v="280"/>
          </reference>
        </references>
      </pivotArea>
    </format>
    <format dxfId="57">
      <pivotArea dataOnly="0" labelOnly="1" fieldPosition="0">
        <references count="1">
          <reference field="1" count="1">
            <x v="514"/>
          </reference>
        </references>
      </pivotArea>
    </format>
    <format dxfId="56">
      <pivotArea dataOnly="0" labelOnly="1" fieldPosition="0">
        <references count="1">
          <reference field="1" count="1">
            <x v="478"/>
          </reference>
        </references>
      </pivotArea>
    </format>
    <format dxfId="55">
      <pivotArea dataOnly="0" labelOnly="1" fieldPosition="0">
        <references count="1">
          <reference field="1" count="1">
            <x v="510"/>
          </reference>
        </references>
      </pivotArea>
    </format>
    <format dxfId="54">
      <pivotArea dataOnly="0" labelOnly="1" fieldPosition="0">
        <references count="1">
          <reference field="1" count="1">
            <x v="481"/>
          </reference>
        </references>
      </pivotArea>
    </format>
    <format dxfId="53">
      <pivotArea dataOnly="0" labelOnly="1" fieldPosition="0">
        <references count="1">
          <reference field="1" count="1">
            <x v="435"/>
          </reference>
        </references>
      </pivotArea>
    </format>
    <format dxfId="52">
      <pivotArea dataOnly="0" labelOnly="1" fieldPosition="0">
        <references count="1">
          <reference field="1" count="1">
            <x v="112"/>
          </reference>
        </references>
      </pivotArea>
    </format>
    <format dxfId="51">
      <pivotArea dataOnly="0" labelOnly="1" fieldPosition="0">
        <references count="1">
          <reference field="1" count="1">
            <x v="157"/>
          </reference>
        </references>
      </pivotArea>
    </format>
    <format dxfId="50">
      <pivotArea dataOnly="0" labelOnly="1" fieldPosition="0">
        <references count="1">
          <reference field="1" count="1">
            <x v="490"/>
          </reference>
        </references>
      </pivotArea>
    </format>
    <format dxfId="49">
      <pivotArea dataOnly="0" labelOnly="1" fieldPosition="0">
        <references count="1">
          <reference field="1" count="1">
            <x v="506"/>
          </reference>
        </references>
      </pivotArea>
    </format>
    <format dxfId="48">
      <pivotArea dataOnly="0" labelOnly="1" fieldPosition="0">
        <references count="1">
          <reference field="1" count="1">
            <x v="520"/>
          </reference>
        </references>
      </pivotArea>
    </format>
    <format dxfId="47">
      <pivotArea dataOnly="0" labelOnly="1" fieldPosition="0">
        <references count="1">
          <reference field="1" count="1">
            <x v="250"/>
          </reference>
        </references>
      </pivotArea>
    </format>
    <format dxfId="46">
      <pivotArea dataOnly="0" labelOnly="1" fieldPosition="0">
        <references count="1">
          <reference field="1" count="1">
            <x v="432"/>
          </reference>
        </references>
      </pivotArea>
    </format>
    <format dxfId="45">
      <pivotArea dataOnly="0" labelOnly="1" fieldPosition="0">
        <references count="1">
          <reference field="1" count="1">
            <x v="440"/>
          </reference>
        </references>
      </pivotArea>
    </format>
    <format dxfId="44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3">
      <pivotArea dataOnly="0" labelOnly="1" fieldPosition="0">
        <references count="1">
          <reference field="1" count="1">
            <x v="348"/>
          </reference>
        </references>
      </pivotArea>
    </format>
    <format dxfId="42">
      <pivotArea dataOnly="0" labelOnly="1" fieldPosition="0">
        <references count="1">
          <reference field="1" count="1">
            <x v="355"/>
          </reference>
        </references>
      </pivotArea>
    </format>
    <format dxfId="41">
      <pivotArea dataOnly="0" labelOnly="1" fieldPosition="0">
        <references count="1">
          <reference field="1" count="1">
            <x v="498"/>
          </reference>
        </references>
      </pivotArea>
    </format>
    <format dxfId="40">
      <pivotArea dataOnly="0" labelOnly="1" fieldPosition="0">
        <references count="1">
          <reference field="1" count="1">
            <x v="508"/>
          </reference>
        </references>
      </pivotArea>
    </format>
    <format dxfId="39">
      <pivotArea dataOnly="0" labelOnly="1" fieldPosition="0">
        <references count="1">
          <reference field="1" count="1">
            <x v="397"/>
          </reference>
        </references>
      </pivotArea>
    </format>
    <format dxfId="38">
      <pivotArea dataOnly="0" labelOnly="1" fieldPosition="0">
        <references count="1">
          <reference field="1" count="1">
            <x v="513"/>
          </reference>
        </references>
      </pivotArea>
    </format>
    <format dxfId="37">
      <pivotArea dataOnly="0" labelOnly="1" fieldPosition="0">
        <references count="1">
          <reference field="1" count="1">
            <x v="412"/>
          </reference>
        </references>
      </pivotArea>
    </format>
    <format dxfId="36">
      <pivotArea dataOnly="0" labelOnly="1" fieldPosition="0">
        <references count="1">
          <reference field="1" count="1">
            <x v="507"/>
          </reference>
        </references>
      </pivotArea>
    </format>
    <format dxfId="35">
      <pivotArea dataOnly="0" labelOnly="1" fieldPosition="0">
        <references count="1">
          <reference field="1" count="1">
            <x v="507"/>
          </reference>
        </references>
      </pivotArea>
    </format>
    <format dxfId="34">
      <pivotArea dataOnly="0" labelOnly="1" fieldPosition="0">
        <references count="1">
          <reference field="1" count="1">
            <x v="342"/>
          </reference>
        </references>
      </pivotArea>
    </format>
    <format dxfId="33">
      <pivotArea dataOnly="0" labelOnly="1" fieldPosition="0">
        <references count="1">
          <reference field="1" count="1">
            <x v="501"/>
          </reference>
        </references>
      </pivotArea>
    </format>
    <format dxfId="32">
      <pivotArea dataOnly="0" labelOnly="1" fieldPosition="0">
        <references count="1">
          <reference field="1" count="1">
            <x v="351"/>
          </reference>
        </references>
      </pivotArea>
    </format>
    <format dxfId="31">
      <pivotArea dataOnly="0" labelOnly="1" fieldPosition="0">
        <references count="1">
          <reference field="1" count="1">
            <x v="156"/>
          </reference>
        </references>
      </pivotArea>
    </format>
    <format dxfId="30">
      <pivotArea dataOnly="0" labelOnly="1" fieldPosition="0">
        <references count="1">
          <reference field="1" count="1">
            <x v="358"/>
          </reference>
        </references>
      </pivotArea>
    </format>
    <format dxfId="29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8">
      <pivotArea dataOnly="0" labelOnly="1" fieldPosition="0">
        <references count="1">
          <reference field="1" count="1">
            <x v="438"/>
          </reference>
        </references>
      </pivotArea>
    </format>
    <format dxfId="27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6">
      <pivotArea dataOnly="0" labelOnly="1" fieldPosition="0">
        <references count="1">
          <reference field="1" count="1">
            <x v="309"/>
          </reference>
        </references>
      </pivotArea>
    </format>
    <format dxfId="25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4">
      <pivotArea dataOnly="0" labelOnly="1" fieldPosition="0">
        <references count="1">
          <reference field="1" count="1">
            <x v="374"/>
          </reference>
        </references>
      </pivotArea>
    </format>
    <format dxfId="23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22">
      <pivotArea dataOnly="0" labelOnly="1" fieldPosition="0">
        <references count="1">
          <reference field="1" count="1">
            <x v="407"/>
          </reference>
        </references>
      </pivotArea>
    </format>
    <format dxfId="2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3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1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1"/>
    <tableColumn id="11" xr3:uid="{97ECF1D5-48DC-4487-B3C2-17232CC8E19E}" name="Januari" dataDxfId="10"/>
    <tableColumn id="12" xr3:uid="{7B2FF520-A575-45C0-BB5A-19B87DDB4EA0}" name="Februari" dataDxfId="9"/>
    <tableColumn id="13" xr3:uid="{4E6C30D1-FB72-4AB2-900F-14A3D53F34DE}" name="Maart" dataDxfId="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7">
      <calculatedColumnFormula>SUM(bron[[#This Row],[Januari]:[December]])</calculatedColumnFormula>
    </tableColumn>
    <tableColumn id="10" xr3:uid="{8D9646BD-38B6-4F4D-9859-B3933369346B}" name="Datum" dataDxfId="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514" activePane="bottomLeft" state="frozen"/>
      <selection activeCell="F1" sqref="F1"/>
      <selection pane="bottomLeft" activeCell="Z534" sqref="Z534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43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39" t="s">
        <v>3588</v>
      </c>
      <c r="AA1" s="42" t="s">
        <v>3592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1334</v>
      </c>
      <c r="V514" s="24">
        <v>1</v>
      </c>
      <c r="W514" s="24"/>
      <c r="X514" t="s">
        <v>7</v>
      </c>
      <c r="Y514" t="s">
        <v>1335</v>
      </c>
      <c r="Z514">
        <v>2193</v>
      </c>
      <c r="AA514" s="43" t="s">
        <v>3594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  <c r="Z515">
        <v>2195</v>
      </c>
      <c r="AA515" s="43" t="s">
        <v>3593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3545</v>
      </c>
      <c r="Y516" t="s">
        <v>10</v>
      </c>
      <c r="Z516">
        <v>2195</v>
      </c>
      <c r="AA516" s="43" t="s">
        <v>3593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  <c r="Z517">
        <v>2208</v>
      </c>
      <c r="AA517" s="43" t="s">
        <v>3593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1285</v>
      </c>
      <c r="V518" s="24">
        <v>1</v>
      </c>
      <c r="W518" s="24"/>
      <c r="X518" t="s">
        <v>3545</v>
      </c>
      <c r="Y518" t="s">
        <v>195</v>
      </c>
      <c r="Z518">
        <v>5046</v>
      </c>
      <c r="AA518"/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1237</v>
      </c>
      <c r="V519" s="24">
        <v>1</v>
      </c>
      <c r="W519" s="24"/>
      <c r="X519" t="s">
        <v>3546</v>
      </c>
      <c r="Y519" t="s">
        <v>191</v>
      </c>
      <c r="Z519">
        <v>5772</v>
      </c>
      <c r="AA519" s="43" t="s">
        <v>3593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3545</v>
      </c>
      <c r="Y520" t="s">
        <v>193</v>
      </c>
      <c r="Z520">
        <v>5240</v>
      </c>
      <c r="AA520" s="43" t="s">
        <v>3593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1203</v>
      </c>
      <c r="V521" s="24">
        <v>1</v>
      </c>
      <c r="W521" s="24"/>
      <c r="X521" t="s">
        <v>3546</v>
      </c>
      <c r="Y521" t="s">
        <v>94</v>
      </c>
      <c r="Z521">
        <v>5488</v>
      </c>
      <c r="AA521" s="43" t="s">
        <v>3593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3545</v>
      </c>
      <c r="Y522" t="s">
        <v>285</v>
      </c>
      <c r="Z522">
        <v>5039</v>
      </c>
      <c r="AA522" s="43" t="s">
        <v>3593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1135</v>
      </c>
      <c r="V523" s="8"/>
      <c r="W523" s="8">
        <v>1</v>
      </c>
      <c r="X523" t="s">
        <v>3582</v>
      </c>
      <c r="Y523" t="s">
        <v>5</v>
      </c>
      <c r="Z523">
        <v>6373</v>
      </c>
      <c r="AA523" s="43" t="s">
        <v>3593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1275</v>
      </c>
      <c r="V524" s="24">
        <v>1</v>
      </c>
      <c r="W524" s="24"/>
      <c r="X524" t="s">
        <v>3545</v>
      </c>
      <c r="Y524" t="s">
        <v>123</v>
      </c>
      <c r="Z524">
        <v>5233</v>
      </c>
      <c r="AA524"/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3581</v>
      </c>
      <c r="Y525" t="s">
        <v>5</v>
      </c>
      <c r="Z525">
        <v>6364</v>
      </c>
      <c r="AA525" s="43" t="s">
        <v>3593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1153</v>
      </c>
      <c r="V526" s="8">
        <v>1</v>
      </c>
      <c r="W526" s="8"/>
      <c r="X526" t="s">
        <v>391</v>
      </c>
      <c r="Y526" t="s">
        <v>5</v>
      </c>
      <c r="Z526">
        <v>8232</v>
      </c>
      <c r="AA526" s="43" t="s">
        <v>3593</v>
      </c>
    </row>
    <row r="527" spans="1:27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1323</v>
      </c>
      <c r="V527" s="24"/>
      <c r="W527" s="24">
        <v>1</v>
      </c>
      <c r="X527" t="s">
        <v>8</v>
      </c>
      <c r="Y527" t="s">
        <v>1324</v>
      </c>
      <c r="Z527">
        <v>6337</v>
      </c>
      <c r="AA527" s="43" t="s">
        <v>3594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3530</v>
      </c>
      <c r="V528" s="24">
        <v>1</v>
      </c>
      <c r="W528" s="24"/>
      <c r="X528" t="s">
        <v>3545</v>
      </c>
      <c r="Y528" t="s">
        <v>3531</v>
      </c>
      <c r="Z528">
        <v>5324</v>
      </c>
      <c r="AA528"/>
    </row>
    <row r="529" spans="1:27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3583</v>
      </c>
      <c r="V529" s="24"/>
      <c r="W529" s="24">
        <v>1</v>
      </c>
      <c r="X529" t="s">
        <v>3582</v>
      </c>
      <c r="Y529" t="s">
        <v>3584</v>
      </c>
      <c r="Z529">
        <v>6374</v>
      </c>
      <c r="AA529" s="43" t="s">
        <v>3594</v>
      </c>
    </row>
    <row r="530" spans="1:27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1332</v>
      </c>
      <c r="V530" s="8"/>
      <c r="W530" s="8">
        <v>1</v>
      </c>
      <c r="X530" t="s">
        <v>8</v>
      </c>
      <c r="Y530" t="s">
        <v>1333</v>
      </c>
      <c r="Z530">
        <v>6322</v>
      </c>
      <c r="AA530" s="43" t="s">
        <v>3594</v>
      </c>
    </row>
    <row r="531" spans="1:27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1256</v>
      </c>
      <c r="V531" s="24"/>
      <c r="W531" s="24">
        <v>1</v>
      </c>
      <c r="X531" t="s">
        <v>3581</v>
      </c>
      <c r="Y531" t="s">
        <v>233</v>
      </c>
      <c r="Z531">
        <v>6331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3535</v>
      </c>
      <c r="V532" s="24">
        <v>1</v>
      </c>
      <c r="W532" s="24"/>
      <c r="X532" t="s">
        <v>3546</v>
      </c>
      <c r="Y532" t="s">
        <v>3536</v>
      </c>
      <c r="Z532">
        <v>5931</v>
      </c>
      <c r="AA532"/>
    </row>
    <row r="533" spans="1:27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3545</v>
      </c>
      <c r="Y533" t="s">
        <v>66</v>
      </c>
      <c r="Z533">
        <v>5241</v>
      </c>
    </row>
    <row r="534" spans="1:27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3581</v>
      </c>
      <c r="Y534" t="s">
        <v>147</v>
      </c>
    </row>
    <row r="535" spans="1:27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1248</v>
      </c>
      <c r="V535" s="24">
        <v>1</v>
      </c>
      <c r="W535" s="24"/>
      <c r="X535" t="s">
        <v>3545</v>
      </c>
      <c r="Y535" t="s">
        <v>237</v>
      </c>
    </row>
    <row r="536" spans="1:27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1239</v>
      </c>
      <c r="V536" s="24">
        <v>1</v>
      </c>
      <c r="W536" s="24"/>
      <c r="X536" t="s">
        <v>3545</v>
      </c>
      <c r="Y536" t="s">
        <v>37</v>
      </c>
    </row>
    <row r="537" spans="1:27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1258</v>
      </c>
      <c r="V537" s="24">
        <v>1</v>
      </c>
      <c r="W537" s="24"/>
      <c r="X537" t="s">
        <v>3545</v>
      </c>
      <c r="Y537" t="s">
        <v>203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3533</v>
      </c>
      <c r="V538" s="24">
        <v>1</v>
      </c>
      <c r="W538" s="24"/>
      <c r="X538" t="s">
        <v>3547</v>
      </c>
      <c r="Y538" t="s">
        <v>100</v>
      </c>
      <c r="Z538">
        <v>5263</v>
      </c>
      <c r="AA538"/>
    </row>
    <row r="539" spans="1:27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3581</v>
      </c>
      <c r="Y539" t="s">
        <v>129</v>
      </c>
    </row>
    <row r="540" spans="1:27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3546</v>
      </c>
      <c r="Y540" t="s">
        <v>149</v>
      </c>
    </row>
    <row r="541" spans="1:27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U541" s="8" t="s">
        <v>1331</v>
      </c>
      <c r="V541" s="24">
        <v>1</v>
      </c>
      <c r="W541" s="24"/>
      <c r="X541" t="s">
        <v>7</v>
      </c>
      <c r="Y541" t="s">
        <v>427</v>
      </c>
    </row>
    <row r="542" spans="1:27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U542" s="8" t="s">
        <v>1316</v>
      </c>
      <c r="V542" s="24">
        <v>1</v>
      </c>
      <c r="W542" s="24"/>
      <c r="X542" t="s">
        <v>7</v>
      </c>
      <c r="Y542" t="s">
        <v>48</v>
      </c>
    </row>
    <row r="543" spans="1:27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1185</v>
      </c>
      <c r="V543" s="8"/>
      <c r="W543" s="8">
        <v>1</v>
      </c>
      <c r="X543" t="s">
        <v>3581</v>
      </c>
      <c r="Y543" t="s">
        <v>129</v>
      </c>
    </row>
    <row r="544" spans="1:27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1217</v>
      </c>
      <c r="V544" s="24">
        <v>1</v>
      </c>
      <c r="W544" s="24"/>
      <c r="X544" t="s">
        <v>3547</v>
      </c>
      <c r="Y544" t="s">
        <v>205</v>
      </c>
    </row>
    <row r="545" spans="1:25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1183</v>
      </c>
      <c r="V545" s="8">
        <v>1</v>
      </c>
      <c r="W545" s="8"/>
      <c r="X545" t="s">
        <v>3547</v>
      </c>
      <c r="Y545" t="s">
        <v>115</v>
      </c>
    </row>
    <row r="546" spans="1:25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3545</v>
      </c>
      <c r="Y546" t="s">
        <v>19</v>
      </c>
    </row>
    <row r="547" spans="1:25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3541</v>
      </c>
      <c r="V547" s="24"/>
      <c r="W547" s="24">
        <v>1</v>
      </c>
      <c r="X547" t="s">
        <v>3582</v>
      </c>
      <c r="Y547" t="s">
        <v>3542</v>
      </c>
    </row>
    <row r="548" spans="1:25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3539</v>
      </c>
      <c r="V548" s="24"/>
      <c r="W548" s="24">
        <v>1</v>
      </c>
      <c r="X548" t="s">
        <v>3581</v>
      </c>
      <c r="Y548" t="s">
        <v>75</v>
      </c>
    </row>
    <row r="549" spans="1:25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1286</v>
      </c>
      <c r="V549" s="24">
        <v>1</v>
      </c>
      <c r="W549" s="24"/>
      <c r="X549" t="s">
        <v>3581</v>
      </c>
      <c r="Y549" t="s">
        <v>199</v>
      </c>
    </row>
    <row r="550" spans="1:25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3581</v>
      </c>
      <c r="Y550" t="s">
        <v>72</v>
      </c>
    </row>
    <row r="551" spans="1:25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1122</v>
      </c>
      <c r="V551" s="8"/>
      <c r="W551" s="8">
        <v>1</v>
      </c>
      <c r="X551" t="s">
        <v>3581</v>
      </c>
      <c r="Y551" t="s">
        <v>31</v>
      </c>
    </row>
    <row r="552" spans="1:25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3581</v>
      </c>
      <c r="Y552" t="s">
        <v>121</v>
      </c>
    </row>
    <row r="553" spans="1:25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>
        <v>45863</v>
      </c>
      <c r="G553" s="7"/>
      <c r="H553" s="7"/>
      <c r="I553" s="7"/>
      <c r="M553" s="5">
        <v>1</v>
      </c>
      <c r="S553" s="5">
        <f>SUM(bron[[#This Row],[Januari]:[December]])</f>
        <v>1</v>
      </c>
      <c r="U553" s="8" t="s">
        <v>1304</v>
      </c>
      <c r="V553" s="24"/>
      <c r="W553" s="24">
        <v>1</v>
      </c>
      <c r="X553" t="s">
        <v>8</v>
      </c>
      <c r="Y553" t="s">
        <v>668</v>
      </c>
    </row>
    <row r="554" spans="1:25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1235</v>
      </c>
      <c r="V554" s="24"/>
      <c r="W554" s="24">
        <v>1</v>
      </c>
      <c r="X554" t="s">
        <v>3581</v>
      </c>
      <c r="Y554" t="s">
        <v>104</v>
      </c>
    </row>
    <row r="555" spans="1:25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>
        <v>45674</v>
      </c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/>
      <c r="U555" s="8" t="s">
        <v>1329</v>
      </c>
      <c r="V555" s="8"/>
      <c r="W555" s="8">
        <v>1</v>
      </c>
      <c r="X555" t="s">
        <v>8</v>
      </c>
      <c r="Y555" t="s">
        <v>580</v>
      </c>
    </row>
    <row r="556" spans="1:25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3581</v>
      </c>
      <c r="Y556" t="s">
        <v>75</v>
      </c>
    </row>
    <row r="557" spans="1:25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3545</v>
      </c>
      <c r="Y557" t="s">
        <v>40</v>
      </c>
    </row>
    <row r="558" spans="1:25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1247</v>
      </c>
      <c r="V558" s="24">
        <v>1</v>
      </c>
      <c r="W558" s="24"/>
      <c r="X558" t="s">
        <v>3545</v>
      </c>
      <c r="Y558" t="s">
        <v>28</v>
      </c>
    </row>
    <row r="559" spans="1:25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1213</v>
      </c>
      <c r="V559" s="24">
        <v>1</v>
      </c>
      <c r="W559" s="24"/>
      <c r="X559" t="s">
        <v>3545</v>
      </c>
      <c r="Y559" t="s">
        <v>48</v>
      </c>
    </row>
    <row r="560" spans="1:25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3546</v>
      </c>
      <c r="Y560" t="s">
        <v>28</v>
      </c>
    </row>
    <row r="561" spans="1:25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>
        <v>45867</v>
      </c>
      <c r="G561" s="7"/>
      <c r="H561" s="7"/>
      <c r="I561" s="7"/>
      <c r="M561" s="5">
        <v>1</v>
      </c>
      <c r="S561" s="5">
        <f>SUM(bron[[#This Row],[Januari]:[December]])</f>
        <v>1</v>
      </c>
      <c r="U561" s="8" t="s">
        <v>1299</v>
      </c>
      <c r="V561" s="24"/>
      <c r="W561" s="24">
        <v>1</v>
      </c>
      <c r="X561" t="s">
        <v>8</v>
      </c>
      <c r="Y561" t="s">
        <v>133</v>
      </c>
    </row>
    <row r="562" spans="1:25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3546</v>
      </c>
      <c r="Y562" t="s">
        <v>78</v>
      </c>
    </row>
    <row r="563" spans="1:25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3582</v>
      </c>
      <c r="Y563" t="s">
        <v>31</v>
      </c>
    </row>
    <row r="564" spans="1:25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>
        <v>45684</v>
      </c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/>
      <c r="U564" s="8" t="s">
        <v>1306</v>
      </c>
      <c r="V564" s="8"/>
      <c r="W564" s="8">
        <v>1</v>
      </c>
      <c r="X564" t="s">
        <v>8</v>
      </c>
      <c r="Y564" t="s">
        <v>81</v>
      </c>
    </row>
    <row r="565" spans="1:25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1221</v>
      </c>
      <c r="V565" s="24"/>
      <c r="W565" s="24">
        <v>1</v>
      </c>
      <c r="X565" t="s">
        <v>3581</v>
      </c>
      <c r="Y565" t="s">
        <v>69</v>
      </c>
    </row>
    <row r="566" spans="1:25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>
        <v>45678</v>
      </c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/>
      <c r="U566" s="8" t="s">
        <v>1325</v>
      </c>
      <c r="V566" s="8">
        <v>1</v>
      </c>
      <c r="W566" s="8"/>
      <c r="X566" t="s">
        <v>7</v>
      </c>
      <c r="Y566" t="s">
        <v>1326</v>
      </c>
    </row>
    <row r="567" spans="1:25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1143</v>
      </c>
      <c r="V567" s="8"/>
      <c r="W567" s="8">
        <v>1</v>
      </c>
      <c r="X567" t="s">
        <v>3581</v>
      </c>
      <c r="Y567" t="s">
        <v>10</v>
      </c>
    </row>
    <row r="568" spans="1:25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>
        <v>45670</v>
      </c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/>
      <c r="U568" s="8" t="s">
        <v>1313</v>
      </c>
      <c r="V568" s="8">
        <v>1</v>
      </c>
      <c r="W568" s="8"/>
      <c r="X568" t="s">
        <v>7</v>
      </c>
      <c r="Y568" t="s">
        <v>113</v>
      </c>
    </row>
    <row r="569" spans="1:25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1273</v>
      </c>
      <c r="V569" s="24">
        <v>1</v>
      </c>
      <c r="W569" s="24"/>
      <c r="X569" t="s">
        <v>3545</v>
      </c>
      <c r="Y569" t="s">
        <v>19</v>
      </c>
    </row>
    <row r="570" spans="1:25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3582</v>
      </c>
      <c r="Y570" t="s">
        <v>187</v>
      </c>
    </row>
    <row r="571" spans="1:25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1228</v>
      </c>
      <c r="V571" s="24"/>
      <c r="W571" s="24">
        <v>1</v>
      </c>
      <c r="X571" t="s">
        <v>3582</v>
      </c>
      <c r="Y571" t="s">
        <v>231</v>
      </c>
    </row>
    <row r="572" spans="1:25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1236</v>
      </c>
      <c r="V572" s="24">
        <v>1</v>
      </c>
      <c r="W572" s="24"/>
      <c r="X572" t="s">
        <v>3545</v>
      </c>
      <c r="Y572" t="s">
        <v>125</v>
      </c>
    </row>
    <row r="573" spans="1:25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>
        <v>45763</v>
      </c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/>
      <c r="U573" s="8" t="s">
        <v>1309</v>
      </c>
      <c r="V573" s="8">
        <v>1</v>
      </c>
      <c r="W573" s="8"/>
      <c r="X573" t="s">
        <v>7</v>
      </c>
      <c r="Y573" t="s">
        <v>5</v>
      </c>
    </row>
    <row r="574" spans="1:25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1257</v>
      </c>
      <c r="V574" s="24">
        <v>1</v>
      </c>
      <c r="W574" s="24"/>
      <c r="X574" t="s">
        <v>3546</v>
      </c>
      <c r="Y574" t="s">
        <v>16</v>
      </c>
    </row>
    <row r="575" spans="1:25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1194</v>
      </c>
      <c r="V575" s="8">
        <v>1</v>
      </c>
      <c r="W575" s="8"/>
      <c r="X575" t="s">
        <v>3546</v>
      </c>
      <c r="Y575" t="s">
        <v>155</v>
      </c>
    </row>
    <row r="576" spans="1:25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1158</v>
      </c>
      <c r="V576" s="8"/>
      <c r="W576" s="8">
        <v>1</v>
      </c>
      <c r="X576" t="s">
        <v>3582</v>
      </c>
      <c r="Y576" t="s">
        <v>223</v>
      </c>
    </row>
    <row r="577" spans="1:25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3543</v>
      </c>
      <c r="V577" s="24"/>
      <c r="W577" s="24">
        <v>1</v>
      </c>
      <c r="X577" t="s">
        <v>3581</v>
      </c>
      <c r="Y577" t="s">
        <v>3544</v>
      </c>
    </row>
    <row r="578" spans="1:25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3581</v>
      </c>
      <c r="Y578" t="s">
        <v>235</v>
      </c>
    </row>
    <row r="579" spans="1:25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3581</v>
      </c>
      <c r="Y579" t="s">
        <v>137</v>
      </c>
    </row>
    <row r="580" spans="1:25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3546</v>
      </c>
      <c r="Y580" t="s">
        <v>92</v>
      </c>
    </row>
    <row r="581" spans="1:25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1132</v>
      </c>
      <c r="V581" s="8"/>
      <c r="W581" s="8">
        <v>1</v>
      </c>
      <c r="X581" t="s">
        <v>3581</v>
      </c>
      <c r="Y581" t="s">
        <v>5</v>
      </c>
    </row>
    <row r="582" spans="1:25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3546</v>
      </c>
      <c r="Y582" t="s">
        <v>10</v>
      </c>
    </row>
    <row r="583" spans="1:25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1136</v>
      </c>
      <c r="V583" s="8"/>
      <c r="W583" s="8">
        <v>1</v>
      </c>
      <c r="X583" t="s">
        <v>3581</v>
      </c>
      <c r="Y583" t="s">
        <v>133</v>
      </c>
    </row>
    <row r="584" spans="1:25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>
        <v>45891</v>
      </c>
      <c r="G584" s="7"/>
      <c r="H584" s="7"/>
      <c r="I584" s="7"/>
      <c r="N584" s="5">
        <v>1</v>
      </c>
      <c r="S584" s="5">
        <f>SUM(bron[[#This Row],[Januari]:[December]])</f>
        <v>1</v>
      </c>
      <c r="U584" s="5" t="s">
        <v>1339</v>
      </c>
      <c r="V584" s="24"/>
      <c r="W584" s="24">
        <v>1</v>
      </c>
      <c r="X584" t="s">
        <v>8</v>
      </c>
      <c r="Y584" t="s">
        <v>967</v>
      </c>
    </row>
    <row r="585" spans="1:25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3582</v>
      </c>
      <c r="Y585" t="s">
        <v>10</v>
      </c>
    </row>
    <row r="586" spans="1:25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3582</v>
      </c>
      <c r="Y586" t="s">
        <v>163</v>
      </c>
    </row>
    <row r="587" spans="1:25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1250</v>
      </c>
      <c r="V587" s="24">
        <v>1</v>
      </c>
      <c r="W587" s="24"/>
      <c r="X587" t="s">
        <v>3547</v>
      </c>
      <c r="Y587" t="s">
        <v>251</v>
      </c>
    </row>
    <row r="588" spans="1:25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>
        <v>45821</v>
      </c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1205</v>
      </c>
      <c r="V588" s="24">
        <v>1</v>
      </c>
      <c r="W588" s="24"/>
      <c r="X588" t="s">
        <v>3546</v>
      </c>
      <c r="Y588" t="s">
        <v>94</v>
      </c>
    </row>
    <row r="589" spans="1:25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1207</v>
      </c>
      <c r="V589" s="24"/>
      <c r="W589" s="24">
        <v>1</v>
      </c>
      <c r="X589" t="s">
        <v>3581</v>
      </c>
      <c r="Y589" t="s">
        <v>10</v>
      </c>
    </row>
    <row r="590" spans="1:25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>
        <v>45798</v>
      </c>
      <c r="G590" s="7"/>
      <c r="H590" s="7"/>
      <c r="I590" s="7"/>
      <c r="K590" s="5">
        <v>1</v>
      </c>
      <c r="S590" s="5">
        <f>SUM(bron[[#This Row],[Januari]:[December]])</f>
        <v>1</v>
      </c>
      <c r="T590" s="23"/>
      <c r="U590" s="8" t="s">
        <v>1317</v>
      </c>
      <c r="V590" s="8">
        <v>1</v>
      </c>
      <c r="W590" s="8"/>
      <c r="X590" t="s">
        <v>7</v>
      </c>
      <c r="Y590" t="s">
        <v>131</v>
      </c>
    </row>
    <row r="591" spans="1:25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3546</v>
      </c>
      <c r="Y591" t="s">
        <v>63</v>
      </c>
    </row>
    <row r="592" spans="1:25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1170</v>
      </c>
      <c r="V592" s="8"/>
      <c r="W592" s="8">
        <v>1</v>
      </c>
      <c r="X592" t="s">
        <v>3581</v>
      </c>
      <c r="Y592" t="s">
        <v>72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>
        <v>45715</v>
      </c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/>
      <c r="U593" s="8" t="s">
        <v>1328</v>
      </c>
      <c r="V593" s="8"/>
      <c r="W593" s="8">
        <v>1</v>
      </c>
      <c r="X593" t="s">
        <v>8</v>
      </c>
      <c r="Y593" t="s">
        <v>668</v>
      </c>
    </row>
    <row r="594" spans="1:25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1227</v>
      </c>
      <c r="V594" s="24">
        <v>1</v>
      </c>
      <c r="W594" s="24"/>
      <c r="X594" t="s">
        <v>3545</v>
      </c>
      <c r="Y594" t="s">
        <v>537</v>
      </c>
    </row>
    <row r="595" spans="1:25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3582</v>
      </c>
      <c r="Y595" t="s">
        <v>221</v>
      </c>
    </row>
    <row r="596" spans="1:25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3545</v>
      </c>
      <c r="Y596" t="s">
        <v>151</v>
      </c>
    </row>
    <row r="597" spans="1:25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>
        <v>45836</v>
      </c>
      <c r="G597" s="7"/>
      <c r="H597" s="7"/>
      <c r="I597" s="7"/>
      <c r="L597" s="5">
        <v>1</v>
      </c>
      <c r="S597" s="5">
        <f>SUM(bron[[#This Row],[Januari]:[December]])</f>
        <v>1</v>
      </c>
      <c r="U597" s="8" t="s">
        <v>1307</v>
      </c>
      <c r="V597" s="24">
        <v>1</v>
      </c>
      <c r="W597" s="24"/>
      <c r="X597" t="s">
        <v>7</v>
      </c>
      <c r="Y597" t="s">
        <v>1308</v>
      </c>
    </row>
    <row r="598" spans="1:25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3581</v>
      </c>
      <c r="Y598" t="s">
        <v>5</v>
      </c>
    </row>
    <row r="599" spans="1:25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1173</v>
      </c>
      <c r="V600" s="8">
        <v>1</v>
      </c>
      <c r="W600" s="8"/>
      <c r="X600" t="s">
        <v>3545</v>
      </c>
      <c r="Y600" t="s">
        <v>13</v>
      </c>
    </row>
    <row r="601" spans="1:25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>
        <v>45813</v>
      </c>
      <c r="G601" s="7"/>
      <c r="H601" s="7"/>
      <c r="I601" s="7"/>
      <c r="L601" s="5">
        <v>1</v>
      </c>
      <c r="S601" s="5">
        <f>SUM(bron[[#This Row],[Januari]:[December]])</f>
        <v>1</v>
      </c>
      <c r="U601" s="8" t="s">
        <v>1310</v>
      </c>
      <c r="V601" s="24"/>
      <c r="W601" s="24">
        <v>1</v>
      </c>
      <c r="X601" t="s">
        <v>8</v>
      </c>
      <c r="Y601" t="s">
        <v>31</v>
      </c>
    </row>
    <row r="602" spans="1:25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3545</v>
      </c>
      <c r="Y602" t="s">
        <v>189</v>
      </c>
    </row>
    <row r="603" spans="1:25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1249</v>
      </c>
      <c r="V603" s="24">
        <v>1</v>
      </c>
      <c r="W603" s="24"/>
      <c r="X603" t="s">
        <v>3545</v>
      </c>
      <c r="Y603" t="s">
        <v>10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3581</v>
      </c>
      <c r="Y605" t="s">
        <v>63</v>
      </c>
    </row>
    <row r="606" spans="1:25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3546</v>
      </c>
      <c r="Y606" t="s">
        <v>514</v>
      </c>
    </row>
    <row r="607" spans="1:25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1204</v>
      </c>
      <c r="V607" s="24">
        <v>1</v>
      </c>
      <c r="W607" s="24"/>
      <c r="X607" t="s">
        <v>3545</v>
      </c>
      <c r="Y607" t="s">
        <v>19</v>
      </c>
    </row>
    <row r="608" spans="1:25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1169</v>
      </c>
      <c r="V608" s="8">
        <v>1</v>
      </c>
      <c r="W608" s="8"/>
      <c r="X608" t="s">
        <v>3545</v>
      </c>
      <c r="Y608" t="s">
        <v>135</v>
      </c>
    </row>
    <row r="609" spans="1:25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3581</v>
      </c>
      <c r="Y609" t="s">
        <v>169</v>
      </c>
    </row>
    <row r="610" spans="1:25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3581</v>
      </c>
      <c r="Y610" t="s">
        <v>75</v>
      </c>
    </row>
    <row r="611" spans="1:25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3546</v>
      </c>
      <c r="Y611" t="s">
        <v>16</v>
      </c>
    </row>
    <row r="612" spans="1:25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>
        <v>45737</v>
      </c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/>
      <c r="U612" s="8" t="s">
        <v>1314</v>
      </c>
      <c r="V612" s="8">
        <v>1</v>
      </c>
      <c r="W612" s="8"/>
      <c r="X612" t="s">
        <v>7</v>
      </c>
      <c r="Y612" t="s">
        <v>1315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3546</v>
      </c>
      <c r="Y614" t="s">
        <v>10</v>
      </c>
    </row>
    <row r="615" spans="1:25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1230</v>
      </c>
      <c r="V615" s="24">
        <v>1</v>
      </c>
      <c r="W615" s="24"/>
      <c r="X615" t="s">
        <v>3545</v>
      </c>
      <c r="Y615" t="s">
        <v>19</v>
      </c>
    </row>
    <row r="616" spans="1:25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1241</v>
      </c>
      <c r="V616" s="24"/>
      <c r="W616" s="24">
        <v>1</v>
      </c>
      <c r="X616" t="s">
        <v>3582</v>
      </c>
      <c r="Y616" t="s">
        <v>181</v>
      </c>
    </row>
    <row r="617" spans="1:25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>
        <v>45773</v>
      </c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/>
      <c r="U617" s="8" t="s">
        <v>1338</v>
      </c>
      <c r="V617" s="8"/>
      <c r="W617" s="8">
        <v>1</v>
      </c>
      <c r="X617" t="s">
        <v>8</v>
      </c>
      <c r="Y617" t="s">
        <v>5</v>
      </c>
    </row>
    <row r="618" spans="1:25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3546</v>
      </c>
      <c r="Y618" t="s">
        <v>10</v>
      </c>
    </row>
    <row r="619" spans="1:25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1146</v>
      </c>
      <c r="V619" s="8">
        <v>1</v>
      </c>
      <c r="W619" s="8"/>
      <c r="X619" t="s">
        <v>3546</v>
      </c>
      <c r="Y619" t="s">
        <v>13</v>
      </c>
    </row>
    <row r="620" spans="1:25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3546</v>
      </c>
      <c r="Y620" t="s">
        <v>28</v>
      </c>
    </row>
    <row r="621" spans="1:25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1223</v>
      </c>
      <c r="V621" s="24">
        <v>1</v>
      </c>
      <c r="W621" s="24"/>
      <c r="X621" t="s">
        <v>3545</v>
      </c>
      <c r="Y621" t="s">
        <v>66</v>
      </c>
    </row>
    <row r="622" spans="1:25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3546</v>
      </c>
      <c r="Y622" t="s">
        <v>60</v>
      </c>
    </row>
    <row r="623" spans="1:25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1123</v>
      </c>
      <c r="V623" s="8"/>
      <c r="W623" s="8">
        <v>1</v>
      </c>
      <c r="X623" t="s">
        <v>3581</v>
      </c>
      <c r="Y623" t="s">
        <v>46</v>
      </c>
    </row>
    <row r="624" spans="1:25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1126</v>
      </c>
      <c r="V624" s="8">
        <v>1</v>
      </c>
      <c r="W624" s="8"/>
      <c r="X624" t="s">
        <v>3547</v>
      </c>
      <c r="Y624" t="s">
        <v>43</v>
      </c>
    </row>
    <row r="625" spans="1:25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1154</v>
      </c>
      <c r="V625" s="8">
        <v>1</v>
      </c>
      <c r="W625" s="8"/>
      <c r="X625" t="s">
        <v>3547</v>
      </c>
      <c r="Y625" t="s">
        <v>139</v>
      </c>
    </row>
    <row r="626" spans="1:25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3532</v>
      </c>
      <c r="V626" s="24"/>
      <c r="W626" s="24">
        <v>1</v>
      </c>
      <c r="X626" t="s">
        <v>3581</v>
      </c>
      <c r="Y626" t="s">
        <v>5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1164</v>
      </c>
      <c r="V628" s="8"/>
      <c r="W628" s="8">
        <v>1</v>
      </c>
      <c r="X628" t="s">
        <v>3581</v>
      </c>
      <c r="Y628" t="s">
        <v>5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3581</v>
      </c>
      <c r="Y630" t="s">
        <v>31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3581</v>
      </c>
      <c r="Y633" t="s">
        <v>5</v>
      </c>
    </row>
    <row r="634" spans="1:25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3582</v>
      </c>
      <c r="Y634" t="s">
        <v>275</v>
      </c>
    </row>
    <row r="635" spans="1:25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3581</v>
      </c>
      <c r="Y635" t="s">
        <v>159</v>
      </c>
    </row>
    <row r="636" spans="1:25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3582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3581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1255</v>
      </c>
      <c r="V641" s="24"/>
      <c r="W641" s="24">
        <v>1</v>
      </c>
      <c r="X641" t="s">
        <v>3581</v>
      </c>
      <c r="Y641" t="s">
        <v>267</v>
      </c>
    </row>
    <row r="642" spans="1:25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3545</v>
      </c>
      <c r="Y642" t="s">
        <v>108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>
        <v>45731</v>
      </c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/>
      <c r="U646" s="8" t="s">
        <v>1322</v>
      </c>
      <c r="V646" s="8"/>
      <c r="W646" s="8">
        <v>1</v>
      </c>
      <c r="X646" t="s">
        <v>8</v>
      </c>
      <c r="Y646" t="s">
        <v>967</v>
      </c>
    </row>
    <row r="647" spans="1:25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>
        <v>45675</v>
      </c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1330</v>
      </c>
      <c r="V647" s="8"/>
      <c r="W647" s="8">
        <v>1</v>
      </c>
      <c r="X647" t="s">
        <v>8</v>
      </c>
      <c r="Y647" t="s">
        <v>72</v>
      </c>
    </row>
    <row r="648" spans="1:25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1128</v>
      </c>
      <c r="V648" s="8"/>
      <c r="W648" s="8">
        <v>1</v>
      </c>
      <c r="X648" t="s">
        <v>3581</v>
      </c>
      <c r="Y648" t="s">
        <v>69</v>
      </c>
    </row>
    <row r="649" spans="1:25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1134</v>
      </c>
      <c r="V649" s="8">
        <v>1</v>
      </c>
      <c r="W649" s="8"/>
      <c r="X649" t="s">
        <v>3545</v>
      </c>
      <c r="Y649" t="s">
        <v>13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>
        <v>45874</v>
      </c>
      <c r="G651" s="7"/>
      <c r="H651" s="7"/>
      <c r="I651" s="7"/>
      <c r="N651" s="5">
        <v>1</v>
      </c>
      <c r="S651" s="5">
        <f>SUM(bron[[#This Row],[Januari]:[December]])</f>
        <v>1</v>
      </c>
      <c r="U651" s="24" t="s">
        <v>1336</v>
      </c>
      <c r="V651" s="24">
        <v>1</v>
      </c>
      <c r="W651" s="24"/>
      <c r="X651" t="s">
        <v>7</v>
      </c>
      <c r="Y651" t="s">
        <v>51</v>
      </c>
    </row>
    <row r="652" spans="1:25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1195</v>
      </c>
      <c r="V652" s="8"/>
      <c r="W652" s="8">
        <v>1</v>
      </c>
      <c r="X652" t="s">
        <v>3582</v>
      </c>
      <c r="Y652" t="s">
        <v>81</v>
      </c>
    </row>
    <row r="653" spans="1:25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3545</v>
      </c>
      <c r="Y653" t="s">
        <v>19</v>
      </c>
    </row>
    <row r="654" spans="1:25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3582</v>
      </c>
      <c r="Y654" t="s">
        <v>63</v>
      </c>
    </row>
    <row r="655" spans="1:25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1206</v>
      </c>
      <c r="V655" s="24"/>
      <c r="W655" s="24">
        <v>1</v>
      </c>
      <c r="X655" t="s">
        <v>3582</v>
      </c>
      <c r="Y655" t="s">
        <v>301</v>
      </c>
    </row>
    <row r="656" spans="1:25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>
        <v>45660</v>
      </c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/>
      <c r="U656" s="8" t="s">
        <v>1291</v>
      </c>
      <c r="V656" s="8"/>
      <c r="W656" s="8">
        <v>1</v>
      </c>
      <c r="X656" t="s">
        <v>8</v>
      </c>
      <c r="Y656" t="s">
        <v>235</v>
      </c>
    </row>
    <row r="657" spans="1:25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1244</v>
      </c>
      <c r="V657" s="24">
        <v>1</v>
      </c>
      <c r="W657" s="24"/>
      <c r="X657" t="s">
        <v>3546</v>
      </c>
      <c r="Y657" t="s">
        <v>201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1175</v>
      </c>
      <c r="V658" s="8"/>
      <c r="W658" s="8">
        <v>1</v>
      </c>
      <c r="X658" t="s">
        <v>3582</v>
      </c>
      <c r="Y658" t="s">
        <v>10</v>
      </c>
    </row>
    <row r="659" spans="1:25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3545</v>
      </c>
      <c r="Y659" t="s">
        <v>13</v>
      </c>
    </row>
    <row r="660" spans="1:25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1184</v>
      </c>
      <c r="V660" s="8"/>
      <c r="W660" s="8">
        <v>1</v>
      </c>
      <c r="X660" t="s">
        <v>3581</v>
      </c>
      <c r="Y660" t="s">
        <v>75</v>
      </c>
    </row>
    <row r="661" spans="1:25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1202</v>
      </c>
      <c r="V661" s="24">
        <v>1</v>
      </c>
      <c r="W661" s="24"/>
      <c r="X661" t="s">
        <v>3546</v>
      </c>
      <c r="Y661" t="s">
        <v>86</v>
      </c>
    </row>
    <row r="662" spans="1:25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3581</v>
      </c>
      <c r="Y662" t="s">
        <v>31</v>
      </c>
    </row>
    <row r="663" spans="1:25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3582</v>
      </c>
      <c r="Y663" t="s">
        <v>297</v>
      </c>
    </row>
    <row r="664" spans="1:25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1208</v>
      </c>
      <c r="V664" s="24"/>
      <c r="W664" s="24">
        <v>1</v>
      </c>
      <c r="X664" t="s">
        <v>3581</v>
      </c>
      <c r="Y664" t="s">
        <v>31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3581</v>
      </c>
      <c r="Y665" t="s">
        <v>167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3581</v>
      </c>
      <c r="Y666" t="s">
        <v>5</v>
      </c>
    </row>
    <row r="667" spans="1:25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1246</v>
      </c>
      <c r="V667" s="24"/>
      <c r="W667" s="24">
        <v>1</v>
      </c>
      <c r="X667" t="s">
        <v>3582</v>
      </c>
      <c r="Y667" t="s">
        <v>69</v>
      </c>
    </row>
    <row r="668" spans="1:25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1210</v>
      </c>
      <c r="V668" s="24">
        <v>1</v>
      </c>
      <c r="W668" s="24"/>
      <c r="X668" t="s">
        <v>3546</v>
      </c>
      <c r="Y668" t="s">
        <v>259</v>
      </c>
    </row>
    <row r="669" spans="1:25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3582</v>
      </c>
      <c r="Y669" t="s">
        <v>5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1199</v>
      </c>
      <c r="V671" s="24"/>
      <c r="W671" s="24">
        <v>1</v>
      </c>
      <c r="X671" t="s">
        <v>3582</v>
      </c>
      <c r="Y671" t="s">
        <v>72</v>
      </c>
    </row>
    <row r="672" spans="1:25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3581</v>
      </c>
      <c r="Y672" t="s">
        <v>104</v>
      </c>
    </row>
    <row r="673" spans="1:25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3546</v>
      </c>
      <c r="Y673" t="s">
        <v>13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3547</v>
      </c>
      <c r="Y674" t="s">
        <v>81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3546</v>
      </c>
    </row>
    <row r="676" spans="1:25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1137</v>
      </c>
      <c r="V676" s="8">
        <v>1</v>
      </c>
      <c r="W676" s="8"/>
      <c r="X676" t="s">
        <v>3547</v>
      </c>
      <c r="Y676" t="s">
        <v>514</v>
      </c>
    </row>
    <row r="677" spans="1:25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1149</v>
      </c>
      <c r="V677" s="8"/>
      <c r="W677" s="8">
        <v>1</v>
      </c>
      <c r="X677" t="s">
        <v>3581</v>
      </c>
      <c r="Y677" t="s">
        <v>279</v>
      </c>
    </row>
    <row r="678" spans="1:25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3547</v>
      </c>
      <c r="Y678" t="s">
        <v>48</v>
      </c>
    </row>
    <row r="679" spans="1:25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1200</v>
      </c>
      <c r="V679" s="24"/>
      <c r="W679" s="24">
        <v>1</v>
      </c>
      <c r="X679" t="s">
        <v>3581</v>
      </c>
      <c r="Y679" t="s">
        <v>10</v>
      </c>
    </row>
    <row r="680" spans="1:25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1270</v>
      </c>
      <c r="V680" s="24">
        <v>1</v>
      </c>
      <c r="W680" s="24"/>
      <c r="X680" t="s">
        <v>3547</v>
      </c>
      <c r="Y680" t="s">
        <v>34</v>
      </c>
    </row>
    <row r="681" spans="1:25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1260</v>
      </c>
      <c r="V681" s="24">
        <v>1</v>
      </c>
      <c r="W681" s="24"/>
      <c r="X681" t="s">
        <v>3547</v>
      </c>
      <c r="Y681" t="s">
        <v>19</v>
      </c>
    </row>
    <row r="682" spans="1:25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1268</v>
      </c>
      <c r="V682" s="24"/>
      <c r="W682" s="24">
        <v>1</v>
      </c>
      <c r="X682" t="s">
        <v>3582</v>
      </c>
      <c r="Y682" t="s">
        <v>10</v>
      </c>
    </row>
    <row r="683" spans="1:25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1234</v>
      </c>
      <c r="V683" s="24">
        <v>1</v>
      </c>
      <c r="W683" s="24"/>
      <c r="X683" t="s">
        <v>3546</v>
      </c>
      <c r="Y683" t="s">
        <v>106</v>
      </c>
    </row>
    <row r="684" spans="1:25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3581</v>
      </c>
      <c r="Y684" t="s">
        <v>88</v>
      </c>
    </row>
    <row r="685" spans="1:25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3581</v>
      </c>
      <c r="Y685" t="s">
        <v>5</v>
      </c>
    </row>
    <row r="686" spans="1:25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3547</v>
      </c>
      <c r="Y686" t="s">
        <v>514</v>
      </c>
    </row>
    <row r="687" spans="1:25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>
        <v>45706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1293</v>
      </c>
      <c r="V687" s="8">
        <v>1</v>
      </c>
      <c r="W687" s="8"/>
      <c r="X687" t="s">
        <v>7</v>
      </c>
      <c r="Y687" t="s">
        <v>1294</v>
      </c>
    </row>
    <row r="688" spans="1:25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1224</v>
      </c>
      <c r="V688" s="24"/>
      <c r="W688" s="24">
        <v>1</v>
      </c>
      <c r="X688" t="s">
        <v>3582</v>
      </c>
      <c r="Y688" t="s">
        <v>46</v>
      </c>
    </row>
    <row r="689" spans="1:25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>
        <v>45703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1319</v>
      </c>
      <c r="V689" s="8">
        <v>1</v>
      </c>
      <c r="W689" s="8"/>
      <c r="X689" t="s">
        <v>7</v>
      </c>
      <c r="Y689" t="s">
        <v>106</v>
      </c>
    </row>
    <row r="690" spans="1:25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3546</v>
      </c>
      <c r="Y690" t="s">
        <v>123</v>
      </c>
    </row>
    <row r="691" spans="1:25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3545</v>
      </c>
      <c r="Y691" t="s">
        <v>217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>
        <v>45783</v>
      </c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/>
      <c r="U692" s="8" t="s">
        <v>1295</v>
      </c>
      <c r="V692" s="8">
        <v>1</v>
      </c>
      <c r="W692" s="8"/>
      <c r="X692" t="s">
        <v>7</v>
      </c>
      <c r="Y692" t="s">
        <v>34</v>
      </c>
    </row>
    <row r="693" spans="1:25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1140</v>
      </c>
      <c r="V693" s="8">
        <v>1</v>
      </c>
      <c r="W693" s="8"/>
      <c r="X693" t="s">
        <v>3545</v>
      </c>
      <c r="Y693" t="s">
        <v>86</v>
      </c>
    </row>
    <row r="694" spans="1:25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3545</v>
      </c>
      <c r="Y694" t="s">
        <v>22</v>
      </c>
    </row>
    <row r="695" spans="1:25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1160</v>
      </c>
      <c r="V695" s="8">
        <v>1</v>
      </c>
      <c r="W695" s="8"/>
      <c r="X695" t="s">
        <v>3545</v>
      </c>
      <c r="Y695" t="s">
        <v>25</v>
      </c>
    </row>
    <row r="696" spans="1:25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1245</v>
      </c>
      <c r="V696" s="24">
        <v>1</v>
      </c>
      <c r="W696" s="24"/>
      <c r="X696" t="s">
        <v>3546</v>
      </c>
      <c r="Y696" t="s">
        <v>229</v>
      </c>
    </row>
    <row r="697" spans="1:25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3546</v>
      </c>
      <c r="Y697" t="s">
        <v>117</v>
      </c>
    </row>
    <row r="698" spans="1:25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1129</v>
      </c>
      <c r="V698" s="8">
        <v>1</v>
      </c>
      <c r="W698" s="8"/>
      <c r="X698" t="s">
        <v>3546</v>
      </c>
      <c r="Y698" t="s">
        <v>22</v>
      </c>
    </row>
    <row r="699" spans="1:25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1157</v>
      </c>
      <c r="V699" s="8">
        <v>1</v>
      </c>
      <c r="W699" s="8"/>
      <c r="X699" t="s">
        <v>3546</v>
      </c>
      <c r="Y699" t="s">
        <v>84</v>
      </c>
    </row>
    <row r="700" spans="1:25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1151</v>
      </c>
      <c r="V700" s="8">
        <v>1</v>
      </c>
      <c r="W700" s="8"/>
      <c r="X700" t="s">
        <v>3546</v>
      </c>
      <c r="Y700" t="s">
        <v>197</v>
      </c>
    </row>
    <row r="701" spans="1:25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1196</v>
      </c>
      <c r="V701" s="24">
        <v>1</v>
      </c>
      <c r="W701" s="24"/>
      <c r="X701" t="s">
        <v>3546</v>
      </c>
      <c r="Y701" t="s">
        <v>247</v>
      </c>
    </row>
    <row r="702" spans="1:25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3545</v>
      </c>
      <c r="Y702" t="s">
        <v>106</v>
      </c>
    </row>
    <row r="703" spans="1:25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1215</v>
      </c>
      <c r="V703" s="24">
        <v>1</v>
      </c>
      <c r="W703" s="24"/>
      <c r="X703" t="s">
        <v>3545</v>
      </c>
      <c r="Y703" t="s">
        <v>28</v>
      </c>
    </row>
    <row r="704" spans="1:25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1216</v>
      </c>
      <c r="V704" s="24"/>
      <c r="W704" s="24">
        <v>1</v>
      </c>
      <c r="X704" t="s">
        <v>3581</v>
      </c>
      <c r="Y704" t="s">
        <v>239</v>
      </c>
    </row>
    <row r="705" spans="1:25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1225</v>
      </c>
      <c r="V705" s="24"/>
      <c r="W705" s="24">
        <v>1</v>
      </c>
      <c r="X705" t="s">
        <v>3582</v>
      </c>
      <c r="Y705" t="s">
        <v>5</v>
      </c>
    </row>
    <row r="706" spans="1:25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1178</v>
      </c>
      <c r="V706" s="8"/>
      <c r="W706" s="8">
        <v>1</v>
      </c>
      <c r="X706" t="s">
        <v>3581</v>
      </c>
      <c r="Y706" t="s">
        <v>173</v>
      </c>
    </row>
    <row r="707" spans="1:25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1165</v>
      </c>
      <c r="V707" s="8">
        <v>1</v>
      </c>
      <c r="W707" s="8"/>
      <c r="X707" t="s">
        <v>3547</v>
      </c>
      <c r="Y707" t="s">
        <v>13</v>
      </c>
    </row>
    <row r="708" spans="1:25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1272</v>
      </c>
      <c r="V708" s="24"/>
      <c r="W708" s="24">
        <v>1</v>
      </c>
      <c r="X708" t="s">
        <v>3581</v>
      </c>
      <c r="Y708" t="s">
        <v>5</v>
      </c>
    </row>
    <row r="709" spans="1:25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1301</v>
      </c>
      <c r="V709" s="8"/>
      <c r="W709" s="8">
        <v>1</v>
      </c>
      <c r="X709" t="s">
        <v>8</v>
      </c>
      <c r="Y709" t="s">
        <v>859</v>
      </c>
    </row>
    <row r="710" spans="1:25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1124</v>
      </c>
      <c r="V710" s="8">
        <v>1</v>
      </c>
      <c r="W710" s="8"/>
      <c r="X710" t="s">
        <v>3547</v>
      </c>
      <c r="Y710" t="s">
        <v>40</v>
      </c>
    </row>
    <row r="711" spans="1:25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3546</v>
      </c>
      <c r="Y711" t="s">
        <v>78</v>
      </c>
    </row>
    <row r="712" spans="1:25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1212</v>
      </c>
      <c r="V712" s="24">
        <v>1</v>
      </c>
      <c r="W712" s="24"/>
      <c r="X712" t="s">
        <v>3546</v>
      </c>
      <c r="Y712" t="s">
        <v>16</v>
      </c>
    </row>
    <row r="713" spans="1:25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1168</v>
      </c>
      <c r="V713" s="8">
        <v>1</v>
      </c>
      <c r="W713" s="8"/>
      <c r="X713" t="s">
        <v>3546</v>
      </c>
      <c r="Y713" t="s">
        <v>165</v>
      </c>
    </row>
    <row r="714" spans="1:25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1142</v>
      </c>
      <c r="V714" s="8"/>
      <c r="W714" s="8">
        <v>1</v>
      </c>
      <c r="X714" t="s">
        <v>3581</v>
      </c>
      <c r="Y714" t="s">
        <v>88</v>
      </c>
    </row>
    <row r="715" spans="1:25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3547</v>
      </c>
      <c r="Y715" t="s">
        <v>263</v>
      </c>
    </row>
    <row r="716" spans="1:25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3581</v>
      </c>
      <c r="Y716" t="s">
        <v>81</v>
      </c>
    </row>
    <row r="717" spans="1:25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1131</v>
      </c>
      <c r="V717" s="8">
        <v>1</v>
      </c>
      <c r="W717" s="8"/>
      <c r="X717" t="s">
        <v>3547</v>
      </c>
      <c r="Y717" t="s">
        <v>25</v>
      </c>
    </row>
    <row r="718" spans="1:25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3547</v>
      </c>
      <c r="Y718" t="s">
        <v>13</v>
      </c>
    </row>
    <row r="719" spans="1:25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1305</v>
      </c>
      <c r="V719" s="24"/>
      <c r="W719" s="24">
        <v>1</v>
      </c>
      <c r="X719" t="s">
        <v>8</v>
      </c>
      <c r="Y719" t="s">
        <v>962</v>
      </c>
    </row>
    <row r="720" spans="1:25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3547</v>
      </c>
      <c r="Y720" t="s">
        <v>100</v>
      </c>
    </row>
    <row r="721" spans="1:25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3547</v>
      </c>
      <c r="Y721" t="s">
        <v>13</v>
      </c>
    </row>
    <row r="722" spans="1:25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1254</v>
      </c>
      <c r="V722" s="24">
        <v>1</v>
      </c>
      <c r="W722" s="24"/>
      <c r="X722" t="s">
        <v>3547</v>
      </c>
      <c r="Y722" t="s">
        <v>113</v>
      </c>
    </row>
    <row r="723" spans="1:25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3547</v>
      </c>
      <c r="Y723" t="s">
        <v>48</v>
      </c>
    </row>
    <row r="724" spans="1:25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1327</v>
      </c>
      <c r="V724" s="8">
        <v>1</v>
      </c>
      <c r="W724" s="8"/>
      <c r="X724" t="s">
        <v>7</v>
      </c>
      <c r="Y724" t="s">
        <v>489</v>
      </c>
    </row>
    <row r="725" spans="1:25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1182</v>
      </c>
      <c r="V725" s="24">
        <v>1</v>
      </c>
      <c r="W725" s="24"/>
      <c r="X725" t="s">
        <v>3546</v>
      </c>
      <c r="Y725" t="s">
        <v>10</v>
      </c>
    </row>
    <row r="726" spans="1:25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3547</v>
      </c>
      <c r="Y726" t="s">
        <v>43</v>
      </c>
    </row>
    <row r="727" spans="1:25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3547</v>
      </c>
      <c r="Y727" t="s">
        <v>48</v>
      </c>
    </row>
    <row r="728" spans="1:25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1298</v>
      </c>
      <c r="V728" s="24">
        <v>1</v>
      </c>
      <c r="W728" s="24"/>
      <c r="X728" t="s">
        <v>7</v>
      </c>
      <c r="Y728" t="s">
        <v>227</v>
      </c>
    </row>
    <row r="729" spans="1:25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1259</v>
      </c>
      <c r="V729" s="24">
        <v>1</v>
      </c>
      <c r="W729" s="24"/>
      <c r="X729" t="s">
        <v>3547</v>
      </c>
      <c r="Y729" t="s">
        <v>265</v>
      </c>
    </row>
    <row r="730" spans="1:25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3546</v>
      </c>
      <c r="Y730" t="s">
        <v>92</v>
      </c>
    </row>
    <row r="731" spans="1:25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1320</v>
      </c>
      <c r="V731" s="8">
        <v>1</v>
      </c>
      <c r="W731" s="8"/>
      <c r="X731" t="s">
        <v>7</v>
      </c>
      <c r="Y731" t="s">
        <v>1321</v>
      </c>
    </row>
    <row r="732" spans="1:25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3547</v>
      </c>
    </row>
    <row r="733" spans="1:25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3546</v>
      </c>
      <c r="Y733" t="s">
        <v>277</v>
      </c>
    </row>
    <row r="734" spans="1:25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1297</v>
      </c>
      <c r="V734" s="8">
        <v>1</v>
      </c>
      <c r="W734" s="8"/>
      <c r="X734" t="s">
        <v>7</v>
      </c>
      <c r="Y734" t="s">
        <v>72</v>
      </c>
    </row>
    <row r="735" spans="1:25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3546</v>
      </c>
      <c r="Y735" t="s">
        <v>1075</v>
      </c>
    </row>
    <row r="736" spans="1:25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3545</v>
      </c>
      <c r="Y736" t="s">
        <v>5</v>
      </c>
    </row>
    <row r="737" spans="1:25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1312</v>
      </c>
      <c r="V737" s="8">
        <v>1</v>
      </c>
      <c r="W737" s="8"/>
      <c r="X737" t="s">
        <v>7</v>
      </c>
      <c r="Y737" t="s">
        <v>113</v>
      </c>
    </row>
    <row r="738" spans="1:25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1219</v>
      </c>
      <c r="V738" s="24">
        <v>1</v>
      </c>
      <c r="W738" s="24"/>
      <c r="X738" t="s">
        <v>3545</v>
      </c>
      <c r="Y738" t="s">
        <v>119</v>
      </c>
    </row>
    <row r="739" spans="1:25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1172</v>
      </c>
      <c r="V739" s="8">
        <v>1</v>
      </c>
      <c r="W739" s="8"/>
      <c r="X739" t="s">
        <v>3545</v>
      </c>
      <c r="Y739" t="s">
        <v>161</v>
      </c>
    </row>
    <row r="740" spans="1:25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1188</v>
      </c>
      <c r="V740" s="8"/>
      <c r="W740" s="8">
        <v>1</v>
      </c>
      <c r="X740" t="s">
        <v>3582</v>
      </c>
      <c r="Y740" t="s">
        <v>5</v>
      </c>
    </row>
    <row r="741" spans="1:25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1130</v>
      </c>
      <c r="V741" s="8">
        <v>1</v>
      </c>
      <c r="W741" s="8"/>
      <c r="X741" t="s">
        <v>3545</v>
      </c>
      <c r="Y741" t="s">
        <v>253</v>
      </c>
    </row>
    <row r="742" spans="1:25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3545</v>
      </c>
      <c r="Y742" t="s">
        <v>25</v>
      </c>
    </row>
    <row r="743" spans="1:25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3546</v>
      </c>
      <c r="Y743" t="s">
        <v>185</v>
      </c>
    </row>
    <row r="744" spans="1:25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1191</v>
      </c>
      <c r="V744" s="8">
        <v>1</v>
      </c>
      <c r="W744" s="8"/>
      <c r="X744" t="s">
        <v>3546</v>
      </c>
      <c r="Y744" t="s">
        <v>60</v>
      </c>
    </row>
    <row r="745" spans="1:25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3545</v>
      </c>
      <c r="Y745" t="s">
        <v>19</v>
      </c>
    </row>
    <row r="746" spans="1:25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1300</v>
      </c>
      <c r="V746" s="8">
        <v>1</v>
      </c>
      <c r="W746" s="8"/>
      <c r="X746" t="s">
        <v>7</v>
      </c>
      <c r="Y746" t="s">
        <v>119</v>
      </c>
    </row>
    <row r="747" spans="1:25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1144</v>
      </c>
      <c r="V747" s="8">
        <v>1</v>
      </c>
      <c r="W747" s="8"/>
      <c r="X747" t="s">
        <v>3545</v>
      </c>
      <c r="Y747" t="s">
        <v>177</v>
      </c>
    </row>
    <row r="748" spans="1:25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1156</v>
      </c>
      <c r="V748" s="8">
        <v>1</v>
      </c>
      <c r="W748" s="8"/>
      <c r="X748" t="s">
        <v>3546</v>
      </c>
      <c r="Y748" t="s">
        <v>179</v>
      </c>
    </row>
    <row r="749" spans="1:25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1265</v>
      </c>
      <c r="V749" s="24">
        <v>1</v>
      </c>
      <c r="W749" s="24"/>
      <c r="X749" t="s">
        <v>3546</v>
      </c>
      <c r="Y749" t="s">
        <v>25</v>
      </c>
    </row>
    <row r="750" spans="1:25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1171</v>
      </c>
      <c r="V750" s="8">
        <v>1</v>
      </c>
      <c r="W750" s="8"/>
      <c r="X750" t="s">
        <v>3547</v>
      </c>
      <c r="Y750" t="s">
        <v>25</v>
      </c>
    </row>
    <row r="751" spans="1:25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3547</v>
      </c>
      <c r="Y751" t="s">
        <v>40</v>
      </c>
    </row>
    <row r="752" spans="1:25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3546</v>
      </c>
      <c r="Y752" s="15" t="s">
        <v>287</v>
      </c>
    </row>
    <row r="753" spans="1:25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3546</v>
      </c>
      <c r="Y753" t="s">
        <v>54</v>
      </c>
    </row>
    <row r="754" spans="1:25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3547</v>
      </c>
      <c r="Y754" t="s">
        <v>257</v>
      </c>
    </row>
    <row r="755" spans="1:25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1220</v>
      </c>
      <c r="V755" s="24">
        <v>1</v>
      </c>
      <c r="W755" s="24"/>
      <c r="X755" t="s">
        <v>3547</v>
      </c>
      <c r="Y755" t="s">
        <v>271</v>
      </c>
    </row>
    <row r="756" spans="1:25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3547</v>
      </c>
      <c r="Y756" t="s">
        <v>25</v>
      </c>
    </row>
    <row r="757" spans="1:25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3547</v>
      </c>
      <c r="Y757" t="s">
        <v>299</v>
      </c>
    </row>
    <row r="758" spans="1:25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3547</v>
      </c>
      <c r="Y758" t="s">
        <v>43</v>
      </c>
    </row>
    <row r="759" spans="1:25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3546</v>
      </c>
      <c r="Y759" t="s">
        <v>102</v>
      </c>
    </row>
    <row r="760" spans="1:25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1189</v>
      </c>
      <c r="V760" s="8">
        <v>1</v>
      </c>
      <c r="W760" s="8"/>
      <c r="X760" t="s">
        <v>3547</v>
      </c>
      <c r="Y760" t="s">
        <v>98</v>
      </c>
    </row>
    <row r="761" spans="1:25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1181</v>
      </c>
      <c r="V761" s="8">
        <v>1</v>
      </c>
      <c r="X761" t="s">
        <v>3547</v>
      </c>
      <c r="Y761" t="s">
        <v>37</v>
      </c>
    </row>
    <row r="762" spans="1:25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1240</v>
      </c>
      <c r="V762" s="24">
        <v>1</v>
      </c>
      <c r="W762" s="24"/>
      <c r="X762" t="s">
        <v>3546</v>
      </c>
      <c r="Y762" t="s">
        <v>519</v>
      </c>
    </row>
    <row r="763" spans="1:25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1218</v>
      </c>
      <c r="V763" s="24">
        <v>1</v>
      </c>
      <c r="W763" s="24"/>
      <c r="X763" t="s">
        <v>3547</v>
      </c>
      <c r="Y763" t="s">
        <v>51</v>
      </c>
    </row>
    <row r="764" spans="1:25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1174</v>
      </c>
      <c r="V764" s="8">
        <v>1</v>
      </c>
      <c r="W764" s="8"/>
      <c r="X764" t="s">
        <v>3546</v>
      </c>
      <c r="Y764" t="s">
        <v>175</v>
      </c>
    </row>
    <row r="765" spans="1:25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1311</v>
      </c>
      <c r="V765" s="24">
        <v>1</v>
      </c>
      <c r="W765" s="24"/>
      <c r="X765" t="s">
        <v>7</v>
      </c>
      <c r="Y765" t="s">
        <v>537</v>
      </c>
    </row>
    <row r="766" spans="1:25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1138</v>
      </c>
      <c r="V766" s="8">
        <v>1</v>
      </c>
      <c r="W766" s="8"/>
      <c r="X766" t="s">
        <v>3546</v>
      </c>
      <c r="Y766" t="s">
        <v>51</v>
      </c>
    </row>
    <row r="767" spans="1:25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3547</v>
      </c>
      <c r="Y767" t="s">
        <v>100</v>
      </c>
    </row>
    <row r="768" spans="1:25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1214</v>
      </c>
      <c r="V768" s="24">
        <v>1</v>
      </c>
      <c r="W768" s="24"/>
      <c r="X768" t="s">
        <v>3546</v>
      </c>
      <c r="Y768" t="s">
        <v>84</v>
      </c>
    </row>
    <row r="769" spans="1:25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1147</v>
      </c>
      <c r="V769" s="8">
        <v>1</v>
      </c>
      <c r="W769" s="8"/>
      <c r="X769" t="s">
        <v>3546</v>
      </c>
      <c r="Y769" t="s">
        <v>245</v>
      </c>
    </row>
    <row r="770" spans="1:25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1155</v>
      </c>
      <c r="V770" s="8">
        <v>1</v>
      </c>
      <c r="W770" s="8"/>
      <c r="X770" t="s">
        <v>3547</v>
      </c>
      <c r="Y770" t="s">
        <v>157</v>
      </c>
    </row>
    <row r="771" spans="1:25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3547</v>
      </c>
      <c r="Y771" t="s">
        <v>22</v>
      </c>
    </row>
    <row r="772" spans="1:25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1201</v>
      </c>
      <c r="V772" s="24">
        <v>1</v>
      </c>
      <c r="W772" s="24"/>
      <c r="X772" t="s">
        <v>3546</v>
      </c>
      <c r="Y772" t="s">
        <v>16</v>
      </c>
    </row>
    <row r="773" spans="1:25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1167</v>
      </c>
      <c r="V773" s="8">
        <v>1</v>
      </c>
      <c r="W773" s="8"/>
      <c r="X773" t="s">
        <v>3547</v>
      </c>
      <c r="Y773" t="s">
        <v>295</v>
      </c>
    </row>
    <row r="774" spans="1:25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3547</v>
      </c>
      <c r="Y774" t="s">
        <v>40</v>
      </c>
    </row>
    <row r="775" spans="1:25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1162</v>
      </c>
      <c r="V775" s="24">
        <v>1</v>
      </c>
      <c r="W775" s="24"/>
      <c r="X775" t="s">
        <v>3547</v>
      </c>
      <c r="Y775" t="s">
        <v>40</v>
      </c>
    </row>
    <row r="776" spans="1:25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3547</v>
      </c>
      <c r="Y776" t="s">
        <v>241</v>
      </c>
    </row>
    <row r="777" spans="1:25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3546</v>
      </c>
      <c r="Y777" t="s">
        <v>207</v>
      </c>
    </row>
    <row r="778" spans="1:25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3546</v>
      </c>
      <c r="Y778" t="s">
        <v>16</v>
      </c>
    </row>
    <row r="779" spans="1:25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1292</v>
      </c>
    </row>
    <row r="780" spans="1:25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1226</v>
      </c>
      <c r="V780" s="24">
        <v>1</v>
      </c>
      <c r="W780" s="24"/>
      <c r="X780" t="s">
        <v>3545</v>
      </c>
      <c r="Y780" t="s">
        <v>98</v>
      </c>
    </row>
    <row r="781" spans="1:25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1243</v>
      </c>
      <c r="V781" s="24">
        <v>1</v>
      </c>
      <c r="W781" s="24"/>
      <c r="X781" t="s">
        <v>3545</v>
      </c>
      <c r="Y781" t="s">
        <v>19</v>
      </c>
    </row>
    <row r="782" spans="1:25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1186</v>
      </c>
      <c r="V782" s="8">
        <v>1</v>
      </c>
      <c r="W782" s="8"/>
      <c r="X782" t="s">
        <v>3545</v>
      </c>
      <c r="Y782" t="s">
        <v>125</v>
      </c>
    </row>
    <row r="783" spans="1:25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3545</v>
      </c>
      <c r="Y783" t="s">
        <v>211</v>
      </c>
    </row>
    <row r="784" spans="1:25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1266</v>
      </c>
      <c r="V784" s="24">
        <v>1</v>
      </c>
      <c r="W784" s="24"/>
      <c r="X784" t="s">
        <v>3545</v>
      </c>
      <c r="Y784" t="s">
        <v>209</v>
      </c>
    </row>
    <row r="785" spans="1:25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3545</v>
      </c>
      <c r="Y785" t="s">
        <v>273</v>
      </c>
    </row>
    <row r="786" spans="1:25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1166</v>
      </c>
      <c r="V786" s="8">
        <v>1</v>
      </c>
      <c r="W786" s="8"/>
      <c r="X786" t="s">
        <v>3545</v>
      </c>
      <c r="Y786" t="s">
        <v>43</v>
      </c>
    </row>
    <row r="787" spans="1:25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3533</v>
      </c>
      <c r="V787" s="24">
        <v>1</v>
      </c>
      <c r="W787" s="24"/>
      <c r="X787" t="s">
        <v>7</v>
      </c>
      <c r="Y787" t="s">
        <v>100</v>
      </c>
    </row>
    <row r="788" spans="1:25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1229</v>
      </c>
      <c r="V788" s="24">
        <v>1</v>
      </c>
      <c r="W788" s="24"/>
      <c r="X788" t="s">
        <v>3545</v>
      </c>
      <c r="Y788" t="s">
        <v>22</v>
      </c>
    </row>
    <row r="789" spans="1:25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1125</v>
      </c>
      <c r="V789" s="8">
        <v>1</v>
      </c>
      <c r="W789" s="8"/>
      <c r="X789" t="s">
        <v>3545</v>
      </c>
      <c r="Y789" t="s">
        <v>43</v>
      </c>
    </row>
    <row r="790" spans="1:25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3546</v>
      </c>
      <c r="Y790" t="s">
        <v>13</v>
      </c>
    </row>
    <row r="791" spans="1:25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3546</v>
      </c>
      <c r="Y791" t="s">
        <v>28</v>
      </c>
    </row>
    <row r="792" spans="1:25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1262</v>
      </c>
      <c r="D792" t="s">
        <v>1263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1264</v>
      </c>
      <c r="V792" s="24">
        <v>1</v>
      </c>
      <c r="W792" s="24"/>
      <c r="X792" t="s">
        <v>3546</v>
      </c>
      <c r="Y792" t="s">
        <v>16</v>
      </c>
    </row>
    <row r="793" spans="1:25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3545</v>
      </c>
      <c r="Y793" t="s">
        <v>25</v>
      </c>
    </row>
    <row r="794" spans="1:25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3546</v>
      </c>
      <c r="Y794" t="s">
        <v>514</v>
      </c>
    </row>
    <row r="795" spans="1:25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1197</v>
      </c>
      <c r="V795" s="8">
        <v>1</v>
      </c>
      <c r="W795" s="8"/>
      <c r="X795" t="s">
        <v>3547</v>
      </c>
      <c r="Y795" t="s">
        <v>117</v>
      </c>
    </row>
    <row r="796" spans="1:25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1198</v>
      </c>
      <c r="V796" s="8">
        <v>1</v>
      </c>
      <c r="W796" s="8"/>
      <c r="X796" t="s">
        <v>3547</v>
      </c>
      <c r="Y796" t="s">
        <v>34</v>
      </c>
    </row>
    <row r="797" spans="1:25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3546</v>
      </c>
      <c r="Y797" t="s">
        <v>219</v>
      </c>
    </row>
    <row r="798" spans="1:25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3546</v>
      </c>
      <c r="Y798" t="s">
        <v>31</v>
      </c>
    </row>
    <row r="799" spans="1:25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1192</v>
      </c>
      <c r="V799" s="24">
        <v>1</v>
      </c>
      <c r="W799" s="24"/>
      <c r="X799" t="s">
        <v>3546</v>
      </c>
      <c r="Y799" t="s">
        <v>5</v>
      </c>
    </row>
    <row r="800" spans="1:25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3546</v>
      </c>
      <c r="Y800" t="s">
        <v>10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3546</v>
      </c>
      <c r="Y801" t="s">
        <v>16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1242</v>
      </c>
      <c r="V802" s="24">
        <v>1</v>
      </c>
      <c r="W802" s="24"/>
      <c r="X802" t="s">
        <v>3547</v>
      </c>
      <c r="Y802" t="s">
        <v>135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3546</v>
      </c>
      <c r="Y803" t="s">
        <v>111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1271</v>
      </c>
      <c r="V804" s="24">
        <v>1</v>
      </c>
      <c r="W804" s="24"/>
      <c r="X804" t="s">
        <v>3547</v>
      </c>
      <c r="Y804" t="s">
        <v>289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1159</v>
      </c>
      <c r="V805" s="8">
        <v>1</v>
      </c>
      <c r="W805" s="8"/>
      <c r="X805" t="s">
        <v>3546</v>
      </c>
      <c r="Y805" t="s">
        <v>133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1127</v>
      </c>
      <c r="V806" s="8">
        <v>1</v>
      </c>
      <c r="W806" s="8"/>
      <c r="X806" t="s">
        <v>3546</v>
      </c>
      <c r="Y806" t="s">
        <v>119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3546</v>
      </c>
      <c r="Y807" t="s">
        <v>102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3546</v>
      </c>
      <c r="Y808" t="s">
        <v>225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3546</v>
      </c>
      <c r="Y809" t="s">
        <v>34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3546</v>
      </c>
      <c r="Y810" t="s">
        <v>57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1251</v>
      </c>
      <c r="V811" s="24">
        <v>1</v>
      </c>
      <c r="W811" s="24"/>
      <c r="X811" t="s">
        <v>3546</v>
      </c>
      <c r="Y811" t="s">
        <v>111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1267</v>
      </c>
      <c r="V812" s="24">
        <v>1</v>
      </c>
      <c r="W812" s="24"/>
      <c r="X812" t="s">
        <v>3547</v>
      </c>
      <c r="Y812" t="s">
        <v>19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1252</v>
      </c>
      <c r="V813" s="24">
        <v>1</v>
      </c>
      <c r="W813" s="24"/>
      <c r="X813" t="s">
        <v>3547</v>
      </c>
      <c r="Y813" t="s">
        <v>1253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3546</v>
      </c>
      <c r="Y814" t="s">
        <v>213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3546</v>
      </c>
      <c r="Y815" t="s">
        <v>261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1288</v>
      </c>
      <c r="V816" s="24">
        <v>1</v>
      </c>
      <c r="W816" s="24"/>
      <c r="X816" t="s">
        <v>3547</v>
      </c>
      <c r="Y816" t="s">
        <v>1289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3546</v>
      </c>
      <c r="Y817" t="s">
        <v>127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1176</v>
      </c>
      <c r="V818" s="8">
        <v>1</v>
      </c>
      <c r="W818" s="8"/>
      <c r="X818" t="s">
        <v>3546</v>
      </c>
      <c r="Y818" t="s">
        <v>281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3540</v>
      </c>
      <c r="V819" s="24">
        <v>1</v>
      </c>
      <c r="W819" s="24"/>
      <c r="X819" t="s">
        <v>3545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1141</v>
      </c>
      <c r="V820" s="8">
        <v>1</v>
      </c>
      <c r="W820" s="8"/>
      <c r="X820" t="s">
        <v>3546</v>
      </c>
      <c r="Y820" t="s">
        <v>131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1193</v>
      </c>
      <c r="V821" s="8">
        <v>1</v>
      </c>
      <c r="W821" s="8"/>
      <c r="X821" t="s">
        <v>3546</v>
      </c>
      <c r="Y821" t="s">
        <v>283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3546</v>
      </c>
      <c r="Y822" s="15" t="s">
        <v>121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3546</v>
      </c>
      <c r="Y823" t="s">
        <v>131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3580</v>
      </c>
      <c r="V824" s="24">
        <v>1</v>
      </c>
      <c r="W824" s="24"/>
      <c r="X824" t="s">
        <v>3547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3585</v>
      </c>
      <c r="V825" s="24">
        <v>1</v>
      </c>
      <c r="W825" s="24"/>
      <c r="X825" t="s">
        <v>3545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1261</v>
      </c>
      <c r="V826" s="24">
        <v>1</v>
      </c>
      <c r="W826" s="24"/>
      <c r="X826" t="s">
        <v>3547</v>
      </c>
      <c r="Y826" t="s">
        <v>141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1302</v>
      </c>
      <c r="V827" s="8">
        <v>1</v>
      </c>
      <c r="W827" s="8"/>
      <c r="X827" t="s">
        <v>7</v>
      </c>
      <c r="Y827" t="s">
        <v>10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3546</v>
      </c>
      <c r="Y828" t="s">
        <v>60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1190</v>
      </c>
      <c r="V829" s="8">
        <v>1</v>
      </c>
      <c r="W829" s="8"/>
      <c r="X829" t="s">
        <v>3546</v>
      </c>
      <c r="Y829" t="s">
        <v>28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1342</v>
      </c>
      <c r="V830" s="24">
        <v>1</v>
      </c>
      <c r="W830" s="24"/>
      <c r="X830" t="s">
        <v>3547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1303</v>
      </c>
      <c r="V831" s="24">
        <v>1</v>
      </c>
      <c r="W831" s="24"/>
      <c r="X831" t="s">
        <v>7</v>
      </c>
      <c r="Y831" t="s">
        <v>108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1180</v>
      </c>
      <c r="V832" s="8">
        <v>1</v>
      </c>
      <c r="W832" s="8"/>
      <c r="X832" t="s">
        <v>3546</v>
      </c>
      <c r="Y832" t="s">
        <v>34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1281</v>
      </c>
      <c r="V833" s="24">
        <v>1</v>
      </c>
      <c r="W833" s="24"/>
      <c r="X833" t="s">
        <v>3547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1280</v>
      </c>
      <c r="V834" s="24">
        <v>1</v>
      </c>
      <c r="W834" s="24"/>
      <c r="X834" t="s">
        <v>3547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1145</v>
      </c>
      <c r="V835" s="8">
        <v>1</v>
      </c>
      <c r="W835" s="8"/>
      <c r="X835" t="s">
        <v>3546</v>
      </c>
      <c r="Y835" t="s">
        <v>269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1290</v>
      </c>
      <c r="V836" s="24">
        <v>1</v>
      </c>
      <c r="W836" s="24"/>
      <c r="X836" t="s">
        <v>3547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3546</v>
      </c>
      <c r="Y837" t="s">
        <v>145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1148</v>
      </c>
      <c r="V838" s="8">
        <v>1</v>
      </c>
      <c r="W838" s="8"/>
      <c r="X838" t="s">
        <v>3546</v>
      </c>
      <c r="Y838" t="s">
        <v>183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1187</v>
      </c>
      <c r="V839" s="8">
        <v>1</v>
      </c>
      <c r="W839" s="8"/>
      <c r="X839" t="s">
        <v>3546</v>
      </c>
      <c r="Y839" t="s">
        <v>57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1179</v>
      </c>
      <c r="V840" s="8">
        <v>1</v>
      </c>
      <c r="W840" s="8"/>
      <c r="X840" t="s">
        <v>3546</v>
      </c>
      <c r="Y840" t="s">
        <v>46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3537</v>
      </c>
      <c r="V841" s="24">
        <v>1</v>
      </c>
      <c r="W841" s="24"/>
      <c r="X841" t="s">
        <v>3546</v>
      </c>
      <c r="Y841" t="s">
        <v>3538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1211</v>
      </c>
      <c r="V842" s="24">
        <v>1</v>
      </c>
      <c r="W842" s="24"/>
      <c r="X842" t="s">
        <v>3546</v>
      </c>
      <c r="Y842" t="s">
        <v>54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3587</v>
      </c>
      <c r="V843" s="24">
        <v>1</v>
      </c>
      <c r="W843" s="24"/>
      <c r="X843" t="s">
        <v>3546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3546</v>
      </c>
      <c r="Y844" t="s">
        <v>108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1287</v>
      </c>
      <c r="V845" s="24">
        <v>1</v>
      </c>
      <c r="W845" s="24"/>
      <c r="X845" t="s">
        <v>3545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1209</v>
      </c>
      <c r="V846" s="24">
        <v>1</v>
      </c>
      <c r="W846" s="24"/>
      <c r="X846" t="s">
        <v>3546</v>
      </c>
      <c r="Y846" t="s">
        <v>57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1277</v>
      </c>
      <c r="D847" t="s">
        <v>1278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1279</v>
      </c>
      <c r="V847" s="24">
        <v>1</v>
      </c>
      <c r="W847" s="24"/>
      <c r="X847" t="s">
        <v>3546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1231</v>
      </c>
      <c r="D848" t="s">
        <v>1232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1233</v>
      </c>
      <c r="V848" s="24">
        <v>1</v>
      </c>
      <c r="W848" s="24"/>
      <c r="X848" t="s">
        <v>3546</v>
      </c>
      <c r="Y848" t="s">
        <v>16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1269</v>
      </c>
      <c r="V849" s="24">
        <v>1</v>
      </c>
      <c r="W849" s="24"/>
      <c r="X849" t="s">
        <v>3546</v>
      </c>
      <c r="Y849" t="s">
        <v>54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1282</v>
      </c>
      <c r="V850" s="24">
        <v>1</v>
      </c>
      <c r="W850" s="24"/>
      <c r="X850" t="s">
        <v>3547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1274</v>
      </c>
      <c r="V851" s="24">
        <v>1</v>
      </c>
      <c r="W851" s="24"/>
      <c r="X851" t="s">
        <v>3546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1340</v>
      </c>
      <c r="V852" s="24">
        <v>1</v>
      </c>
      <c r="W852" s="24"/>
      <c r="X852" t="s">
        <v>3546</v>
      </c>
      <c r="Y852" t="s">
        <v>1341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1318</v>
      </c>
      <c r="V853" s="24">
        <v>1</v>
      </c>
      <c r="W853" s="24"/>
      <c r="X853" t="s">
        <v>7</v>
      </c>
      <c r="Y853" t="s">
        <v>16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3534</v>
      </c>
      <c r="V854" s="24">
        <v>1</v>
      </c>
      <c r="W854" s="24"/>
      <c r="X854" t="s">
        <v>3546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1283</v>
      </c>
      <c r="V855" s="24">
        <v>1</v>
      </c>
      <c r="W855" s="24"/>
      <c r="X855" t="s">
        <v>3546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3586</v>
      </c>
      <c r="V856" s="24">
        <v>1</v>
      </c>
      <c r="W856" s="24"/>
      <c r="X856" t="s">
        <v>3546</v>
      </c>
      <c r="Y856" t="s">
        <v>3584</v>
      </c>
      <c r="Z856">
        <v>5488</v>
      </c>
      <c r="AA856"/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3589</v>
      </c>
      <c r="V857" s="24"/>
      <c r="W857" s="24">
        <v>1</v>
      </c>
      <c r="X857" t="s">
        <v>3581</v>
      </c>
      <c r="Y857" t="s">
        <v>1315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3590</v>
      </c>
      <c r="V858" s="24">
        <v>1</v>
      </c>
      <c r="W858" s="24"/>
      <c r="X858" t="s">
        <v>3546</v>
      </c>
      <c r="Y858" t="s">
        <v>3591</v>
      </c>
      <c r="Z858">
        <v>4678</v>
      </c>
    </row>
    <row r="859" spans="1:27" x14ac:dyDescent="0.25">
      <c r="B859" s="39"/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41">
        <f>SUM(bron[[#This Row],[Januari]:[December]])</f>
        <v>0</v>
      </c>
      <c r="V859" s="24"/>
      <c r="W859" s="24"/>
    </row>
  </sheetData>
  <sheetProtection sort="0" autoFilter="0"/>
  <phoneticPr fontId="1" type="noConversion"/>
  <conditionalFormatting sqref="F2:F859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3548</v>
      </c>
      <c r="C17" s="8" t="s">
        <v>3549</v>
      </c>
    </row>
    <row r="18" spans="1:3" x14ac:dyDescent="0.25">
      <c r="A18">
        <v>4691</v>
      </c>
      <c r="B18" t="s">
        <v>1475</v>
      </c>
      <c r="C18" s="8" t="s">
        <v>3550</v>
      </c>
    </row>
    <row r="19" spans="1:3" x14ac:dyDescent="0.25">
      <c r="A19">
        <v>22812</v>
      </c>
      <c r="B19" t="s">
        <v>1573</v>
      </c>
      <c r="C19" s="8" t="s">
        <v>3551</v>
      </c>
    </row>
    <row r="20" spans="1:3" x14ac:dyDescent="0.25">
      <c r="A20">
        <v>25875</v>
      </c>
      <c r="B20" t="s">
        <v>3552</v>
      </c>
      <c r="C20" s="8" t="s">
        <v>3553</v>
      </c>
    </row>
    <row r="21" spans="1:3" x14ac:dyDescent="0.25">
      <c r="A21">
        <v>10905</v>
      </c>
      <c r="B21" t="s">
        <v>3554</v>
      </c>
      <c r="C21" s="8" t="s">
        <v>3555</v>
      </c>
    </row>
    <row r="22" spans="1:3" x14ac:dyDescent="0.25">
      <c r="A22">
        <v>17552</v>
      </c>
      <c r="B22" t="s">
        <v>3556</v>
      </c>
      <c r="C22" s="8" t="s">
        <v>3557</v>
      </c>
    </row>
    <row r="23" spans="1:3" x14ac:dyDescent="0.25">
      <c r="A23">
        <v>29544</v>
      </c>
      <c r="B23" t="s">
        <v>3558</v>
      </c>
      <c r="C23" s="8" t="s">
        <v>3559</v>
      </c>
    </row>
    <row r="24" spans="1:3" x14ac:dyDescent="0.25">
      <c r="A24">
        <v>14537</v>
      </c>
      <c r="B24" t="s">
        <v>3400</v>
      </c>
      <c r="C24" s="8" t="s">
        <v>3560</v>
      </c>
    </row>
    <row r="25" spans="1:3" x14ac:dyDescent="0.25">
      <c r="A25">
        <v>16707</v>
      </c>
      <c r="B25" t="s">
        <v>1475</v>
      </c>
      <c r="C25" s="8" t="s">
        <v>3561</v>
      </c>
    </row>
    <row r="26" spans="1:3" x14ac:dyDescent="0.25">
      <c r="A26">
        <v>7848</v>
      </c>
      <c r="B26" t="s">
        <v>2539</v>
      </c>
      <c r="C26" s="8" t="s">
        <v>3562</v>
      </c>
    </row>
    <row r="27" spans="1:3" x14ac:dyDescent="0.25">
      <c r="A27">
        <v>32710</v>
      </c>
      <c r="B27" t="s">
        <v>3068</v>
      </c>
      <c r="C27" s="8" t="s">
        <v>3563</v>
      </c>
    </row>
    <row r="28" spans="1:3" x14ac:dyDescent="0.25">
      <c r="A28">
        <v>20541</v>
      </c>
      <c r="B28" t="s">
        <v>1836</v>
      </c>
      <c r="C28" s="8" t="s">
        <v>3564</v>
      </c>
    </row>
    <row r="29" spans="1:3" x14ac:dyDescent="0.25">
      <c r="A29">
        <v>26202</v>
      </c>
      <c r="B29" t="s">
        <v>3565</v>
      </c>
      <c r="C29" s="8" t="s">
        <v>3566</v>
      </c>
    </row>
    <row r="30" spans="1:3" x14ac:dyDescent="0.25">
      <c r="A30">
        <v>27081</v>
      </c>
      <c r="B30" t="s">
        <v>3567</v>
      </c>
      <c r="C30" s="8" t="s">
        <v>3568</v>
      </c>
    </row>
    <row r="31" spans="1:3" x14ac:dyDescent="0.25">
      <c r="A31">
        <v>24577</v>
      </c>
      <c r="B31" t="s">
        <v>3569</v>
      </c>
      <c r="C31" s="8" t="s">
        <v>3570</v>
      </c>
    </row>
    <row r="32" spans="1:3" x14ac:dyDescent="0.25">
      <c r="A32">
        <v>29909</v>
      </c>
      <c r="B32" t="s">
        <v>3571</v>
      </c>
      <c r="C32" s="8" t="s">
        <v>3572</v>
      </c>
    </row>
    <row r="33" spans="1:3" x14ac:dyDescent="0.25">
      <c r="A33">
        <v>31154</v>
      </c>
      <c r="B33" t="s">
        <v>3573</v>
      </c>
      <c r="C33" s="8" t="s">
        <v>3574</v>
      </c>
    </row>
    <row r="34" spans="1:3" x14ac:dyDescent="0.25">
      <c r="A34">
        <v>4707</v>
      </c>
      <c r="B34" t="s">
        <v>1954</v>
      </c>
      <c r="C34" s="8" t="s">
        <v>3575</v>
      </c>
    </row>
    <row r="35" spans="1:3" x14ac:dyDescent="0.25">
      <c r="A35">
        <v>8538</v>
      </c>
      <c r="B35" t="s">
        <v>1936</v>
      </c>
      <c r="C35" s="8" t="s">
        <v>3576</v>
      </c>
    </row>
    <row r="36" spans="1:3" x14ac:dyDescent="0.25">
      <c r="A36">
        <v>27105</v>
      </c>
      <c r="B36" t="s">
        <v>3577</v>
      </c>
      <c r="C36" s="8" t="s">
        <v>3578</v>
      </c>
    </row>
    <row r="37" spans="1:3" x14ac:dyDescent="0.25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2025-09-16T11:07:37Z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