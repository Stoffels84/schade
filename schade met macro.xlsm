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48" documentId="13_ncr:1_{BC833B0D-2F54-40DF-A6AF-902741D0EBA0}" xr6:coauthVersionLast="47" xr6:coauthVersionMax="47" xr10:uidLastSave="{5DF95002-D83F-4C83-A45B-F9078D351C5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77" i="1" l="1"/>
  <c r="C877" i="1"/>
  <c r="D877" i="1"/>
  <c r="E877" i="1"/>
  <c r="S877" i="1"/>
  <c r="C876" i="1"/>
  <c r="B876" i="1" s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<sst xmlns="http://schemas.openxmlformats.org/spreadsheetml/2006/main" count="7901" uniqueCount="3638">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</sst>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18</v>
          </cell>
        </row>
        <row r="6">
          <cell r="A6">
            <v>13</v>
          </cell>
          <cell r="B6" t="str">
            <v>Dominique De Clercq</v>
          </cell>
          <cell r="D6">
            <v>28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7" totalsRowShown="0" headerRowDxfId="13">
  <autoFilter ref="A1:AA877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18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163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7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A877" sqref="AA87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A876">
        <v>42307</v>
      </c>
      <c r="B876" t="str">
        <f>_xlfn.CONCAT(bron[[#This Row],[personeelsnr]]," ",bron[[#This Row],[achternaam]]," ",bron[[#This Row],[voornaam]])</f>
        <v>42307 Helleputte Jens</v>
      </c>
      <c r="C876" t="str">
        <f>VLOOKUP(bron[[#This Row],[personeelsnr]],'data hastus'!$A:$C,2,0)</f>
        <v>Helleputte</v>
      </c>
      <c r="D876" t="str">
        <f>VLOOKUP(bron[[#This Row],[personeelsnr]],'data hastus'!$A:$C,3,0)</f>
        <v>Jens</v>
      </c>
      <c r="E876" t="str">
        <f>VLOOKUP(bron[[#This Row],[personeelsnr]],'data hastus'!A:K,11,FALSE)</f>
        <v>Christoff Rotty</v>
      </c>
      <c r="F876" s="10"/>
      <c r="G876" s="7"/>
      <c r="H876" s="7"/>
      <c r="I876" s="7"/>
      <c r="S876" s="40">
        <f>SUM(bron[[#This Row],[Januari]:[December]])</f>
        <v>0</v>
      </c>
      <c r="T876" s="9">
        <v>45924</v>
      </c>
      <c r="U876" s="5" t="s">
        <v>3636</v>
      </c>
      <c r="V876" s="24"/>
      <c r="W876" s="24"/>
      <c r="X876" t="s">
        <v>3514</v>
      </c>
      <c r="Y876" t="s">
        <v>3629</v>
      </c>
      <c r="Z876">
        <v>2085</v>
      </c>
      <c r="AA876" s="39" t="s">
        <v>3561</v>
      </c>
    </row>
    <row r="877" spans="1:27" x14ac:dyDescent="0.25">
      <c r="A877">
        <v>21509</v>
      </c>
      <c r="B877" t="str">
        <f>_xlfn.CONCAT(bron[[#This Row],[personeelsnr]]," ",bron[[#This Row],[achternaam]]," ",bron[[#This Row],[voornaam]])</f>
        <v>21509 De Craemer Kris</v>
      </c>
      <c r="C877" t="str">
        <f>VLOOKUP(bron[[#This Row],[personeelsnr]],'data hastus'!$A:$C,2,0)</f>
        <v>De Craemer</v>
      </c>
      <c r="D877" t="str">
        <f>VLOOKUP(bron[[#This Row],[personeelsnr]],'data hastus'!$A:$C,3,0)</f>
        <v>Kris</v>
      </c>
      <c r="E877" t="str">
        <f>VLOOKUP(bron[[#This Row],[personeelsnr]],'data hastus'!A:K,11,FALSE)</f>
        <v>Dominique De Clercq</v>
      </c>
      <c r="F877" s="10"/>
      <c r="G877" s="7"/>
      <c r="H877" s="7"/>
      <c r="I877" s="7"/>
      <c r="S877" s="40">
        <f>SUM(bron[[#This Row],[Januari]:[December]])</f>
        <v>0</v>
      </c>
      <c r="T877" s="9">
        <v>45923</v>
      </c>
      <c r="U877" s="5" t="s">
        <v>3637</v>
      </c>
      <c r="V877" s="24"/>
      <c r="W877" s="24"/>
      <c r="X877" t="s">
        <v>3549</v>
      </c>
      <c r="Y877" t="s">
        <v>75</v>
      </c>
      <c r="Z877">
        <v>6328</v>
      </c>
      <c r="AA877" s="39" t="s">
        <v>3562</v>
      </c>
    </row>
  </sheetData>
  <sheetProtection sort="0" autoFilter="0"/>
  <phoneticPr fontId="1" type="noConversion"/>
  <conditionalFormatting sqref="F2:F877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2025-09-25T06:34:55Z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