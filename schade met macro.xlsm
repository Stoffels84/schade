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265" documentId="13_ncr:1_{10FCACA5-8197-478D-90D3-5F83063FB753}" xr6:coauthVersionLast="47" xr6:coauthVersionMax="47" xr10:uidLastSave="{E0E11EE4-0CFA-45A3-8EE5-3FBC2DC518BF}"/>
  <bookViews>
    <workbookView xWindow="-108" yWindow="-108" windowWidth="30936" windowHeight="18816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937" i="1" l="1"/>
  <c r="C944" i="1" l="1"/>
  <c r="B944" i="1" s="1"/>
  <c r="D944" i="1"/>
  <c r="E944" i="1"/>
  <c r="S944" i="1"/>
  <c r="C943" i="1"/>
  <c r="B943" i="1" s="1"/>
  <c r="D943" i="1"/>
  <c r="E943" i="1"/>
  <c r="S943" i="1"/>
  <c r="C942" i="1"/>
  <c r="B942" i="1" s="1"/>
  <c r="D942" i="1"/>
  <c r="E942" i="1"/>
  <c r="S942" i="1"/>
  <c r="C941" i="1"/>
  <c r="B941" i="1" s="1"/>
  <c r="D941" i="1"/>
  <c r="E941" i="1"/>
  <c r="S941" i="1"/>
  <c r="C940" i="1"/>
  <c r="B940" i="1" s="1"/>
  <c r="D940" i="1"/>
  <c r="E940" i="1"/>
  <c r="S940" i="1"/>
  <c r="C939" i="1"/>
  <c r="B939" i="1" s="1"/>
  <c r="D939" i="1"/>
  <c r="E939" i="1"/>
  <c r="S939" i="1"/>
  <c r="C938" i="1"/>
  <c r="D938" i="1"/>
  <c r="E938" i="1"/>
  <c r="S938" i="1"/>
  <c r="C937" i="1"/>
  <c r="B937" i="1" s="1"/>
  <c r="D937" i="1"/>
  <c r="E937" i="1"/>
  <c r="S937" i="1"/>
  <c r="C936" i="1"/>
  <c r="B936" i="1" s="1"/>
  <c r="D936" i="1"/>
  <c r="E936" i="1"/>
  <c r="S936" i="1"/>
  <c r="C935" i="1"/>
  <c r="D935" i="1"/>
  <c r="E935" i="1"/>
  <c r="S935" i="1"/>
  <c r="C934" i="1"/>
  <c r="B934" i="1" s="1"/>
  <c r="D934" i="1"/>
  <c r="E934" i="1"/>
  <c r="S934" i="1"/>
  <c r="C924" i="1"/>
  <c r="B924" i="1" s="1"/>
  <c r="D924" i="1"/>
  <c r="E924" i="1"/>
  <c r="S924" i="1"/>
  <c r="C922" i="1"/>
  <c r="D922" i="1"/>
  <c r="E922" i="1"/>
  <c r="S922" i="1"/>
  <c r="C932" i="1"/>
  <c r="D932" i="1"/>
  <c r="E932" i="1"/>
  <c r="S932" i="1"/>
  <c r="C914" i="1"/>
  <c r="D914" i="1"/>
  <c r="E914" i="1"/>
  <c r="S914" i="1"/>
  <c r="C926" i="1"/>
  <c r="D926" i="1"/>
  <c r="E926" i="1"/>
  <c r="S926" i="1"/>
  <c r="C931" i="1"/>
  <c r="B931" i="1" s="1"/>
  <c r="D931" i="1"/>
  <c r="E931" i="1"/>
  <c r="S931" i="1"/>
  <c r="C933" i="1"/>
  <c r="D933" i="1"/>
  <c r="E933" i="1"/>
  <c r="S933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0" i="1"/>
  <c r="D930" i="1"/>
  <c r="E930" i="1"/>
  <c r="S930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9" i="1"/>
  <c r="D909" i="1"/>
  <c r="E909" i="1"/>
  <c r="S909" i="1"/>
  <c r="C918" i="1"/>
  <c r="D918" i="1"/>
  <c r="E918" i="1"/>
  <c r="S918" i="1"/>
  <c r="C908" i="1"/>
  <c r="D908" i="1"/>
  <c r="E908" i="1"/>
  <c r="S908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2" i="1"/>
  <c r="D902" i="1"/>
  <c r="E902" i="1"/>
  <c r="S902" i="1"/>
  <c r="C916" i="1"/>
  <c r="D916" i="1"/>
  <c r="E916" i="1"/>
  <c r="S916" i="1"/>
  <c r="C905" i="1"/>
  <c r="D905" i="1"/>
  <c r="E905" i="1"/>
  <c r="S905" i="1"/>
  <c r="C911" i="1"/>
  <c r="D911" i="1"/>
  <c r="E911" i="1"/>
  <c r="S911" i="1"/>
  <c r="C910" i="1"/>
  <c r="D910" i="1"/>
  <c r="E910" i="1"/>
  <c r="S910" i="1"/>
  <c r="C903" i="1"/>
  <c r="D903" i="1"/>
  <c r="E903" i="1"/>
  <c r="S903" i="1"/>
  <c r="C912" i="1"/>
  <c r="D912" i="1"/>
  <c r="E912" i="1"/>
  <c r="S912" i="1"/>
  <c r="C907" i="1"/>
  <c r="D907" i="1"/>
  <c r="E907" i="1"/>
  <c r="S907" i="1"/>
  <c r="C904" i="1"/>
  <c r="D904" i="1"/>
  <c r="E904" i="1"/>
  <c r="S904" i="1"/>
  <c r="C898" i="1"/>
  <c r="D898" i="1"/>
  <c r="E898" i="1"/>
  <c r="S898" i="1"/>
  <c r="C906" i="1"/>
  <c r="D906" i="1"/>
  <c r="E906" i="1"/>
  <c r="S906" i="1"/>
  <c r="C897" i="1"/>
  <c r="D897" i="1"/>
  <c r="E897" i="1"/>
  <c r="S897" i="1"/>
  <c r="C901" i="1"/>
  <c r="D901" i="1"/>
  <c r="E901" i="1"/>
  <c r="S901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2" i="1"/>
  <c r="D892" i="1"/>
  <c r="E892" i="1"/>
  <c r="S892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4" i="1"/>
  <c r="D894" i="1"/>
  <c r="E894" i="1"/>
  <c r="S894" i="1"/>
  <c r="C887" i="1"/>
  <c r="D887" i="1"/>
  <c r="E887" i="1"/>
  <c r="S887" i="1"/>
  <c r="C893" i="1"/>
  <c r="D893" i="1"/>
  <c r="E893" i="1"/>
  <c r="S893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8" i="1" l="1"/>
  <c r="B935" i="1"/>
  <c r="B922" i="1"/>
  <c r="B932" i="1"/>
  <c r="B914" i="1"/>
  <c r="B926" i="1"/>
  <c r="B916" i="1"/>
  <c r="B902" i="1"/>
  <c r="B913" i="1"/>
  <c r="B908" i="1"/>
  <c r="B918" i="1"/>
  <c r="B909" i="1"/>
  <c r="B920" i="1"/>
  <c r="B933" i="1"/>
  <c r="B928" i="1"/>
  <c r="B929" i="1"/>
  <c r="B923" i="1"/>
  <c r="B927" i="1"/>
  <c r="B930" i="1"/>
  <c r="B921" i="1"/>
  <c r="B925" i="1"/>
  <c r="B915" i="1"/>
  <c r="B919" i="1"/>
  <c r="B917" i="1"/>
  <c r="B912" i="1"/>
  <c r="B910" i="1"/>
  <c r="B905" i="1"/>
  <c r="B907" i="1"/>
  <c r="B911" i="1"/>
  <c r="B903" i="1"/>
  <c r="B855" i="1"/>
  <c r="B886" i="1"/>
  <c r="B890" i="1"/>
  <c r="B896" i="1"/>
  <c r="B898" i="1"/>
  <c r="B884" i="1"/>
  <c r="B887" i="1"/>
  <c r="B895" i="1"/>
  <c r="B901" i="1"/>
  <c r="B906" i="1"/>
  <c r="B904" i="1"/>
  <c r="B897" i="1"/>
  <c r="B883" i="1"/>
  <c r="B882" i="1"/>
  <c r="B885" i="1"/>
  <c r="B893" i="1"/>
  <c r="B894" i="1"/>
  <c r="B889" i="1"/>
  <c r="B891" i="1"/>
  <c r="B899" i="1"/>
  <c r="B900" i="1"/>
  <c r="B875" i="1"/>
  <c r="B881" i="1"/>
  <c r="B877" i="1"/>
  <c r="B892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<sst xmlns="http://schemas.openxmlformats.org/spreadsheetml/2006/main" count="8765" uniqueCount="3758">
  <si>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</si>
  <si>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</si>
  <si>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</si>
  <si>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</si>
  <si>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</si>
  <si>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</si>
  <si>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</si>
  <si>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</si>
  <si>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</si>
  <si>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</si>
  <si>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</si>
  <si>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</si>
  <si>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</si>
  <si>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</si>
  <si>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</si>
  <si>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</si>
  <si>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</si>
  <si>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</si>
  <si>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</si>
  <si>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</si>
  <si>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</si>
  <si>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</si>
  <si>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</si>
  <si>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</si>
  <si>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</si>
  <si>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</si>
  <si>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</si>
  <si>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</si>
  <si>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</si>
  <si>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</si>
  <si>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</si>
  <si>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</si>
  <si>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</si>
  <si>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</si>
  <si>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</si>
  <si>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</si>
  <si>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</si>
  <si>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</si>
  <si>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</si>
  <si>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</si>
  <si>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</si>
  <si>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</si>
  <si>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</si>
  <si>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</si>
  <si>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</si>
  <si>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</si>
  <si>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</si>
  <si>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</si>
  <si>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</si>
  <si>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</si>
  <si>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</si>
  <si>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</si>
  <si>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</si>
  <si>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</si>
  <si>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</si>
  <si>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</si>
  <si>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</si>
  <si>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</si>
  <si>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</si>
  <si>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</si>
  <si>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</si>
  <si>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</si>
  <si>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</si>
  <si>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</si>
  <si>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</si>
  <si>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</si>
  <si>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</si>
  <si>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</si>
  <si>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</si>
  <si>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</si>
  <si>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</si>
  <si>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</si>
  <si>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</si>
  <si>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</si>
  <si>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</si>
  <si>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</si>
  <si>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</si>
  <si>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</si>
  <si>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</si>
  <si>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</si>
  <si>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</si>
  <si>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</si>
  <si>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</si>
  <si>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</si>
  <si>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</si>
  <si>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</si>
  <si>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</si>
  <si>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</si>
  <si>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</si>
  <si>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</si>
  <si>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</si>
  <si>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</si>
  <si>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</si>
  <si>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</si>
  <si>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</si>
  <si>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</si>
  <si>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</si>
  <si>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</si>
  <si>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</si>
  <si>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</si>
  <si>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</si>
  <si>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</si>
  <si>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</si>
  <si>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</si>
  <si>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</si>
  <si>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</si>
  <si>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</si>
  <si>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</si>
  <si>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</si>
  <si>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</si>
  <si>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</si>
  <si>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</si>
  <si>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</si>
  <si>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</si>
  <si>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</si>
  <si>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</si>
  <si>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</si>
  <si>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</si>
  <si>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</si>
  <si>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</si>
  <si>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</si>
  <si>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</si>
  <si>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</si>
  <si>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</si>
  <si>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</si>
  <si>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</si>
  <si>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</si>
  <si>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</si>
  <si>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</si>
  <si>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</si>
  <si>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</si>
  <si>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</si>
  <si>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</si>
  <si>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</si>
  <si>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</si>
  <si>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</si>
  <si>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</si>
  <si>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</si>
  <si>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</si>
  <si>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</si>
  <si>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</si>
  <si>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</si>
  <si>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</si>
  <si>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</si>
  <si>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</si>
  <si>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</si>
  <si>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</si>
  <si>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</si>
  <si>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</si>
  <si>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</si>
  <si>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</si>
  <si>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</si>
  <si>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</si>
  <si>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</si>
  <si>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</si>
  <si>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</si>
  <si>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</si>
  <si>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</si>
  <si>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</si>
  <si>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</si>
  <si>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</si>
  <si>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</si>
  <si>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</si>
  <si>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</si>
  <si>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</si>
  <si>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</si>
  <si>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</si>
  <si>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</si>
  <si>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</si>
  <si>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</si>
  <si>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</si>
  <si>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</si>
  <si>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</si>
  <si>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</si>
  <si>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</si>
  <si>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</si>
  <si>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</si>
  <si>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</si>
  <si>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</si>
  <si>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</si>
  <si>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</si>
  <si>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</si>
  <si>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</si>
  <si>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</si>
  <si>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</si>
  <si>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</si>
  <si>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</si>
  <si>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</si>
  <si>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</si>
  <si>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</si>
  <si>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</si>
  <si>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</si>
  <si>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</si>
  <si>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</si>
  <si>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</si>
  <si>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</si>
  <si>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</si>
  <si>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</si>
  <si>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</si>
  <si>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</si>
  <si>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</si>
  <si>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</si>
  <si>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</si>
  <si>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</si>
  <si>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</si>
  <si>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</si>
  <si>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</si>
  <si>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</si>
  <si>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</si>
  <si>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</si>
  <si>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</si>
  <si>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</si>
  <si>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</si>
  <si>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</si>
  <si>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</si>
  <si>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</si>
  <si>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</si>
  <si>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</si>
  <si>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</si>
  <si>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</si>
  <si>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</si>
  <si>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</si>
  <si>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</si>
  <si>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</si>
  <si>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</si>
  <si>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</si>
  <si>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</si>
  <si>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</si>
  <si>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</si>
  <si>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</si>
  <si>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</si>
  <si>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</si>
  <si>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</si>
  <si>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</si>
  <si>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</si>
  <si>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</si>
  <si>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</si>
  <si>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</si>
  <si>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</si>
  <si>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</si>
  <si>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</si>
  <si>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</si>
  <si>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</si>
  <si>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</si>
  <si>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</si>
  <si>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</si>
  <si>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</si>
  <si>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</si>
  <si>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</si>
  <si>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</si>
  <si>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</si>
  <si>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</si>
  <si>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</si>
  <si>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</si>
  <si>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</si>
  <si>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</si>
  <si>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</si>
  <si>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</si>
  <si>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</si>
  <si>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</si>
  <si>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</si>
  <si>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</si>
  <si>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</si>
  <si>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</si>
  <si>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</si>
  <si>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</si>
  <si>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</si>
  <si>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</si>
  <si>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</si>
  <si>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</si>
  <si>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</si>
  <si>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</si>
  <si>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</si>
  <si>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</si>
  <si>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</si>
  <si>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</si>
  <si>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</si>
  <si>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</si>
  <si>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</si>
  <si>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</si>
  <si>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</si>
  <si>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</si>
  <si>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</si>
  <si>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</si>
  <si>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</si>
  <si>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</si>
  <si>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</si>
  <si>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</si>
  <si>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</si>
  <si>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</si>
  <si>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</si>
  <si>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</si>
  <si>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</si>
  <si>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</si>
  <si>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</si>
  <si>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</si>
  <si>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</si>
  <si>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</si>
  <si>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</si>
  <si>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</si>
  <si>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</si>
  <si>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</si>
  <si>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</si>
  <si>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</si>
  <si>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</si>
  <si>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</si>
  <si>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</si>
  <si>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</si>
  <si>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</si>
  <si>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</si>
  <si>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</si>
  <si>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</si>
  <si>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</si>
  <si>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</si>
  <si>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</si>
  <si>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</si>
  <si>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</si>
  <si>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</si>
  <si>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</si>
  <si>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</si>
  <si>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</si>
  <si>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</si>
  <si>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</si>
  <si>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</si>
  <si>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</si>
  <si>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</si>
  <si>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</si>
  <si>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</si>
  <si>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</si>
  <si>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</si>
  <si>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</si>
  <si>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</si>
  <si>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</si>
  <si>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</si>
  <si>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</si>
  <si>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</si>
  <si>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</si>
  <si>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</si>
  <si>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</si>
  <si>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</si>
  <si>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</si>
  <si>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</si>
  <si>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</si>
  <si>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</si>
  <si>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</si>
  <si>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</si>
  <si>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</si>
  <si>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</si>
  <si>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</si>
  <si>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</si>
  <si>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</si>
  <si>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</si>
  <si>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</si>
  <si>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</si>
  <si>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</si>
  <si>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</si>
  <si>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</si>
  <si>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</si>
  <si>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</si>
  <si>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</si>
  <si>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</si>
  <si>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</si>
  <si>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</si>
  <si>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</si>
  <si>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</si>
  <si>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</si>
  <si>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</si>
  <si>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</si>
  <si>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</si>
  <si>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</si>
  <si>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</si>
  <si>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</si>
  <si>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</si>
  <si>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</si>
  <si>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</si>
  <si>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</si>
  <si>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</si>
  <si>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</si>
  <si>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</si>
  <si>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</si>
  <si>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</si>
  <si>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</si>
  <si>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</si>
  <si>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</si>
  <si>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</si>
  <si>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</si>
  <si>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</si>
  <si>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</si>
  <si>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</si>
  <si>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</si>
  <si>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</si>
  <si>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</si>
  <si>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</si>
  <si>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</si>
  <si>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</si>
  <si>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</si>
  <si>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</si>
  <si>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</si>
  <si>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</si>
  <si>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</si>
  <si>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</si>
  <si>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</si>
  <si>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</si>
  <si>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</si>
  <si>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</si>
  <si>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</si>
  <si>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</si>
  <si>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</si>
  <si>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</si>
  <si>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</si>
  <si>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</si>
  <si>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</si>
  <si>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</si>
  <si>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</si>
  <si>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</si>
  <si>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</si>
  <si>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</si>
  <si>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</si>
  <si>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</si>
  <si>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</si>
  <si>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</si>
  <si>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</si>
  <si>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</si>
  <si>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</si>
  <si>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</si>
  <si>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</si>
  <si>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</si>
  <si>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</si>
  <si>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</si>
  <si>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</si>
  <si>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</si>
  <si>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</si>
  <si>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</si>
  <si>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</si>
  <si>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</si>
  <si>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</si>
  <si>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</si>
  <si>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</si>
  <si>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</si>
  <si>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</si>
  <si>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</si>
  <si>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</si>
  <si>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</si>
  <si>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</si>
  <si>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</si>
  <si>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</si>
  <si>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</si>
  <si>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</si>
  <si>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</si>
  <si>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</si>
  <si>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</si>
  <si>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</si>
  <si>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</si>
  <si>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</si>
  <si>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</si>
  <si>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</si>
  <si>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</si>
  <si>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</si>
  <si>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</si>
  <si>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</si>
  <si>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</si>
  <si>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</si>
  <si>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</si>
  <si>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</si>
  <si>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</si>
  <si>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</si>
  <si>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</si>
  <si>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</si>
  <si>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</si>
  <si>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</si>
  <si>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</si>
  <si>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</si>
  <si>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</si>
  <si>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</si>
  <si>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</si>
  <si>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</si>
  <si>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</si>
  <si>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</si>
  <si>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</si>
  <si>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</si>
  <si>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</si>
  <si>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</si>
  <si>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</si>
  <si>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</si>
  <si>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</si>
  <si>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</si>
  <si>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</si>
  <si>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</si>
  <si>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</si>
  <si>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</si>
  <si>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</si>
  <si>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</si>
  <si>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</si>
  <si>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</si>
  <si>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</si>
  <si>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</si>
  <si>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</si>
  <si>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</si>
  <si>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</si>
  <si>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</si>
  <si>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</si>
  <si>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</si>
  <si>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</si>
  <si>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</si>
  <si>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</si>
  <si>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</si>
  <si>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</si>
  <si>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</si>
  <si>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</si>
  <si>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</si>
  <si>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</si>
  <si>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</si>
  <si>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</si>
  <si>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</si>
  <si>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</si>
  <si>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</si>
  <si>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</si>
  <si>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</si>
  <si>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</si>
  <si>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</si>
  <si>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</si>
  <si>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</si>
  <si>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</si>
  <si>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</si>
  <si>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</si>
  <si>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</si>
  <si>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</si>
  <si>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</si>
  <si>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</si>
  <si>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</si>
  <si>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</si>
  <si>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</si>
  <si>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</si>
  <si>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</si>
  <si>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</si>
  <si>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</si>
  <si>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</si>
  <si>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</si>
  <si>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</si>
  <si>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</si>
  <si>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</si>
  <si>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</si>
  <si>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</si>
  <si>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</si>
  <si>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</si>
  <si>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</si>
  <si>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</si>
  <si>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</si>
  <si>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</si>
  <si>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</si>
  <si>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</si>
  <si>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</si>
  <si>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</si>
  <si>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</si>
  <si>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</si>
  <si>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</si>
  <si>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</si>
  <si>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</si>
  <si>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</si>
  <si>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</si>
  <si>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</si>
  <si>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</si>
  <si>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</si>
  <si>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</si>
  <si>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</si>
  <si>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</si>
  <si>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</si>
  <si>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</si>
  <si>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</si>
  <si>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</si>
  <si>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</si>
  <si>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</si>
  <si>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</si>
  <si>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</si>
  <si>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</si>
  <si>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</si>
  <si>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</si>
  <si>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</si>
  <si>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</si>
  <si>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</si>
  <si>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</si>
  <si>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</si>
  <si>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</si>
  <si>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</si>
  <si>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</si>
  <si>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</si>
  <si>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</si>
  <si>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</si>
  <si>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</si>
  <si>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</si>
  <si>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</si>
  <si>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</si>
  <si>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</si>
  <si>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</si>
  <si>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</si>
  <si>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</si>
  <si>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</si>
  <si>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</si>
  <si>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</si>
  <si>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</si>
  <si>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</si>
  <si>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</si>
  <si>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</si>
  <si>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</si>
  <si>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</si>
  <si>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</si>
  <si>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</si>
  <si>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</si>
  <si>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</si>
  <si>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</si>
  <si>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</si>
  <si>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</si>
  <si>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</si>
  <si>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</si>
  <si>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</si>
  <si>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</si>
  <si>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</si>
  <si>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</si>
  <si>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</si>
  <si>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</si>
  <si>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</si>
  <si>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</si>
  <si>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</si>
  <si>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</si>
  <si>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</si>
  <si>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</si>
  <si>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</si>
  <si>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</si>
  <si>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</si>
  <si>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</si>
  <si>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</si>
  <si>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</si>
  <si>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</si>
  <si>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</si>
  <si>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</si>
  <si>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</si>
  <si>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</si>
  <si>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</si>
  <si>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</si>
  <si>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</si>
  <si>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</si>
  <si>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</si>
  <si>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</si>
  <si>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</si>
  <si>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</si>
  <si>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</si>
  <si>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</si>
  <si>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</si>
  <si>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</si>
  <si>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</si>
  <si>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</si>
  <si>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</si>
  <si>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</si>
  <si>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</si>
  <si>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</si>
  <si>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</si>
  <si>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</si>
  <si>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</si>
  <si>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</si>
  <si>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</si>
  <si>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</si>
  <si>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</si>
  <si>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</si>
  <si>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</si>
  <si>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</si>
  <si>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</si>
  <si>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</si>
  <si>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</si>
  <si>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</si>
  <si>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</si>
  <si>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</si>
  <si>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</si>
  <si>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</si>
  <si>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</si>
  <si>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</si>
  <si>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</si>
  <si>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</si>
  <si>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</si>
  <si>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</si>
  <si>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</si>
  <si>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</si>
  <si>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</si>
  <si>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</si>
  <si>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</si>
  <si>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</si>
  <si>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</si>
  <si>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</si>
  <si>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</si>
  <si>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</si>
  <si>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</si>
  <si>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</si>
  <si>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</si>
  <si>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</si>
  <si>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</si>
  <si>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</si>
  <si>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</si>
  <si>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</si>
  <si>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</si>
  <si>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</si>
  <si>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</si>
  <si>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</si>
  <si>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</si>
  <si>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</si>
  <si>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</si>
  <si>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</si>
  <si>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</si>
  <si>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</si>
  <si>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</si>
  <si>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</si>
  <si>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</si>
  <si>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</si>
  <si>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</si>
  <si>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</si>
  <si>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</si>
  <si>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</si>
  <si>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</si>
  <si>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</si>
  <si>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</si>
  <si>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</si>
  <si>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</si>
  <si>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</si>
  <si>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</si>
  <si>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</si>
  <si>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</si>
  <si>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</si>
  <si>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</si>
  <si>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</si>
  <si>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</si>
  <si>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</si>
  <si>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</si>
  <si>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</si>
  <si>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</si>
  <si>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</si>
  <si>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</si>
  <si>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</si>
  <si>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</si>
  <si>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</si>
  <si>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</si>
  <si>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</si>
  <si>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</si>
  <si>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</si>
  <si>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</si>
  <si>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</si>
  <si>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</si>
  <si>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</si>
  <si>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</si>
  <si>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</si>
  <si>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</si>
  <si>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</si>
  <si>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</si>
  <si>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</si>
  <si>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</si>
  <si>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</si>
  <si>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</si>
  <si>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</si>
  <si>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</si>
  <si>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</si>
  <si>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</si>
  <si>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</si>
  <si>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</si>
  <si>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</si>
  <si>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</si>
  <si>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</si>
  <si>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</si>
  <si>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</si>
  <si>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</si>
  <si>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</si>
  <si>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</si>
  <si>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</si>
  <si>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</si>
  <si>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</si>
  <si>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</si>
  <si>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</si>
  <si>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</si>
  <si>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</si>
  <si>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</si>
  <si>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</si>
  <si>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</si>
  <si>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</si>
  <si>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</si>
  <si>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</si>
  <si>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</si>
  <si>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</si>
  <si>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</si>
  <si>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</si>
  <si>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</si>
  <si>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</si>
  <si>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</si>
  <si>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</si>
  <si>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</si>
  <si>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</si>
  <si>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</si>
  <si>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</si>
  <si>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</si>
  <si>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</si>
  <si>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</si>
  <si>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</si>
  <si>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</si>
  <si>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</si>
  <si>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</si>
  <si>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</si>
  <si>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</si>
  <si>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</si>
  <si>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</si>
  <si>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</si>
  <si>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</si>
  <si>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</si>
  <si>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</si>
  <si>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</si>
  <si>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</si>
  <si>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</si>
  <si>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</si>
  <si>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</si>
  <si>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</si>
  <si>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</si>
  <si>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</si>
  <si>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</si>
  <si>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</si>
  <si>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</si>
  <si>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</si>
  <si>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</si>
  <si>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</si>
  <si>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</si>
  <si>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</si>
  <si>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</si>
  <si>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</si>
  <si>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</si>
  <si>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</si>
  <si>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</si>
  <si>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</si>
  <si>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</si>
  <si>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</si>
  <si>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</si>
  <si>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</si>
  <si>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</si>
  <si>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</si>
  <si>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</si>
  <si>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</si>
  <si>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</si>
  <si>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</si>
  <si>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</si>
  <si>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</si>
  <si>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</si>
  <si>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</si>
  <si>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</si>
  <si>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</si>
  <si>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</si>
  <si>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</si>
  <si>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</si>
  <si>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</si>
  <si>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</si>
  <si>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</si>
  <si>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</si>
  <si>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</si>
  <si>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</si>
  <si>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</si>
  <si>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</si>
  <si>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</si>
  <si>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</si>
  <si>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</si>
  <si>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</si>
  <si>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</si>
  <si>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</si>
  <si>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</si>
  <si>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</si>
  <si>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</si>
  <si>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</si>
  <si>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</si>
  <si>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</si>
  <si>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</si>
  <si>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</si>
  <si>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</si>
  <si>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</si>
  <si>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</si>
  <si>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</si>
  <si>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</si>
  <si>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</si>
  <si>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</si>
  <si>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</si>
  <si>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</si>
  <si>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</si>
  <si>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</si>
  <si>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</si>
  <si>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</si>
  <si>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</si>
  <si>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</si>
  <si>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</si>
  <si>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</si>
  <si>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</si>
  <si>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</si>
  <si>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</si>
  <si>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</si>
  <si>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</si>
  <si>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</si>
  <si>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</si>
  <si>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</si>
  <si>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</si>
  <si>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</si>
  <si>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</si>
  <si>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</si>
  <si>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</si>
  <si>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</si>
  <si>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</si>
  <si>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</si>
  <si>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</si>
  <si>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</si>
  <si>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</si>
  <si>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</si>
  <si>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</si>
  <si>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</si>
  <si>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</si>
  <si>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</si>
  <si>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</si>
  <si>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</si>
  <si>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</si>
  <si>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</si>
  <si>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</si>
  <si>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</si>
  <si>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</si>
  <si>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</si>
  <si>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</si>
  <si>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</si>
  <si>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</si>
  <si>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</si>
  <si>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</si>
  <si>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</si>
  <si>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</si>
  <si>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</si>
  <si>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</si>
  <si>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</si>
  <si>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</si>
  <si>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</si>
  <si>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</si>
  <si>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</si>
  <si>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</si>
  <si>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</si>
  <si>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</si>
  <si>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</si>
  <si>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</si>
  <si>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</si>
  <si>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</si>
  <si>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</si>
  <si>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</si>
  <si>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</si>
  <si>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</si>
  <si>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</si>
  <si>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</si>
  <si>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</si>
  <si>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</si>
  <si>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</si>
  <si>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</si>
  <si>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</si>
  <si>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</si>
  <si>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</si>
  <si>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</si>
  <si>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</si>
  <si>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</si>
  <si>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</si>
  <si>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</si>
  <si>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</si>
  <si>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</si>
  <si>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</si>
  <si>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</si>
  <si>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</si>
  <si>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</si>
  <si>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</si>
  <si>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</si>
  <si>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</si>
  <si>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</si>
  <si>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</si>
  <si>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</si>
  <si>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</si>
  <si>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</si>
  <si>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</si>
  <si>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</si>
  <si>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</si>
  <si>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</si>
  <si>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</si>
  <si>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</si>
  <si>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</si>
  <si>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</si>
  <si>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</si>
  <si>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</si>
  <si>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</si>
  <si>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</si>
  <si>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</si>
  <si>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</si>
  <si>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</si>
  <si>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</si>
  <si>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</si>
  <si>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</si>
  <si>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</si>
  <si>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</si>
  <si>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</si>
  <si>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</si>
  <si>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</si>
  <si>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</si>
  <si>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</si>
  <si>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</si>
  <si>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</si>
  <si>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</si>
  <si>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</si>
  <si>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</si>
  <si>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</si>
  <si>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</si>
  <si>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</si>
  <si>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</si>
  <si>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</si>
  <si>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</si>
  <si>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</si>
  <si>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</si>
  <si>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</si>
  <si>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</si>
  <si>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</si>
  <si>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</si>
  <si>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</si>
  <si>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</si>
  <si>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</si>
  <si>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</si>
  <si>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</si>
  <si>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</si>
  <si>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</si>
  <si>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</si>
  <si>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</si>
  <si>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</si>
  <si>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</si>
  <si>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</si>
  <si>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</si>
  <si>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</si>
  <si>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</si>
  <si>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</si>
  <si>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</si>
  <si>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</si>
  <si>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</si>
  <si>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</si>
  <si>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</si>
  <si>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</si>
  <si>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</si>
  <si>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</si>
  <si>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</si>
  <si>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</si>
  <si>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</si>
  <si>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</si>
  <si>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</si>
  <si>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</si>
  <si>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</si>
  <si>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</si>
  <si>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</si>
  <si>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</si>
  <si>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</si>
  <si>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</si>
  <si>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</si>
  <si>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</si>
  <si>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</si>
  <si>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</si>
  <si>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</si>
  <si>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</si>
  <si>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</si>
  <si>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</si>
  <si>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</si>
  <si>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</si>
  <si>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</si>
  <si>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</si>
  <si>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</si>
  <si>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</si>
  <si>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</si>
  <si>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</si>
  <si>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</si>
  <si>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</si>
  <si>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</si>
  <si>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</si>
  <si>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</si>
  <si>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</si>
  <si>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</si>
  <si>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</si>
  <si>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</si>
  <si>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</si>
  <si>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</si>
  <si>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</si>
  <si>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</si>
  <si>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</si>
  <si>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</si>
  <si>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</si>
  <si>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</si>
  <si>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</si>
  <si>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</si>
  <si>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</si>
  <si>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</si>
  <si>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</si>
  <si>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</si>
  <si>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</si>
  <si>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</si>
  <si>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</si>
  <si>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</si>
  <si>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</si>
  <si>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</si>
  <si>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</si>
  <si>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</si>
  <si>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</si>
  <si>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</si>
  <si>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</si>
  <si>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</si>
  <si>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</si>
  <si>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</si>
  <si>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</si>
  <si>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</si>
  <si>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</si>
  <si>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</si>
  <si>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</si>
  <si>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</si>
  <si>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</si>
  <si>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</si>
  <si>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</si>
  <si>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</si>
  <si>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</si>
  <si>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</si>
  <si>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</si>
  <si>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</si>
  <si>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</si>
  <si>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</si>
  <si>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</si>
  <si>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</si>
  <si>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</si>
  <si>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</si>
  <si>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</si>
  <si>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</si>
  <si>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</si>
  <si>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</si>
  <si>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</si>
  <si>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</si>
  <si>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</si>
  <si>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</si>
  <si>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</si>
  <si>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</si>
  <si>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</si>
  <si>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</si>
  <si>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</si>
  <si>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</si>
  <si>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</si>
  <si>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</si>
  <si>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</si>
  <si>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</si>
  <si>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</si>
  <si>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</si>
  <si>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</si>
  <si>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</si>
  <si>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</si>
  <si>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</si>
  <si>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</si>
  <si>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</si>
  <si>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</si>
  <si>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</si>
  <si>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</si>
  <si>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</si>
  <si>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</si>
  <si>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</si>
  <si>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</si>
  <si>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</si>
  <si>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</si>
  <si>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</si>
  <si>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</si>
  <si>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</si>
  <si>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</si>
  <si>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</si>
  <si>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</si>
  <si>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</si>
  <si>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</si>
  <si>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</si>
  <si>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</si>
  <si>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</si>
  <si>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</si>
  <si>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</si>
  <si>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</si>
  <si>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</si>
  <si>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</si>
  <si>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</si>
  <si>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</si>
  <si>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</si>
  <si>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</si>
  <si>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</si>
  <si>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</si>
  <si>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</si>
  <si>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</si>
  <si>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</si>
  <si>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</si>
  <si>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</si>
  <si>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</si>
  <si>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</si>
  <si>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</si>
  <si>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</si>
  <si>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</si>
  <si>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</si>
  <si>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</si>
  <si>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</si>
  <si>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</si>
  <si>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</si>
  <si>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</si>
  <si>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</si>
  <si>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</si>
  <si>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</si>
  <si>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</si>
  <si>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</si>
  <si>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</si>
  <si>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</si>
  <si>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</si>
  <si>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</si>
  <si>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</si>
  <si>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</si>
  <si>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</si>
  <si>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</si>
  <si>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</si>
  <si>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</si>
  <si>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</si>
  <si>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</si>
  <si>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</si>
  <si>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</si>
  <si>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</si>
  <si>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</si>
  <si>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</si>
  <si>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</si>
  <si>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</si>
  <si>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</si>
  <si>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</si>
  <si>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</si>
  <si>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</si>
  <si>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</si>
  <si>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</si>
  <si>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</si>
  <si>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</si>
  <si>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</si>
  <si>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</si>
  <si>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</si>
  <si>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</si>
  <si>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</si>
  <si>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</si>
  <si>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</si>
  <si>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</si>
  <si>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</si>
  <si>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</si>
  <si>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</si>
  <si>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</si>
  <si>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</si>
  <si>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</si>
  <si>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</si>
  <si>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</si>
  <si>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</si>
  <si>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</si>
  <si>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</si>
  <si>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</si>
  <si>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</si>
  <si>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</si>
  <si>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</si>
  <si>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</si>
  <si>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</si>
  <si>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</si>
  <si>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</si>
  <si>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</si>
  <si>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</si>
  <si>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</si>
  <si>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</si>
  <si>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</si>
  <si>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</si>
  <si>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</si>
  <si>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</si>
  <si>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</si>
  <si>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</si>
  <si>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</si>
  <si>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</si>
  <si>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</si>
  <si>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</si>
  <si>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</si>
  <si>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</si>
  <si>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</si>
  <si>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</si>
  <si>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</si>
  <si>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</si>
  <si>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</si>
  <si>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</si>
  <si>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</si>
  <si>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</si>
  <si>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</si>
  <si>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</si>
  <si>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</si>
  <si>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</si>
  <si>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</si>
  <si>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</si>
  <si>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</si>
  <si>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</si>
  <si>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</si>
  <si>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</si>
  <si>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</si>
  <si>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</si>
  <si>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</si>
  <si>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</si>
  <si>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</si>
  <si>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</si>
  <si>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</si>
  <si>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</si>
  <si>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</si>
  <si>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</si>
  <si>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</si>
  <si>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</si>
  <si>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</si>
  <si>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</si>
  <si>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</si>
  <si>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</si>
  <si>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</si>
  <si>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</si>
  <si>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</si>
  <si>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</si>
  <si>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</si>
  <si>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</si>
  <si>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</si>
  <si>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</si>
  <si>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</si>
  <si>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</si>
  <si>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</si>
  <si>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</si>
  <si>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</si>
  <si>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</si>
  <si>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</si>
  <si>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</si>
  <si>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</si>
  <si>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</si>
  <si>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</si>
  <si>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</si>
  <si>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</si>
  <si>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</si>
  <si>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</si>
  <si>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</si>
  <si>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</si>
  <si>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</si>
  <si>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</si>
  <si>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</si>
  <si>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</si>
  <si>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</si>
  <si>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</si>
  <si>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</si>
  <si>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</si>
  <si>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</si>
  <si>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</si>
  <si>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</si>
  <si>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</si>
  <si>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</si>
  <si>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</si>
  <si>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</si>
  <si>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</si>
  <si>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</si>
  <si>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</si>
  <si>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</si>
  <si>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</si>
  <si>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</si>
  <si>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</si>
  <si>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</si>
  <si>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</si>
  <si>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</si>
  <si>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</si>
  <si>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</si>
  <si>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</si>
  <si>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</si>
  <si>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</si>
  <si>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</si>
  <si>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</si>
  <si>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</si>
  <si>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</si>
  <si>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</si>
  <si>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</si>
  <si>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</si>
  <si>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</si>
  <si>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</si>
  <si>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</si>
  <si>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</si>
  <si>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</si>
  <si>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</si>
  <si>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</si>
  <si>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</si>
  <si>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</si>
  <si>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</si>
  <si>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</si>
  <si>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</si>
  <si>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</si>
  <si>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</si>
  <si>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</si>
  <si>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</si>
  <si>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</si>
  <si>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</si>
  <si>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</si>
  <si>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</si>
  <si>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</si>
  <si>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</si>
  <si>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</si>
  <si>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</si>
  <si>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</si>
  <si>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</si>
  <si>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</si>
  <si>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</si>
  <si>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</si>
  <si>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</si>
  <si>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</si>
  <si>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</si>
  <si>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</si>
  <si>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</si>
  <si>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</si>
  <si>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</si>
  <si>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</si>
  <si>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</si>
  <si>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</si>
  <si>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</si>
  <si>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</si>
  <si>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</si>
  <si>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</si>
  <si>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</si>
  <si>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</si>
  <si>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</si>
  <si>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</si>
  <si>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</si>
  <si>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</si>
  <si>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</si>
  <si>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</si>
  <si>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</si>
  <si>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</si>
  <si>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</si>
  <si>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</si>
  <si>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</si>
  <si>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</si>
  <si>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</si>
  <si>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</si>
  <si>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</si>
  <si>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</si>
  <si>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</si>
  <si>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</si>
  <si>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</si>
  <si>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</si>
  <si>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</si>
  <si>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</si>
  <si>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</si>
  <si>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</si>
  <si>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</si>
  <si>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</si>
  <si>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</si>
  <si>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</si>
  <si>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</si>
  <si>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</si>
  <si>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</si>
  <si>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</si>
  <si>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</si>
  <si>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</si>
  <si>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</si>
  <si>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</si>
  <si>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</si>
  <si>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</si>
  <si>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</si>
  <si>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</si>
  <si>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</si>
  <si>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</si>
  <si>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</si>
  <si>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</si>
  <si>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</si>
  <si>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</si>
  <si>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</si>
  <si>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</si>
  <si>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</si>
  <si>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</si>
  <si>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</si>
  <si>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</si>
  <si>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</si>
  <si>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</si>
  <si>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</si>
  <si>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</si>
  <si>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</si>
  <si>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</si>
  <si>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</si>
  <si>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</si>
  <si>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</si>
  <si>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</si>
  <si>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</si>
  <si>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</si>
  <si>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</si>
  <si>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</si>
  <si>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</si>
  <si>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</si>
  <si>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</si>
  <si>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</si>
  <si>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</si>
  <si>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</si>
  <si>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</si>
  <si>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</si>
  <si>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</si>
  <si>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</si>
  <si>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</si>
  <si>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</si>
  <si>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</si>
  <si>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</si>
  <si>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</si>
  <si>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</si>
  <si>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</si>
  <si>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</si>
  <si>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</si>
  <si>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</si>
  <si>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</si>
  <si>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</si>
  <si>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</si>
  <si>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</si>
  <si>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</si>
  <si>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</si>
  <si>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</si>
  <si>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</si>
  <si>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</si>
  <si>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</si>
  <si>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</si>
  <si>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</si>
  <si>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</si>
  <si>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</si>
  <si>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</si>
  <si>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</si>
  <si>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</si>
  <si>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</si>
  <si>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</si>
  <si>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</si>
  <si>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</si>
  <si>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</si>
  <si>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</si>
  <si>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</si>
  <si>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</si>
  <si>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</si>
  <si>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</si>
  <si>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</si>
  <si>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</si>
  <si>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</si>
  <si>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</si>
  <si>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</si>
  <si>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</si>
  <si>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</si>
  <si>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</si>
  <si>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</si>
  <si>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</si>
  <si>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</si>
  <si>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</si>
  <si>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</si>
  <si>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</si>
  <si>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</si>
  <si>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</si>
  <si>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</si>
  <si>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</si>
  <si>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</si>
  <si>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</si>
  <si>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</si>
  <si>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</si>
  <si>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</si>
  <si>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</si>
  <si>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</si>
  <si>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</si>
  <si>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</si>
  <si>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</si>
  <si>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</si>
  <si>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</si>
  <si>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</si>
  <si>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</si>
  <si>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</si>
  <si>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</si>
  <si>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</si>
  <si>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</si>
  <si>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</si>
  <si>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</si>
  <si>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</si>
  <si>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</si>
  <si>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</si>
  <si>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</si>
  <si>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</si>
  <si>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</si>
  <si>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</si>
  <si>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</si>
  <si>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</si>
  <si>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</si>
  <si>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</si>
  <si>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</si>
  <si>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</si>
  <si>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</si>
  <si>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</si>
  <si>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</si>
  <si>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</si>
  <si>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</si>
  <si>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</si>
  <si>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</si>
  <si>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</si>
  <si>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</si>
  <si>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</si>
  <si>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</si>
  <si>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</si>
  <si>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</si>
  <si>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</si>
  <si>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</si>
  <si>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</si>
  <si>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</si>
  <si>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</si>
  <si>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</si>
  <si>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</si>
  <si>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</si>
  <si>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</si>
  <si>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</si>
  <si>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</si>
  <si>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</si>
  <si>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</si>
  <si>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</si>
  <si>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</si>
  <si>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</si>
  <si>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</si>
  <si>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</si>
  <si>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</si>
  <si>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</si>
  <si>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</si>
  <si>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</si>
  <si>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</si>
  <si>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</si>
  <si>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</si>
  <si>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</si>
  <si>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</si>
  <si>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</si>
  <si>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</si>
  <si>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</si>
  <si>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</si>
  <si>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</si>
  <si>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</si>
  <si>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</si>
  <si>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</si>
  <si>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</si>
  <si>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</si>
  <si>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</si>
  <si>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</si>
  <si>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</si>
  <si>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</si>
  <si>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</si>
  <si>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</si>
  <si>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</si>
  <si>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</si>
  <si>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</si>
  <si>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</si>
  <si>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</si>
  <si>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</si>
  <si>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</si>
  <si>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</si>
  <si>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</si>
  <si>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</si>
  <si>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</si>
  <si>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</si>
  <si>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</si>
  <si>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</si>
  <si>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</si>
  <si>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</si>
  <si>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</si>
  <si>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</si>
  <si>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</si>
  <si>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</si>
  <si>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</si>
  <si>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</si>
  <si>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</si>
  <si>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</si>
  <si>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</si>
  <si>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</si>
  <si>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</si>
  <si>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</si>
  <si>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</si>
  <si>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</si>
  <si>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</si>
  <si>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</si>
  <si>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</si>
  <si>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</si>
  <si>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</si>
  <si>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</si>
  <si>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</si>
  <si>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</si>
  <si>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</si>
  <si>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</si>
  <si>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</si>
  <si>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</si>
  <si>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</si>
  <si>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</si>
  <si>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</si>
  <si>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</si>
  <si>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</si>
  <si>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</si>
  <si>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</si>
  <si>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</si>
  <si>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</si>
  <si>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</si>
  <si>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</si>
  <si>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</si>
  <si>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</si>
  <si>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</si>
  <si>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</si>
  <si>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</si>
  <si>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</si>
  <si>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</si>
  <si>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</si>
  <si>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</si>
  <si>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</si>
  <si>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</si>
  <si>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</si>
  <si>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</si>
  <si>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</si>
  <si>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</si>
  <si>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</si>
  <si>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</si>
  <si>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</si>
  <si>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</si>
  <si>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</si>
  <si>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</si>
  <si>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</si>
  <si>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</si>
  <si>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</si>
  <si>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</si>
  <si>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</si>
  <si>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</si>
  <si>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</si>
  <si>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</si>
  <si>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</si>
  <si>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</si>
  <si>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</si>
  <si>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</si>
  <si>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</si>
  <si>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</si>
  <si>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</si>
  <si>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</si>
  <si>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</si>
  <si>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</si>
  <si>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</si>
  <si>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</si>
  <si>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</si>
  <si>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</si>
  <si>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</si>
  <si>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</si>
  <si>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</si>
  <si>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</si>
  <si>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</si>
  <si>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</si>
  <si>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</si>
  <si>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</si>
  <si>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</si>
  <si>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</si>
  <si>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</si>
  <si>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</si>
  <si>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</si>
  <si>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</si>
  <si>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</si>
  <si>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</si>
  <si>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</si>
  <si>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</si>
  <si>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</si>
  <si>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</si>
  <si>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</si>
  <si>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</si>
  <si>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</si>
  <si>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</si>
  <si>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</si>
  <si>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</si>
  <si>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</si>
  <si>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</si>
  <si>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</si>
  <si>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</si>
  <si>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</si>
  <si>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</si>
  <si>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</si>
  <si>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</si>
  <si>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</si>
  <si>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</si>
  <si>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</si>
  <si>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</si>
  <si>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</si>
  <si>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</si>
  <si>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</si>
  <si>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</si>
  <si>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</si>
  <si>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</si>
  <si>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</si>
  <si>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</si>
  <si>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</si>
  <si>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</si>
  <si>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</si>
  <si>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</si>
  <si>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</si>
  <si>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</si>
  <si>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</si>
  <si>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</si>
  <si>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</si>
  <si>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</si>
  <si>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</si>
  <si>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</si>
  <si>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</si>
  <si>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</si>
  <si>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</si>
  <si>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</si>
  <si>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</si>
  <si>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</si>
  <si>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</si>
  <si>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</si>
  <si>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</si>
  <si>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</si>
  <si>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</si>
  <si>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</si>
  <si>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</si>
  <si>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</si>
  <si>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</si>
  <si>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</si>
  <si>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</si>
  <si>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</si>
  <si>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</si>
  <si>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</si>
  <si>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</si>
  <si>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</si>
  <si>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</si>
  <si>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</si>
  <si>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</si>
  <si>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</si>
  <si>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</si>
  <si>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</si>
  <si>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</si>
  <si>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</si>
  <si>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</si>
  <si>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</si>
  <si>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</si>
  <si>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</si>
  <si>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</si>
  <si>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</si>
  <si>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</si>
  <si>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</si>
  <si>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</si>
  <si>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</si>
  <si>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</si>
  <si>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</si>
  <si>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</si>
  <si>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</si>
  <si>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</si>
  <si>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</si>
  <si>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</si>
  <si>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</si>
  <si>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</si>
  <si>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</si>
  <si>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</si>
  <si>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</si>
  <si>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</si>
  <si>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</si>
  <si>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</si>
  <si>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</si>
  <si>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</si>
  <si>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</si>
  <si>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</si>
  <si>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</si>
  <si>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</si>
  <si>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</si>
  <si>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</si>
  <si>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</si>
  <si>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</si>
  <si>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</si>
  <si>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</si>
  <si>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</si>
  <si>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</si>
  <si>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</si>
  <si>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</si>
  <si>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</si>
  <si>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</si>
  <si>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</si>
  <si>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</si>
  <si>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</si>
  <si>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</si>
  <si>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</si>
  <si>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</si>
  <si>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</si>
  <si>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</si>
  <si>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</si>
  <si>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</si>
  <si>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</si>
  <si>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</si>
  <si>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</si>
  <si>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</si>
  <si>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</si>
  <si>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</si>
  <si>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</si>
  <si>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</si>
  <si>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</si>
  <si>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</si>
  <si>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</si>
  <si>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</si>
  <si>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</si>
  <si>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</si>
  <si>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</si>
  <si>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</si>
  <si>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</si>
  <si>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</si>
  <si>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</si>
  <si>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</si>
  <si>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</si>
  <si>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</si>
  <si>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</si>
  <si>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</si>
  <si>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</si>
  <si>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</si>
  <si>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</si>
  <si>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</si>
  <si>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</si>
  <si>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</si>
  <si>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</si>
  <si>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</si>
  <si>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</si>
  <si>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</si>
  <si>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</si>
  <si>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</si>
  <si>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</si>
  <si>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</si>
  <si>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</si>
  <si>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</si>
  <si>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</si>
  <si>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</si>
  <si>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</si>
  <si>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</si>
  <si>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</si>
  <si>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</si>
  <si>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</si>
  <si>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</si>
  <si>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</si>
  <si>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</si>
  <si>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</si>
  <si>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</si>
  <si>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</si>
  <si>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</si>
  <si>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</si>
  <si>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</si>
  <si>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</si>
  <si>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</si>
  <si>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</si>
  <si>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</si>
  <si>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</si>
  <si>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</si>
  <si>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</si>
  <si>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</si>
  <si>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</si>
  <si>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</si>
  <si>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</si>
  <si>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</si>
  <si>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</si>
  <si>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</si>
  <si>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</si>
  <si>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</si>
  <si>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</si>
  <si>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</si>
  <si>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</si>
  <si>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</si>
  <si>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</si>
  <si>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</si>
  <si>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</si>
  <si>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</si>
  <si>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</si>
  <si>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</si>
  <si>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</si>
  <si>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</si>
  <si>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</si>
  <si>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</si>
  <si>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</si>
  <si>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</si>
  <si>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</si>
  <si>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</si>
  <si>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</si>
  <si>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</si>
  <si>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</si>
  <si>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</si>
  <si>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</si>
  <si>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</si>
  <si>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</si>
  <si>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</si>
  <si>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</si>
  <si>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</si>
  <si>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</si>
  <si>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</si>
  <si>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</si>
  <si>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</si>
  <si>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</si>
  <si>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</si>
  <si>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</si>
  <si>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</si>
  <si>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</si>
  <si>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</si>
  <si>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</si>
  <si>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</si>
  <si>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</si>
  <si>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</si>
  <si>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</si>
  <si>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</si>
  <si>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</si>
  <si>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</si>
  <si>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</si>
  <si>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</si>
  <si>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</si>
  <si>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</si>
  <si>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</si>
  <si>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</si>
  <si>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</si>
  <si>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</si>
  <si>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</si>
  <si>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</si>
  <si>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</si>
  <si>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</si>
  <si>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</si>
  <si>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</si>
  <si>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</si>
  <si>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</si>
  <si>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</si>
  <si>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</si>
  <si>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</si>
  <si>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</si>
  <si>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</si>
  <si>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</si>
  <si>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</si>
  <si>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</si>
  <si>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</si>
  <si>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</si>
  <si>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</si>
  <si>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</si>
  <si>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</si>
  <si>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</si>
  <si>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</si>
  <si>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</si>
  <si>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</si>
  <si>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</si>
  <si>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</si>
  <si>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</si>
  <si>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</si>
  <si>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</si>
  <si>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</si>
  <si>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</si>
  <si>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</si>
  <si>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</si>
  <si>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</si>
  <si>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</si>
  <si>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</si>
  <si>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</si>
  <si>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</si>
  <si>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</si>
  <si>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</si>
  <si>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</si>
  <si>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</si>
  <si>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</si>
  <si>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</si>
  <si>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</si>
  <si>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</si>
  <si>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</si>
  <si>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</si>
  <si>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</si>
  <si>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</si>
  <si>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</si>
  <si>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</si>
  <si>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</si>
  <si>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</si>
  <si>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</si>
  <si>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</si>
  <si>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</si>
  <si>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</si>
  <si>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</si>
  <si>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</si>
  <si>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</si>
  <si>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</si>
  <si>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</si>
  <si>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</si>
  <si>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</si>
  <si>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</si>
  <si>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</si>
  <si>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</si>
  <si>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</si>
  <si>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</si>
  <si>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</si>
  <si>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</si>
  <si>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</si>
  <si>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</si>
  <si>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</si>
  <si>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</si>
  <si>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</si>
  <si>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</si>
  <si>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</si>
  <si>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</si>
  <si>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</si>
  <si>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</si>
  <si>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</si>
  <si>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</si>
  <si>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</si>
  <si>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</si>
  <si>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</si>
  <si>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</si>
  <si>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</si>
  <si>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</si>
  <si>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</si>
  <si>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</si>
  <si>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</si>
  <si>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</si>
  <si>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</si>
  <si>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</si>
  <si>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</si>
  <si>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</si>
  <si>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</si>
  <si>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</si>
  <si>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</si>
  <si>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</si>
  <si>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</si>
  <si>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</si>
  <si>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</si>
  <si>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</si>
  <si>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</si>
  <si>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</si>
  <si>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</si>
  <si>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</si>
  <si>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</si>
  <si>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</si>
  <si>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</si>
  <si>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</si>
  <si>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</si>
  <si>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</si>
  <si>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</si>
  <si>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</si>
  <si>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</si>
  <si>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</si>
  <si>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</si>
  <si>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</si>
  <si>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</si>
  <si>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</si>
  <si>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</si>
  <si>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</si>
  <si>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</si>
  <si>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</si>
  <si>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</si>
  <si>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</si>
  <si>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</si>
  <si>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</si>
  <si>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</si>
  <si>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</si>
  <si>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</si>
  <si>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</si>
  <si>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</si>
  <si>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</si>
  <si>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</si>
  <si>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</si>
  <si>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</si>
  <si>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</si>
  <si>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</si>
  <si>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</si>
  <si>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</si>
  <si>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</si>
  <si>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</si>
  <si>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</si>
  <si>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</si>
  <si>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</si>
  <si>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</si>
  <si>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</si>
  <si>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</si>
  <si>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</si>
  <si>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</si>
  <si>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</si>
  <si>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</si>
  <si>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</si>
  <si>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</si>
  <si>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</si>
  <si>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</si>
  <si>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</si>
  <si>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</si>
  <si>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</si>
  <si>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</si>
  <si>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</si>
  <si>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</si>
  <si>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</si>
  <si>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</si>
  <si>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</si>
  <si>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</si>
  <si>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</si>
  <si>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</si>
  <si>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</si>
  <si>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</si>
  <si>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</si>
  <si>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</si>
  <si>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</si>
  <si>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</si>
  <si>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</si>
  <si>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</si>
  <si>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</si>
  <si>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</si>
  <si>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</si>
  <si>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</si>
  <si>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</si>
  <si>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</si>
  <si>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</si>
  <si>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</si>
  <si>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</si>
  <si>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</si>
  <si>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</si>
  <si>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</si>
  <si>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</si>
  <si>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</si>
  <si>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</si>
  <si>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</si>
  <si>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</si>
  <si>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</si>
  <si>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</si>
  <si>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</si>
  <si>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</si>
  <si>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</si>
  <si>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</si>
  <si>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</si>
  <si>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</si>
  <si>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</si>
  <si>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</si>
  <si>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</si>
  <si>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</si>
  <si>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</si>
  <si>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</si>
  <si>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</si>
  <si>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</si>
  <si>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</si>
  <si>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</si>
  <si>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</si>
  <si>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</si>
  <si>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</si>
  <si>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</si>
  <si>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</si>
  <si>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</si>
  <si>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</si>
  <si>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</si>
  <si>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</si>
  <si>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</si>
  <si>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</si>
  <si>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</si>
  <si>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</si>
  <si>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</si>
  <si>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</si>
  <si>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</si>
  <si>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</si>
  <si>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</si>
  <si>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</si>
  <si>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</si>
  <si>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</si>
  <si>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</si>
  <si>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</si>
  <si>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</si>
  <si>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</si>
  <si>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</si>
  <si>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</si>
  <si>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</si>
  <si>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</si>
  <si>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</si>
  <si>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</si>
  <si>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</si>
  <si>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</si>
  <si>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</si>
  <si>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</si>
  <si>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</si>
  <si>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</si>
  <si>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</si>
  <si>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</si>
  <si>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</si>
  <si>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</si>
  <si>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</si>
  <si>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</si>
  <si>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</si>
  <si>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</si>
  <si>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</si>
  <si>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</si>
  <si>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</si>
  <si>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</si>
  <si>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</si>
  <si>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</si>
  <si>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</si>
  <si>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</si>
  <si>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</si>
  <si>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</si>
  <si>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</si>
  <si>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</si>
  <si>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</si>
  <si>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</si>
  <si>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</si>
  <si>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</si>
  <si>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</si>
  <si>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</si>
  <si>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</si>
  <si>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</si>
  <si>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</si>
  <si>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</si>
  <si>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</si>
  <si>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</si>
  <si>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</si>
  <si>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</si>
  <si>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</si>
  <si>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</si>
  <si>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</si>
  <si>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</si>
  <si>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</si>
  <si>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</si>
  <si>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</si>
  <si>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</si>
  <si>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</si>
  <si>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</si>
  <si>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</si>
  <si>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</si>
  <si>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</si>
  <si>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</si>
  <si>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</si>
  <si>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</si>
  <si>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</si>
  <si>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</si>
  <si>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</si>
  <si>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</si>
  <si>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</si>
  <si>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</si>
  <si>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</si>
  <si>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</si>
  <si>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</si>
  <si>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</si>
  <si>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</si>
  <si>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</si>
  <si>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</si>
  <si>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</si>
  <si>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</si>
  <si>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</si>
  <si>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</si>
  <si>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</si>
  <si>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</si>
  <si>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</si>
  <si>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</si>
  <si>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</si>
  <si>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</si>
  <si>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</si>
  <si>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</si>
  <si>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</si>
  <si>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</si>
  <si>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</si>
  <si>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</si>
  <si>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</si>
  <si>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</si>
  <si>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</si>
  <si>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</si>
  <si>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</si>
  <si>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</si>
  <si>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</si>
  <si>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</si>
  <si>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</si>
  <si>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</si>
  <si>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</si>
  <si>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</si>
  <si>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</si>
  <si>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</si>
  <si>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</si>
  <si>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</si>
  <si>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</si>
  <si>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</si>
  <si>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</si>
  <si>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</si>
  <si>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</si>
  <si>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</si>
  <si>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</si>
  <si>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</si>
  <si>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</si>
  <si>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</si>
  <si>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</si>
  <si>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</si>
  <si>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</si>
  <si>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</si>
  <si>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</si>
  <si>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</si>
  <si>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</si>
  <si>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</si>
  <si>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</si>
  <si>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</si>
  <si>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</si>
  <si>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</si>
  <si>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</si>
  <si>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</si>
  <si>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</si>
  <si>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</si>
  <si>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</si>
  <si>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</si>
  <si>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</si>
  <si>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</si>
  <si>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</si>
  <si>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</si>
  <si>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</si>
  <si>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</si>
  <si>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</si>
  <si>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</si>
  <si>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</si>
  <si>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</si>
  <si>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</si>
  <si>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</si>
  <si>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</si>
  <si>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</si>
  <si>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</si>
  <si>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</si>
  <si>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</si>
  <si>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</si>
  <si>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</si>
  <si>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</si>
  <si>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</si>
  <si>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</si>
  <si>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</si>
  <si>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</si>
  <si>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</si>
  <si>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</si>
  <si>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</si>
  <si>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</si>
  <si>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</si>
  <si>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</si>
  <si>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</si>
  <si>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</si>
  <si>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</si>
  <si>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</si>
  <si>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</si>
  <si>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</si>
  <si>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</si>
  <si>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</si>
  <si>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</si>
  <si>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</si>
  <si>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</si>
  <si>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</si>
  <si>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</si>
  <si>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</si>
  <si>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</si>
  <si>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</si>
  <si>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</si>
  <si>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</si>
  <si>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</si>
  <si>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</si>
  <si>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</si>
  <si>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</si>
  <si>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</si>
  <si>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</si>
  <si>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</si>
  <si>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</si>
  <si>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</si>
  <si>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</si>
  <si>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</si>
  <si>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</si>
  <si>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</si>
  <si>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</si>
  <si>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</si>
  <si>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</si>
  <si>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</si>
  <si>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</si>
  <si>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</si>
  <si>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</si>
  <si>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</si>
  <si>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</si>
  <si>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</si>
  <si>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</si>
  <si>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</si>
  <si>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</si>
  <si>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</si>
  <si>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</si>
  <si>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</si>
  <si>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</si>
  <si>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</si>
  <si>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</si>
  <si>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</si>
  <si>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</si>
  <si>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</si>
  <si>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</si>
  <si>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</si>
  <si>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</si>
  <si>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</si>
  <si>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</si>
  <si>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</si>
  <si>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</si>
  <si>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</si>
  <si>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</si>
  <si>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</si>
  <si>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</si>
  <si>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</si>
  <si>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</si>
  <si>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</si>
  <si>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</si>
  <si>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</si>
  <si>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</si>
  <si>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</si>
  <si>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</si>
  <si>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</si>
  <si>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</si>
  <si>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</si>
  <si>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</si>
  <si>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</si>
  <si>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</si>
  <si>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</si>
  <si>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</si>
  <si>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</si>
  <si>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</si>
  <si>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</si>
  <si>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</si>
  <si>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</si>
  <si>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</si>
  <si>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</si>
  <si>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</si>
  <si>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</si>
  <si>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</si>
  <si>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</si>
  <si>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</si>
  <si>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</si>
  <si>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</si>
  <si>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</si>
  <si>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</si>
  <si>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</si>
  <si>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</si>
  <si>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</si>
  <si>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</si>
  <si>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</si>
  <si>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</si>
  <si>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</si>
  <si>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</si>
  <si>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</si>
  <si>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</si>
  <si>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</si>
  <si>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</si>
  <si>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</si>
  <si>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</si>
  <si>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</si>
  <si>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</si>
  <si>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</si>
  <si>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</si>
  <si>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</si>
  <si>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</si>
  <si>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</si>
  <si>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</si>
  <si>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</si>
  <si>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</si>
  <si>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</si>
  <si>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</si>
  <si>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</si>
  <si>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</si>
  <si>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</si>
  <si>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</si>
  <si>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</si>
  <si>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</si>
  <si>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</si>
  <si>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</si>
  <si>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</si>
  <si>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</si>
  <si>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</si>
  <si>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</si>
  <si>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</si>
  <si>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</si>
  <si>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</si>
  <si>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</si>
  <si>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</si>
  <si>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</si>
  <si>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</si>
  <si>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</si>
  <si>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</si>
  <si>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</si>
  <si>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</si>
  <si>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</si>
  <si>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</si>
  <si>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</si>
  <si>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</si>
  <si>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</si>
  <si>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</si>
  <si>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</si>
  <si>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</si>
  <si>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</si>
  <si>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</si>
  <si>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</si>
  <si>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</si>
  <si>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</si>
  <si>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</si>
  <si>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</si>
  <si>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</si>
  <si>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</si>
  <si>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</si>
  <si>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</si>
  <si>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</si>
  <si>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</si>
  <si>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</si>
  <si>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</si>
  <si>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</si>
  <si>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</si>
  <si>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</si>
  <si>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</si>
  <si>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</si>
  <si>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</si>
  <si>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</si>
  <si>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</si>
  <si>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</si>
  <si>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</si>
  <si>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</si>
  <si>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</si>
  <si>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</si>
  <si>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</si>
  <si>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</si>
  <si>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</si>
  <si>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</si>
  <si>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</si>
  <si>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</si>
  <si>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</si>
  <si>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</si>
  <si>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</si>
  <si>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</si>
  <si>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</si>
  <si>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</si>
  <si>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</si>
  <si>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</si>
  <si>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</si>
  <si>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</si>
  <si>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</si>
  <si>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</si>
  <si>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</si>
  <si>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</si>
  <si>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</si>
  <si>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</si>
  <si>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</si>
  <si>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</si>
  <si>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</si>
  <si>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</si>
  <si>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</si>
  <si>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</si>
  <si>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</si>
  <si>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</si>
  <si>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</si>
  <si>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</si>
  <si>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</si>
  <si>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</si>
  <si>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</si>
  <si>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</si>
  <si>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</si>
  <si>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</si>
  <si>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</si>
  <si>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</si>
  <si>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</si>
  <si>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</si>
  <si>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</si>
  <si>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</si>
  <si>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</si>
  <si>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</si>
  <si>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</si>
  <si>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</si>
  <si>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</si>
  <si>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</si>
  <si>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</si>
  <si>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</si>
  <si>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</si>
  <si>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</si>
  <si>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</si>
  <si>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</si>
  <si>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</si>
  <si>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</si>
  <si>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</si>
  <si>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</si>
  <si>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</si>
  <si>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</si>
  <si>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</si>
  <si>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</si>
  <si>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</si>
  <si>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</si>
  <si>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</si>
  <si>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</si>
  <si>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</si>
  <si>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</si>
  <si>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</si>
  <si>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</si>
  <si>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</si>
  <si>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</si>
  <si>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</si>
  <si>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</si>
  <si>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</si>
  <si>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</si>
  <si>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</si>
  <si>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</si>
  <si>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</si>
  <si>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</si>
  <si>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</si>
  <si>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</si>
  <si>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</si>
  <si>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</si>
  <si>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</si>
  <si>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</si>
  <si>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</si>
  <si>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</si>
  <si>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</si>
  <si>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</si>
  <si>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</si>
  <si>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</si>
  <si>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</si>
  <si>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</si>
  <si>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</si>
  <si>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</si>
  <si>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</si>
  <si>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</si>
  <si>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</si>
  <si>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</si>
  <si>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</si>
  <si>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</si>
  <si>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</si>
  <si>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</si>
  <si>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</si>
  <si>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</si>
  <si>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</si>
  <si>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</si>
  <si>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</si>
  <si>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</si>
  <si>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</si>
  <si>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</si>
  <si>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</si>
  <si>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</si>
  <si>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</si>
  <si>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</si>
  <si>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</si>
  <si>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</si>
  <si>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</si>
  <si>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</si>
  <si>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</si>
  <si>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</si>
  <si>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</si>
  <si>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</si>
  <si>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</si>
  <si>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</si>
  <si>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</si>
  <si>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</si>
  <si>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</si>
  <si>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</si>
  <si>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</si>
  <si>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</si>
  <si>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</si>
  <si>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</si>
  <si>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</si>
  <si>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</si>
  <si>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</si>
  <si>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</si>
  <si>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</si>
  <si>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</si>
  <si>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</si>
  <si>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</si>
  <si>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</si>
  <si>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</si>
  <si>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</si>
  <si>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</si>
  <si>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</si>
  <si>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</si>
  <si>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</si>
  <si>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</si>
  <si>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</si>
  <si>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</si>
  <si>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</si>
  <si>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</si>
  <si>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</si>
  <si>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</si>
  <si>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</si>
  <si>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</si>
  <si>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</si>
  <si>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</si>
  <si>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</si>
  <si>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</si>
  <si>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</si>
  <si>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</si>
  <si>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</si>
  <si>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</si>
  <si>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</si>
  <si>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</si>
  <si>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</si>
  <si>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</si>
  <si>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</si>
  <si>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</si>
  <si>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</si>
  <si>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</si>
  <si>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</si>
  <si>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</si>
  <si>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</si>
  <si>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</si>
  <si>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</si>
  <si>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</si>
  <si>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</si>
  <si>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</si>
  <si>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</si>
  <si>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</si>
  <si>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</si>
  <si>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</si>
  <si>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</si>
  <si>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</si>
  <si>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</si>
  <si>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</si>
  <si>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</si>
  <si>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</si>
  <si>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</si>
  <si>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</si>
  <si>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</si>
  <si>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</si>
  <si>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</si>
  <si>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</si>
  <si>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</si>
  <si>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</si>
  <si>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</si>
  <si>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</si>
  <si>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</si>
  <si>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</si>
  <si>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</si>
  <si>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</si>
  <si>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</si>
  <si>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</si>
  <si>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</si>
  <si>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</si>
  <si>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</si>
  <si>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</si>
  <si>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</si>
  <si>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</si>
  <si>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</si>
  <si>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</si>
  <si>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</si>
  <si>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</si>
  <si>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</si>
  <si>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</si>
  <si>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</si>
  <si>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</si>
  <si>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</si>
  <si>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</si>
  <si>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</si>
  <si>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</si>
  <si>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</si>
  <si>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</si>
  <si>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</si>
  <si>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</si>
  <si>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</si>
  <si>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</si>
  <si>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</si>
  <si>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</si>
  <si>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</si>
  <si>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</si>
  <si>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</si>
  <si>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</si>
  <si>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</si>
  <si>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</si>
  <si>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</si>
  <si>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</si>
  <si>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</si>
  <si>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</si>
  <si>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</si>
  <si>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</si>
  <si>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</si>
  <si>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</si>
  <si>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</si>
  <si>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</si>
  <si>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</si>
  <si>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</si>
  <si>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</si>
  <si>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</si>
  <si>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</si>
  <si>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</si>
  <si>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</si>
  <si>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</si>
  <si>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</si>
  <si>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</si>
  <si>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</si>
  <si>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</si>
  <si>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</si>
  <si>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</si>
  <si>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</si>
  <si>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</si>
  <si>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</si>
  <si>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</si>
  <si>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</si>
  <si>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</si>
  <si>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</si>
  <si>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</si>
  <si>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</si>
  <si>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</si>
  <si>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</si>
  <si>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</si>
  <si>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</si>
  <si>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</si>
  <si>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</si>
  <si>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</si>
  <si>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</si>
  <si>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</si>
  <si>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</si>
  <si>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</si>
  <si>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</si>
  <si>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</si>
  <si>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</si>
  <si>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</si>
  <si>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</si>
  <si>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</si>
  <si>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</si>
  <si>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</si>
  <si>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</si>
  <si>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</si>
  <si>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</si>
  <si>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</si>
  <si>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</si>
  <si>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</si>
  <si>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</si>
  <si>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</si>
  <si>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</si>
  <si>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</si>
  <si>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</si>
  <si>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</si>
  <si>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</si>
  <si>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</si>
  <si>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</si>
  <si>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</si>
  <si>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</si>
  <si>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</si>
  <si>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</si>
  <si>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</si>
  <si>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</si>
  <si>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</si>
  <si>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</si>
  <si>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</si>
  <si>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</si>
  <si>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</si>
  <si>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</si>
  <si>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</si>
  <si>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</si>
  <si>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</si>
  <si>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</si>
  <si>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</si>
  <si>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</si>
  <si>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</si>
  <si>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</si>
  <si>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</si>
  <si>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</si>
  <si>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</si>
  <si>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</si>
  <si>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</si>
  <si>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</si>
  <si>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</si>
  <si>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</si>
  <si>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</si>
  <si>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</si>
  <si>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</si>
  <si>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</si>
  <si>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</si>
  <si>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</si>
  <si>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</si>
  <si>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</si>
  <si>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</si>
  <si>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</si>
  <si>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</si>
  <si>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</si>
  <si>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</si>
  <si>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</si>
  <si>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</si>
  <si>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</si>
  <si>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</si>
  <si>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</si>
  <si>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</si>
  <si>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</si>
  <si>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</si>
  <si>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</si>
  <si>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</si>
  <si>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</si>
  <si>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</si>
  <si>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</si>
  <si>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</si>
  <si>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</si>
  <si>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</si>
  <si>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</si>
  <si>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</si>
  <si>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</si>
  <si>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</si>
  <si>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</si>
  <si>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</si>
  <si>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</si>
  <si>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</si>
  <si>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</si>
  <si>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</si>
  <si>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</si>
  <si>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</si>
  <si>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</si>
  <si>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</si>
  <si>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</si>
  <si>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</si>
  <si>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</si>
  <si>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</si>
  <si>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</si>
  <si>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</si>
  <si>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</si>
  <si>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</si>
  <si>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</si>
  <si>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</si>
  <si>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</si>
  <si>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</si>
  <si>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</si>
  <si>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</si>
  <si>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</si>
  <si>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</si>
  <si>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</si>
  <si>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</si>
  <si>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</si>
  <si>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</si>
  <si>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</si>
  <si>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</si>
  <si>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</si>
  <si>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</si>
  <si>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</si>
  <si>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</si>
  <si>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</si>
  <si>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</si>
  <si>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</si>
  <si>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</si>
  <si>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</si>
  <si>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</si>
  <si>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</si>
  <si>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</si>
  <si>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</si>
  <si>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</si>
  <si>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</si>
  <si>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</si>
  <si>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</si>
  <si>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</si>
  <si>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</si>
  <si>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</si>
  <si>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</si>
  <si>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</si>
  <si>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</si>
  <si>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</si>
  <si>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</si>
  <si>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</si>
  <si>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</si>
  <si>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</si>
  <si>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</si>
  <si>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</si>
  <si>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</si>
  <si>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</si>
  <si>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</si>
  <si>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</si>
  <si>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</si>
  <si>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</si>
  <si>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</si>
  <si>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</si>
  <si>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</si>
  <si>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</si>
  <si>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</si>
  <si>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</si>
  <si>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</si>
  <si>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</si>
  <si>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</si>
  <si>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</si>
  <si>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</si>
  <si>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</si>
  <si>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</si>
  <si>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</si>
  <si>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</si>
  <si>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</si>
  <si>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</si>
  <si>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</si>
  <si>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</si>
  <si>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</si>
  <si>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</si>
  <si>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</si>
  <si>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</si>
  <si>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</si>
  <si>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</si>
  <si>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</si>
  <si>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</si>
  <si>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</si>
  <si>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</si>
  <si>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</si>
  <si>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</si>
  <si>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</si>
  <si>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</si>
  <si>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</si>
  <si>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</si>
  <si>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</si>
  <si>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</si>
  <si>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</si>
  <si>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</si>
  <si>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</si>
  <si>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</si>
  <si>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</si>
  <si>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</si>
  <si>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</si>
  <si>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</si>
  <si>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</si>
  <si>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</si>
  <si>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</si>
  <si>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</si>
  <si>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</si>
  <si>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</si>
  <si>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</si>
  <si>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</si>
  <si>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</si>
  <si>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</si>
  <si>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</si>
  <si>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</si>
  <si>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</si>
  <si>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</si>
  <si>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</si>
  <si>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</si>
  <si>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</si>
  <si>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</si>
  <si>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</si>
  <si>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</si>
  <si>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</si>
  <si>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</si>
  <si>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</si>
  <si>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</si>
  <si>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</si>
  <si>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</si>
  <si>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</si>
  <si>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</si>
  <si>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</si>
  <si>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</si>
  <si>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</si>
  <si>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</si>
  <si>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</si>
  <si>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</si>
  <si>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</si>
  <si>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</si>
  <si>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</si>
  <si>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</si>
  <si>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</si>
  <si>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</si>
  <si>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</si>
  <si>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</si>
  <si>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</si>
  <si>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</si>
  <si>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</si>
  <si>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</si>
  <si>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</si>
  <si>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</si>
  <si>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</si>
  <si>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</si>
  <si>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</si>
  <si>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</si>
  <si>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</si>
  <si>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</si>
  <si>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</si>
  <si>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</si>
  <si>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</si>
  <si>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</si>
  <si>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</si>
  <si>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</si>
  <si>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</si>
  <si>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</si>
  <si>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</si>
  <si>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</si>
  <si>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</si>
  <si>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</si>
  <si>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</si>
  <si>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</si>
  <si>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</si>
  <si>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</si>
  <si>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</si>
  <si>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</si>
  <si>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</si>
  <si>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</si>
  <si>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</si>
  <si>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</si>
  <si>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</si>
  <si>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</si>
  <si>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</si>
  <si>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</si>
  <si>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</si>
  <si>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</si>
  <si>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</si>
  <si>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</si>
  <si>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</si>
  <si>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</si>
  <si>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</si>
  <si>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</si>
  <si>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</si>
  <si>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</si>
  <si>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</si>
  <si>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</si>
  <si>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</si>
  <si>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</si>
  <si>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</si>
  <si>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</si>
  <si>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</si>
  <si>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</si>
  <si>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</si>
  <si>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</si>
  <si>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</si>
  <si>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</si>
  <si>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</si>
  <si>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</si>
  <si>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</si>
  <si>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</si>
  <si>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</si>
  <si>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</si>
  <si>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</si>
  <si>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</si>
  <si>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</si>
  <si>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</si>
  <si>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</si>
  <si>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</si>
  <si>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</si>
  <si>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</si>
  <si>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</si>
  <si>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</si>
  <si>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</si>
  <si>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</si>
  <si>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</si>
  <si>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</si>
  <si>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</si>
  <si>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</si>
  <si>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</si>
  <si>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</si>
  <si>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</si>
  <si>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</si>
  <si>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</si>
  <si>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</si>
  <si>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</si>
  <si>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</si>
  <si>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</si>
  <si>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</si>
  <si>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</si>
  <si>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</si>
  <si>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</si>
  <si>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</si>
  <si>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</si>
  <si>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</si>
  <si>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</si>
  <si>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</si>
  <si>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</si>
  <si>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</si>
  <si>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</si>
  <si>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</si>
  <si>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</si>
  <si>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</si>
  <si>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</si>
  <si>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</si>
  <si>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</si>
  <si>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</si>
  <si>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</si>
  <si>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</si>
  <si>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</si>
  <si>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</si>
  <si>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</si>
  <si>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</si>
  <si>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</si>
  <si>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</si>
  <si>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</si>
  <si>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</si>
  <si>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</si>
  <si>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</si>
  <si>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</si>
  <si>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</si>
  <si>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</si>
  <si>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</si>
  <si>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</si>
  <si>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</si>
  <si>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</si>
  <si>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</si>
  <si>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</si>
  <si>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</si>
  <si>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</si>
  <si>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</si>
  <si>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</si>
  <si>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</si>
  <si>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</si>
  <si>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</si>
  <si>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</si>
  <si>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</si>
  <si>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</si>
  <si>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</si>
  <si>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</si>
  <si>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</si>
  <si>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</si>
  <si>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</si>
  <si>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</si>
  <si>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</si>
  <si>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</si>
  <si>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</si>
  <si>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</si>
  <si>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</si>
  <si>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</si>
  <si>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</si>
  <si>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</si>
  <si>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</si>
  <si>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</si>
  <si>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</si>
  <si>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</si>
  <si>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</si>
  <si>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</si>
  <si>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</si>
  <si>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</si>
  <si>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</si>
  <si>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</si>
  <si>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</si>
  <si>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</si>
  <si>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</si>
  <si>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</si>
  <si>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</si>
  <si>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</si>
  <si>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</si>
  <si>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</si>
  <si>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</si>
  <si>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</si>
  <si>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</si>
  <si>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</si>
  <si>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</si>
  <si>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</si>
  <si>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</si>
  <si>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</si>
  <si>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</si>
  <si>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</si>
  <si>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</si>
  <si>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</si>
  <si>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</si>
  <si>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</si>
  <si>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</si>
  <si>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</si>
  <si>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</si>
  <si>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</si>
  <si>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</si>
  <si>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</si>
  <si>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</si>
  <si>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</si>
  <si>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</si>
  <si>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</si>
  <si>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</si>
  <si>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</si>
  <si>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</si>
  <si>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</si>
  <si>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</si>
  <si>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</si>
  <si>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</si>
  <si>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</si>
  <si>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</si>
  <si>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</si>
  <si>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</si>
  <si>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</si>
  <si>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</si>
  <si>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</si>
  <si>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</si>
  <si>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</si>
  <si>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</si>
  <si>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</si>
  <si>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</si>
  <si>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</si>
  <si>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</si>
  <si>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</si>
  <si>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</si>
  <si>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</si>
  <si>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</si>
  <si>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</si>
  <si>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</si>
  <si>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</si>
  <si>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</si>
  <si>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</si>
  <si>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</si>
  <si>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</si>
  <si>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</si>
  <si>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</si>
  <si>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</si>
  <si>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</si>
  <si>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</si>
  <si>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</si>
  <si>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</si>
  <si>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</si>
  <si>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</si>
  <si>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</si>
  <si>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</si>
  <si>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</si>
  <si>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</si>
  <si>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</si>
  <si>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</si>
  <si>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</si>
  <si>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</si>
  <si>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</si>
  <si>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</si>
  <si>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</si>
  <si>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</si>
  <si>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</si>
  <si>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</si>
  <si>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</si>
  <si>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</si>
  <si>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</si>
  <si>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</si>
  <si>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</si>
  <si>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</si>
  <si>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</si>
  <si>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</si>
  <si>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</si>
  <si>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</si>
  <si>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</si>
  <si>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</si>
  <si>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</si>
  <si>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</si>
  <si>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</si>
  <si>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</si>
  <si>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</si>
  <si>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</si>
  <si>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</si>
  <si>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</si>
  <si>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</si>
  <si>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</si>
  <si>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</si>
  <si>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</si>
  <si>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</si>
  <si>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</si>
  <si>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</si>
  <si>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</si>
  <si>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</si>
  <si>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</si>
  <si>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</si>
  <si>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</si>
  <si>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</si>
  <si>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</si>
  <si>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</si>
  <si>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</si>
  <si>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</si>
  <si>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</si>
  <si>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</si>
  <si>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</si>
  <si>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</si>
  <si>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</si>
  <si>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</si>
  <si>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</si>
  <si>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</si>
  <si>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</si>
  <si>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</si>
  <si>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</si>
  <si>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</si>
  <si>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</si>
  <si>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</si>
  <si>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</si>
  <si>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</si>
  <si>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</si>
  <si>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</si>
  <si>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</si>
  <si>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</si>
  <si>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</si>
  <si>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</si>
  <si>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</si>
  <si>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</si>
  <si>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</si>
  <si>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</si>
  <si>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</si>
  <si>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</si>
  <si>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</si>
  <si>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</si>
  <si>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</si>
  <si>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</si>
  <si>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</si>
  <si>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</si>
  <si>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</si>
  <si>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</si>
  <si>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</si>
  <si>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</si>
  <si>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</si>
  <si>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</si>
  <si>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</si>
  <si>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</si>
  <si>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</si>
  <si>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</si>
  <si>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</si>
  <si>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</si>
  <si>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</si>
  <si>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</si>
  <si>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</si>
  <si>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</si>
  <si>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</si>
  <si>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</si>
  <si>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</si>
  <si>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</si>
  <si>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</si>
  <si>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</si>
  <si>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</si>
  <si>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</si>
  <si>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</si>
  <si>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</si>
  <si>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</si>
  <si>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</si>
  <si>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</si>
  <si>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</si>
  <si>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</si>
  <si>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</si>
  <si>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</si>
  <si>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</si>
  <si>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</si>
  <si>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</si>
  <si>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</si>
  <si>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</si>
  <si>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</si>
  <si>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</si>
  <si>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</si>
  <si>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</si>
  <si>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</si>
  <si>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</si>
  <si>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</si>
  <si>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</si>
  <si>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</si>
  <si>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</si>
  <si>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</si>
  <si>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</si>
  <si>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</si>
  <si>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</si>
  <si>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</si>
  <si>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</si>
  <si>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</si>
  <si>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</si>
  <si>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</si>
  <si>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</si>
  <si>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</si>
  <si>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</si>
  <si>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</si>
  <si>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</si>
  <si>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</si>
  <si>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</si>
  <si>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</si>
  <si>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</si>
  <si>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</si>
  <si>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</si>
  <si>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</si>
  <si>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</si>
  <si>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</si>
  <si>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</si>
  <si>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</si>
  <si>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</si>
  <si>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</si>
  <si>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</si>
  <si>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</si>
  <si>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</si>
  <si>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</si>
  <si>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</si>
  <si>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</si>
  <si>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</si>
  <si>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</si>
  <si>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</si>
  <si>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</si>
  <si>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</si>
  <si>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</si>
  <si>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</si>
  <si>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</si>
  <si>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</si>
  <si>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</si>
  <si>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</si>
  <si>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</si>
  <si>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</si>
  <si>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</si>
  <si>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</si>
  <si>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</si>
  <si>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</si>
  <si>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</si>
  <si>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</si>
  <si>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</si>
  <si>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</si>
  <si>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</si>
  <si>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</si>
  <si>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</si>
  <si>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</si>
  <si>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</si>
  <si>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</si>
  <si>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</si>
  <si>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</si>
  <si>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</si>
  <si>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</si>
  <si>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</si>
  <si>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</si>
  <si>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</si>
  <si>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</si>
  <si>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</si>
  <si>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</si>
  <si>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</si>
  <si>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</si>
  <si>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</si>
  <si>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</si>
  <si>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</si>
  <si>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</si>
  <si>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</si>
  <si>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</si>
  <si>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</si>
  <si>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</si>
  <si>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</si>
  <si>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</si>
  <si>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</si>
  <si>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</si>
  <si>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</si>
  <si>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</si>
  <si>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</si>
  <si>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</si>
  <si>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</si>
  <si>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</si>
  <si>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</si>
  <si>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</si>
  <si>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</si>
  <si>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</si>
  <si>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</si>
  <si>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</si>
  <si>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</si>
  <si>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</si>
  <si>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</si>
  <si>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</si>
  <si>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</si>
  <si>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</si>
  <si>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</si>
  <si>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</si>
  <si>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</si>
  <si>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</si>
  <si>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</si>
  <si>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</si>
  <si>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</si>
  <si>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</si>
  <si>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</si>
  <si>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</si>
  <si>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</si>
  <si>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</si>
  <si>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</si>
  <si>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</si>
  <si>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</si>
  <si>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</si>
  <si>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</si>
  <si>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</si>
  <si>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</si>
  <si>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</si>
  <si>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</si>
  <si>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</si>
  <si>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</si>
  <si>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</si>
  <si>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</si>
  <si>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</si>
  <si>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</si>
  <si>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</si>
  <si>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</si>
  <si>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</si>
  <si>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</si>
  <si>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</si>
  <si>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</si>
  <si>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</si>
  <si>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</si>
  <si>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</si>
  <si>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</si>
  <si>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</si>
  <si>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</si>
  <si>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</si>
  <si>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</si>
  <si>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</si>
  <si>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</si>
  <si>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</si>
  <si>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</si>
  <si>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</si>
  <si>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</si>
  <si>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</si>
  <si>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</si>
  <si>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</si>
  <si>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</si>
  <si>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</si>
  <si>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</si>
  <si>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</si>
  <si>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</si>
  <si>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</si>
  <si>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</si>
  <si>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</si>
  <si>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</si>
  <si>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</si>
  <si>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</si>
  <si>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</si>
  <si>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</si>
  <si>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</si>
  <si>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</si>
  <si>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</si>
  <si>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</si>
  <si>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</si>
  <si>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</si>
  <si>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</si>
  <si>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</si>
  <si>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</si>
  <si>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</si>
  <si>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</si>
  <si>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</si>
  <si>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</si>
  <si>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</si>
  <si>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</si>
  <si>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</si>
  <si>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</si>
  <si>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</si>
  <si>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</si>
  <si>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</si>
  <si>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</si>
  <si>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</si>
  <si>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</si>
  <si>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</si>
  <si>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</si>
  <si>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</si>
  <si>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</si>
  <si>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</si>
  <si>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</si>
  <si>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</si>
  <si>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</si>
  <si>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</si>
  <si>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</si>
  <si>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</si>
  <si>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</si>
  <si>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</si>
  <si>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</si>
  <si>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</si>
  <si>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</si>
  <si>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</si>
  <si>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</si>
  <si>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</si>
  <si>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</si>
  <si>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</si>
  <si>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</si>
  <si>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</si>
  <si>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</si>
  <si>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</si>
  <si>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</si>
  <si>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</si>
  <si>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</si>
  <si>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</si>
  <si>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</si>
  <si>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</si>
  <si>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</si>
  <si>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</si>
  <si>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</si>
  <si>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</si>
  <si>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 xml:space="preserve"> https://delijn.sharepoint.com/:b:/r/teams/CTM-OTGentStad/Shared%20Documents/General/EAF/CSI(nieuwe%20sharepoint)%202025/10.%20Oktober/EAF%205042%20Gent%2041619%2003102025.pdf?csf=1&amp;web=1&amp;e=bo1zQv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</si>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</sst>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Lucie Vande Velde</c:v>
                </c:pt>
                <c:pt idx="7">
                  <c:v>Els Dewulf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68</c:v>
                </c:pt>
                <c:pt idx="1">
                  <c:v>57</c:v>
                </c:pt>
                <c:pt idx="2">
                  <c:v>51</c:v>
                </c:pt>
                <c:pt idx="3">
                  <c:v>49</c:v>
                </c:pt>
                <c:pt idx="4">
                  <c:v>39</c:v>
                </c:pt>
                <c:pt idx="5">
                  <c:v>34</c:v>
                </c:pt>
                <c:pt idx="6">
                  <c:v>33</c:v>
                </c:pt>
                <c:pt idx="7">
                  <c:v>31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480485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</xdr:row>
          <xdr:rowOff>38100</xdr:rowOff>
        </xdr:from>
        <xdr:to>
          <xdr:col>6</xdr:col>
          <xdr:colOff>1097280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8</v>
          </cell>
          <cell r="B2" t="str">
            <v>Christoff Rotty</v>
          </cell>
          <cell r="D2">
            <v>30</v>
          </cell>
        </row>
        <row r="3">
          <cell r="A3">
            <v>13</v>
          </cell>
          <cell r="B3" t="str">
            <v>Bart Van der Beken</v>
          </cell>
          <cell r="D3">
            <v>27</v>
          </cell>
        </row>
        <row r="4">
          <cell r="A4">
            <v>13</v>
          </cell>
          <cell r="B4" t="str">
            <v>Els Dewulf</v>
          </cell>
          <cell r="D4">
            <v>22</v>
          </cell>
        </row>
        <row r="5">
          <cell r="A5">
            <v>9</v>
          </cell>
          <cell r="B5" t="str">
            <v>Els Vanhoe</v>
          </cell>
          <cell r="D5">
            <v>28</v>
          </cell>
        </row>
        <row r="6">
          <cell r="A6">
            <v>8</v>
          </cell>
          <cell r="B6" t="str">
            <v>Dominique De Clercq</v>
          </cell>
          <cell r="D6">
            <v>36</v>
          </cell>
        </row>
        <row r="7">
          <cell r="A7">
            <v>6</v>
          </cell>
          <cell r="B7" t="str">
            <v>Steven Storm</v>
          </cell>
          <cell r="D7">
            <v>17</v>
          </cell>
        </row>
        <row r="8">
          <cell r="A8">
            <v>10</v>
          </cell>
          <cell r="B8" t="str">
            <v>Lucie Vande Velde</v>
          </cell>
          <cell r="D8">
            <v>26</v>
          </cell>
        </row>
        <row r="9">
          <cell r="A9">
            <v>8</v>
          </cell>
          <cell r="B9" t="str">
            <v>Kenneth De Rick</v>
          </cell>
          <cell r="D9">
            <v>25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37.759817245373" createdVersion="8" refreshedVersion="8" minRefreshableVersion="3" recordCount="909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598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9062 Westelinck Davy"/>
        <s v="29271 Maes Filip"/>
        <s v="38555 Almohammad Malek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0-05T00:00:00" count="45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09-11T00:00:00"/>
        <d v="2025-10-03T00:00:00"/>
        <d v="2025-10-04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48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9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31634"/>
    <x v="373"/>
    <s v="Kirsan"/>
    <s v="Ömer"/>
    <x v="3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4"/>
    <s v="Shah"/>
    <s v="Sekandar"/>
    <x v="7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5"/>
    <s v="Seeuws"/>
    <s v="Marnic"/>
    <x v="9"/>
    <x v="0"/>
    <m/>
    <m/>
    <m/>
    <m/>
    <m/>
    <m/>
    <m/>
    <m/>
    <n v="1"/>
    <m/>
    <m/>
    <m/>
    <n v="1"/>
    <x v="444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6"/>
    <s v="Blondeel"/>
    <s v="Dominique"/>
    <x v="6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7"/>
    <s v="Cichonski"/>
    <s v="Kamil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8"/>
    <s v="De Bruycker"/>
    <s v="Dylan"/>
    <x v="1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79"/>
    <s v="Babai"/>
    <s v="Saber"/>
    <x v="5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0"/>
    <s v="Vervaecke"/>
    <s v="Wim"/>
    <x v="2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1"/>
    <s v="Sular"/>
    <s v="Abdullah"/>
    <x v="5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1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2"/>
    <s v="Helleputte"/>
    <s v="Jens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3"/>
    <s v="De Rammelaere"/>
    <s v="Bjorn"/>
    <x v="1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1874"/>
    <x v="363"/>
    <s v="Dobbeleire"/>
    <s v="Bruno"/>
    <x v="7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19917"/>
    <x v="12"/>
    <s v="Vandevyvere"/>
    <s v="Frank"/>
    <x v="4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42105"/>
    <x v="384"/>
    <s v="Van den Bossche"/>
    <s v="Jarne"/>
    <x v="2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7"/>
    <s v="Cichonski"/>
    <s v="Kamil"/>
    <x v="9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39728"/>
    <x v="201"/>
    <s v="Nohut"/>
    <s v="Baki"/>
    <x v="6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42002"/>
    <x v="355"/>
    <s v="Bogaert"/>
    <s v="Kevin"/>
    <x v="3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36289"/>
    <x v="46"/>
    <s v="Van Rentergem"/>
    <s v="Steve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9062"/>
    <x v="385"/>
    <s v="Westelinck"/>
    <s v="Davy"/>
    <x v="1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9014"/>
    <x v="66"/>
    <s v="Genbrugge"/>
    <s v="Kyllian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42146"/>
    <x v="377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41948"/>
    <x v="380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38555"/>
    <x v="387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13"/>
    </i>
    <i>
      <x v="11"/>
    </i>
    <i>
      <x v="6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85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axis="axisRow" showAll="0" sortType="descending">
      <items count="249">
        <item m="1" x="247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46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73">
    <i>
      <x v="25"/>
    </i>
    <i>
      <x v="62"/>
    </i>
    <i>
      <x v="190"/>
    </i>
    <i>
      <x v="189"/>
    </i>
    <i>
      <x v="63"/>
    </i>
    <i>
      <x v="37"/>
    </i>
    <i>
      <x v="168"/>
    </i>
    <i>
      <x v="223"/>
    </i>
    <i>
      <x v="188"/>
    </i>
    <i>
      <x v="43"/>
    </i>
    <i>
      <x v="146"/>
    </i>
    <i>
      <x v="147"/>
    </i>
    <i>
      <x v="209"/>
    </i>
    <i>
      <x v="77"/>
    </i>
    <i>
      <x v="91"/>
    </i>
    <i>
      <x v="134"/>
    </i>
    <i>
      <x v="23"/>
    </i>
    <i>
      <x v="42"/>
    </i>
    <i>
      <x v="35"/>
    </i>
    <i>
      <x v="90"/>
    </i>
    <i>
      <x v="88"/>
    </i>
    <i>
      <x v="119"/>
    </i>
    <i>
      <x v="186"/>
    </i>
    <i>
      <x v="66"/>
    </i>
    <i>
      <x v="196"/>
    </i>
    <i>
      <x v="50"/>
    </i>
    <i>
      <x v="144"/>
    </i>
    <i>
      <x v="218"/>
    </i>
    <i>
      <x v="187"/>
    </i>
    <i>
      <x v="95"/>
    </i>
    <i>
      <x v="30"/>
    </i>
    <i>
      <x v="47"/>
    </i>
    <i>
      <x v="137"/>
    </i>
    <i>
      <x v="3"/>
    </i>
    <i>
      <x v="242"/>
    </i>
    <i>
      <x v="201"/>
    </i>
    <i>
      <x v="184"/>
    </i>
    <i>
      <x v="64"/>
    </i>
    <i>
      <x v="237"/>
    </i>
    <i>
      <x v="82"/>
    </i>
    <i>
      <x v="181"/>
    </i>
    <i>
      <x v="5"/>
    </i>
    <i>
      <x v="17"/>
    </i>
    <i>
      <x v="26"/>
    </i>
    <i>
      <x v="222"/>
    </i>
    <i>
      <x v="123"/>
    </i>
    <i>
      <x v="15"/>
    </i>
    <i>
      <x v="127"/>
    </i>
    <i>
      <x v="54"/>
    </i>
    <i>
      <x v="129"/>
    </i>
    <i>
      <x v="183"/>
    </i>
    <i>
      <x v="132"/>
    </i>
    <i>
      <x v="31"/>
    </i>
    <i>
      <x v="133"/>
    </i>
    <i>
      <x v="197"/>
    </i>
    <i>
      <x v="136"/>
    </i>
    <i>
      <x v="220"/>
    </i>
    <i>
      <x v="6"/>
    </i>
    <i>
      <x v="224"/>
    </i>
    <i>
      <x v="138"/>
    </i>
    <i>
      <x v="240"/>
    </i>
    <i>
      <x v="45"/>
    </i>
    <i>
      <x v="155"/>
    </i>
    <i>
      <x v="195"/>
    </i>
    <i>
      <x v="233"/>
    </i>
    <i>
      <x v="215"/>
    </i>
    <i>
      <x v="101"/>
    </i>
    <i>
      <x v="46"/>
    </i>
    <i>
      <x v="102"/>
    </i>
    <i>
      <x v="203"/>
    </i>
    <i>
      <x v="103"/>
    </i>
    <i>
      <x v="225"/>
    </i>
    <i>
      <x v="104"/>
    </i>
    <i>
      <x v="100"/>
    </i>
    <i>
      <x v="108"/>
    </i>
    <i>
      <x v="22"/>
    </i>
    <i>
      <x v="109"/>
    </i>
    <i>
      <x v="199"/>
    </i>
    <i>
      <x v="111"/>
    </i>
    <i>
      <x v="33"/>
    </i>
    <i>
      <x v="112"/>
    </i>
    <i>
      <x v="12"/>
    </i>
    <i>
      <x v="113"/>
    </i>
    <i>
      <x v="229"/>
    </i>
    <i>
      <x v="118"/>
    </i>
    <i>
      <x v="98"/>
    </i>
    <i>
      <x v="61"/>
    </i>
    <i>
      <x v="86"/>
    </i>
    <i>
      <x v="121"/>
    </i>
    <i>
      <x v="29"/>
    </i>
    <i>
      <x v="122"/>
    </i>
    <i>
      <x v="193"/>
    </i>
    <i>
      <x v="7"/>
    </i>
    <i>
      <x v="89"/>
    </i>
    <i>
      <x v="126"/>
    </i>
    <i>
      <x v="60"/>
    </i>
    <i>
      <x v="9"/>
    </i>
    <i>
      <x v="206"/>
    </i>
    <i>
      <x v="128"/>
    </i>
    <i>
      <x v="212"/>
    </i>
    <i>
      <x v="55"/>
    </i>
    <i>
      <x v="217"/>
    </i>
    <i>
      <x v="131"/>
    </i>
    <i>
      <x v="24"/>
    </i>
    <i>
      <x v="65"/>
    </i>
    <i>
      <x v="227"/>
    </i>
    <i>
      <x v="34"/>
    </i>
    <i>
      <x v="231"/>
    </i>
    <i>
      <x v="247"/>
    </i>
    <i>
      <x v="235"/>
    </i>
    <i>
      <x v="2"/>
    </i>
    <i>
      <x v="239"/>
    </i>
    <i>
      <x v="67"/>
    </i>
    <i>
      <x v="84"/>
    </i>
    <i>
      <x v="68"/>
    </i>
    <i>
      <x v="185"/>
    </i>
    <i>
      <x v="74"/>
    </i>
    <i>
      <x v="87"/>
    </i>
    <i>
      <x v="141"/>
    </i>
    <i>
      <x v="19"/>
    </i>
    <i>
      <x v="142"/>
    </i>
    <i>
      <x v="192"/>
    </i>
    <i>
      <x v="11"/>
    </i>
    <i>
      <x v="194"/>
    </i>
    <i>
      <x v="246"/>
    </i>
    <i>
      <x v="49"/>
    </i>
    <i>
      <x v="14"/>
    </i>
    <i>
      <x v="198"/>
    </i>
    <i>
      <x v="78"/>
    </i>
    <i>
      <x v="200"/>
    </i>
    <i>
      <x v="148"/>
    </i>
    <i>
      <x v="202"/>
    </i>
    <i>
      <x v="149"/>
    </i>
    <i>
      <x v="205"/>
    </i>
    <i>
      <x v="151"/>
    </i>
    <i>
      <x v="207"/>
    </i>
    <i>
      <x v="241"/>
    </i>
    <i>
      <x v="211"/>
    </i>
    <i>
      <x v="79"/>
    </i>
    <i>
      <x v="213"/>
    </i>
    <i>
      <x v="244"/>
    </i>
    <i>
      <x v="216"/>
    </i>
    <i>
      <x v="81"/>
    </i>
    <i>
      <x v="52"/>
    </i>
    <i>
      <x v="162"/>
    </i>
    <i>
      <x v="41"/>
    </i>
    <i>
      <x v="163"/>
    </i>
    <i>
      <x v="97"/>
    </i>
    <i>
      <x v="166"/>
    </i>
    <i>
      <x v="226"/>
    </i>
    <i>
      <x v="16"/>
    </i>
    <i>
      <x v="228"/>
    </i>
    <i>
      <x v="169"/>
    </i>
    <i>
      <x v="230"/>
    </i>
    <i>
      <x v="170"/>
    </i>
    <i>
      <x v="232"/>
    </i>
    <i>
      <x v="173"/>
    </i>
    <i>
      <x v="234"/>
    </i>
    <i>
      <x v="175"/>
    </i>
    <i>
      <x v="236"/>
    </i>
    <i>
      <x v="176"/>
    </i>
    <i>
      <x v="238"/>
    </i>
    <i>
      <x v="177"/>
    </i>
    <i>
      <x v="99"/>
    </i>
    <i>
      <x v="180"/>
    </i>
    <i>
      <x v="58"/>
    </i>
    <i>
      <x v="243"/>
    </i>
    <i>
      <x v="157"/>
    </i>
    <i>
      <x v="245"/>
    </i>
    <i>
      <x v="158"/>
    </i>
    <i>
      <x v="160"/>
    </i>
    <i>
      <x v="145"/>
    </i>
    <i>
      <x v="135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48" firstHeaderRow="1" firstDataRow="1" firstDataCol="1"/>
  <pivotFields count="30">
    <pivotField showAll="0"/>
    <pivotField axis="axisRow" showAll="0" sortType="descending">
      <items count="599">
        <item m="1" x="582"/>
        <item m="1" x="597"/>
        <item m="1" x="436"/>
        <item x="137"/>
        <item x="45"/>
        <item m="1" x="520"/>
        <item x="360"/>
        <item x="375"/>
        <item m="1" x="478"/>
        <item x="297"/>
        <item x="354"/>
        <item x="61"/>
        <item x="140"/>
        <item x="116"/>
        <item m="1" x="474"/>
        <item x="97"/>
        <item x="220"/>
        <item x="270"/>
        <item x="238"/>
        <item x="356"/>
        <item m="1" x="443"/>
        <item x="178"/>
        <item x="132"/>
        <item m="1" x="504"/>
        <item m="1" x="461"/>
        <item x="53"/>
        <item x="266"/>
        <item m="1" x="438"/>
        <item m="1" x="444"/>
        <item m="1" x="454"/>
        <item m="1" x="566"/>
        <item m="1" x="537"/>
        <item x="158"/>
        <item m="1" x="521"/>
        <item x="339"/>
        <item x="160"/>
        <item m="1" x="567"/>
        <item x="129"/>
        <item m="1" x="479"/>
        <item m="1" x="420"/>
        <item m="1" x="576"/>
        <item x="11"/>
        <item x="85"/>
        <item x="330"/>
        <item m="1" x="448"/>
        <item x="26"/>
        <item x="229"/>
        <item m="1" x="522"/>
        <item x="128"/>
        <item m="1" x="415"/>
        <item m="1" x="498"/>
        <item m="1" x="480"/>
        <item m="1" x="577"/>
        <item m="1" x="538"/>
        <item x="94"/>
        <item x="226"/>
        <item x="257"/>
        <item m="1" x="548"/>
        <item x="230"/>
        <item x="247"/>
        <item m="1" x="484"/>
        <item m="1" x="523"/>
        <item m="1" x="524"/>
        <item m="1" x="525"/>
        <item x="244"/>
        <item x="9"/>
        <item x="145"/>
        <item x="271"/>
        <item m="1" x="475"/>
        <item x="357"/>
        <item m="1" x="526"/>
        <item m="1" x="470"/>
        <item x="248"/>
        <item m="1" x="421"/>
        <item m="1" x="388"/>
        <item m="1" x="549"/>
        <item m="1" x="455"/>
        <item x="144"/>
        <item x="80"/>
        <item m="1" x="505"/>
        <item x="34"/>
        <item x="149"/>
        <item m="1" x="485"/>
        <item x="288"/>
        <item m="1" x="463"/>
        <item m="1" x="486"/>
        <item m="1" x="428"/>
        <item m="1" x="422"/>
        <item m="1" x="431"/>
        <item x="100"/>
        <item x="12"/>
        <item x="177"/>
        <item m="1" x="456"/>
        <item x="225"/>
        <item m="1" x="568"/>
        <item x="23"/>
        <item m="1" x="462"/>
        <item m="1" x="569"/>
        <item m="1" x="464"/>
        <item m="1" x="412"/>
        <item m="1" x="593"/>
        <item x="65"/>
        <item m="1" x="481"/>
        <item x="370"/>
        <item m="1" x="550"/>
        <item m="1" x="570"/>
        <item x="170"/>
        <item x="117"/>
        <item m="1" x="487"/>
        <item m="1" x="506"/>
        <item x="92"/>
        <item m="1" x="587"/>
        <item x="268"/>
        <item m="1" x="551"/>
        <item m="1" x="488"/>
        <item m="1" x="539"/>
        <item m="1" x="489"/>
        <item m="1" x="465"/>
        <item x="63"/>
        <item x="168"/>
        <item m="1" x="389"/>
        <item m="1" x="571"/>
        <item m="1" x="442"/>
        <item x="83"/>
        <item x="254"/>
        <item m="1" x="490"/>
        <item x="219"/>
        <item m="1" x="491"/>
        <item x="262"/>
        <item m="1" x="591"/>
        <item x="364"/>
        <item x="77"/>
        <item x="162"/>
        <item m="1" x="403"/>
        <item x="346"/>
        <item x="118"/>
        <item x="245"/>
        <item m="1" x="457"/>
        <item x="350"/>
        <item m="1" x="441"/>
        <item m="1" x="527"/>
        <item m="1" x="507"/>
        <item m="1" x="540"/>
        <item x="146"/>
        <item x="191"/>
        <item m="1" x="578"/>
        <item m="1" x="451"/>
        <item m="1" x="391"/>
        <item x="213"/>
        <item m="1" x="508"/>
        <item x="317"/>
        <item m="1" x="446"/>
        <item x="60"/>
        <item x="192"/>
        <item m="1" x="466"/>
        <item m="1" x="509"/>
        <item x="134"/>
        <item x="275"/>
        <item m="1" x="467"/>
        <item x="307"/>
        <item x="367"/>
        <item m="1" x="416"/>
        <item m="1" x="552"/>
        <item x="82"/>
        <item x="54"/>
        <item x="224"/>
        <item m="1" x="458"/>
        <item x="180"/>
        <item m="1" x="471"/>
        <item x="79"/>
        <item x="279"/>
        <item m="1" x="447"/>
        <item x="209"/>
        <item x="84"/>
        <item m="1" x="553"/>
        <item x="33"/>
        <item m="1" x="554"/>
        <item m="1" x="450"/>
        <item m="1" x="452"/>
        <item m="1" x="468"/>
        <item x="338"/>
        <item m="1" x="541"/>
        <item x="252"/>
        <item m="1" x="579"/>
        <item x="90"/>
        <item x="32"/>
        <item x="68"/>
        <item m="1" x="528"/>
        <item x="40"/>
        <item m="1" x="510"/>
        <item m="1" x="499"/>
        <item x="202"/>
        <item x="323"/>
        <item m="1" x="410"/>
        <item m="1" x="511"/>
        <item x="56"/>
        <item m="1" x="588"/>
        <item m="1" x="562"/>
        <item m="1" x="563"/>
        <item m="1" x="432"/>
        <item m="1" x="555"/>
        <item x="108"/>
        <item x="274"/>
        <item x="173"/>
        <item m="1" x="423"/>
        <item x="171"/>
        <item m="1" x="512"/>
        <item x="293"/>
        <item x="103"/>
        <item m="1" x="424"/>
        <item x="386"/>
        <item m="1" x="529"/>
        <item x="246"/>
        <item x="152"/>
        <item m="1" x="595"/>
        <item x="222"/>
        <item m="1" x="472"/>
        <item x="343"/>
        <item x="291"/>
        <item x="325"/>
        <item m="1" x="500"/>
        <item m="1" x="557"/>
        <item x="233"/>
        <item x="227"/>
        <item x="28"/>
        <item x="352"/>
        <item m="1" x="558"/>
        <item x="123"/>
        <item m="1" x="580"/>
        <item m="1" x="392"/>
        <item x="217"/>
        <item x="122"/>
        <item x="234"/>
        <item m="1" x="411"/>
        <item x="30"/>
        <item x="4"/>
        <item x="302"/>
        <item x="337"/>
        <item x="186"/>
        <item x="86"/>
        <item x="189"/>
        <item m="1" x="556"/>
        <item m="1" x="559"/>
        <item x="258"/>
        <item m="1" x="560"/>
        <item x="99"/>
        <item m="1" x="561"/>
        <item x="373"/>
        <item x="200"/>
        <item m="1" x="530"/>
        <item x="20"/>
        <item x="153"/>
        <item x="24"/>
        <item x="27"/>
        <item x="347"/>
        <item x="315"/>
        <item x="292"/>
        <item m="1" x="531"/>
        <item x="195"/>
        <item m="1" x="492"/>
        <item x="312"/>
        <item x="55"/>
        <item x="175"/>
        <item m="1" x="572"/>
        <item x="81"/>
        <item x="163"/>
        <item x="300"/>
        <item x="105"/>
        <item x="73"/>
        <item m="1" x="592"/>
        <item x="316"/>
        <item x="96"/>
        <item x="91"/>
        <item x="223"/>
        <item x="124"/>
        <item m="1" x="501"/>
        <item m="1" x="427"/>
        <item x="269"/>
        <item m="1" x="493"/>
        <item m="1" x="413"/>
        <item x="71"/>
        <item m="1" x="433"/>
        <item x="157"/>
        <item x="289"/>
        <item x="115"/>
        <item x="42"/>
        <item x="93"/>
        <item m="1" x="596"/>
        <item x="52"/>
        <item x="1"/>
        <item x="114"/>
        <item x="104"/>
        <item x="22"/>
        <item m="1" x="459"/>
        <item x="361"/>
        <item m="1" x="425"/>
        <item x="164"/>
        <item m="1" x="414"/>
        <item m="1" x="542"/>
        <item x="49"/>
        <item x="88"/>
        <item x="58"/>
        <item x="142"/>
        <item x="298"/>
        <item m="1" x="543"/>
        <item x="136"/>
        <item m="1" x="589"/>
        <item x="241"/>
        <item x="161"/>
        <item x="287"/>
        <item m="1" x="494"/>
        <item m="1" x="544"/>
        <item x="231"/>
        <item x="198"/>
        <item x="113"/>
        <item x="36"/>
        <item x="281"/>
        <item x="267"/>
        <item x="159"/>
        <item m="1" x="429"/>
        <item x="295"/>
        <item x="197"/>
        <item x="214"/>
        <item x="304"/>
        <item m="1" x="532"/>
        <item x="228"/>
        <item x="62"/>
        <item m="1" x="573"/>
        <item m="1" x="482"/>
        <item x="362"/>
        <item x="333"/>
        <item x="232"/>
        <item x="50"/>
        <item x="46"/>
        <item m="1" x="545"/>
        <item x="176"/>
        <item m="1" x="430"/>
        <item m="1" x="396"/>
        <item x="255"/>
        <item m="1" x="476"/>
        <item m="1" x="406"/>
        <item x="259"/>
        <item x="181"/>
        <item x="110"/>
        <item x="239"/>
        <item x="141"/>
        <item m="1" x="445"/>
        <item m="1" x="460"/>
        <item x="182"/>
        <item x="250"/>
        <item x="203"/>
        <item m="1" x="390"/>
        <item x="351"/>
        <item x="148"/>
        <item m="1" x="417"/>
        <item x="13"/>
        <item x="19"/>
        <item x="48"/>
        <item x="260"/>
        <item x="308"/>
        <item m="1" x="440"/>
        <item x="151"/>
        <item x="314"/>
        <item x="169"/>
        <item x="334"/>
        <item x="102"/>
        <item x="376"/>
        <item m="1" x="434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64"/>
        <item x="318"/>
        <item x="150"/>
        <item x="130"/>
        <item x="121"/>
        <item x="31"/>
        <item x="305"/>
        <item m="1" x="513"/>
        <item m="1" x="404"/>
        <item m="1" x="495"/>
        <item x="3"/>
        <item x="57"/>
        <item x="101"/>
        <item x="38"/>
        <item m="1" x="514"/>
        <item x="210"/>
        <item x="387"/>
        <item x="16"/>
        <item x="301"/>
        <item x="190"/>
        <item x="10"/>
        <item x="70"/>
        <item x="135"/>
        <item m="1" x="574"/>
        <item x="321"/>
        <item x="319"/>
        <item x="107"/>
        <item x="37"/>
        <item x="15"/>
        <item x="29"/>
        <item x="64"/>
        <item x="66"/>
        <item x="17"/>
        <item m="1" x="515"/>
        <item m="1" x="405"/>
        <item x="8"/>
        <item x="35"/>
        <item x="7"/>
        <item x="59"/>
        <item m="1" x="435"/>
        <item m="1" x="449"/>
        <item x="276"/>
        <item x="41"/>
        <item x="167"/>
        <item x="143"/>
        <item x="166"/>
        <item x="165"/>
        <item x="75"/>
        <item m="1" x="407"/>
        <item x="2"/>
        <item x="172"/>
        <item x="69"/>
        <item x="196"/>
        <item x="95"/>
        <item x="76"/>
        <item m="1" x="437"/>
        <item x="18"/>
        <item x="303"/>
        <item x="72"/>
        <item m="1" x="581"/>
        <item x="201"/>
        <item x="47"/>
        <item m="1" x="585"/>
        <item x="111"/>
        <item x="285"/>
        <item x="344"/>
        <item x="324"/>
        <item x="188"/>
        <item x="14"/>
        <item x="184"/>
        <item x="120"/>
        <item m="1" x="418"/>
        <item x="147"/>
        <item x="119"/>
        <item x="67"/>
        <item x="109"/>
        <item x="284"/>
        <item m="1" x="419"/>
        <item m="1" x="590"/>
        <item x="251"/>
        <item x="205"/>
        <item x="156"/>
        <item m="1" x="584"/>
        <item x="273"/>
        <item x="131"/>
        <item x="127"/>
        <item x="236"/>
        <item x="235"/>
        <item m="1" x="516"/>
        <item x="78"/>
        <item m="1" x="565"/>
        <item x="133"/>
        <item x="87"/>
        <item m="1" x="517"/>
        <item x="193"/>
        <item x="221"/>
        <item x="243"/>
        <item x="342"/>
        <item x="326"/>
        <item m="1" x="453"/>
        <item x="179"/>
        <item x="253"/>
        <item x="309"/>
        <item x="263"/>
        <item x="174"/>
        <item x="204"/>
        <item x="154"/>
        <item m="1" x="533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3"/>
        <item x="280"/>
        <item x="237"/>
        <item x="265"/>
        <item x="311"/>
        <item x="283"/>
        <item x="249"/>
        <item x="278"/>
        <item x="332"/>
        <item x="329"/>
        <item m="1" x="586"/>
        <item x="299"/>
        <item x="313"/>
        <item m="1" x="439"/>
        <item x="331"/>
        <item x="328"/>
        <item x="341"/>
        <item x="327"/>
        <item x="340"/>
        <item x="348"/>
        <item x="355"/>
        <item m="1" x="518"/>
        <item x="256"/>
        <item m="1" x="469"/>
        <item x="320"/>
        <item x="349"/>
        <item m="1" x="426"/>
        <item m="1" x="594"/>
        <item m="1" x="483"/>
        <item m="1" x="502"/>
        <item x="21"/>
        <item m="1" x="534"/>
        <item m="1" x="575"/>
        <item x="89"/>
        <item x="112"/>
        <item x="211"/>
        <item x="44"/>
        <item m="1" x="477"/>
        <item m="1" x="546"/>
        <item m="1" x="496"/>
        <item x="277"/>
        <item m="1" x="408"/>
        <item x="138"/>
        <item m="1" x="535"/>
        <item x="336"/>
        <item m="1" x="547"/>
        <item x="185"/>
        <item m="1" x="519"/>
        <item x="206"/>
        <item m="1" x="497"/>
        <item x="74"/>
        <item x="106"/>
        <item m="1" x="536"/>
        <item m="1" x="409"/>
        <item x="385"/>
        <item x="125"/>
        <item x="306"/>
        <item m="1" x="503"/>
        <item x="286"/>
        <item m="1" x="473"/>
        <item h="1" m="1" x="395"/>
        <item h="1" m="1" x="398"/>
        <item h="1" m="1" x="397"/>
        <item h="1" m="1" x="401"/>
        <item h="1" m="1" x="400"/>
        <item h="1" m="1" x="399"/>
        <item h="1" m="1" x="402"/>
        <item h="1" x="43"/>
        <item h="1" x="0"/>
        <item x="359"/>
        <item x="363"/>
        <item x="353"/>
        <item x="366"/>
        <item h="1" m="1" x="393"/>
        <item h="1" m="1" x="394"/>
        <item x="365"/>
        <item x="368"/>
        <item x="369"/>
        <item h="1" x="371"/>
        <item h="1" x="372"/>
        <item h="1" x="374"/>
        <item h="1" x="377"/>
        <item h="1" x="378"/>
        <item h="1" x="379"/>
        <item h="1" x="380"/>
        <item h="1" x="381"/>
        <item h="1" x="382"/>
        <item h="1" x="383"/>
        <item h="1" x="38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36">
    <i>
      <x v="511"/>
    </i>
    <i>
      <x v="473"/>
    </i>
    <i>
      <x v="501"/>
    </i>
    <i>
      <x v="90"/>
    </i>
    <i>
      <x v="512"/>
    </i>
    <i>
      <x v="507"/>
    </i>
    <i>
      <x v="497"/>
    </i>
    <i>
      <x v="342"/>
    </i>
    <i>
      <x v="442"/>
    </i>
    <i>
      <x v="280"/>
    </i>
    <i>
      <x v="358"/>
    </i>
    <i>
      <x v="118"/>
    </i>
    <i>
      <x v="478"/>
    </i>
    <i>
      <x v="156"/>
    </i>
    <i>
      <x v="58"/>
    </i>
    <i>
      <x v="504"/>
    </i>
    <i>
      <x v="514"/>
    </i>
    <i>
      <x v="202"/>
    </i>
    <i>
      <x v="440"/>
    </i>
    <i>
      <x v="380"/>
    </i>
    <i>
      <x v="531"/>
    </i>
    <i>
      <x v="579"/>
    </i>
    <i>
      <x v="480"/>
    </i>
    <i>
      <x v="255"/>
    </i>
    <i>
      <x v="232"/>
    </i>
    <i>
      <x v="317"/>
    </i>
    <i>
      <x v="309"/>
    </i>
    <i>
      <x v="325"/>
    </i>
    <i>
      <x v="494"/>
    </i>
    <i>
      <x v="333"/>
    </i>
    <i>
      <x v="506"/>
    </i>
    <i>
      <x v="341"/>
    </i>
    <i>
      <x v="517"/>
    </i>
    <i>
      <x v="18"/>
    </i>
    <i>
      <x v="184"/>
    </i>
    <i>
      <x v="348"/>
    </i>
    <i>
      <x v="483"/>
    </i>
    <i>
      <x v="355"/>
    </i>
    <i>
      <x v="219"/>
    </i>
    <i>
      <x v="112"/>
    </i>
    <i>
      <x v="503"/>
    </i>
    <i>
      <x v="374"/>
    </i>
    <i>
      <x v="508"/>
    </i>
    <i>
      <x v="375"/>
    </i>
    <i>
      <x v="513"/>
    </i>
    <i>
      <x v="43"/>
    </i>
    <i>
      <x v="523"/>
    </i>
    <i>
      <x v="397"/>
    </i>
    <i>
      <x v="472"/>
    </i>
    <i>
      <x v="407"/>
    </i>
    <i>
      <x v="69"/>
    </i>
    <i>
      <x v="411"/>
    </i>
    <i>
      <x v="481"/>
    </i>
    <i>
      <x v="412"/>
    </i>
    <i>
      <x v="490"/>
    </i>
    <i>
      <x v="148"/>
    </i>
    <i>
      <x v="496"/>
    </i>
    <i>
      <x v="428"/>
    </i>
    <i>
      <x v="498"/>
    </i>
    <i>
      <x v="431"/>
    </i>
    <i>
      <x v="502"/>
    </i>
    <i>
      <x v="432"/>
    </i>
    <i>
      <x v="240"/>
    </i>
    <i>
      <x v="435"/>
    </i>
    <i>
      <x v="250"/>
    </i>
    <i>
      <x v="438"/>
    </i>
    <i>
      <x v="510"/>
    </i>
    <i>
      <x v="11"/>
    </i>
    <i>
      <x v="270"/>
    </i>
    <i>
      <x v="157"/>
    </i>
    <i>
      <x v="81"/>
    </i>
    <i>
      <x v="447"/>
    </i>
    <i>
      <x v="520"/>
    </i>
    <i>
      <x v="451"/>
    </i>
    <i>
      <x v="529"/>
    </i>
    <i>
      <x v="469"/>
    </i>
    <i>
      <x v="471"/>
    </i>
    <i>
      <x v="417"/>
    </i>
    <i>
      <x v="362"/>
    </i>
    <i>
      <x v="515"/>
    </i>
    <i>
      <x v="185"/>
    </i>
    <i>
      <x v="439"/>
    </i>
    <i>
      <x v="277"/>
    </i>
    <i>
      <x v="65"/>
    </i>
    <i>
      <x v="19"/>
    </i>
    <i>
      <x v="549"/>
    </i>
    <i>
      <x v="282"/>
    </i>
    <i>
      <x v="450"/>
    </i>
    <i>
      <x v="283"/>
    </i>
    <i>
      <x v="59"/>
    </i>
    <i>
      <x v="285"/>
    </i>
    <i>
      <x v="243"/>
    </i>
    <i>
      <x v="288"/>
    </i>
    <i>
      <x v="525"/>
    </i>
    <i>
      <x v="290"/>
    </i>
    <i>
      <x v="580"/>
    </i>
    <i>
      <x v="292"/>
    </i>
    <i>
      <x v="444"/>
    </i>
    <i>
      <x v="294"/>
    </i>
    <i>
      <x v="460"/>
    </i>
    <i>
      <x v="303"/>
    </i>
    <i>
      <x v="207"/>
    </i>
    <i>
      <x v="305"/>
    </i>
    <i>
      <x v="489"/>
    </i>
    <i>
      <x v="307"/>
    </i>
    <i>
      <x v="238"/>
    </i>
    <i>
      <x v="308"/>
    </i>
    <i>
      <x v="254"/>
    </i>
    <i>
      <x v="101"/>
    </i>
    <i>
      <x v="264"/>
    </i>
    <i>
      <x v="314"/>
    </i>
    <i>
      <x v="267"/>
    </i>
    <i>
      <x v="316"/>
    </i>
    <i>
      <x v="565"/>
    </i>
    <i>
      <x v="103"/>
    </i>
    <i>
      <x v="586"/>
    </i>
    <i>
      <x v="320"/>
    </i>
    <i>
      <x v="180"/>
    </i>
    <i>
      <x v="321"/>
    </i>
    <i>
      <x v="182"/>
    </i>
    <i>
      <x v="323"/>
    </i>
    <i>
      <x v="452"/>
    </i>
    <i>
      <x v="26"/>
    </i>
    <i>
      <x v="465"/>
    </i>
    <i>
      <x v="329"/>
    </i>
    <i>
      <x v="192"/>
    </i>
    <i>
      <x v="330"/>
    </i>
    <i>
      <x v="217"/>
    </i>
    <i>
      <x v="34"/>
    </i>
    <i>
      <x v="486"/>
    </i>
    <i>
      <x v="338"/>
    </i>
    <i>
      <x v="224"/>
    </i>
    <i>
      <x v="119"/>
    </i>
    <i>
      <x v="499"/>
    </i>
    <i>
      <x v="126"/>
    </i>
    <i>
      <x v="67"/>
    </i>
    <i>
      <x v="344"/>
    </i>
    <i>
      <x v="247"/>
    </i>
    <i>
      <x v="128"/>
    </i>
    <i>
      <x v="256"/>
    </i>
    <i>
      <x v="350"/>
    </i>
    <i>
      <x v="262"/>
    </i>
    <i>
      <x v="352"/>
    </i>
    <i>
      <x v="266"/>
    </i>
    <i>
      <x v="353"/>
    </i>
    <i>
      <x v="527"/>
    </i>
    <i>
      <x v="130"/>
    </i>
    <i>
      <x v="533"/>
    </i>
    <i>
      <x v="356"/>
    </i>
    <i>
      <x v="559"/>
    </i>
    <i>
      <x v="357"/>
    </i>
    <i>
      <x v="578"/>
    </i>
    <i>
      <x v="131"/>
    </i>
    <i>
      <x v="584"/>
    </i>
    <i>
      <x v="359"/>
    </i>
    <i>
      <x v="170"/>
    </i>
    <i>
      <x v="6"/>
    </i>
    <i>
      <x v="173"/>
    </i>
    <i>
      <x v="363"/>
    </i>
    <i>
      <x v="443"/>
    </i>
    <i>
      <x v="364"/>
    </i>
    <i>
      <x v="446"/>
    </i>
    <i>
      <x v="366"/>
    </i>
    <i>
      <x v="449"/>
    </i>
    <i>
      <x v="368"/>
    </i>
    <i>
      <x v="55"/>
    </i>
    <i>
      <x v="369"/>
    </i>
    <i>
      <x v="459"/>
    </i>
    <i>
      <x v="372"/>
    </i>
    <i>
      <x v="462"/>
    </i>
    <i>
      <x v="373"/>
    </i>
    <i>
      <x v="467"/>
    </i>
    <i>
      <x v="132"/>
    </i>
    <i>
      <x v="470"/>
    </i>
    <i>
      <x v="134"/>
    </i>
    <i>
      <x v="7"/>
    </i>
    <i>
      <x v="376"/>
    </i>
    <i>
      <x v="210"/>
    </i>
    <i>
      <x v="377"/>
    </i>
    <i>
      <x v="218"/>
    </i>
    <i>
      <x v="138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6"/>
    </i>
    <i>
      <x v="389"/>
    </i>
    <i>
      <x v="237"/>
    </i>
    <i>
      <x v="392"/>
    </i>
    <i>
      <x v="239"/>
    </i>
    <i>
      <x v="143"/>
    </i>
    <i>
      <x v="505"/>
    </i>
    <i>
      <x v="398"/>
    </i>
    <i>
      <x v="245"/>
    </i>
    <i>
      <x v="402"/>
    </i>
    <i>
      <x v="17"/>
    </i>
    <i>
      <x v="404"/>
    </i>
    <i>
      <x v="9"/>
    </i>
    <i>
      <x v="405"/>
    </i>
    <i>
      <x v="260"/>
    </i>
    <i>
      <x v="406"/>
    </i>
    <i>
      <x v="516"/>
    </i>
    <i>
      <x v="37"/>
    </i>
    <i>
      <x v="518"/>
    </i>
    <i>
      <x v="410"/>
    </i>
    <i>
      <x v="521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415"/>
    </i>
    <i>
      <x v="534"/>
    </i>
    <i>
      <x v="41"/>
    </i>
    <i>
      <x v="553"/>
    </i>
    <i>
      <x v="427"/>
    </i>
    <i>
      <x v="563"/>
    </i>
    <i>
      <x v="10"/>
    </i>
    <i>
      <x v="567"/>
    </i>
    <i>
      <x v="430"/>
    </i>
    <i>
      <x v="83"/>
    </i>
    <i>
      <x v="159"/>
    </i>
    <i>
      <x v="581"/>
    </i>
    <i>
      <x v="160"/>
    </i>
    <i>
      <x v="585"/>
    </i>
    <i>
      <x v="167"/>
    </i>
    <i>
      <x v="273"/>
    </i>
    <i>
      <x v="437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44" totalsRowShown="0" headerRowDxfId="10">
  <autoFilter ref="A1:AA944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A944">
    <sortCondition ref="T1:T944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2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2.xm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Relationship Id="rId3" Type="http://schemas.openxmlformats.org/officeDocument/2006/relationships/hyperlink" Target="mailto:5579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44" sqref="C44"/>
    </sheetView>
  </sheetViews>
  <sheetFormatPr defaultColWidth="8.88671875" defaultRowHeight="14.4" x14ac:dyDescent="0.3"/>
  <cols>
    <col min="1" max="1" width="19.5546875" style="27" bestFit="1" customWidth="1"/>
    <col min="2" max="2" width="9.5546875" style="27" bestFit="1" customWidth="1"/>
    <col min="3" max="3" width="39.6640625" style="27" bestFit="1" customWidth="1"/>
    <col min="4" max="4" width="16.33203125" style="27" bestFit="1" customWidth="1"/>
    <col min="5" max="5" width="8.88671875" style="27"/>
    <col min="6" max="6" width="30.109375" style="27" bestFit="1" customWidth="1"/>
    <col min="7" max="7" width="16.33203125" style="27" bestFit="1" customWidth="1"/>
    <col min="8" max="8" width="5.44140625" style="27" bestFit="1" customWidth="1"/>
    <col min="9" max="9" width="19.33203125" style="27" bestFit="1" customWidth="1"/>
    <col min="10" max="10" width="16.33203125" style="27" bestFit="1" customWidth="1"/>
    <col min="11" max="12" width="9.88671875" style="27" bestFit="1" customWidth="1"/>
    <col min="13" max="13" width="7.5546875" style="27" bestFit="1" customWidth="1"/>
    <col min="14" max="14" width="6.88671875" style="27" bestFit="1" customWidth="1"/>
    <col min="15" max="15" width="2.33203125" style="27" bestFit="1" customWidth="1"/>
    <col min="16" max="16384" width="8.88671875" style="27"/>
  </cols>
  <sheetData>
    <row r="2" spans="3:19" ht="15" customHeight="1" x14ac:dyDescent="0.3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3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3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3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3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3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3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3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3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3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3">
      <c r="C13" s="31" t="s">
        <v>4</v>
      </c>
      <c r="D13">
        <v>7</v>
      </c>
      <c r="F13" s="2" t="s">
        <v>5</v>
      </c>
      <c r="G13">
        <v>22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3">
      <c r="C14" s="31" t="s">
        <v>9</v>
      </c>
      <c r="D14">
        <v>6</v>
      </c>
      <c r="F14" s="2" t="s">
        <v>10</v>
      </c>
      <c r="G14">
        <v>15</v>
      </c>
      <c r="I14" s="2" t="s">
        <v>11</v>
      </c>
      <c r="J14">
        <v>3</v>
      </c>
      <c r="K14">
        <v>8</v>
      </c>
      <c r="L14">
        <v>16</v>
      </c>
      <c r="M14">
        <v>13</v>
      </c>
      <c r="N14">
        <v>4</v>
      </c>
      <c r="O14"/>
    </row>
    <row r="15" spans="3:19" x14ac:dyDescent="0.3">
      <c r="C15" s="34" t="s">
        <v>15</v>
      </c>
      <c r="D15">
        <v>5</v>
      </c>
      <c r="F15" s="2" t="s">
        <v>16</v>
      </c>
      <c r="G15">
        <v>11</v>
      </c>
      <c r="I15" s="2" t="s">
        <v>14</v>
      </c>
      <c r="J15">
        <v>1</v>
      </c>
      <c r="K15">
        <v>7</v>
      </c>
      <c r="L15">
        <v>18</v>
      </c>
      <c r="M15">
        <v>22</v>
      </c>
      <c r="N15">
        <v>2</v>
      </c>
      <c r="O15"/>
    </row>
    <row r="16" spans="3:19" x14ac:dyDescent="0.3">
      <c r="C16" s="32" t="s">
        <v>36</v>
      </c>
      <c r="D16">
        <v>5</v>
      </c>
      <c r="F16" s="2" t="s">
        <v>13</v>
      </c>
      <c r="G16">
        <v>10</v>
      </c>
      <c r="I16" s="2" t="s">
        <v>17</v>
      </c>
      <c r="J16">
        <v>1</v>
      </c>
      <c r="K16">
        <v>5</v>
      </c>
      <c r="L16">
        <v>19</v>
      </c>
      <c r="M16">
        <v>13</v>
      </c>
      <c r="N16">
        <v>2</v>
      </c>
      <c r="O16"/>
    </row>
    <row r="17" spans="2:15" x14ac:dyDescent="0.3">
      <c r="C17" s="31" t="s">
        <v>12</v>
      </c>
      <c r="D17">
        <v>5</v>
      </c>
      <c r="F17" s="2" t="s">
        <v>19</v>
      </c>
      <c r="G17">
        <v>10</v>
      </c>
      <c r="I17" s="2" t="s">
        <v>20</v>
      </c>
      <c r="J17">
        <v>2</v>
      </c>
      <c r="K17">
        <v>9</v>
      </c>
      <c r="L17">
        <v>13</v>
      </c>
      <c r="M17">
        <v>14</v>
      </c>
      <c r="N17">
        <v>4</v>
      </c>
      <c r="O17">
        <v>1</v>
      </c>
    </row>
    <row r="18" spans="2:15" x14ac:dyDescent="0.3">
      <c r="C18" s="34" t="s">
        <v>18</v>
      </c>
      <c r="D18">
        <v>4</v>
      </c>
      <c r="F18" s="2" t="s">
        <v>34</v>
      </c>
      <c r="G18">
        <v>8</v>
      </c>
      <c r="I18" s="2" t="s">
        <v>23</v>
      </c>
      <c r="J18"/>
      <c r="K18">
        <v>5</v>
      </c>
      <c r="L18">
        <v>9</v>
      </c>
      <c r="M18">
        <v>14</v>
      </c>
      <c r="N18">
        <v>2</v>
      </c>
      <c r="O18"/>
    </row>
    <row r="19" spans="2:15" x14ac:dyDescent="0.3">
      <c r="C19" s="31" t="s">
        <v>21</v>
      </c>
      <c r="D19">
        <v>4</v>
      </c>
      <c r="F19" s="2" t="s">
        <v>25</v>
      </c>
      <c r="G19">
        <v>8</v>
      </c>
      <c r="I19" s="2" t="s">
        <v>26</v>
      </c>
      <c r="J19">
        <v>2</v>
      </c>
      <c r="K19">
        <v>4</v>
      </c>
      <c r="L19">
        <v>16</v>
      </c>
      <c r="M19">
        <v>12</v>
      </c>
      <c r="N19">
        <v>3</v>
      </c>
      <c r="O19"/>
    </row>
    <row r="20" spans="2:15" x14ac:dyDescent="0.3">
      <c r="C20" s="34" t="s">
        <v>27</v>
      </c>
      <c r="D20">
        <v>3</v>
      </c>
      <c r="F20" s="2" t="s">
        <v>31</v>
      </c>
      <c r="G20">
        <v>8</v>
      </c>
      <c r="I20" s="2" t="s">
        <v>29</v>
      </c>
      <c r="J20">
        <v>3</v>
      </c>
      <c r="K20">
        <v>4</v>
      </c>
      <c r="L20">
        <v>11</v>
      </c>
      <c r="M20">
        <v>24</v>
      </c>
      <c r="N20">
        <v>5</v>
      </c>
      <c r="O20"/>
    </row>
    <row r="21" spans="2:15" x14ac:dyDescent="0.3">
      <c r="C21" s="34" t="s">
        <v>103</v>
      </c>
      <c r="D21">
        <v>3</v>
      </c>
      <c r="F21" s="2" t="s">
        <v>37</v>
      </c>
      <c r="G21">
        <v>7</v>
      </c>
      <c r="I21" s="2" t="s">
        <v>32</v>
      </c>
      <c r="J21">
        <v>1</v>
      </c>
      <c r="K21">
        <v>4</v>
      </c>
      <c r="L21">
        <v>5</v>
      </c>
      <c r="M21">
        <v>14</v>
      </c>
      <c r="N21">
        <v>1</v>
      </c>
      <c r="O21"/>
    </row>
    <row r="22" spans="2:15" x14ac:dyDescent="0.3">
      <c r="C22" s="33" t="s">
        <v>24</v>
      </c>
      <c r="D22">
        <v>3</v>
      </c>
      <c r="F22" s="2" t="s">
        <v>28</v>
      </c>
      <c r="G22">
        <v>7</v>
      </c>
      <c r="I22" s="2" t="s">
        <v>35</v>
      </c>
      <c r="J22"/>
      <c r="K22">
        <v>4</v>
      </c>
      <c r="L22">
        <v>8</v>
      </c>
      <c r="M22">
        <v>7</v>
      </c>
      <c r="N22">
        <v>1</v>
      </c>
      <c r="O22"/>
    </row>
    <row r="23" spans="2:15" x14ac:dyDescent="0.3">
      <c r="C23" s="34" t="s">
        <v>47</v>
      </c>
      <c r="D23">
        <v>3</v>
      </c>
      <c r="F23" s="2" t="s">
        <v>22</v>
      </c>
      <c r="G23">
        <v>7</v>
      </c>
      <c r="I23" s="2" t="s">
        <v>38</v>
      </c>
      <c r="J23"/>
      <c r="K23"/>
      <c r="L23"/>
      <c r="M23"/>
      <c r="N23"/>
      <c r="O23"/>
    </row>
    <row r="24" spans="2:15" x14ac:dyDescent="0.3">
      <c r="C24" s="2" t="s">
        <v>320</v>
      </c>
      <c r="D24">
        <v>3</v>
      </c>
      <c r="F24" s="2" t="s">
        <v>51</v>
      </c>
      <c r="G24">
        <v>6</v>
      </c>
      <c r="I24" s="2" t="s">
        <v>41</v>
      </c>
      <c r="J24"/>
      <c r="K24"/>
      <c r="L24"/>
      <c r="M24"/>
      <c r="N24"/>
      <c r="O24"/>
    </row>
    <row r="25" spans="2:15" x14ac:dyDescent="0.3">
      <c r="C25" s="31" t="s">
        <v>45</v>
      </c>
      <c r="D25">
        <v>3</v>
      </c>
      <c r="F25" s="2" t="s">
        <v>40</v>
      </c>
      <c r="G25">
        <v>6</v>
      </c>
      <c r="I25" s="2" t="s">
        <v>44</v>
      </c>
      <c r="J25"/>
      <c r="K25"/>
      <c r="L25"/>
      <c r="M25"/>
      <c r="N25"/>
      <c r="O25"/>
    </row>
    <row r="26" spans="2:15" x14ac:dyDescent="0.3">
      <c r="C26" s="34" t="s">
        <v>42</v>
      </c>
      <c r="D26">
        <v>3</v>
      </c>
      <c r="F26" s="2" t="s">
        <v>100</v>
      </c>
      <c r="G26">
        <v>6</v>
      </c>
    </row>
    <row r="27" spans="2:15" x14ac:dyDescent="0.3">
      <c r="C27" s="2" t="s">
        <v>239</v>
      </c>
      <c r="D27">
        <v>3</v>
      </c>
      <c r="F27" s="2" t="s">
        <v>46</v>
      </c>
      <c r="G27">
        <v>6</v>
      </c>
      <c r="I27" s="1" t="s">
        <v>49</v>
      </c>
      <c r="J27" t="s">
        <v>1</v>
      </c>
    </row>
    <row r="28" spans="2:15" x14ac:dyDescent="0.3">
      <c r="C28" s="31" t="s">
        <v>30</v>
      </c>
      <c r="D28">
        <v>3</v>
      </c>
      <c r="F28" s="2" t="s">
        <v>48</v>
      </c>
      <c r="G28">
        <v>6</v>
      </c>
      <c r="I28" s="2" t="s">
        <v>52</v>
      </c>
      <c r="J28">
        <v>68</v>
      </c>
    </row>
    <row r="29" spans="2:15" x14ac:dyDescent="0.3">
      <c r="C29" s="31" t="s">
        <v>39</v>
      </c>
      <c r="D29">
        <v>3</v>
      </c>
      <c r="F29" s="2" t="s">
        <v>113</v>
      </c>
      <c r="G29">
        <v>5</v>
      </c>
      <c r="I29" s="2" t="s">
        <v>55</v>
      </c>
      <c r="J29">
        <v>57</v>
      </c>
    </row>
    <row r="30" spans="2:15" x14ac:dyDescent="0.3">
      <c r="C30" s="34" t="s">
        <v>83</v>
      </c>
      <c r="D30">
        <v>3</v>
      </c>
      <c r="F30" s="2" t="s">
        <v>43</v>
      </c>
      <c r="G30">
        <v>5</v>
      </c>
      <c r="I30" s="2" t="s">
        <v>61</v>
      </c>
      <c r="J30">
        <v>51</v>
      </c>
    </row>
    <row r="31" spans="2:15" x14ac:dyDescent="0.3">
      <c r="B31" s="30">
        <f>AVERAGE(D13:D196)</f>
        <v>1.6304347826086956</v>
      </c>
      <c r="C31" s="31" t="s">
        <v>74</v>
      </c>
      <c r="D31">
        <v>3</v>
      </c>
      <c r="F31" s="2" t="s">
        <v>75</v>
      </c>
      <c r="G31">
        <v>5</v>
      </c>
      <c r="I31" s="2" t="s">
        <v>58</v>
      </c>
      <c r="J31">
        <v>49</v>
      </c>
    </row>
    <row r="32" spans="2:15" x14ac:dyDescent="0.3">
      <c r="C32" s="34" t="s">
        <v>118</v>
      </c>
      <c r="D32">
        <v>3</v>
      </c>
      <c r="F32" s="2" t="s">
        <v>72</v>
      </c>
      <c r="G32">
        <v>5</v>
      </c>
      <c r="I32" s="2" t="s">
        <v>64</v>
      </c>
      <c r="J32">
        <v>39</v>
      </c>
    </row>
    <row r="33" spans="3:15" x14ac:dyDescent="0.3">
      <c r="C33" s="34" t="s">
        <v>95</v>
      </c>
      <c r="D33">
        <v>3</v>
      </c>
      <c r="F33" s="2" t="s">
        <v>119</v>
      </c>
      <c r="G33">
        <v>4</v>
      </c>
      <c r="I33" s="2" t="s">
        <v>67</v>
      </c>
      <c r="J33">
        <v>34</v>
      </c>
    </row>
    <row r="34" spans="3:15" x14ac:dyDescent="0.3">
      <c r="C34" s="2" t="s">
        <v>356</v>
      </c>
      <c r="D34">
        <v>3</v>
      </c>
      <c r="F34" s="2" t="s">
        <v>81</v>
      </c>
      <c r="G34">
        <v>4</v>
      </c>
      <c r="I34" s="2" t="s">
        <v>73</v>
      </c>
      <c r="J34">
        <v>33</v>
      </c>
    </row>
    <row r="35" spans="3:15" x14ac:dyDescent="0.3">
      <c r="C35" s="31" t="s">
        <v>107</v>
      </c>
      <c r="D35">
        <v>2</v>
      </c>
      <c r="F35" s="2" t="s">
        <v>108</v>
      </c>
      <c r="G35">
        <v>3</v>
      </c>
      <c r="I35" s="2" t="s">
        <v>70</v>
      </c>
      <c r="J35">
        <v>31</v>
      </c>
    </row>
    <row r="36" spans="3:15" x14ac:dyDescent="0.3">
      <c r="C36" s="2" t="s">
        <v>347</v>
      </c>
      <c r="D36">
        <v>2</v>
      </c>
      <c r="F36" s="2" t="s">
        <v>66</v>
      </c>
      <c r="G36">
        <v>3</v>
      </c>
      <c r="I36" s="2" t="s">
        <v>79</v>
      </c>
      <c r="J36">
        <v>9</v>
      </c>
    </row>
    <row r="37" spans="3:15" x14ac:dyDescent="0.3">
      <c r="C37" s="34" t="s">
        <v>87</v>
      </c>
      <c r="D37">
        <v>2</v>
      </c>
      <c r="F37" s="2" t="s">
        <v>54</v>
      </c>
      <c r="G37">
        <v>3</v>
      </c>
      <c r="I37" s="2" t="s">
        <v>76</v>
      </c>
      <c r="J37">
        <v>4</v>
      </c>
    </row>
    <row r="38" spans="3:15" x14ac:dyDescent="0.3">
      <c r="C38" s="2" t="s">
        <v>229</v>
      </c>
      <c r="D38">
        <v>2</v>
      </c>
      <c r="F38" s="2" t="s">
        <v>106</v>
      </c>
      <c r="G38">
        <v>3</v>
      </c>
      <c r="I38" s="2" t="s">
        <v>82</v>
      </c>
      <c r="J38">
        <v>375</v>
      </c>
    </row>
    <row r="39" spans="3:15" x14ac:dyDescent="0.3">
      <c r="C39" s="34" t="s">
        <v>101</v>
      </c>
      <c r="D39">
        <v>2</v>
      </c>
      <c r="F39" s="2" t="s">
        <v>63</v>
      </c>
      <c r="G39">
        <v>3</v>
      </c>
      <c r="I39"/>
      <c r="J39"/>
    </row>
    <row r="40" spans="3:15" x14ac:dyDescent="0.3">
      <c r="C40" s="34" t="s">
        <v>105</v>
      </c>
      <c r="D40">
        <v>2</v>
      </c>
      <c r="F40" s="2" t="s">
        <v>84</v>
      </c>
      <c r="G40">
        <v>3</v>
      </c>
    </row>
    <row r="41" spans="3:15" x14ac:dyDescent="0.3">
      <c r="C41" s="34" t="s">
        <v>116</v>
      </c>
      <c r="D41">
        <v>2</v>
      </c>
      <c r="F41" s="2" t="s">
        <v>57</v>
      </c>
      <c r="G41">
        <v>3</v>
      </c>
      <c r="I41" s="44" t="s">
        <v>89</v>
      </c>
      <c r="J41" s="44"/>
      <c r="K41" s="44"/>
      <c r="L41" s="25"/>
      <c r="M41" s="44" t="s">
        <v>90</v>
      </c>
      <c r="N41" s="44"/>
      <c r="O41" s="44"/>
    </row>
    <row r="42" spans="3:15" x14ac:dyDescent="0.3">
      <c r="C42" s="2" t="s">
        <v>245</v>
      </c>
      <c r="D42">
        <v>2</v>
      </c>
      <c r="F42" s="2" t="s">
        <v>78</v>
      </c>
      <c r="G42">
        <v>3</v>
      </c>
      <c r="I42" s="13">
        <f>'[1]Ingeplande per TC'!$A$2</f>
        <v>8</v>
      </c>
      <c r="J42" s="13" t="str">
        <f>'[1]Ingeplande per TC'!$B$2</f>
        <v>Christoff Rotty</v>
      </c>
      <c r="K42" s="13"/>
      <c r="L42" s="25"/>
      <c r="M42" s="13">
        <f>'[1]Ingeplande per TC'!$D$2</f>
        <v>30</v>
      </c>
      <c r="N42" s="13" t="str">
        <f>'[1]Ingeplande per TC'!$B$2</f>
        <v>Christoff Rotty</v>
      </c>
      <c r="O42" s="13"/>
    </row>
    <row r="43" spans="3:15" x14ac:dyDescent="0.3">
      <c r="C43" s="31" t="s">
        <v>50</v>
      </c>
      <c r="D43">
        <v>2</v>
      </c>
      <c r="F43" s="2" t="s">
        <v>69</v>
      </c>
      <c r="G43">
        <v>3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27</v>
      </c>
      <c r="N43" s="13" t="str">
        <f>'[1]Ingeplande per TC'!$B$3</f>
        <v>Bart Van der Beken</v>
      </c>
      <c r="O43" s="13"/>
    </row>
    <row r="44" spans="3:15" x14ac:dyDescent="0.3">
      <c r="C44" s="2" t="s">
        <v>252</v>
      </c>
      <c r="D44">
        <v>2</v>
      </c>
      <c r="F44" s="2" t="s">
        <v>131</v>
      </c>
      <c r="G44">
        <v>3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22</v>
      </c>
      <c r="N44" s="13" t="str">
        <f>'[1]Ingeplande per TC'!$B$4</f>
        <v>Els Dewulf</v>
      </c>
      <c r="O44" s="13"/>
    </row>
    <row r="45" spans="3:15" x14ac:dyDescent="0.3">
      <c r="C45" s="2" t="s">
        <v>337</v>
      </c>
      <c r="D45">
        <v>2</v>
      </c>
      <c r="F45" s="2" t="s">
        <v>133</v>
      </c>
      <c r="G45">
        <v>3</v>
      </c>
      <c r="I45" s="13">
        <f>'[1]Ingeplande per TC'!$A$5</f>
        <v>9</v>
      </c>
      <c r="J45" s="13" t="str">
        <f>'[1]Ingeplande per TC'!$B$5</f>
        <v>Els Vanhoe</v>
      </c>
      <c r="K45" s="13"/>
      <c r="L45" s="25"/>
      <c r="M45" s="13">
        <f>'[1]Ingeplande per TC'!$D$5</f>
        <v>28</v>
      </c>
      <c r="N45" s="13" t="str">
        <f>'[1]Ingeplande per TC'!$B$5</f>
        <v>Els Vanhoe</v>
      </c>
      <c r="O45" s="13"/>
    </row>
    <row r="46" spans="3:15" x14ac:dyDescent="0.3">
      <c r="C46" s="31" t="s">
        <v>97</v>
      </c>
      <c r="D46">
        <v>2</v>
      </c>
      <c r="F46" s="2" t="s">
        <v>60</v>
      </c>
      <c r="G46">
        <v>3</v>
      </c>
      <c r="I46" s="13">
        <f>'[1]Ingeplande per TC'!$A$6</f>
        <v>8</v>
      </c>
      <c r="J46" s="13" t="str">
        <f>'[1]Ingeplande per TC'!$B$6</f>
        <v>Dominique De Clercq</v>
      </c>
      <c r="K46" s="13"/>
      <c r="L46" s="25"/>
      <c r="M46" s="13">
        <f>'[1]Ingeplande per TC'!$D$6</f>
        <v>36</v>
      </c>
      <c r="N46" s="13" t="str">
        <f>'[1]Ingeplande per TC'!$B$6</f>
        <v>Dominique De Clercq</v>
      </c>
      <c r="O46" s="13"/>
    </row>
    <row r="47" spans="3:15" x14ac:dyDescent="0.3">
      <c r="C47" s="2" t="s">
        <v>282</v>
      </c>
      <c r="D47">
        <v>2</v>
      </c>
      <c r="F47" s="2" t="s">
        <v>3626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17</v>
      </c>
      <c r="N47" s="13" t="str">
        <f>'[1]Ingeplande per TC'!$B$7</f>
        <v>Steven Storm</v>
      </c>
      <c r="O47" s="13"/>
    </row>
    <row r="48" spans="3:15" x14ac:dyDescent="0.3">
      <c r="C48" s="31" t="s">
        <v>110</v>
      </c>
      <c r="D48">
        <v>2</v>
      </c>
      <c r="F48" s="2" t="s">
        <v>121</v>
      </c>
      <c r="G48">
        <v>2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26</v>
      </c>
      <c r="N48" s="13" t="str">
        <f>'[1]Ingeplande per TC'!$B$8</f>
        <v>Lucie Vande Velde</v>
      </c>
      <c r="O48" s="13"/>
    </row>
    <row r="49" spans="3:15" x14ac:dyDescent="0.3">
      <c r="C49" s="34" t="s">
        <v>112</v>
      </c>
      <c r="D49">
        <v>2</v>
      </c>
      <c r="F49" s="2" t="s">
        <v>965</v>
      </c>
      <c r="G49">
        <v>2</v>
      </c>
      <c r="I49" s="13">
        <f>'[1]Ingeplande per TC'!$A$9</f>
        <v>8</v>
      </c>
      <c r="J49" s="13" t="str">
        <f>'[1]Ingeplande per TC'!$B$9</f>
        <v>Kenneth De Rick</v>
      </c>
      <c r="K49" s="13"/>
      <c r="L49" s="25"/>
      <c r="M49" s="13">
        <f>'[1]Ingeplande per TC'!$D$9</f>
        <v>25</v>
      </c>
      <c r="N49" s="13" t="str">
        <f>'[1]Ingeplande per TC'!$B$9</f>
        <v>Kenneth De Rick</v>
      </c>
      <c r="O49" s="13"/>
    </row>
    <row r="50" spans="3:15" x14ac:dyDescent="0.3">
      <c r="C50" s="31" t="s">
        <v>114</v>
      </c>
      <c r="D50">
        <v>2</v>
      </c>
      <c r="F50" s="2" t="s">
        <v>748</v>
      </c>
      <c r="G50">
        <v>2</v>
      </c>
      <c r="I50" s="14">
        <f>SUM(I42:I49)</f>
        <v>75</v>
      </c>
      <c r="J50" s="14" t="s">
        <v>109</v>
      </c>
      <c r="K50" s="14"/>
      <c r="L50" s="25"/>
      <c r="M50" s="14">
        <f>SUM(M42:M49)</f>
        <v>211</v>
      </c>
      <c r="N50" s="14" t="s">
        <v>109</v>
      </c>
      <c r="O50" s="14"/>
    </row>
    <row r="51" spans="3:15" x14ac:dyDescent="0.3">
      <c r="C51" s="2" t="s">
        <v>311</v>
      </c>
      <c r="D51">
        <v>2</v>
      </c>
      <c r="F51" s="2" t="s">
        <v>3502</v>
      </c>
      <c r="G51">
        <v>2</v>
      </c>
    </row>
    <row r="52" spans="3:15" x14ac:dyDescent="0.3">
      <c r="C52" s="31" t="s">
        <v>65</v>
      </c>
      <c r="D52">
        <v>2</v>
      </c>
      <c r="F52" s="2" t="s">
        <v>111</v>
      </c>
      <c r="G52">
        <v>2</v>
      </c>
    </row>
    <row r="53" spans="3:15" x14ac:dyDescent="0.3">
      <c r="C53" s="2" t="s">
        <v>188</v>
      </c>
      <c r="D53">
        <v>2</v>
      </c>
      <c r="F53" s="2" t="s">
        <v>104</v>
      </c>
      <c r="G53">
        <v>2</v>
      </c>
    </row>
    <row r="54" spans="3:15" x14ac:dyDescent="0.3">
      <c r="C54" s="34" t="s">
        <v>138</v>
      </c>
      <c r="D54">
        <v>2</v>
      </c>
      <c r="F54" s="2" t="s">
        <v>226</v>
      </c>
      <c r="G54">
        <v>2</v>
      </c>
    </row>
    <row r="55" spans="3:15" x14ac:dyDescent="0.3">
      <c r="C55" s="31" t="s">
        <v>124</v>
      </c>
      <c r="D55">
        <v>2</v>
      </c>
      <c r="F55" s="2" t="s">
        <v>102</v>
      </c>
      <c r="G55">
        <v>2</v>
      </c>
    </row>
    <row r="56" spans="3:15" x14ac:dyDescent="0.3">
      <c r="C56" s="2" t="s">
        <v>316</v>
      </c>
      <c r="D56">
        <v>2</v>
      </c>
      <c r="F56" s="2" t="s">
        <v>115</v>
      </c>
      <c r="G56">
        <v>2</v>
      </c>
    </row>
    <row r="57" spans="3:15" x14ac:dyDescent="0.3">
      <c r="C57" s="31" t="s">
        <v>128</v>
      </c>
      <c r="D57">
        <v>2</v>
      </c>
      <c r="F57" s="2" t="s">
        <v>127</v>
      </c>
      <c r="G57">
        <v>2</v>
      </c>
    </row>
    <row r="58" spans="3:15" x14ac:dyDescent="0.3">
      <c r="C58" s="34" t="s">
        <v>53</v>
      </c>
      <c r="D58">
        <v>2</v>
      </c>
      <c r="F58" s="2" t="s">
        <v>135</v>
      </c>
      <c r="G58">
        <v>2</v>
      </c>
    </row>
    <row r="59" spans="3:15" x14ac:dyDescent="0.3">
      <c r="C59" s="34" t="s">
        <v>132</v>
      </c>
      <c r="D59">
        <v>2</v>
      </c>
      <c r="F59" s="2" t="s">
        <v>117</v>
      </c>
      <c r="G59">
        <v>2</v>
      </c>
    </row>
    <row r="60" spans="3:15" x14ac:dyDescent="0.3">
      <c r="C60" s="31" t="s">
        <v>122</v>
      </c>
      <c r="D60">
        <v>2</v>
      </c>
      <c r="F60" s="2" t="s">
        <v>92</v>
      </c>
      <c r="G60">
        <v>2</v>
      </c>
    </row>
    <row r="61" spans="3:15" x14ac:dyDescent="0.3">
      <c r="C61" s="2" t="s">
        <v>307</v>
      </c>
      <c r="D61">
        <v>2</v>
      </c>
      <c r="F61" s="2" t="s">
        <v>125</v>
      </c>
      <c r="G61">
        <v>2</v>
      </c>
    </row>
    <row r="62" spans="3:15" x14ac:dyDescent="0.3">
      <c r="C62" s="34" t="s">
        <v>126</v>
      </c>
      <c r="D62">
        <v>2</v>
      </c>
      <c r="F62" s="2" t="s">
        <v>94</v>
      </c>
      <c r="G62">
        <v>2</v>
      </c>
    </row>
    <row r="63" spans="3:15" x14ac:dyDescent="0.3">
      <c r="C63" s="2" t="s">
        <v>192</v>
      </c>
      <c r="D63">
        <v>2</v>
      </c>
      <c r="F63" s="2" t="s">
        <v>88</v>
      </c>
      <c r="G63">
        <v>2</v>
      </c>
    </row>
    <row r="64" spans="3:15" x14ac:dyDescent="0.3">
      <c r="C64" s="2" t="s">
        <v>348</v>
      </c>
      <c r="D64">
        <v>2</v>
      </c>
      <c r="F64" s="2" t="s">
        <v>218</v>
      </c>
      <c r="G64">
        <v>2</v>
      </c>
    </row>
    <row r="65" spans="3:7" x14ac:dyDescent="0.3">
      <c r="C65" s="31" t="s">
        <v>80</v>
      </c>
      <c r="D65">
        <v>2</v>
      </c>
      <c r="F65" s="2" t="s">
        <v>1323</v>
      </c>
      <c r="G65">
        <v>2</v>
      </c>
    </row>
    <row r="66" spans="3:7" x14ac:dyDescent="0.3">
      <c r="C66" s="31" t="s">
        <v>130</v>
      </c>
      <c r="D66">
        <v>2</v>
      </c>
      <c r="F66" s="2" t="s">
        <v>98</v>
      </c>
      <c r="G66">
        <v>2</v>
      </c>
    </row>
    <row r="67" spans="3:7" x14ac:dyDescent="0.3">
      <c r="C67" s="33" t="s">
        <v>62</v>
      </c>
      <c r="D67">
        <v>2</v>
      </c>
      <c r="F67" s="2" t="s">
        <v>578</v>
      </c>
      <c r="G67">
        <v>2</v>
      </c>
    </row>
    <row r="68" spans="3:7" x14ac:dyDescent="0.3">
      <c r="C68" s="34" t="s">
        <v>71</v>
      </c>
      <c r="D68">
        <v>2</v>
      </c>
      <c r="F68" s="2" t="s">
        <v>234</v>
      </c>
      <c r="G68">
        <v>2</v>
      </c>
    </row>
    <row r="69" spans="3:7" x14ac:dyDescent="0.3">
      <c r="C69" s="2" t="s">
        <v>235</v>
      </c>
      <c r="D69">
        <v>2</v>
      </c>
      <c r="F69" s="2" t="s">
        <v>666</v>
      </c>
      <c r="G69">
        <v>2</v>
      </c>
    </row>
    <row r="70" spans="3:7" x14ac:dyDescent="0.3">
      <c r="C70" s="34" t="s">
        <v>134</v>
      </c>
      <c r="D70">
        <v>2</v>
      </c>
      <c r="F70" s="2" t="s">
        <v>86</v>
      </c>
      <c r="G70">
        <v>2</v>
      </c>
    </row>
    <row r="71" spans="3:7" x14ac:dyDescent="0.3">
      <c r="C71" s="31" t="s">
        <v>85</v>
      </c>
      <c r="D71">
        <v>2</v>
      </c>
      <c r="F71" s="2" t="s">
        <v>96</v>
      </c>
      <c r="G71">
        <v>2</v>
      </c>
    </row>
    <row r="72" spans="3:7" x14ac:dyDescent="0.3">
      <c r="C72" s="2" t="s">
        <v>3659</v>
      </c>
      <c r="D72">
        <v>2</v>
      </c>
      <c r="F72" s="2" t="s">
        <v>242</v>
      </c>
      <c r="G72">
        <v>2</v>
      </c>
    </row>
    <row r="73" spans="3:7" x14ac:dyDescent="0.3">
      <c r="C73" s="34" t="s">
        <v>120</v>
      </c>
      <c r="D73">
        <v>2</v>
      </c>
      <c r="F73" s="2" t="s">
        <v>3550</v>
      </c>
      <c r="G73">
        <v>2</v>
      </c>
    </row>
    <row r="74" spans="3:7" x14ac:dyDescent="0.3">
      <c r="C74" s="31" t="s">
        <v>136</v>
      </c>
      <c r="D74">
        <v>2</v>
      </c>
      <c r="F74" s="2" t="s">
        <v>129</v>
      </c>
      <c r="G74">
        <v>2</v>
      </c>
    </row>
    <row r="75" spans="3:7" x14ac:dyDescent="0.3">
      <c r="C75" s="2" t="s">
        <v>247</v>
      </c>
      <c r="D75">
        <v>2</v>
      </c>
      <c r="F75" s="2" t="s">
        <v>123</v>
      </c>
      <c r="G75">
        <v>2</v>
      </c>
    </row>
    <row r="76" spans="3:7" x14ac:dyDescent="0.3">
      <c r="C76" s="31" t="s">
        <v>56</v>
      </c>
      <c r="D76">
        <v>2</v>
      </c>
      <c r="F76" s="2" t="s">
        <v>189</v>
      </c>
      <c r="G76">
        <v>1</v>
      </c>
    </row>
    <row r="77" spans="3:7" x14ac:dyDescent="0.3">
      <c r="C77" s="31" t="s">
        <v>93</v>
      </c>
      <c r="D77">
        <v>2</v>
      </c>
      <c r="F77" s="2" t="s">
        <v>1338</v>
      </c>
      <c r="G77">
        <v>1</v>
      </c>
    </row>
    <row r="78" spans="3:7" x14ac:dyDescent="0.3">
      <c r="C78" s="34" t="s">
        <v>99</v>
      </c>
      <c r="D78">
        <v>2</v>
      </c>
      <c r="F78" s="2" t="s">
        <v>149</v>
      </c>
      <c r="G78">
        <v>1</v>
      </c>
    </row>
    <row r="79" spans="3:7" x14ac:dyDescent="0.3">
      <c r="C79" s="31" t="s">
        <v>91</v>
      </c>
      <c r="D79">
        <v>2</v>
      </c>
      <c r="F79" s="2" t="s">
        <v>159</v>
      </c>
      <c r="G79">
        <v>1</v>
      </c>
    </row>
    <row r="80" spans="3:7" x14ac:dyDescent="0.3">
      <c r="C80" s="2" t="s">
        <v>59</v>
      </c>
      <c r="D80">
        <v>2</v>
      </c>
      <c r="F80" s="2" t="s">
        <v>212</v>
      </c>
      <c r="G80">
        <v>1</v>
      </c>
    </row>
    <row r="81" spans="3:7" x14ac:dyDescent="0.3">
      <c r="C81" s="2" t="s">
        <v>170</v>
      </c>
      <c r="D81">
        <v>2</v>
      </c>
      <c r="F81" s="2" t="s">
        <v>487</v>
      </c>
      <c r="G81">
        <v>1</v>
      </c>
    </row>
    <row r="82" spans="3:7" x14ac:dyDescent="0.3">
      <c r="C82" s="31" t="s">
        <v>77</v>
      </c>
      <c r="D82">
        <v>2</v>
      </c>
      <c r="F82" s="2" t="s">
        <v>259</v>
      </c>
      <c r="G82">
        <v>1</v>
      </c>
    </row>
    <row r="83" spans="3:7" x14ac:dyDescent="0.3">
      <c r="C83" s="2" t="s">
        <v>314</v>
      </c>
      <c r="D83">
        <v>2</v>
      </c>
      <c r="F83" s="2" t="s">
        <v>163</v>
      </c>
      <c r="G83">
        <v>1</v>
      </c>
    </row>
    <row r="84" spans="3:7" x14ac:dyDescent="0.3">
      <c r="C84" s="2" t="s">
        <v>144</v>
      </c>
      <c r="D84">
        <v>2</v>
      </c>
      <c r="F84" s="2" t="s">
        <v>1321</v>
      </c>
      <c r="G84">
        <v>1</v>
      </c>
    </row>
    <row r="85" spans="3:7" x14ac:dyDescent="0.3">
      <c r="C85" s="31" t="s">
        <v>68</v>
      </c>
      <c r="D85">
        <v>2</v>
      </c>
      <c r="F85" s="2" t="s">
        <v>1318</v>
      </c>
      <c r="G85">
        <v>1</v>
      </c>
    </row>
    <row r="86" spans="3:7" x14ac:dyDescent="0.3">
      <c r="C86" s="2" t="s">
        <v>215</v>
      </c>
      <c r="D86">
        <v>2</v>
      </c>
      <c r="F86" s="2" t="s">
        <v>155</v>
      </c>
      <c r="G86">
        <v>1</v>
      </c>
    </row>
    <row r="87" spans="3:7" x14ac:dyDescent="0.3">
      <c r="C87" s="2" t="s">
        <v>3660</v>
      </c>
      <c r="D87">
        <v>2</v>
      </c>
      <c r="F87" s="2" t="s">
        <v>167</v>
      </c>
      <c r="G87">
        <v>1</v>
      </c>
    </row>
    <row r="88" spans="3:7" x14ac:dyDescent="0.3">
      <c r="C88" s="2" t="s">
        <v>305</v>
      </c>
      <c r="D88">
        <v>2</v>
      </c>
      <c r="F88" s="2" t="s">
        <v>397</v>
      </c>
      <c r="G88">
        <v>1</v>
      </c>
    </row>
    <row r="89" spans="3:7" x14ac:dyDescent="0.3">
      <c r="C89" s="2" t="s">
        <v>223</v>
      </c>
      <c r="D89">
        <v>2</v>
      </c>
      <c r="F89" s="2" t="s">
        <v>171</v>
      </c>
      <c r="G89">
        <v>1</v>
      </c>
    </row>
    <row r="90" spans="3:7" x14ac:dyDescent="0.3">
      <c r="C90" s="2" t="s">
        <v>204</v>
      </c>
      <c r="D90">
        <v>2</v>
      </c>
      <c r="F90" s="2" t="s">
        <v>251</v>
      </c>
      <c r="G90">
        <v>1</v>
      </c>
    </row>
    <row r="91" spans="3:7" x14ac:dyDescent="0.3">
      <c r="C91" s="2" t="s">
        <v>355</v>
      </c>
      <c r="D91">
        <v>2</v>
      </c>
      <c r="F91" s="2" t="s">
        <v>175</v>
      </c>
      <c r="G91">
        <v>1</v>
      </c>
    </row>
    <row r="92" spans="3:7" x14ac:dyDescent="0.3">
      <c r="C92" s="2" t="s">
        <v>335</v>
      </c>
      <c r="D92">
        <v>1</v>
      </c>
      <c r="F92" s="2" t="s">
        <v>250</v>
      </c>
      <c r="G92">
        <v>1</v>
      </c>
    </row>
    <row r="93" spans="3:7" x14ac:dyDescent="0.3">
      <c r="C93" s="2" t="s">
        <v>3661</v>
      </c>
      <c r="D93">
        <v>1</v>
      </c>
      <c r="F93" s="2" t="s">
        <v>179</v>
      </c>
      <c r="G93">
        <v>1</v>
      </c>
    </row>
    <row r="94" spans="3:7" x14ac:dyDescent="0.3">
      <c r="C94" s="2" t="s">
        <v>172</v>
      </c>
      <c r="D94">
        <v>1</v>
      </c>
      <c r="F94" s="2" t="s">
        <v>283</v>
      </c>
      <c r="G94">
        <v>1</v>
      </c>
    </row>
    <row r="95" spans="3:7" x14ac:dyDescent="0.3">
      <c r="C95" s="2" t="s">
        <v>174</v>
      </c>
      <c r="D95">
        <v>1</v>
      </c>
      <c r="F95" s="2" t="s">
        <v>183</v>
      </c>
      <c r="G95">
        <v>1</v>
      </c>
    </row>
    <row r="96" spans="3:7" x14ac:dyDescent="0.3">
      <c r="C96" s="2" t="s">
        <v>148</v>
      </c>
      <c r="D96">
        <v>1</v>
      </c>
      <c r="F96" s="2" t="s">
        <v>291</v>
      </c>
      <c r="G96">
        <v>1</v>
      </c>
    </row>
    <row r="97" spans="3:7" x14ac:dyDescent="0.3">
      <c r="C97" s="2" t="s">
        <v>256</v>
      </c>
      <c r="D97">
        <v>1</v>
      </c>
      <c r="F97" s="2" t="s">
        <v>737</v>
      </c>
      <c r="G97">
        <v>1</v>
      </c>
    </row>
    <row r="98" spans="3:7" x14ac:dyDescent="0.3">
      <c r="C98" s="2" t="s">
        <v>296</v>
      </c>
      <c r="D98">
        <v>1</v>
      </c>
      <c r="F98" s="2" t="s">
        <v>147</v>
      </c>
      <c r="G98">
        <v>1</v>
      </c>
    </row>
    <row r="99" spans="3:7" x14ac:dyDescent="0.3">
      <c r="C99" s="2" t="s">
        <v>182</v>
      </c>
      <c r="D99">
        <v>1</v>
      </c>
      <c r="F99" s="2" t="s">
        <v>857</v>
      </c>
      <c r="G99">
        <v>1</v>
      </c>
    </row>
    <row r="100" spans="3:7" x14ac:dyDescent="0.3">
      <c r="C100" s="2" t="s">
        <v>3662</v>
      </c>
      <c r="D100">
        <v>1</v>
      </c>
      <c r="F100" s="2" t="s">
        <v>255</v>
      </c>
      <c r="G100">
        <v>1</v>
      </c>
    </row>
    <row r="101" spans="3:7" x14ac:dyDescent="0.3">
      <c r="C101" s="2" t="s">
        <v>186</v>
      </c>
      <c r="D101">
        <v>1</v>
      </c>
      <c r="F101" s="2" t="s">
        <v>191</v>
      </c>
      <c r="G101">
        <v>1</v>
      </c>
    </row>
    <row r="102" spans="3:7" x14ac:dyDescent="0.3">
      <c r="C102" s="2" t="s">
        <v>325</v>
      </c>
      <c r="D102">
        <v>1</v>
      </c>
      <c r="F102" s="2" t="s">
        <v>211</v>
      </c>
      <c r="G102">
        <v>1</v>
      </c>
    </row>
    <row r="103" spans="3:7" x14ac:dyDescent="0.3">
      <c r="C103" s="2" t="s">
        <v>190</v>
      </c>
      <c r="D103">
        <v>1</v>
      </c>
      <c r="F103" s="2" t="s">
        <v>1330</v>
      </c>
      <c r="G103">
        <v>1</v>
      </c>
    </row>
    <row r="104" spans="3:7" x14ac:dyDescent="0.3">
      <c r="C104" s="2" t="s">
        <v>333</v>
      </c>
      <c r="D104">
        <v>1</v>
      </c>
      <c r="F104" s="2" t="s">
        <v>145</v>
      </c>
      <c r="G104">
        <v>1</v>
      </c>
    </row>
    <row r="105" spans="3:7" x14ac:dyDescent="0.3">
      <c r="C105" s="2" t="s">
        <v>194</v>
      </c>
      <c r="D105">
        <v>1</v>
      </c>
      <c r="F105" s="2" t="s">
        <v>269</v>
      </c>
      <c r="G105">
        <v>1</v>
      </c>
    </row>
    <row r="106" spans="3:7" x14ac:dyDescent="0.3">
      <c r="C106" s="2" t="s">
        <v>343</v>
      </c>
      <c r="D106">
        <v>1</v>
      </c>
      <c r="F106" s="2" t="s">
        <v>279</v>
      </c>
      <c r="G106">
        <v>1</v>
      </c>
    </row>
    <row r="107" spans="3:7" x14ac:dyDescent="0.3">
      <c r="C107" s="2" t="s">
        <v>198</v>
      </c>
      <c r="D107">
        <v>1</v>
      </c>
      <c r="F107" s="2" t="s">
        <v>299</v>
      </c>
      <c r="G107">
        <v>1</v>
      </c>
    </row>
    <row r="108" spans="3:7" x14ac:dyDescent="0.3">
      <c r="C108" s="2" t="s">
        <v>306</v>
      </c>
      <c r="D108">
        <v>1</v>
      </c>
      <c r="F108" s="2" t="s">
        <v>238</v>
      </c>
      <c r="G108">
        <v>1</v>
      </c>
    </row>
    <row r="109" spans="3:7" x14ac:dyDescent="0.3">
      <c r="C109" s="2" t="s">
        <v>202</v>
      </c>
      <c r="D109">
        <v>1</v>
      </c>
      <c r="F109" s="2" t="s">
        <v>205</v>
      </c>
      <c r="G109">
        <v>1</v>
      </c>
    </row>
    <row r="110" spans="3:7" x14ac:dyDescent="0.3">
      <c r="C110" s="2" t="s">
        <v>290</v>
      </c>
      <c r="D110">
        <v>1</v>
      </c>
      <c r="F110" s="2" t="s">
        <v>960</v>
      </c>
      <c r="G110">
        <v>1</v>
      </c>
    </row>
    <row r="111" spans="3:7" x14ac:dyDescent="0.3">
      <c r="C111" s="2" t="s">
        <v>3663</v>
      </c>
      <c r="D111">
        <v>1</v>
      </c>
      <c r="F111" s="2" t="s">
        <v>207</v>
      </c>
      <c r="G111">
        <v>1</v>
      </c>
    </row>
    <row r="112" spans="3:7" x14ac:dyDescent="0.3">
      <c r="C112" s="2" t="s">
        <v>301</v>
      </c>
      <c r="D112">
        <v>1</v>
      </c>
      <c r="F112" s="2" t="s">
        <v>201</v>
      </c>
      <c r="G112">
        <v>1</v>
      </c>
    </row>
    <row r="113" spans="3:7" x14ac:dyDescent="0.3">
      <c r="C113" s="2" t="s">
        <v>206</v>
      </c>
      <c r="D113">
        <v>1</v>
      </c>
      <c r="F113" s="2" t="s">
        <v>1332</v>
      </c>
      <c r="G113">
        <v>1</v>
      </c>
    </row>
    <row r="114" spans="3:7" x14ac:dyDescent="0.3">
      <c r="C114" s="2" t="s">
        <v>309</v>
      </c>
      <c r="D114">
        <v>1</v>
      </c>
      <c r="F114" s="2" t="s">
        <v>517</v>
      </c>
      <c r="G114">
        <v>1</v>
      </c>
    </row>
    <row r="115" spans="3:7" x14ac:dyDescent="0.3">
      <c r="C115" s="2" t="s">
        <v>210</v>
      </c>
      <c r="D115">
        <v>1</v>
      </c>
      <c r="F115" s="2" t="s">
        <v>214</v>
      </c>
      <c r="G115">
        <v>1</v>
      </c>
    </row>
    <row r="116" spans="3:7" x14ac:dyDescent="0.3">
      <c r="C116" s="2" t="s">
        <v>315</v>
      </c>
      <c r="D116">
        <v>1</v>
      </c>
      <c r="F116" s="2" t="s">
        <v>169</v>
      </c>
      <c r="G116">
        <v>1</v>
      </c>
    </row>
    <row r="117" spans="3:7" x14ac:dyDescent="0.3">
      <c r="C117" s="2" t="s">
        <v>213</v>
      </c>
      <c r="D117">
        <v>1</v>
      </c>
      <c r="F117" s="2" t="s">
        <v>257</v>
      </c>
      <c r="G117">
        <v>1</v>
      </c>
    </row>
    <row r="118" spans="3:7" x14ac:dyDescent="0.3">
      <c r="C118" s="2" t="s">
        <v>327</v>
      </c>
      <c r="D118">
        <v>1</v>
      </c>
      <c r="F118" s="2" t="s">
        <v>287</v>
      </c>
      <c r="G118">
        <v>1</v>
      </c>
    </row>
    <row r="119" spans="3:7" x14ac:dyDescent="0.3">
      <c r="C119" s="2" t="s">
        <v>217</v>
      </c>
      <c r="D119">
        <v>1</v>
      </c>
      <c r="F119" s="2" t="s">
        <v>253</v>
      </c>
      <c r="G119">
        <v>1</v>
      </c>
    </row>
    <row r="120" spans="3:7" x14ac:dyDescent="0.3">
      <c r="C120" s="2" t="s">
        <v>341</v>
      </c>
      <c r="D120">
        <v>1</v>
      </c>
      <c r="F120" s="2" t="s">
        <v>199</v>
      </c>
      <c r="G120">
        <v>1</v>
      </c>
    </row>
    <row r="121" spans="3:7" x14ac:dyDescent="0.3">
      <c r="C121" s="2" t="s">
        <v>3664</v>
      </c>
      <c r="D121">
        <v>1</v>
      </c>
      <c r="F121" s="2" t="s">
        <v>3658</v>
      </c>
      <c r="G121">
        <v>1</v>
      </c>
    </row>
    <row r="122" spans="3:7" x14ac:dyDescent="0.3">
      <c r="C122" s="2" t="s">
        <v>154</v>
      </c>
      <c r="D122">
        <v>1</v>
      </c>
      <c r="F122" s="2" t="s">
        <v>3497</v>
      </c>
      <c r="G122">
        <v>1</v>
      </c>
    </row>
    <row r="123" spans="3:7" x14ac:dyDescent="0.3">
      <c r="C123" s="2" t="s">
        <v>225</v>
      </c>
      <c r="D123">
        <v>1</v>
      </c>
      <c r="F123" s="2" t="s">
        <v>297</v>
      </c>
      <c r="G123">
        <v>1</v>
      </c>
    </row>
    <row r="124" spans="3:7" x14ac:dyDescent="0.3">
      <c r="C124" s="2" t="s">
        <v>162</v>
      </c>
      <c r="D124">
        <v>1</v>
      </c>
      <c r="F124" s="2" t="s">
        <v>3508</v>
      </c>
      <c r="G124">
        <v>1</v>
      </c>
    </row>
    <row r="125" spans="3:7" x14ac:dyDescent="0.3">
      <c r="C125" s="2" t="s">
        <v>3665</v>
      </c>
      <c r="D125">
        <v>1</v>
      </c>
      <c r="F125" s="2" t="s">
        <v>293</v>
      </c>
      <c r="G125">
        <v>1</v>
      </c>
    </row>
    <row r="126" spans="3:7" x14ac:dyDescent="0.3">
      <c r="C126" s="2" t="s">
        <v>302</v>
      </c>
      <c r="D126">
        <v>1</v>
      </c>
      <c r="F126" s="2" t="s">
        <v>248</v>
      </c>
      <c r="G126">
        <v>1</v>
      </c>
    </row>
    <row r="127" spans="3:7" x14ac:dyDescent="0.3">
      <c r="C127" s="2" t="s">
        <v>3666</v>
      </c>
      <c r="D127">
        <v>1</v>
      </c>
      <c r="F127" s="2" t="s">
        <v>139</v>
      </c>
      <c r="G127">
        <v>1</v>
      </c>
    </row>
    <row r="128" spans="3:7" x14ac:dyDescent="0.3">
      <c r="C128" s="2" t="s">
        <v>360</v>
      </c>
      <c r="D128">
        <v>1</v>
      </c>
      <c r="F128" s="2" t="s">
        <v>558</v>
      </c>
      <c r="G128">
        <v>1</v>
      </c>
    </row>
    <row r="129" spans="3:7" x14ac:dyDescent="0.3">
      <c r="C129" s="2" t="s">
        <v>3667</v>
      </c>
      <c r="D129">
        <v>1</v>
      </c>
      <c r="F129" s="2" t="s">
        <v>228</v>
      </c>
      <c r="G129">
        <v>1</v>
      </c>
    </row>
    <row r="130" spans="3:7" x14ac:dyDescent="0.3">
      <c r="C130" s="2" t="s">
        <v>278</v>
      </c>
      <c r="D130">
        <v>1</v>
      </c>
      <c r="F130" s="2" t="s">
        <v>165</v>
      </c>
      <c r="G130">
        <v>1</v>
      </c>
    </row>
    <row r="131" spans="3:7" x14ac:dyDescent="0.3">
      <c r="C131" s="2" t="s">
        <v>3668</v>
      </c>
      <c r="D131">
        <v>1</v>
      </c>
      <c r="F131" s="2" t="s">
        <v>1291</v>
      </c>
      <c r="G131">
        <v>1</v>
      </c>
    </row>
    <row r="132" spans="3:7" x14ac:dyDescent="0.3">
      <c r="C132" s="2" t="s">
        <v>208</v>
      </c>
      <c r="D132">
        <v>1</v>
      </c>
      <c r="F132" s="2" t="s">
        <v>181</v>
      </c>
      <c r="G132">
        <v>1</v>
      </c>
    </row>
    <row r="133" spans="3:7" x14ac:dyDescent="0.3">
      <c r="C133" s="2" t="s">
        <v>233</v>
      </c>
      <c r="D133">
        <v>1</v>
      </c>
      <c r="F133" s="2" t="s">
        <v>246</v>
      </c>
      <c r="G133">
        <v>1</v>
      </c>
    </row>
    <row r="134" spans="3:7" x14ac:dyDescent="0.3">
      <c r="C134" s="2" t="s">
        <v>298</v>
      </c>
      <c r="D134">
        <v>1</v>
      </c>
      <c r="F134" s="2" t="s">
        <v>240</v>
      </c>
      <c r="G134">
        <v>1</v>
      </c>
    </row>
    <row r="135" spans="3:7" x14ac:dyDescent="0.3">
      <c r="C135" s="2" t="s">
        <v>272</v>
      </c>
      <c r="D135">
        <v>1</v>
      </c>
      <c r="F135" s="2" t="s">
        <v>1289</v>
      </c>
      <c r="G135">
        <v>1</v>
      </c>
    </row>
    <row r="136" spans="3:7" x14ac:dyDescent="0.3">
      <c r="C136" s="2" t="s">
        <v>303</v>
      </c>
      <c r="D136">
        <v>1</v>
      </c>
      <c r="F136" s="2" t="s">
        <v>244</v>
      </c>
      <c r="G136">
        <v>1</v>
      </c>
    </row>
    <row r="137" spans="3:7" x14ac:dyDescent="0.3">
      <c r="C137" s="2" t="s">
        <v>3669</v>
      </c>
      <c r="D137">
        <v>1</v>
      </c>
      <c r="F137" s="2" t="s">
        <v>3654</v>
      </c>
      <c r="G137">
        <v>1</v>
      </c>
    </row>
    <row r="138" spans="3:7" x14ac:dyDescent="0.3">
      <c r="C138" s="2" t="s">
        <v>286</v>
      </c>
      <c r="D138">
        <v>1</v>
      </c>
      <c r="F138" s="2" t="s">
        <v>203</v>
      </c>
      <c r="G138">
        <v>1</v>
      </c>
    </row>
    <row r="139" spans="3:7" x14ac:dyDescent="0.3">
      <c r="C139" s="2" t="s">
        <v>241</v>
      </c>
      <c r="D139">
        <v>1</v>
      </c>
      <c r="F139" s="2" t="s">
        <v>187</v>
      </c>
      <c r="G139">
        <v>1</v>
      </c>
    </row>
    <row r="140" spans="3:7" x14ac:dyDescent="0.3">
      <c r="C140" s="2" t="s">
        <v>3670</v>
      </c>
      <c r="D140">
        <v>1</v>
      </c>
      <c r="F140" s="2" t="s">
        <v>161</v>
      </c>
      <c r="G140">
        <v>1</v>
      </c>
    </row>
    <row r="141" spans="3:7" x14ac:dyDescent="0.3">
      <c r="C141" s="2" t="s">
        <v>3671</v>
      </c>
      <c r="D141">
        <v>1</v>
      </c>
      <c r="F141" s="2" t="s">
        <v>232</v>
      </c>
      <c r="G141">
        <v>1</v>
      </c>
    </row>
    <row r="142" spans="3:7" x14ac:dyDescent="0.3">
      <c r="C142" s="2" t="s">
        <v>3672</v>
      </c>
      <c r="D142">
        <v>1</v>
      </c>
      <c r="F142" s="2" t="s">
        <v>193</v>
      </c>
      <c r="G142">
        <v>1</v>
      </c>
    </row>
    <row r="143" spans="3:7" x14ac:dyDescent="0.3">
      <c r="C143" s="2" t="s">
        <v>249</v>
      </c>
      <c r="D143">
        <v>1</v>
      </c>
      <c r="F143" s="2" t="s">
        <v>261</v>
      </c>
      <c r="G143">
        <v>1</v>
      </c>
    </row>
    <row r="144" spans="3:7" x14ac:dyDescent="0.3">
      <c r="C144" s="2" t="s">
        <v>142</v>
      </c>
      <c r="D144">
        <v>1</v>
      </c>
      <c r="F144" s="2" t="s">
        <v>137</v>
      </c>
      <c r="G144">
        <v>1</v>
      </c>
    </row>
    <row r="145" spans="3:7" x14ac:dyDescent="0.3">
      <c r="C145" s="2" t="s">
        <v>3673</v>
      </c>
      <c r="D145">
        <v>1</v>
      </c>
      <c r="F145" s="2" t="s">
        <v>425</v>
      </c>
      <c r="G145">
        <v>1</v>
      </c>
    </row>
    <row r="146" spans="3:7" x14ac:dyDescent="0.3">
      <c r="C146" s="2" t="s">
        <v>321</v>
      </c>
      <c r="D146">
        <v>1</v>
      </c>
      <c r="F146" s="2" t="s">
        <v>197</v>
      </c>
      <c r="G146">
        <v>1</v>
      </c>
    </row>
    <row r="147" spans="3:7" x14ac:dyDescent="0.3">
      <c r="C147" s="2" t="s">
        <v>3674</v>
      </c>
      <c r="D147">
        <v>1</v>
      </c>
      <c r="F147" s="2" t="s">
        <v>265</v>
      </c>
      <c r="G147">
        <v>1</v>
      </c>
    </row>
    <row r="148" spans="3:7" x14ac:dyDescent="0.3">
      <c r="C148" s="2" t="s">
        <v>331</v>
      </c>
      <c r="D148">
        <v>1</v>
      </c>
      <c r="F148" s="2" t="s">
        <v>263</v>
      </c>
      <c r="G148">
        <v>1</v>
      </c>
    </row>
    <row r="149" spans="3:7" x14ac:dyDescent="0.3">
      <c r="C149" s="2" t="s">
        <v>260</v>
      </c>
      <c r="D149">
        <v>1</v>
      </c>
      <c r="F149" s="2" t="s">
        <v>3563</v>
      </c>
      <c r="G149">
        <v>1</v>
      </c>
    </row>
    <row r="150" spans="3:7" x14ac:dyDescent="0.3">
      <c r="C150" s="2" t="s">
        <v>3675</v>
      </c>
      <c r="D150">
        <v>1</v>
      </c>
      <c r="F150" s="2" t="s">
        <v>267</v>
      </c>
      <c r="G150">
        <v>1</v>
      </c>
    </row>
    <row r="151" spans="3:7" x14ac:dyDescent="0.3">
      <c r="C151" s="2" t="s">
        <v>3676</v>
      </c>
      <c r="D151">
        <v>1</v>
      </c>
      <c r="F151" s="2" t="s">
        <v>157</v>
      </c>
      <c r="G151">
        <v>1</v>
      </c>
    </row>
    <row r="152" spans="3:7" x14ac:dyDescent="0.3">
      <c r="C152" s="2" t="s">
        <v>266</v>
      </c>
      <c r="D152">
        <v>1</v>
      </c>
      <c r="F152" s="2" t="s">
        <v>271</v>
      </c>
      <c r="G152">
        <v>1</v>
      </c>
    </row>
    <row r="153" spans="3:7" x14ac:dyDescent="0.3">
      <c r="C153" s="2" t="s">
        <v>268</v>
      </c>
      <c r="D153">
        <v>1</v>
      </c>
      <c r="F153" s="2" t="s">
        <v>3636</v>
      </c>
      <c r="G153">
        <v>1</v>
      </c>
    </row>
    <row r="154" spans="3:7" x14ac:dyDescent="0.3">
      <c r="C154" s="2" t="s">
        <v>150</v>
      </c>
      <c r="D154">
        <v>1</v>
      </c>
      <c r="F154" s="2" t="s">
        <v>275</v>
      </c>
      <c r="G154">
        <v>1</v>
      </c>
    </row>
    <row r="155" spans="3:7" x14ac:dyDescent="0.3">
      <c r="C155" s="2" t="s">
        <v>276</v>
      </c>
      <c r="D155">
        <v>1</v>
      </c>
      <c r="F155" s="2" t="s">
        <v>236</v>
      </c>
      <c r="G155">
        <v>1</v>
      </c>
    </row>
    <row r="156" spans="3:7" x14ac:dyDescent="0.3">
      <c r="C156" s="2" t="s">
        <v>158</v>
      </c>
      <c r="D156">
        <v>1</v>
      </c>
      <c r="F156" s="2" t="s">
        <v>222</v>
      </c>
      <c r="G156">
        <v>1</v>
      </c>
    </row>
    <row r="157" spans="3:7" x14ac:dyDescent="0.3">
      <c r="C157" s="2" t="s">
        <v>280</v>
      </c>
      <c r="D157">
        <v>1</v>
      </c>
      <c r="F157" s="2" t="s">
        <v>285</v>
      </c>
      <c r="G157">
        <v>1</v>
      </c>
    </row>
    <row r="158" spans="3:7" x14ac:dyDescent="0.3">
      <c r="C158" s="2" t="s">
        <v>345</v>
      </c>
      <c r="D158">
        <v>1</v>
      </c>
      <c r="F158" s="2" t="s">
        <v>185</v>
      </c>
      <c r="G158">
        <v>1</v>
      </c>
    </row>
    <row r="159" spans="3:7" x14ac:dyDescent="0.3">
      <c r="C159" s="2" t="s">
        <v>317</v>
      </c>
      <c r="D159">
        <v>1</v>
      </c>
      <c r="F159" s="2" t="s">
        <v>289</v>
      </c>
      <c r="G159">
        <v>1</v>
      </c>
    </row>
    <row r="160" spans="3:7" x14ac:dyDescent="0.3">
      <c r="C160" s="2" t="s">
        <v>200</v>
      </c>
      <c r="D160">
        <v>1</v>
      </c>
      <c r="F160" s="2" t="s">
        <v>143</v>
      </c>
      <c r="G160">
        <v>1</v>
      </c>
    </row>
    <row r="161" spans="3:7" x14ac:dyDescent="0.3">
      <c r="C161" s="2" t="s">
        <v>288</v>
      </c>
      <c r="D161">
        <v>1</v>
      </c>
      <c r="F161" s="2" t="s">
        <v>623</v>
      </c>
      <c r="G161">
        <v>1</v>
      </c>
    </row>
    <row r="162" spans="3:7" x14ac:dyDescent="0.3">
      <c r="C162" s="2" t="s">
        <v>352</v>
      </c>
      <c r="D162">
        <v>1</v>
      </c>
      <c r="F162" s="2" t="s">
        <v>209</v>
      </c>
      <c r="G162">
        <v>1</v>
      </c>
    </row>
    <row r="163" spans="3:7" x14ac:dyDescent="0.3">
      <c r="C163" s="2" t="s">
        <v>292</v>
      </c>
      <c r="D163">
        <v>1</v>
      </c>
      <c r="F163" s="2" t="s">
        <v>608</v>
      </c>
      <c r="G163">
        <v>1</v>
      </c>
    </row>
    <row r="164" spans="3:7" x14ac:dyDescent="0.3">
      <c r="C164" s="2" t="s">
        <v>304</v>
      </c>
      <c r="D164">
        <v>1</v>
      </c>
      <c r="F164" s="2" t="s">
        <v>141</v>
      </c>
      <c r="G164">
        <v>1</v>
      </c>
    </row>
    <row r="165" spans="3:7" x14ac:dyDescent="0.3">
      <c r="C165" s="2" t="s">
        <v>339</v>
      </c>
      <c r="D165">
        <v>1</v>
      </c>
      <c r="F165" s="2" t="s">
        <v>295</v>
      </c>
      <c r="G165">
        <v>1</v>
      </c>
    </row>
    <row r="166" spans="3:7" x14ac:dyDescent="0.3">
      <c r="C166" s="2" t="s">
        <v>3677</v>
      </c>
      <c r="D166">
        <v>1</v>
      </c>
      <c r="F166" s="2" t="s">
        <v>195</v>
      </c>
      <c r="G166">
        <v>1</v>
      </c>
    </row>
    <row r="167" spans="3:7" x14ac:dyDescent="0.3">
      <c r="C167" s="2" t="s">
        <v>353</v>
      </c>
      <c r="D167">
        <v>1</v>
      </c>
      <c r="F167" s="2" t="s">
        <v>173</v>
      </c>
      <c r="G167">
        <v>1</v>
      </c>
    </row>
    <row r="168" spans="3:7" x14ac:dyDescent="0.3">
      <c r="C168" s="2" t="s">
        <v>350</v>
      </c>
      <c r="D168">
        <v>1</v>
      </c>
      <c r="F168" s="2" t="s">
        <v>1286</v>
      </c>
      <c r="G168">
        <v>1</v>
      </c>
    </row>
    <row r="169" spans="3:7" x14ac:dyDescent="0.3">
      <c r="C169" s="2" t="s">
        <v>3678</v>
      </c>
      <c r="D169">
        <v>1</v>
      </c>
      <c r="F169" s="2" t="s">
        <v>216</v>
      </c>
      <c r="G169">
        <v>1</v>
      </c>
    </row>
    <row r="170" spans="3:7" x14ac:dyDescent="0.3">
      <c r="C170" s="2" t="s">
        <v>152</v>
      </c>
      <c r="D170">
        <v>1</v>
      </c>
      <c r="F170" s="2" t="s">
        <v>3504</v>
      </c>
      <c r="G170">
        <v>1</v>
      </c>
    </row>
    <row r="171" spans="3:7" x14ac:dyDescent="0.3">
      <c r="C171" s="2" t="s">
        <v>357</v>
      </c>
      <c r="D171">
        <v>1</v>
      </c>
      <c r="F171" s="2" t="s">
        <v>153</v>
      </c>
      <c r="G171">
        <v>1</v>
      </c>
    </row>
    <row r="172" spans="3:7" x14ac:dyDescent="0.3">
      <c r="C172" s="2" t="s">
        <v>3679</v>
      </c>
      <c r="D172">
        <v>1</v>
      </c>
      <c r="F172" s="2" t="s">
        <v>3510</v>
      </c>
      <c r="G172">
        <v>1</v>
      </c>
    </row>
    <row r="173" spans="3:7" x14ac:dyDescent="0.3">
      <c r="C173" s="2" t="s">
        <v>359</v>
      </c>
      <c r="D173">
        <v>1</v>
      </c>
      <c r="F173" s="2" t="s">
        <v>220</v>
      </c>
      <c r="G173">
        <v>1</v>
      </c>
    </row>
    <row r="174" spans="3:7" x14ac:dyDescent="0.3">
      <c r="C174" s="2" t="s">
        <v>3680</v>
      </c>
      <c r="D174">
        <v>1</v>
      </c>
      <c r="F174" s="2" t="s">
        <v>3557</v>
      </c>
      <c r="G174">
        <v>1</v>
      </c>
    </row>
    <row r="175" spans="3:7" x14ac:dyDescent="0.3">
      <c r="C175" s="2" t="s">
        <v>3681</v>
      </c>
      <c r="D175">
        <v>1</v>
      </c>
      <c r="F175" s="2" t="s">
        <v>177</v>
      </c>
      <c r="G175">
        <v>1</v>
      </c>
    </row>
    <row r="176" spans="3:7" x14ac:dyDescent="0.3">
      <c r="C176" s="2" t="s">
        <v>294</v>
      </c>
      <c r="D176">
        <v>1</v>
      </c>
      <c r="F176" s="2" t="s">
        <v>151</v>
      </c>
      <c r="G176">
        <v>1</v>
      </c>
    </row>
    <row r="177" spans="3:7" x14ac:dyDescent="0.3">
      <c r="C177" s="2" t="s">
        <v>361</v>
      </c>
      <c r="D177">
        <v>1</v>
      </c>
      <c r="F177" s="2" t="s">
        <v>224</v>
      </c>
      <c r="G177">
        <v>1</v>
      </c>
    </row>
    <row r="178" spans="3:7" x14ac:dyDescent="0.3">
      <c r="C178" s="2" t="s">
        <v>319</v>
      </c>
      <c r="D178">
        <v>1</v>
      </c>
      <c r="F178" s="2" t="s">
        <v>533</v>
      </c>
      <c r="G178">
        <v>1</v>
      </c>
    </row>
    <row r="179" spans="3:7" x14ac:dyDescent="0.3">
      <c r="C179" s="2" t="s">
        <v>3682</v>
      </c>
      <c r="D179">
        <v>1</v>
      </c>
      <c r="F179" s="2" t="s">
        <v>3630</v>
      </c>
      <c r="G179">
        <v>1</v>
      </c>
    </row>
    <row r="180" spans="3:7" x14ac:dyDescent="0.3">
      <c r="C180" s="2" t="s">
        <v>176</v>
      </c>
      <c r="D180">
        <v>1</v>
      </c>
      <c r="F180" s="2" t="s">
        <v>273</v>
      </c>
      <c r="G180">
        <v>1</v>
      </c>
    </row>
    <row r="181" spans="3:7" x14ac:dyDescent="0.3">
      <c r="C181" s="2" t="s">
        <v>362</v>
      </c>
      <c r="D181">
        <v>1</v>
      </c>
      <c r="F181" s="2" t="s">
        <v>3648</v>
      </c>
      <c r="G181">
        <v>1</v>
      </c>
    </row>
    <row r="182" spans="3:7" x14ac:dyDescent="0.3">
      <c r="C182" s="2" t="s">
        <v>219</v>
      </c>
      <c r="D182">
        <v>1</v>
      </c>
      <c r="F182" s="2" t="s">
        <v>277</v>
      </c>
      <c r="G182">
        <v>1</v>
      </c>
    </row>
    <row r="183" spans="3:7" x14ac:dyDescent="0.3">
      <c r="C183" s="2" t="s">
        <v>312</v>
      </c>
      <c r="D183">
        <v>1</v>
      </c>
      <c r="F183" s="2" t="s">
        <v>281</v>
      </c>
      <c r="G183">
        <v>1</v>
      </c>
    </row>
    <row r="184" spans="3:7" x14ac:dyDescent="0.3">
      <c r="C184" s="2" t="s">
        <v>156</v>
      </c>
      <c r="D184">
        <v>1</v>
      </c>
      <c r="F184" s="2" t="s">
        <v>1305</v>
      </c>
      <c r="G184">
        <v>1</v>
      </c>
    </row>
    <row r="185" spans="3:7" x14ac:dyDescent="0.3">
      <c r="C185" s="2" t="s">
        <v>3683</v>
      </c>
      <c r="D185">
        <v>1</v>
      </c>
      <c r="F185" s="2" t="s">
        <v>230</v>
      </c>
      <c r="G185">
        <v>1</v>
      </c>
    </row>
    <row r="186" spans="3:7" x14ac:dyDescent="0.3">
      <c r="C186" s="2" t="s">
        <v>3684</v>
      </c>
      <c r="D186">
        <v>1</v>
      </c>
      <c r="F186"/>
      <c r="G186"/>
    </row>
    <row r="187" spans="3:7" x14ac:dyDescent="0.3">
      <c r="C187" s="2" t="s">
        <v>178</v>
      </c>
      <c r="D187">
        <v>1</v>
      </c>
      <c r="F187"/>
      <c r="G187"/>
    </row>
    <row r="188" spans="3:7" x14ac:dyDescent="0.3">
      <c r="C188" s="2" t="s">
        <v>3685</v>
      </c>
      <c r="D188">
        <v>1</v>
      </c>
      <c r="F188"/>
      <c r="G188"/>
    </row>
    <row r="189" spans="3:7" x14ac:dyDescent="0.3">
      <c r="C189" s="2" t="s">
        <v>318</v>
      </c>
      <c r="D189">
        <v>1</v>
      </c>
      <c r="F189"/>
      <c r="G189"/>
    </row>
    <row r="190" spans="3:7" x14ac:dyDescent="0.3">
      <c r="C190" s="2" t="s">
        <v>3686</v>
      </c>
      <c r="D190">
        <v>1</v>
      </c>
      <c r="F190"/>
      <c r="G190"/>
    </row>
    <row r="191" spans="3:7" x14ac:dyDescent="0.3">
      <c r="C191" s="2" t="s">
        <v>3687</v>
      </c>
      <c r="D191">
        <v>1</v>
      </c>
      <c r="F191"/>
      <c r="G191"/>
    </row>
    <row r="192" spans="3:7" x14ac:dyDescent="0.3">
      <c r="C192" s="2" t="s">
        <v>227</v>
      </c>
      <c r="D192">
        <v>1</v>
      </c>
      <c r="F192"/>
      <c r="G192"/>
    </row>
    <row r="193" spans="3:7" x14ac:dyDescent="0.3">
      <c r="C193" s="2" t="s">
        <v>221</v>
      </c>
      <c r="D193">
        <v>1</v>
      </c>
      <c r="F193"/>
      <c r="G193"/>
    </row>
    <row r="194" spans="3:7" x14ac:dyDescent="0.3">
      <c r="C194" s="2" t="s">
        <v>313</v>
      </c>
      <c r="D194">
        <v>1</v>
      </c>
      <c r="F194"/>
      <c r="G194"/>
    </row>
    <row r="195" spans="3:7" x14ac:dyDescent="0.3">
      <c r="C195" s="2" t="s">
        <v>322</v>
      </c>
      <c r="D195">
        <v>1</v>
      </c>
      <c r="F195"/>
      <c r="G195"/>
    </row>
    <row r="196" spans="3:7" x14ac:dyDescent="0.3">
      <c r="C196" s="2" t="s">
        <v>231</v>
      </c>
      <c r="D196">
        <v>1</v>
      </c>
      <c r="F196"/>
      <c r="G196"/>
    </row>
    <row r="197" spans="3:7" x14ac:dyDescent="0.3">
      <c r="C197" s="2" t="s">
        <v>324</v>
      </c>
      <c r="D197">
        <v>1</v>
      </c>
      <c r="F197"/>
      <c r="G197"/>
    </row>
    <row r="198" spans="3:7" x14ac:dyDescent="0.3">
      <c r="C198" s="2" t="s">
        <v>3688</v>
      </c>
      <c r="D198">
        <v>1</v>
      </c>
      <c r="F198"/>
      <c r="G198"/>
    </row>
    <row r="199" spans="3:7" x14ac:dyDescent="0.3">
      <c r="C199" s="2" t="s">
        <v>326</v>
      </c>
      <c r="D199">
        <v>1</v>
      </c>
      <c r="F199"/>
      <c r="G199"/>
    </row>
    <row r="200" spans="3:7" x14ac:dyDescent="0.3">
      <c r="C200" s="2" t="s">
        <v>184</v>
      </c>
      <c r="D200">
        <v>1</v>
      </c>
      <c r="F200"/>
      <c r="G200"/>
    </row>
    <row r="201" spans="3:7" x14ac:dyDescent="0.3">
      <c r="C201" s="2" t="s">
        <v>328</v>
      </c>
      <c r="D201">
        <v>1</v>
      </c>
      <c r="F201"/>
      <c r="G201"/>
    </row>
    <row r="202" spans="3:7" x14ac:dyDescent="0.3">
      <c r="C202" s="2" t="s">
        <v>160</v>
      </c>
      <c r="D202">
        <v>1</v>
      </c>
      <c r="F202"/>
      <c r="G202"/>
    </row>
    <row r="203" spans="3:7" x14ac:dyDescent="0.3">
      <c r="C203" s="2" t="s">
        <v>330</v>
      </c>
      <c r="D203">
        <v>1</v>
      </c>
      <c r="F203"/>
      <c r="G203"/>
    </row>
    <row r="204" spans="3:7" x14ac:dyDescent="0.3">
      <c r="C204" s="2" t="s">
        <v>323</v>
      </c>
      <c r="D204">
        <v>1</v>
      </c>
      <c r="F204"/>
      <c r="G204"/>
    </row>
    <row r="205" spans="3:7" x14ac:dyDescent="0.3">
      <c r="C205" s="2" t="s">
        <v>332</v>
      </c>
      <c r="D205">
        <v>1</v>
      </c>
      <c r="F205"/>
      <c r="G205"/>
    </row>
    <row r="206" spans="3:7" x14ac:dyDescent="0.3">
      <c r="C206" s="2" t="s">
        <v>329</v>
      </c>
      <c r="D206">
        <v>1</v>
      </c>
      <c r="F206"/>
      <c r="G206"/>
    </row>
    <row r="207" spans="3:7" x14ac:dyDescent="0.3">
      <c r="C207" s="2" t="s">
        <v>3689</v>
      </c>
      <c r="D207">
        <v>1</v>
      </c>
      <c r="F207"/>
      <c r="G207"/>
    </row>
    <row r="208" spans="3:7" x14ac:dyDescent="0.3">
      <c r="C208" s="2" t="s">
        <v>243</v>
      </c>
      <c r="D208">
        <v>1</v>
      </c>
      <c r="F208"/>
      <c r="G208"/>
    </row>
    <row r="209" spans="3:7" x14ac:dyDescent="0.3">
      <c r="C209" s="2" t="s">
        <v>336</v>
      </c>
      <c r="D209">
        <v>1</v>
      </c>
      <c r="F209"/>
      <c r="G209"/>
    </row>
    <row r="210" spans="3:7" x14ac:dyDescent="0.3">
      <c r="C210" s="2" t="s">
        <v>3690</v>
      </c>
      <c r="D210">
        <v>1</v>
      </c>
      <c r="F210"/>
      <c r="G210"/>
    </row>
    <row r="211" spans="3:7" x14ac:dyDescent="0.3">
      <c r="C211" s="2" t="s">
        <v>3691</v>
      </c>
      <c r="D211">
        <v>1</v>
      </c>
      <c r="F211"/>
      <c r="G211"/>
    </row>
    <row r="212" spans="3:7" x14ac:dyDescent="0.3">
      <c r="C212" s="2" t="s">
        <v>284</v>
      </c>
      <c r="D212">
        <v>1</v>
      </c>
      <c r="F212"/>
      <c r="G212"/>
    </row>
    <row r="213" spans="3:7" x14ac:dyDescent="0.3">
      <c r="C213" s="2" t="s">
        <v>338</v>
      </c>
      <c r="D213">
        <v>1</v>
      </c>
      <c r="F213"/>
      <c r="G213"/>
    </row>
    <row r="214" spans="3:7" x14ac:dyDescent="0.3">
      <c r="C214" s="2" t="s">
        <v>3692</v>
      </c>
      <c r="D214">
        <v>1</v>
      </c>
      <c r="F214"/>
      <c r="G214"/>
    </row>
    <row r="215" spans="3:7" x14ac:dyDescent="0.3">
      <c r="C215" s="2" t="s">
        <v>340</v>
      </c>
      <c r="D215">
        <v>1</v>
      </c>
      <c r="F215"/>
      <c r="G215"/>
    </row>
    <row r="216" spans="3:7" x14ac:dyDescent="0.3">
      <c r="C216" s="2" t="s">
        <v>146</v>
      </c>
      <c r="D216">
        <v>1</v>
      </c>
      <c r="F216"/>
      <c r="G216"/>
    </row>
    <row r="217" spans="3:7" x14ac:dyDescent="0.3">
      <c r="C217" s="2" t="s">
        <v>342</v>
      </c>
      <c r="D217">
        <v>1</v>
      </c>
      <c r="F217"/>
      <c r="G217"/>
    </row>
    <row r="218" spans="3:7" x14ac:dyDescent="0.3">
      <c r="C218" s="2" t="s">
        <v>164</v>
      </c>
      <c r="D218">
        <v>1</v>
      </c>
      <c r="F218"/>
      <c r="G218"/>
    </row>
    <row r="219" spans="3:7" x14ac:dyDescent="0.3">
      <c r="C219" s="2" t="s">
        <v>3693</v>
      </c>
      <c r="D219">
        <v>1</v>
      </c>
      <c r="F219"/>
      <c r="G219"/>
    </row>
    <row r="220" spans="3:7" x14ac:dyDescent="0.3">
      <c r="C220" s="2" t="s">
        <v>254</v>
      </c>
      <c r="D220">
        <v>1</v>
      </c>
      <c r="F220"/>
      <c r="G220"/>
    </row>
    <row r="221" spans="3:7" x14ac:dyDescent="0.3">
      <c r="C221" s="2" t="s">
        <v>346</v>
      </c>
      <c r="D221">
        <v>1</v>
      </c>
      <c r="F221"/>
      <c r="G221"/>
    </row>
    <row r="222" spans="3:7" x14ac:dyDescent="0.3">
      <c r="C222" s="2" t="s">
        <v>196</v>
      </c>
      <c r="D222">
        <v>1</v>
      </c>
      <c r="F222"/>
      <c r="G222"/>
    </row>
    <row r="223" spans="3:7" x14ac:dyDescent="0.3">
      <c r="C223" s="2" t="s">
        <v>264</v>
      </c>
      <c r="D223">
        <v>1</v>
      </c>
      <c r="F223"/>
      <c r="G223"/>
    </row>
    <row r="224" spans="3:7" x14ac:dyDescent="0.3">
      <c r="C224" s="2" t="s">
        <v>258</v>
      </c>
      <c r="D224">
        <v>1</v>
      </c>
      <c r="F224"/>
      <c r="G224"/>
    </row>
    <row r="225" spans="3:7" x14ac:dyDescent="0.3">
      <c r="C225" s="2" t="s">
        <v>3694</v>
      </c>
      <c r="D225">
        <v>1</v>
      </c>
      <c r="F225"/>
      <c r="G225"/>
    </row>
    <row r="226" spans="3:7" x14ac:dyDescent="0.3">
      <c r="C226" s="2" t="s">
        <v>140</v>
      </c>
      <c r="D226">
        <v>1</v>
      </c>
      <c r="F226"/>
      <c r="G226"/>
    </row>
    <row r="227" spans="3:7" x14ac:dyDescent="0.3">
      <c r="C227" s="2" t="s">
        <v>351</v>
      </c>
      <c r="D227">
        <v>1</v>
      </c>
      <c r="F227"/>
      <c r="G227"/>
    </row>
    <row r="228" spans="3:7" x14ac:dyDescent="0.3">
      <c r="C228" s="2" t="s">
        <v>262</v>
      </c>
      <c r="D228">
        <v>1</v>
      </c>
      <c r="F228"/>
      <c r="G228"/>
    </row>
    <row r="229" spans="3:7" x14ac:dyDescent="0.3">
      <c r="C229" s="2" t="s">
        <v>168</v>
      </c>
      <c r="D229">
        <v>1</v>
      </c>
      <c r="F229"/>
      <c r="G229"/>
    </row>
    <row r="230" spans="3:7" x14ac:dyDescent="0.3">
      <c r="C230" s="2" t="s">
        <v>166</v>
      </c>
      <c r="D230">
        <v>1</v>
      </c>
      <c r="F230"/>
      <c r="G230"/>
    </row>
    <row r="231" spans="3:7" x14ac:dyDescent="0.3">
      <c r="C231" s="2" t="s">
        <v>270</v>
      </c>
      <c r="D231">
        <v>1</v>
      </c>
      <c r="F231"/>
      <c r="G231"/>
    </row>
    <row r="232" spans="3:7" x14ac:dyDescent="0.3">
      <c r="C232" s="2" t="s">
        <v>349</v>
      </c>
      <c r="D232">
        <v>1</v>
      </c>
      <c r="F232"/>
      <c r="G232"/>
    </row>
    <row r="233" spans="3:7" x14ac:dyDescent="0.3">
      <c r="C233" s="2" t="s">
        <v>180</v>
      </c>
      <c r="D233">
        <v>1</v>
      </c>
      <c r="F233"/>
      <c r="G233"/>
    </row>
    <row r="234" spans="3:7" x14ac:dyDescent="0.3">
      <c r="C234" s="2" t="s">
        <v>300</v>
      </c>
      <c r="D234">
        <v>1</v>
      </c>
      <c r="F234"/>
      <c r="G234"/>
    </row>
    <row r="235" spans="3:7" x14ac:dyDescent="0.3">
      <c r="C235" s="2" t="s">
        <v>274</v>
      </c>
      <c r="D235">
        <v>1</v>
      </c>
      <c r="F235"/>
      <c r="G235"/>
    </row>
    <row r="236" spans="3:7" x14ac:dyDescent="0.3">
      <c r="C236" s="2" t="s">
        <v>3695</v>
      </c>
      <c r="D236">
        <v>1</v>
      </c>
      <c r="F236"/>
      <c r="G236"/>
    </row>
    <row r="237" spans="3:7" x14ac:dyDescent="0.3">
      <c r="C237" s="2" t="s">
        <v>310</v>
      </c>
      <c r="D237">
        <v>1</v>
      </c>
      <c r="F237"/>
      <c r="G237"/>
    </row>
    <row r="238" spans="3:7" x14ac:dyDescent="0.3">
      <c r="C238" s="2" t="s">
        <v>354</v>
      </c>
      <c r="D238">
        <v>1</v>
      </c>
    </row>
    <row r="239" spans="3:7" x14ac:dyDescent="0.3">
      <c r="C239" s="2" t="s">
        <v>3696</v>
      </c>
      <c r="D239">
        <v>1</v>
      </c>
    </row>
    <row r="240" spans="3:7" x14ac:dyDescent="0.3">
      <c r="C240" s="2" t="s">
        <v>237</v>
      </c>
      <c r="D240">
        <v>1</v>
      </c>
    </row>
    <row r="241" spans="3:4" x14ac:dyDescent="0.3">
      <c r="C241" s="2" t="s">
        <v>334</v>
      </c>
      <c r="D241">
        <v>1</v>
      </c>
    </row>
    <row r="242" spans="3:4" x14ac:dyDescent="0.3">
      <c r="C242" s="2" t="s">
        <v>358</v>
      </c>
      <c r="D242">
        <v>1</v>
      </c>
    </row>
    <row r="243" spans="3:4" x14ac:dyDescent="0.3">
      <c r="C243" s="2" t="s">
        <v>3697</v>
      </c>
      <c r="D243">
        <v>1</v>
      </c>
    </row>
    <row r="244" spans="3:4" x14ac:dyDescent="0.3">
      <c r="C244" s="2" t="s">
        <v>308</v>
      </c>
      <c r="D244">
        <v>1</v>
      </c>
    </row>
    <row r="245" spans="3:4" x14ac:dyDescent="0.3">
      <c r="C245" s="2" t="s">
        <v>344</v>
      </c>
      <c r="D245">
        <v>1</v>
      </c>
    </row>
    <row r="246" spans="3:4" x14ac:dyDescent="0.3">
      <c r="C246" s="2" t="s">
        <v>3698</v>
      </c>
      <c r="D246">
        <v>1</v>
      </c>
    </row>
    <row r="247" spans="3:4" x14ac:dyDescent="0.3">
      <c r="C247" s="2" t="s">
        <v>3699</v>
      </c>
      <c r="D247">
        <v>1</v>
      </c>
    </row>
    <row r="248" spans="3:4" x14ac:dyDescent="0.3">
      <c r="C248" s="2" t="s">
        <v>82</v>
      </c>
      <c r="D248">
        <v>351</v>
      </c>
    </row>
    <row r="249" spans="3:4" x14ac:dyDescent="0.3">
      <c r="C249"/>
      <c r="D249"/>
    </row>
    <row r="250" spans="3:4" x14ac:dyDescent="0.3">
      <c r="C250"/>
      <c r="D250"/>
    </row>
    <row r="251" spans="3:4" x14ac:dyDescent="0.3">
      <c r="C251"/>
      <c r="D251"/>
    </row>
    <row r="252" spans="3:4" x14ac:dyDescent="0.3">
      <c r="C252"/>
      <c r="D252"/>
    </row>
    <row r="253" spans="3:4" x14ac:dyDescent="0.3">
      <c r="C253"/>
      <c r="D253"/>
    </row>
    <row r="254" spans="3:4" x14ac:dyDescent="0.3">
      <c r="C254"/>
      <c r="D254"/>
    </row>
    <row r="255" spans="3:4" x14ac:dyDescent="0.3">
      <c r="C255"/>
      <c r="D255"/>
    </row>
    <row r="256" spans="3:4" x14ac:dyDescent="0.3">
      <c r="C256"/>
      <c r="D256"/>
    </row>
    <row r="257" spans="3:4" x14ac:dyDescent="0.3">
      <c r="C257"/>
      <c r="D257"/>
    </row>
    <row r="258" spans="3:4" x14ac:dyDescent="0.3">
      <c r="C258"/>
      <c r="D258"/>
    </row>
    <row r="259" spans="3:4" x14ac:dyDescent="0.3">
      <c r="C259"/>
      <c r="D259"/>
    </row>
    <row r="260" spans="3:4" x14ac:dyDescent="0.3">
      <c r="C260"/>
      <c r="D260"/>
    </row>
    <row r="261" spans="3:4" x14ac:dyDescent="0.3">
      <c r="C261"/>
      <c r="D261"/>
    </row>
    <row r="262" spans="3:4" x14ac:dyDescent="0.3">
      <c r="C262"/>
      <c r="D262"/>
    </row>
    <row r="263" spans="3:4" x14ac:dyDescent="0.3">
      <c r="C263"/>
      <c r="D263"/>
    </row>
    <row r="264" spans="3:4" x14ac:dyDescent="0.3">
      <c r="C264"/>
      <c r="D264"/>
    </row>
    <row r="265" spans="3:4" x14ac:dyDescent="0.3">
      <c r="C265"/>
      <c r="D265"/>
    </row>
    <row r="266" spans="3:4" x14ac:dyDescent="0.3">
      <c r="C266"/>
      <c r="D266"/>
    </row>
    <row r="267" spans="3:4" x14ac:dyDescent="0.3">
      <c r="C267"/>
      <c r="D267"/>
    </row>
    <row r="268" spans="3:4" x14ac:dyDescent="0.3">
      <c r="C268"/>
      <c r="D268"/>
    </row>
    <row r="269" spans="3:4" x14ac:dyDescent="0.3">
      <c r="C269"/>
      <c r="D269"/>
    </row>
    <row r="270" spans="3:4" x14ac:dyDescent="0.3">
      <c r="C270"/>
      <c r="D270"/>
    </row>
    <row r="271" spans="3:4" x14ac:dyDescent="0.3">
      <c r="C271"/>
      <c r="D271"/>
    </row>
    <row r="272" spans="3:4" x14ac:dyDescent="0.3">
      <c r="C272"/>
      <c r="D272"/>
    </row>
    <row r="273" spans="3:4" x14ac:dyDescent="0.3">
      <c r="C273"/>
      <c r="D273"/>
    </row>
    <row r="274" spans="3:4" x14ac:dyDescent="0.3">
      <c r="C274"/>
      <c r="D274"/>
    </row>
    <row r="275" spans="3:4" x14ac:dyDescent="0.3">
      <c r="C275"/>
      <c r="D275"/>
    </row>
    <row r="276" spans="3:4" x14ac:dyDescent="0.3">
      <c r="C276"/>
      <c r="D276"/>
    </row>
    <row r="277" spans="3:4" x14ac:dyDescent="0.3">
      <c r="C277"/>
      <c r="D277"/>
    </row>
    <row r="278" spans="3:4" x14ac:dyDescent="0.3">
      <c r="C278"/>
      <c r="D278"/>
    </row>
    <row r="279" spans="3:4" x14ac:dyDescent="0.3">
      <c r="C279"/>
      <c r="D279"/>
    </row>
    <row r="280" spans="3:4" x14ac:dyDescent="0.3">
      <c r="C280"/>
      <c r="D280"/>
    </row>
    <row r="281" spans="3:4" x14ac:dyDescent="0.3">
      <c r="C281"/>
      <c r="D281"/>
    </row>
    <row r="282" spans="3:4" x14ac:dyDescent="0.3">
      <c r="C282"/>
      <c r="D282"/>
    </row>
    <row r="283" spans="3:4" x14ac:dyDescent="0.3">
      <c r="C283"/>
      <c r="D283"/>
    </row>
    <row r="284" spans="3:4" x14ac:dyDescent="0.3">
      <c r="C284"/>
      <c r="D284"/>
    </row>
    <row r="285" spans="3:4" x14ac:dyDescent="0.3">
      <c r="C285"/>
      <c r="D285"/>
    </row>
    <row r="286" spans="3:4" x14ac:dyDescent="0.3">
      <c r="C286"/>
      <c r="D286"/>
    </row>
    <row r="287" spans="3:4" x14ac:dyDescent="0.3">
      <c r="C287"/>
      <c r="D287"/>
    </row>
    <row r="288" spans="3:4" x14ac:dyDescent="0.3">
      <c r="C288"/>
      <c r="D288"/>
    </row>
    <row r="289" spans="3:4" x14ac:dyDescent="0.3">
      <c r="C289"/>
      <c r="D289"/>
    </row>
    <row r="290" spans="3:4" x14ac:dyDescent="0.3">
      <c r="C290"/>
      <c r="D290"/>
    </row>
    <row r="291" spans="3:4" x14ac:dyDescent="0.3">
      <c r="C291"/>
      <c r="D291"/>
    </row>
    <row r="292" spans="3:4" x14ac:dyDescent="0.3">
      <c r="C292"/>
      <c r="D292"/>
    </row>
    <row r="293" spans="3:4" x14ac:dyDescent="0.3">
      <c r="C293"/>
      <c r="D293"/>
    </row>
    <row r="294" spans="3:4" x14ac:dyDescent="0.3">
      <c r="C294"/>
      <c r="D294"/>
    </row>
    <row r="295" spans="3:4" x14ac:dyDescent="0.3">
      <c r="C295"/>
      <c r="D295"/>
    </row>
    <row r="296" spans="3:4" x14ac:dyDescent="0.3">
      <c r="C296"/>
      <c r="D296"/>
    </row>
    <row r="297" spans="3:4" x14ac:dyDescent="0.3">
      <c r="C297"/>
      <c r="D297"/>
    </row>
    <row r="298" spans="3:4" x14ac:dyDescent="0.3">
      <c r="C298"/>
      <c r="D298"/>
    </row>
    <row r="299" spans="3:4" x14ac:dyDescent="0.3">
      <c r="C299"/>
      <c r="D299"/>
    </row>
    <row r="300" spans="3:4" x14ac:dyDescent="0.3">
      <c r="C300"/>
      <c r="D300"/>
    </row>
    <row r="301" spans="3:4" x14ac:dyDescent="0.3">
      <c r="C301"/>
      <c r="D301"/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  <row r="375" spans="3:4" x14ac:dyDescent="0.3">
      <c r="C375"/>
      <c r="D375"/>
    </row>
    <row r="376" spans="3:4" x14ac:dyDescent="0.3">
      <c r="C376"/>
      <c r="D376"/>
    </row>
    <row r="377" spans="3:4" x14ac:dyDescent="0.3">
      <c r="C377"/>
      <c r="D377"/>
    </row>
    <row r="378" spans="3:4" x14ac:dyDescent="0.3">
      <c r="C378"/>
      <c r="D378"/>
    </row>
    <row r="379" spans="3:4" x14ac:dyDescent="0.3">
      <c r="C379"/>
      <c r="D379"/>
    </row>
    <row r="380" spans="3:4" x14ac:dyDescent="0.3">
      <c r="C380"/>
      <c r="D380"/>
    </row>
    <row r="381" spans="3:4" x14ac:dyDescent="0.3">
      <c r="C381"/>
      <c r="D381"/>
    </row>
    <row r="382" spans="3:4" x14ac:dyDescent="0.3">
      <c r="C382"/>
      <c r="D382"/>
    </row>
    <row r="383" spans="3:4" x14ac:dyDescent="0.3">
      <c r="C383"/>
      <c r="D383"/>
    </row>
    <row r="384" spans="3:4" x14ac:dyDescent="0.3">
      <c r="C384"/>
      <c r="D384"/>
    </row>
    <row r="385" spans="3:4" x14ac:dyDescent="0.3">
      <c r="C385"/>
      <c r="D385"/>
    </row>
    <row r="386" spans="3:4" x14ac:dyDescent="0.3">
      <c r="C386"/>
      <c r="D386"/>
    </row>
    <row r="387" spans="3:4" x14ac:dyDescent="0.3">
      <c r="C387"/>
      <c r="D387"/>
    </row>
    <row r="388" spans="3:4" x14ac:dyDescent="0.3">
      <c r="C388"/>
      <c r="D388"/>
    </row>
    <row r="389" spans="3:4" x14ac:dyDescent="0.3">
      <c r="C389"/>
      <c r="D389"/>
    </row>
    <row r="390" spans="3:4" x14ac:dyDescent="0.3">
      <c r="C390"/>
      <c r="D390"/>
    </row>
    <row r="391" spans="3:4" x14ac:dyDescent="0.3">
      <c r="C391"/>
      <c r="D391"/>
    </row>
    <row r="392" spans="3:4" x14ac:dyDescent="0.3">
      <c r="C392"/>
      <c r="D392"/>
    </row>
    <row r="393" spans="3:4" x14ac:dyDescent="0.3">
      <c r="C393"/>
      <c r="D393"/>
    </row>
    <row r="394" spans="3:4" x14ac:dyDescent="0.3">
      <c r="C394"/>
      <c r="D394"/>
    </row>
    <row r="395" spans="3:4" x14ac:dyDescent="0.3">
      <c r="C395"/>
      <c r="D395"/>
    </row>
    <row r="396" spans="3:4" x14ac:dyDescent="0.3">
      <c r="C396"/>
      <c r="D396"/>
    </row>
    <row r="397" spans="3:4" x14ac:dyDescent="0.3">
      <c r="C397"/>
      <c r="D397"/>
    </row>
    <row r="398" spans="3:4" x14ac:dyDescent="0.3">
      <c r="C398"/>
      <c r="D398"/>
    </row>
    <row r="399" spans="3:4" x14ac:dyDescent="0.3">
      <c r="C399"/>
      <c r="D399"/>
    </row>
    <row r="400" spans="3:4" x14ac:dyDescent="0.3">
      <c r="C400"/>
      <c r="D400"/>
    </row>
    <row r="401" spans="3:4" x14ac:dyDescent="0.3">
      <c r="C401"/>
      <c r="D401"/>
    </row>
    <row r="402" spans="3:4" x14ac:dyDescent="0.3">
      <c r="C402"/>
      <c r="D402"/>
    </row>
    <row r="403" spans="3:4" x14ac:dyDescent="0.3">
      <c r="C403"/>
      <c r="D403"/>
    </row>
    <row r="404" spans="3:4" x14ac:dyDescent="0.3">
      <c r="C404"/>
      <c r="D404"/>
    </row>
    <row r="405" spans="3:4" x14ac:dyDescent="0.3">
      <c r="C405"/>
      <c r="D405"/>
    </row>
    <row r="406" spans="3:4" x14ac:dyDescent="0.3">
      <c r="C406"/>
      <c r="D406"/>
    </row>
    <row r="407" spans="3:4" x14ac:dyDescent="0.3">
      <c r="C407"/>
      <c r="D407"/>
    </row>
    <row r="408" spans="3:4" x14ac:dyDescent="0.3">
      <c r="C408"/>
      <c r="D408"/>
    </row>
    <row r="409" spans="3:4" x14ac:dyDescent="0.3">
      <c r="C409"/>
      <c r="D409"/>
    </row>
    <row r="410" spans="3:4" x14ac:dyDescent="0.3">
      <c r="C410"/>
      <c r="D410"/>
    </row>
    <row r="411" spans="3:4" x14ac:dyDescent="0.3">
      <c r="C411"/>
      <c r="D411"/>
    </row>
    <row r="412" spans="3:4" x14ac:dyDescent="0.3">
      <c r="C412"/>
      <c r="D412"/>
    </row>
    <row r="413" spans="3:4" x14ac:dyDescent="0.3">
      <c r="C413"/>
      <c r="D413"/>
    </row>
    <row r="414" spans="3:4" x14ac:dyDescent="0.3">
      <c r="C414"/>
      <c r="D414"/>
    </row>
    <row r="415" spans="3:4" x14ac:dyDescent="0.3">
      <c r="C415"/>
      <c r="D415"/>
    </row>
    <row r="416" spans="3:4" x14ac:dyDescent="0.3">
      <c r="C416"/>
      <c r="D416"/>
    </row>
    <row r="417" spans="3:4" x14ac:dyDescent="0.3">
      <c r="C417"/>
      <c r="D417"/>
    </row>
    <row r="418" spans="3:4" x14ac:dyDescent="0.3">
      <c r="C418"/>
      <c r="D418"/>
    </row>
    <row r="419" spans="3:4" x14ac:dyDescent="0.3">
      <c r="C419"/>
      <c r="D419"/>
    </row>
    <row r="420" spans="3:4" x14ac:dyDescent="0.3">
      <c r="C420"/>
      <c r="D420"/>
    </row>
    <row r="421" spans="3:4" x14ac:dyDescent="0.3">
      <c r="C421"/>
      <c r="D421"/>
    </row>
    <row r="422" spans="3:4" x14ac:dyDescent="0.3">
      <c r="C422"/>
      <c r="D422"/>
    </row>
    <row r="423" spans="3:4" x14ac:dyDescent="0.3">
      <c r="C423"/>
      <c r="D423"/>
    </row>
    <row r="424" spans="3:4" x14ac:dyDescent="0.3">
      <c r="C424"/>
      <c r="D424"/>
    </row>
    <row r="425" spans="3:4" x14ac:dyDescent="0.3">
      <c r="C425"/>
      <c r="D425"/>
    </row>
    <row r="426" spans="3:4" x14ac:dyDescent="0.3">
      <c r="C426"/>
      <c r="D426"/>
    </row>
    <row r="427" spans="3:4" x14ac:dyDescent="0.3">
      <c r="C427"/>
      <c r="D427"/>
    </row>
    <row r="428" spans="3:4" x14ac:dyDescent="0.3">
      <c r="C428"/>
      <c r="D428"/>
    </row>
    <row r="429" spans="3:4" x14ac:dyDescent="0.3">
      <c r="C429"/>
      <c r="D429"/>
    </row>
    <row r="430" spans="3:4" x14ac:dyDescent="0.3">
      <c r="C430"/>
      <c r="D430"/>
    </row>
    <row r="431" spans="3:4" x14ac:dyDescent="0.3">
      <c r="C431"/>
      <c r="D431"/>
    </row>
    <row r="432" spans="3:4" x14ac:dyDescent="0.3">
      <c r="C432"/>
      <c r="D432"/>
    </row>
    <row r="433" spans="3:4" x14ac:dyDescent="0.3">
      <c r="C433"/>
      <c r="D433"/>
    </row>
    <row r="434" spans="3:4" x14ac:dyDescent="0.3">
      <c r="C434"/>
      <c r="D434"/>
    </row>
    <row r="435" spans="3:4" x14ac:dyDescent="0.3">
      <c r="C435"/>
      <c r="D435"/>
    </row>
    <row r="436" spans="3:4" x14ac:dyDescent="0.3">
      <c r="C436"/>
      <c r="D436"/>
    </row>
    <row r="437" spans="3:4" x14ac:dyDescent="0.3">
      <c r="C437"/>
      <c r="D437"/>
    </row>
    <row r="438" spans="3:4" x14ac:dyDescent="0.3">
      <c r="C438"/>
      <c r="D438"/>
    </row>
    <row r="439" spans="3:4" x14ac:dyDescent="0.3">
      <c r="C439"/>
      <c r="D439"/>
    </row>
    <row r="440" spans="3:4" x14ac:dyDescent="0.3">
      <c r="C440"/>
      <c r="D440"/>
    </row>
    <row r="441" spans="3:4" x14ac:dyDescent="0.3">
      <c r="C441"/>
      <c r="D441"/>
    </row>
    <row r="442" spans="3:4" x14ac:dyDescent="0.3">
      <c r="C442"/>
      <c r="D442"/>
    </row>
    <row r="443" spans="3:4" x14ac:dyDescent="0.3">
      <c r="C443"/>
      <c r="D443"/>
    </row>
    <row r="444" spans="3:4" x14ac:dyDescent="0.3">
      <c r="C444"/>
      <c r="D444"/>
    </row>
    <row r="445" spans="3:4" x14ac:dyDescent="0.3">
      <c r="C445"/>
      <c r="D445"/>
    </row>
    <row r="446" spans="3:4" x14ac:dyDescent="0.3">
      <c r="C446"/>
      <c r="D446"/>
    </row>
    <row r="447" spans="3:4" x14ac:dyDescent="0.3">
      <c r="C447"/>
      <c r="D447"/>
    </row>
    <row r="448" spans="3:4" x14ac:dyDescent="0.3">
      <c r="C448"/>
      <c r="D448"/>
    </row>
    <row r="449" spans="3:4" x14ac:dyDescent="0.3">
      <c r="C449"/>
      <c r="D449"/>
    </row>
    <row r="450" spans="3:4" x14ac:dyDescent="0.3">
      <c r="C450"/>
      <c r="D450"/>
    </row>
    <row r="451" spans="3:4" x14ac:dyDescent="0.3">
      <c r="C451"/>
      <c r="D451"/>
    </row>
    <row r="452" spans="3:4" x14ac:dyDescent="0.3">
      <c r="C452"/>
      <c r="D452"/>
    </row>
    <row r="453" spans="3:4" x14ac:dyDescent="0.3">
      <c r="C453"/>
      <c r="D453"/>
    </row>
    <row r="454" spans="3:4" x14ac:dyDescent="0.3">
      <c r="C454"/>
      <c r="D454"/>
    </row>
    <row r="455" spans="3:4" x14ac:dyDescent="0.3">
      <c r="C455"/>
      <c r="D455"/>
    </row>
    <row r="456" spans="3:4" x14ac:dyDescent="0.3">
      <c r="C456"/>
      <c r="D456"/>
    </row>
    <row r="457" spans="3:4" x14ac:dyDescent="0.3">
      <c r="C457"/>
      <c r="D457"/>
    </row>
    <row r="458" spans="3:4" x14ac:dyDescent="0.3">
      <c r="C458"/>
      <c r="D458"/>
    </row>
    <row r="459" spans="3:4" x14ac:dyDescent="0.3">
      <c r="C459"/>
      <c r="D459"/>
    </row>
    <row r="460" spans="3:4" x14ac:dyDescent="0.3">
      <c r="C460"/>
      <c r="D460"/>
    </row>
    <row r="461" spans="3:4" x14ac:dyDescent="0.3">
      <c r="C461"/>
      <c r="D461"/>
    </row>
    <row r="462" spans="3:4" x14ac:dyDescent="0.3">
      <c r="C462"/>
      <c r="D462"/>
    </row>
    <row r="463" spans="3:4" x14ac:dyDescent="0.3">
      <c r="C463"/>
      <c r="D463"/>
    </row>
    <row r="464" spans="3:4" x14ac:dyDescent="0.3">
      <c r="C464"/>
      <c r="D464"/>
    </row>
    <row r="465" spans="3:4" x14ac:dyDescent="0.3">
      <c r="C465"/>
      <c r="D465"/>
    </row>
    <row r="466" spans="3:4" x14ac:dyDescent="0.3">
      <c r="C466"/>
      <c r="D466"/>
    </row>
    <row r="467" spans="3:4" x14ac:dyDescent="0.3">
      <c r="C467"/>
      <c r="D467"/>
    </row>
    <row r="468" spans="3:4" x14ac:dyDescent="0.3">
      <c r="C468"/>
      <c r="D468"/>
    </row>
    <row r="469" spans="3:4" x14ac:dyDescent="0.3">
      <c r="C469"/>
      <c r="D469"/>
    </row>
    <row r="470" spans="3:4" x14ac:dyDescent="0.3">
      <c r="C470"/>
      <c r="D470"/>
    </row>
    <row r="471" spans="3:4" x14ac:dyDescent="0.3">
      <c r="C471"/>
      <c r="D471"/>
    </row>
    <row r="472" spans="3:4" x14ac:dyDescent="0.3">
      <c r="C472"/>
      <c r="D472"/>
    </row>
    <row r="473" spans="3:4" x14ac:dyDescent="0.3">
      <c r="C473"/>
      <c r="D473"/>
    </row>
    <row r="474" spans="3:4" x14ac:dyDescent="0.3">
      <c r="C474"/>
      <c r="D474"/>
    </row>
    <row r="475" spans="3:4" x14ac:dyDescent="0.3">
      <c r="C475"/>
      <c r="D475"/>
    </row>
    <row r="476" spans="3:4" x14ac:dyDescent="0.3">
      <c r="C476"/>
      <c r="D476"/>
    </row>
    <row r="477" spans="3:4" x14ac:dyDescent="0.3">
      <c r="C477"/>
      <c r="D477"/>
    </row>
    <row r="478" spans="3:4" x14ac:dyDescent="0.3">
      <c r="C478"/>
      <c r="D478"/>
    </row>
    <row r="479" spans="3:4" x14ac:dyDescent="0.3">
      <c r="C479"/>
      <c r="D479"/>
    </row>
    <row r="480" spans="3:4" x14ac:dyDescent="0.3">
      <c r="C480"/>
      <c r="D480"/>
    </row>
    <row r="481" spans="3:4" x14ac:dyDescent="0.3">
      <c r="C481"/>
      <c r="D481"/>
    </row>
    <row r="482" spans="3:4" x14ac:dyDescent="0.3">
      <c r="C482"/>
      <c r="D482"/>
    </row>
    <row r="483" spans="3:4" x14ac:dyDescent="0.3">
      <c r="C483"/>
      <c r="D483"/>
    </row>
    <row r="484" spans="3:4" x14ac:dyDescent="0.3">
      <c r="C484"/>
      <c r="D484"/>
    </row>
    <row r="485" spans="3:4" x14ac:dyDescent="0.3">
      <c r="C485"/>
      <c r="D485"/>
    </row>
    <row r="486" spans="3:4" x14ac:dyDescent="0.3">
      <c r="C486"/>
      <c r="D486"/>
    </row>
    <row r="487" spans="3:4" x14ac:dyDescent="0.3">
      <c r="C487"/>
      <c r="D487"/>
    </row>
    <row r="488" spans="3:4" x14ac:dyDescent="0.3">
      <c r="C488"/>
      <c r="D488"/>
    </row>
    <row r="489" spans="3:4" x14ac:dyDescent="0.3">
      <c r="C489"/>
      <c r="D489"/>
    </row>
    <row r="490" spans="3:4" x14ac:dyDescent="0.3">
      <c r="C490"/>
      <c r="D490"/>
    </row>
    <row r="491" spans="3:4" x14ac:dyDescent="0.3">
      <c r="C491"/>
      <c r="D491"/>
    </row>
    <row r="492" spans="3:4" x14ac:dyDescent="0.3">
      <c r="C492"/>
      <c r="D492"/>
    </row>
    <row r="493" spans="3:4" x14ac:dyDescent="0.3">
      <c r="C493"/>
      <c r="D493"/>
    </row>
    <row r="494" spans="3:4" x14ac:dyDescent="0.3">
      <c r="C494"/>
      <c r="D494"/>
    </row>
    <row r="495" spans="3:4" x14ac:dyDescent="0.3">
      <c r="C495"/>
      <c r="D495"/>
    </row>
    <row r="496" spans="3:4" x14ac:dyDescent="0.3">
      <c r="C496"/>
      <c r="D496"/>
    </row>
    <row r="497" spans="3:4" x14ac:dyDescent="0.3">
      <c r="C497"/>
      <c r="D497"/>
    </row>
    <row r="498" spans="3:4" x14ac:dyDescent="0.3">
      <c r="C498"/>
      <c r="D498"/>
    </row>
    <row r="499" spans="3:4" x14ac:dyDescent="0.3">
      <c r="C499"/>
      <c r="D499"/>
    </row>
    <row r="500" spans="3:4" x14ac:dyDescent="0.3">
      <c r="C500"/>
      <c r="D500"/>
    </row>
    <row r="501" spans="3:4" x14ac:dyDescent="0.3">
      <c r="C501"/>
      <c r="D501"/>
    </row>
    <row r="502" spans="3:4" x14ac:dyDescent="0.3">
      <c r="C502"/>
      <c r="D502"/>
    </row>
    <row r="503" spans="3:4" x14ac:dyDescent="0.3">
      <c r="C503"/>
      <c r="D503"/>
    </row>
    <row r="504" spans="3:4" x14ac:dyDescent="0.3">
      <c r="C504"/>
      <c r="D504"/>
    </row>
    <row r="505" spans="3:4" x14ac:dyDescent="0.3">
      <c r="C505"/>
      <c r="D505"/>
    </row>
    <row r="506" spans="3:4" x14ac:dyDescent="0.3">
      <c r="C506"/>
      <c r="D506"/>
    </row>
    <row r="507" spans="3:4" x14ac:dyDescent="0.3">
      <c r="C507"/>
      <c r="D507"/>
    </row>
    <row r="508" spans="3:4" x14ac:dyDescent="0.3">
      <c r="C508"/>
      <c r="D508"/>
    </row>
    <row r="509" spans="3:4" x14ac:dyDescent="0.3">
      <c r="C509"/>
      <c r="D509"/>
    </row>
    <row r="510" spans="3:4" x14ac:dyDescent="0.3">
      <c r="C510"/>
      <c r="D510"/>
    </row>
    <row r="511" spans="3:4" x14ac:dyDescent="0.3">
      <c r="C511"/>
      <c r="D511"/>
    </row>
    <row r="512" spans="3:4" x14ac:dyDescent="0.3">
      <c r="C512"/>
      <c r="D512"/>
    </row>
    <row r="513" spans="3:4" x14ac:dyDescent="0.3">
      <c r="C513"/>
      <c r="D513"/>
    </row>
    <row r="514" spans="3:4" x14ac:dyDescent="0.3">
      <c r="C514"/>
      <c r="D514"/>
    </row>
    <row r="515" spans="3:4" x14ac:dyDescent="0.3">
      <c r="C515"/>
      <c r="D515"/>
    </row>
    <row r="516" spans="3:4" x14ac:dyDescent="0.3">
      <c r="C516"/>
      <c r="D516"/>
    </row>
    <row r="517" spans="3:4" x14ac:dyDescent="0.3">
      <c r="C517"/>
      <c r="D517"/>
    </row>
    <row r="518" spans="3:4" x14ac:dyDescent="0.3">
      <c r="C518"/>
      <c r="D518"/>
    </row>
    <row r="519" spans="3:4" x14ac:dyDescent="0.3">
      <c r="C519"/>
      <c r="D519"/>
    </row>
    <row r="520" spans="3:4" x14ac:dyDescent="0.3">
      <c r="C520"/>
      <c r="D520"/>
    </row>
    <row r="521" spans="3:4" x14ac:dyDescent="0.3">
      <c r="C521"/>
      <c r="D521"/>
    </row>
    <row r="522" spans="3:4" x14ac:dyDescent="0.3">
      <c r="C522"/>
      <c r="D522"/>
    </row>
    <row r="523" spans="3:4" x14ac:dyDescent="0.3">
      <c r="C523"/>
      <c r="D523"/>
    </row>
    <row r="524" spans="3:4" x14ac:dyDescent="0.3">
      <c r="C524"/>
      <c r="D524"/>
    </row>
    <row r="525" spans="3:4" x14ac:dyDescent="0.3">
      <c r="C525"/>
      <c r="D525"/>
    </row>
    <row r="526" spans="3:4" x14ac:dyDescent="0.3">
      <c r="C526"/>
      <c r="D526"/>
    </row>
    <row r="527" spans="3:4" x14ac:dyDescent="0.3">
      <c r="C527"/>
      <c r="D527"/>
    </row>
    <row r="528" spans="3:4" x14ac:dyDescent="0.3">
      <c r="C528"/>
      <c r="D528"/>
    </row>
    <row r="529" spans="3:4" x14ac:dyDescent="0.3">
      <c r="C529"/>
      <c r="D529"/>
    </row>
    <row r="530" spans="3:4" x14ac:dyDescent="0.3">
      <c r="C530"/>
      <c r="D530"/>
    </row>
    <row r="531" spans="3:4" x14ac:dyDescent="0.3">
      <c r="C531"/>
      <c r="D531"/>
    </row>
    <row r="532" spans="3:4" x14ac:dyDescent="0.3">
      <c r="C532"/>
      <c r="D532"/>
    </row>
    <row r="533" spans="3:4" x14ac:dyDescent="0.3">
      <c r="C533"/>
      <c r="D533"/>
    </row>
    <row r="534" spans="3:4" x14ac:dyDescent="0.3">
      <c r="C534"/>
      <c r="D534"/>
    </row>
    <row r="535" spans="3:4" x14ac:dyDescent="0.3">
      <c r="C535"/>
      <c r="D535"/>
    </row>
    <row r="536" spans="3:4" x14ac:dyDescent="0.3">
      <c r="C536"/>
      <c r="D536"/>
    </row>
    <row r="537" spans="3:4" x14ac:dyDescent="0.3">
      <c r="C537"/>
      <c r="D537"/>
    </row>
    <row r="538" spans="3:4" x14ac:dyDescent="0.3">
      <c r="C538"/>
      <c r="D538"/>
    </row>
    <row r="539" spans="3:4" x14ac:dyDescent="0.3">
      <c r="C539"/>
      <c r="D539"/>
    </row>
    <row r="540" spans="3:4" x14ac:dyDescent="0.3">
      <c r="C540"/>
      <c r="D540"/>
    </row>
    <row r="541" spans="3:4" x14ac:dyDescent="0.3">
      <c r="C541"/>
      <c r="D541"/>
    </row>
    <row r="542" spans="3:4" x14ac:dyDescent="0.3">
      <c r="C542"/>
      <c r="D542"/>
    </row>
    <row r="543" spans="3:4" x14ac:dyDescent="0.3">
      <c r="C543"/>
      <c r="D543"/>
    </row>
    <row r="544" spans="3:4" x14ac:dyDescent="0.3">
      <c r="C544"/>
      <c r="D544"/>
    </row>
    <row r="545" spans="3:4" x14ac:dyDescent="0.3">
      <c r="C545"/>
      <c r="D545"/>
    </row>
    <row r="546" spans="3:4" x14ac:dyDescent="0.3">
      <c r="C546"/>
      <c r="D546"/>
    </row>
    <row r="547" spans="3:4" x14ac:dyDescent="0.3">
      <c r="C547"/>
      <c r="D547"/>
    </row>
    <row r="548" spans="3:4" x14ac:dyDescent="0.3">
      <c r="C548"/>
      <c r="D548"/>
    </row>
    <row r="549" spans="3:4" x14ac:dyDescent="0.3">
      <c r="C549"/>
      <c r="D549"/>
    </row>
    <row r="550" spans="3:4" x14ac:dyDescent="0.3">
      <c r="C550"/>
      <c r="D550"/>
    </row>
    <row r="551" spans="3:4" x14ac:dyDescent="0.3">
      <c r="C551"/>
      <c r="D551"/>
    </row>
    <row r="552" spans="3:4" x14ac:dyDescent="0.3">
      <c r="C552"/>
      <c r="D552"/>
    </row>
    <row r="553" spans="3:4" x14ac:dyDescent="0.3">
      <c r="C553"/>
      <c r="D553"/>
    </row>
    <row r="554" spans="3:4" x14ac:dyDescent="0.3">
      <c r="C554"/>
      <c r="D554"/>
    </row>
    <row r="555" spans="3:4" x14ac:dyDescent="0.3">
      <c r="C555"/>
      <c r="D555"/>
    </row>
    <row r="556" spans="3:4" x14ac:dyDescent="0.3">
      <c r="C556"/>
      <c r="D556"/>
    </row>
    <row r="557" spans="3:4" x14ac:dyDescent="0.3">
      <c r="C557"/>
      <c r="D557"/>
    </row>
    <row r="558" spans="3:4" x14ac:dyDescent="0.3">
      <c r="C558"/>
      <c r="D558"/>
    </row>
    <row r="559" spans="3:4" x14ac:dyDescent="0.3">
      <c r="C559"/>
      <c r="D559"/>
    </row>
    <row r="560" spans="3:4" x14ac:dyDescent="0.3">
      <c r="C560"/>
      <c r="D560"/>
    </row>
    <row r="561" spans="3:4" x14ac:dyDescent="0.3">
      <c r="C561"/>
      <c r="D561"/>
    </row>
    <row r="562" spans="3:4" x14ac:dyDescent="0.3">
      <c r="C562"/>
      <c r="D562"/>
    </row>
    <row r="563" spans="3:4" x14ac:dyDescent="0.3">
      <c r="C563"/>
      <c r="D563"/>
    </row>
    <row r="564" spans="3:4" x14ac:dyDescent="0.3">
      <c r="C564"/>
      <c r="D564"/>
    </row>
    <row r="565" spans="3:4" x14ac:dyDescent="0.3">
      <c r="C565"/>
      <c r="D565"/>
    </row>
    <row r="566" spans="3:4" x14ac:dyDescent="0.3">
      <c r="C566"/>
      <c r="D566"/>
    </row>
    <row r="567" spans="3:4" x14ac:dyDescent="0.3">
      <c r="C567"/>
      <c r="D567"/>
    </row>
    <row r="568" spans="3:4" x14ac:dyDescent="0.3">
      <c r="C568"/>
      <c r="D568"/>
    </row>
    <row r="569" spans="3:4" x14ac:dyDescent="0.3">
      <c r="C569"/>
      <c r="D569"/>
    </row>
    <row r="570" spans="3:4" x14ac:dyDescent="0.3">
      <c r="C570"/>
      <c r="D570"/>
    </row>
    <row r="571" spans="3:4" x14ac:dyDescent="0.3">
      <c r="C571"/>
      <c r="D571"/>
    </row>
    <row r="572" spans="3:4" x14ac:dyDescent="0.3">
      <c r="C572"/>
      <c r="D572"/>
    </row>
    <row r="573" spans="3:4" x14ac:dyDescent="0.3">
      <c r="C573"/>
      <c r="D573"/>
    </row>
    <row r="574" spans="3:4" x14ac:dyDescent="0.3">
      <c r="C574"/>
      <c r="D574"/>
    </row>
    <row r="575" spans="3:4" x14ac:dyDescent="0.3">
      <c r="C575"/>
      <c r="D575"/>
    </row>
    <row r="576" spans="3:4" x14ac:dyDescent="0.3">
      <c r="C576"/>
      <c r="D576"/>
    </row>
    <row r="577" spans="3:4" x14ac:dyDescent="0.3">
      <c r="C577"/>
      <c r="D577"/>
    </row>
    <row r="578" spans="3:4" x14ac:dyDescent="0.3">
      <c r="C578"/>
      <c r="D578"/>
    </row>
    <row r="579" spans="3:4" x14ac:dyDescent="0.3">
      <c r="C579"/>
      <c r="D579"/>
    </row>
    <row r="580" spans="3:4" x14ac:dyDescent="0.3">
      <c r="C580"/>
      <c r="D580"/>
    </row>
    <row r="581" spans="3:4" x14ac:dyDescent="0.3">
      <c r="C581"/>
      <c r="D581"/>
    </row>
    <row r="582" spans="3:4" x14ac:dyDescent="0.3">
      <c r="C582"/>
      <c r="D582"/>
    </row>
    <row r="583" spans="3:4" x14ac:dyDescent="0.3">
      <c r="C583"/>
      <c r="D583"/>
    </row>
    <row r="584" spans="3:4" x14ac:dyDescent="0.3">
      <c r="C584"/>
      <c r="D584"/>
    </row>
    <row r="585" spans="3:4" x14ac:dyDescent="0.3">
      <c r="C585"/>
      <c r="D585"/>
    </row>
    <row r="586" spans="3:4" x14ac:dyDescent="0.3">
      <c r="C586"/>
      <c r="D586"/>
    </row>
    <row r="587" spans="3:4" x14ac:dyDescent="0.3">
      <c r="C587"/>
      <c r="D587"/>
    </row>
    <row r="588" spans="3:4" x14ac:dyDescent="0.3">
      <c r="C588"/>
      <c r="D588"/>
    </row>
    <row r="589" spans="3:4" x14ac:dyDescent="0.3">
      <c r="C589"/>
      <c r="D589"/>
    </row>
    <row r="590" spans="3:4" x14ac:dyDescent="0.3">
      <c r="C590"/>
      <c r="D590"/>
    </row>
    <row r="591" spans="3:4" x14ac:dyDescent="0.3">
      <c r="C591"/>
      <c r="D591"/>
    </row>
    <row r="592" spans="3:4" x14ac:dyDescent="0.3">
      <c r="C592"/>
      <c r="D592"/>
    </row>
    <row r="593" spans="3:4" x14ac:dyDescent="0.3">
      <c r="C593"/>
      <c r="D593"/>
    </row>
    <row r="594" spans="3:4" x14ac:dyDescent="0.3">
      <c r="C594"/>
      <c r="D594"/>
    </row>
    <row r="595" spans="3:4" x14ac:dyDescent="0.3">
      <c r="C595"/>
      <c r="D595"/>
    </row>
    <row r="596" spans="3:4" x14ac:dyDescent="0.3">
      <c r="C596"/>
      <c r="D596"/>
    </row>
    <row r="597" spans="3:4" x14ac:dyDescent="0.3">
      <c r="C597"/>
      <c r="D597"/>
    </row>
    <row r="598" spans="3:4" x14ac:dyDescent="0.3">
      <c r="C598"/>
      <c r="D598"/>
    </row>
    <row r="599" spans="3:4" x14ac:dyDescent="0.3">
      <c r="C599"/>
      <c r="D599"/>
    </row>
    <row r="600" spans="3:4" x14ac:dyDescent="0.3">
      <c r="C600"/>
      <c r="D600"/>
    </row>
    <row r="601" spans="3:4" x14ac:dyDescent="0.3">
      <c r="C601"/>
      <c r="D601"/>
    </row>
    <row r="602" spans="3:4" x14ac:dyDescent="0.3">
      <c r="C602"/>
      <c r="D602"/>
    </row>
    <row r="603" spans="3:4" x14ac:dyDescent="0.3">
      <c r="C603"/>
      <c r="D603"/>
    </row>
    <row r="604" spans="3:4" x14ac:dyDescent="0.3">
      <c r="C604"/>
      <c r="D604"/>
    </row>
    <row r="605" spans="3:4" x14ac:dyDescent="0.3">
      <c r="C605"/>
      <c r="D605"/>
    </row>
    <row r="606" spans="3:4" x14ac:dyDescent="0.3">
      <c r="C606"/>
      <c r="D606"/>
    </row>
    <row r="607" spans="3:4" x14ac:dyDescent="0.3">
      <c r="C607"/>
      <c r="D607"/>
    </row>
    <row r="608" spans="3:4" x14ac:dyDescent="0.3">
      <c r="C608"/>
      <c r="D608"/>
    </row>
    <row r="609" spans="3:4" x14ac:dyDescent="0.3">
      <c r="C609"/>
      <c r="D609"/>
    </row>
    <row r="610" spans="3:4" x14ac:dyDescent="0.3">
      <c r="C610"/>
      <c r="D610"/>
    </row>
    <row r="611" spans="3:4" x14ac:dyDescent="0.3">
      <c r="C611"/>
      <c r="D611"/>
    </row>
    <row r="612" spans="3:4" x14ac:dyDescent="0.3">
      <c r="C612"/>
      <c r="D612"/>
    </row>
    <row r="613" spans="3:4" x14ac:dyDescent="0.3">
      <c r="C613"/>
      <c r="D613"/>
    </row>
    <row r="614" spans="3:4" x14ac:dyDescent="0.3">
      <c r="C614"/>
      <c r="D614"/>
    </row>
    <row r="615" spans="3:4" x14ac:dyDescent="0.3">
      <c r="C615"/>
      <c r="D615"/>
    </row>
    <row r="616" spans="3:4" x14ac:dyDescent="0.3">
      <c r="C616"/>
      <c r="D616"/>
    </row>
    <row r="617" spans="3:4" x14ac:dyDescent="0.3">
      <c r="C617"/>
      <c r="D617"/>
    </row>
    <row r="618" spans="3:4" x14ac:dyDescent="0.3">
      <c r="C618"/>
      <c r="D618"/>
    </row>
    <row r="619" spans="3:4" x14ac:dyDescent="0.3">
      <c r="C619"/>
      <c r="D619"/>
    </row>
    <row r="620" spans="3:4" x14ac:dyDescent="0.3">
      <c r="C620"/>
      <c r="D620"/>
    </row>
    <row r="621" spans="3:4" x14ac:dyDescent="0.3">
      <c r="C621"/>
      <c r="D621"/>
    </row>
    <row r="622" spans="3:4" x14ac:dyDescent="0.3">
      <c r="C622"/>
      <c r="D622"/>
    </row>
    <row r="623" spans="3:4" x14ac:dyDescent="0.3">
      <c r="C623"/>
      <c r="D623"/>
    </row>
    <row r="624" spans="3:4" x14ac:dyDescent="0.3">
      <c r="C624"/>
      <c r="D624"/>
    </row>
    <row r="625" spans="3:4" x14ac:dyDescent="0.3">
      <c r="C625"/>
      <c r="D625"/>
    </row>
    <row r="626" spans="3:4" x14ac:dyDescent="0.3">
      <c r="C626"/>
      <c r="D626"/>
    </row>
    <row r="627" spans="3:4" x14ac:dyDescent="0.3">
      <c r="C627"/>
      <c r="D627"/>
    </row>
    <row r="628" spans="3:4" x14ac:dyDescent="0.3">
      <c r="C628"/>
      <c r="D628"/>
    </row>
    <row r="629" spans="3:4" x14ac:dyDescent="0.3">
      <c r="C629"/>
      <c r="D629"/>
    </row>
    <row r="630" spans="3:4" x14ac:dyDescent="0.3">
      <c r="C630"/>
      <c r="D630"/>
    </row>
    <row r="631" spans="3:4" x14ac:dyDescent="0.3">
      <c r="C631"/>
      <c r="D631"/>
    </row>
    <row r="632" spans="3:4" x14ac:dyDescent="0.3">
      <c r="C632"/>
      <c r="D632"/>
    </row>
    <row r="633" spans="3:4" x14ac:dyDescent="0.3">
      <c r="C633"/>
      <c r="D633"/>
    </row>
    <row r="634" spans="3:4" x14ac:dyDescent="0.3">
      <c r="C634"/>
      <c r="D634"/>
    </row>
    <row r="635" spans="3:4" x14ac:dyDescent="0.3">
      <c r="C635"/>
      <c r="D635"/>
    </row>
    <row r="636" spans="3:4" x14ac:dyDescent="0.3">
      <c r="C636"/>
      <c r="D636"/>
    </row>
    <row r="637" spans="3:4" x14ac:dyDescent="0.3">
      <c r="C637"/>
      <c r="D637"/>
    </row>
    <row r="638" spans="3:4" x14ac:dyDescent="0.3">
      <c r="C638"/>
      <c r="D638"/>
    </row>
    <row r="639" spans="3:4" x14ac:dyDescent="0.3">
      <c r="C639"/>
      <c r="D639"/>
    </row>
    <row r="640" spans="3:4" x14ac:dyDescent="0.3">
      <c r="C640"/>
      <c r="D640"/>
    </row>
    <row r="641" spans="3:4" x14ac:dyDescent="0.3">
      <c r="C641"/>
      <c r="D641"/>
    </row>
    <row r="642" spans="3:4" x14ac:dyDescent="0.3">
      <c r="C642"/>
      <c r="D642"/>
    </row>
    <row r="643" spans="3:4" x14ac:dyDescent="0.3">
      <c r="C643"/>
      <c r="D643"/>
    </row>
    <row r="644" spans="3:4" x14ac:dyDescent="0.3">
      <c r="C644"/>
      <c r="D644"/>
    </row>
    <row r="645" spans="3:4" x14ac:dyDescent="0.3">
      <c r="C645"/>
      <c r="D645"/>
    </row>
    <row r="646" spans="3:4" x14ac:dyDescent="0.3">
      <c r="C646"/>
      <c r="D646"/>
    </row>
    <row r="647" spans="3:4" x14ac:dyDescent="0.3">
      <c r="C647"/>
      <c r="D647"/>
    </row>
    <row r="648" spans="3:4" x14ac:dyDescent="0.3">
      <c r="C648"/>
      <c r="D648"/>
    </row>
    <row r="649" spans="3:4" x14ac:dyDescent="0.3">
      <c r="C649"/>
      <c r="D649"/>
    </row>
    <row r="650" spans="3:4" x14ac:dyDescent="0.3">
      <c r="C650"/>
      <c r="D650"/>
    </row>
    <row r="651" spans="3:4" x14ac:dyDescent="0.3">
      <c r="C651"/>
      <c r="D651"/>
    </row>
    <row r="652" spans="3:4" x14ac:dyDescent="0.3">
      <c r="C652"/>
      <c r="D652"/>
    </row>
    <row r="653" spans="3:4" x14ac:dyDescent="0.3">
      <c r="C653"/>
      <c r="D653"/>
    </row>
    <row r="654" spans="3:4" x14ac:dyDescent="0.3">
      <c r="C654"/>
      <c r="D654"/>
    </row>
    <row r="655" spans="3:4" x14ac:dyDescent="0.3">
      <c r="C655"/>
      <c r="D655"/>
    </row>
    <row r="656" spans="3:4" x14ac:dyDescent="0.3">
      <c r="C656"/>
      <c r="D656"/>
    </row>
    <row r="657" spans="3:4" x14ac:dyDescent="0.3">
      <c r="C657"/>
      <c r="D657"/>
    </row>
    <row r="658" spans="3:4" x14ac:dyDescent="0.3">
      <c r="C658"/>
      <c r="D658"/>
    </row>
    <row r="659" spans="3:4" x14ac:dyDescent="0.3">
      <c r="C659"/>
      <c r="D659"/>
    </row>
    <row r="660" spans="3:4" x14ac:dyDescent="0.3">
      <c r="C660"/>
      <c r="D660"/>
    </row>
    <row r="661" spans="3:4" x14ac:dyDescent="0.3">
      <c r="C661"/>
      <c r="D661"/>
    </row>
    <row r="662" spans="3:4" x14ac:dyDescent="0.3">
      <c r="C662"/>
      <c r="D662"/>
    </row>
    <row r="663" spans="3:4" x14ac:dyDescent="0.3">
      <c r="C663"/>
      <c r="D663"/>
    </row>
    <row r="664" spans="3:4" x14ac:dyDescent="0.3">
      <c r="C664"/>
      <c r="D664"/>
    </row>
    <row r="665" spans="3:4" x14ac:dyDescent="0.3">
      <c r="C665"/>
      <c r="D665"/>
    </row>
    <row r="666" spans="3:4" x14ac:dyDescent="0.3">
      <c r="C666"/>
      <c r="D666"/>
    </row>
    <row r="667" spans="3:4" x14ac:dyDescent="0.3">
      <c r="C667"/>
      <c r="D667"/>
    </row>
    <row r="668" spans="3:4" x14ac:dyDescent="0.3">
      <c r="C668"/>
      <c r="D668"/>
    </row>
    <row r="669" spans="3:4" x14ac:dyDescent="0.3">
      <c r="C669"/>
      <c r="D669"/>
    </row>
    <row r="670" spans="3:4" x14ac:dyDescent="0.3">
      <c r="C670"/>
      <c r="D670"/>
    </row>
    <row r="671" spans="3:4" x14ac:dyDescent="0.3">
      <c r="C671"/>
      <c r="D671"/>
    </row>
    <row r="672" spans="3:4" x14ac:dyDescent="0.3">
      <c r="C672"/>
      <c r="D672"/>
    </row>
    <row r="673" spans="3:4" x14ac:dyDescent="0.3">
      <c r="C673"/>
      <c r="D673"/>
    </row>
    <row r="674" spans="3:4" x14ac:dyDescent="0.3">
      <c r="C674"/>
      <c r="D674"/>
    </row>
    <row r="675" spans="3:4" x14ac:dyDescent="0.3">
      <c r="C675"/>
      <c r="D675"/>
    </row>
    <row r="676" spans="3:4" x14ac:dyDescent="0.3">
      <c r="C676"/>
      <c r="D676"/>
    </row>
    <row r="677" spans="3:4" x14ac:dyDescent="0.3">
      <c r="C677"/>
      <c r="D677"/>
    </row>
    <row r="678" spans="3:4" x14ac:dyDescent="0.3">
      <c r="C678"/>
      <c r="D678"/>
    </row>
    <row r="679" spans="3:4" x14ac:dyDescent="0.3">
      <c r="C679"/>
      <c r="D679"/>
    </row>
    <row r="680" spans="3:4" x14ac:dyDescent="0.3">
      <c r="C680"/>
      <c r="D680"/>
    </row>
    <row r="681" spans="3:4" x14ac:dyDescent="0.3">
      <c r="C681"/>
      <c r="D681"/>
    </row>
    <row r="682" spans="3:4" x14ac:dyDescent="0.3">
      <c r="C682"/>
      <c r="D682"/>
    </row>
    <row r="683" spans="3:4" x14ac:dyDescent="0.3">
      <c r="C683"/>
      <c r="D683"/>
    </row>
    <row r="684" spans="3:4" x14ac:dyDescent="0.3">
      <c r="C684"/>
      <c r="D684"/>
    </row>
    <row r="685" spans="3:4" x14ac:dyDescent="0.3">
      <c r="C685"/>
      <c r="D685"/>
    </row>
    <row r="686" spans="3:4" x14ac:dyDescent="0.3">
      <c r="C686"/>
      <c r="D686"/>
    </row>
    <row r="687" spans="3:4" x14ac:dyDescent="0.3">
      <c r="C687"/>
      <c r="D687"/>
    </row>
    <row r="688" spans="3:4" x14ac:dyDescent="0.3">
      <c r="C688"/>
      <c r="D688"/>
    </row>
    <row r="689" spans="3:4" x14ac:dyDescent="0.3">
      <c r="C689"/>
      <c r="D689"/>
    </row>
    <row r="690" spans="3:4" x14ac:dyDescent="0.3">
      <c r="C690"/>
      <c r="D690"/>
    </row>
    <row r="691" spans="3:4" x14ac:dyDescent="0.3">
      <c r="C691"/>
      <c r="D691"/>
    </row>
    <row r="692" spans="3:4" x14ac:dyDescent="0.3">
      <c r="C692"/>
      <c r="D692"/>
    </row>
    <row r="693" spans="3:4" x14ac:dyDescent="0.3">
      <c r="C693"/>
      <c r="D693"/>
    </row>
    <row r="694" spans="3:4" x14ac:dyDescent="0.3">
      <c r="C694"/>
      <c r="D694"/>
    </row>
    <row r="695" spans="3:4" x14ac:dyDescent="0.3">
      <c r="C695"/>
      <c r="D695"/>
    </row>
    <row r="696" spans="3:4" x14ac:dyDescent="0.3">
      <c r="C696"/>
      <c r="D696"/>
    </row>
    <row r="697" spans="3:4" x14ac:dyDescent="0.3">
      <c r="C697"/>
      <c r="D697"/>
    </row>
    <row r="698" spans="3:4" x14ac:dyDescent="0.3">
      <c r="C698"/>
      <c r="D698"/>
    </row>
    <row r="699" spans="3:4" x14ac:dyDescent="0.3">
      <c r="C699"/>
      <c r="D699"/>
    </row>
    <row r="700" spans="3:4" x14ac:dyDescent="0.3">
      <c r="C700"/>
      <c r="D700"/>
    </row>
    <row r="701" spans="3:4" x14ac:dyDescent="0.3">
      <c r="C701"/>
      <c r="D701"/>
    </row>
    <row r="702" spans="3:4" x14ac:dyDescent="0.3">
      <c r="C702"/>
      <c r="D702"/>
    </row>
    <row r="703" spans="3:4" x14ac:dyDescent="0.3">
      <c r="C703"/>
      <c r="D703"/>
    </row>
    <row r="704" spans="3:4" x14ac:dyDescent="0.3">
      <c r="C704"/>
      <c r="D704"/>
    </row>
    <row r="705" spans="3:4" x14ac:dyDescent="0.3">
      <c r="C705"/>
      <c r="D705"/>
    </row>
    <row r="706" spans="3:4" x14ac:dyDescent="0.3">
      <c r="C706"/>
      <c r="D706"/>
    </row>
    <row r="707" spans="3:4" x14ac:dyDescent="0.3">
      <c r="C707"/>
      <c r="D707"/>
    </row>
    <row r="708" spans="3:4" x14ac:dyDescent="0.3">
      <c r="C708"/>
      <c r="D708"/>
    </row>
    <row r="709" spans="3:4" x14ac:dyDescent="0.3">
      <c r="C709"/>
      <c r="D709"/>
    </row>
    <row r="710" spans="3:4" x14ac:dyDescent="0.3">
      <c r="C710"/>
      <c r="D710"/>
    </row>
    <row r="711" spans="3:4" x14ac:dyDescent="0.3">
      <c r="C711"/>
      <c r="D711"/>
    </row>
    <row r="712" spans="3:4" x14ac:dyDescent="0.3">
      <c r="C712"/>
      <c r="D712"/>
    </row>
    <row r="713" spans="3:4" x14ac:dyDescent="0.3">
      <c r="C713"/>
      <c r="D713"/>
    </row>
    <row r="714" spans="3:4" x14ac:dyDescent="0.3">
      <c r="C714"/>
      <c r="D714"/>
    </row>
    <row r="715" spans="3:4" x14ac:dyDescent="0.3">
      <c r="C715"/>
      <c r="D715"/>
    </row>
    <row r="716" spans="3:4" x14ac:dyDescent="0.3">
      <c r="C716"/>
      <c r="D716"/>
    </row>
    <row r="717" spans="3:4" x14ac:dyDescent="0.3">
      <c r="C717"/>
      <c r="D717"/>
    </row>
    <row r="718" spans="3:4" x14ac:dyDescent="0.3">
      <c r="C718"/>
      <c r="D718"/>
    </row>
    <row r="719" spans="3:4" x14ac:dyDescent="0.3">
      <c r="C719"/>
      <c r="D719"/>
    </row>
    <row r="720" spans="3:4" x14ac:dyDescent="0.3">
      <c r="C720"/>
      <c r="D720"/>
    </row>
    <row r="721" spans="3:4" x14ac:dyDescent="0.3">
      <c r="C721"/>
      <c r="D721"/>
    </row>
    <row r="722" spans="3:4" x14ac:dyDescent="0.3">
      <c r="C722"/>
      <c r="D722"/>
    </row>
    <row r="723" spans="3:4" x14ac:dyDescent="0.3">
      <c r="C723"/>
      <c r="D723"/>
    </row>
    <row r="724" spans="3:4" x14ac:dyDescent="0.3">
      <c r="C724"/>
      <c r="D724"/>
    </row>
    <row r="725" spans="3:4" x14ac:dyDescent="0.3">
      <c r="C725"/>
      <c r="D725"/>
    </row>
    <row r="726" spans="3:4" x14ac:dyDescent="0.3">
      <c r="C726"/>
      <c r="D726"/>
    </row>
    <row r="727" spans="3:4" x14ac:dyDescent="0.3">
      <c r="C727"/>
      <c r="D727"/>
    </row>
    <row r="728" spans="3:4" x14ac:dyDescent="0.3">
      <c r="C728"/>
      <c r="D728"/>
    </row>
    <row r="729" spans="3:4" x14ac:dyDescent="0.3">
      <c r="C729"/>
      <c r="D729"/>
    </row>
    <row r="730" spans="3:4" x14ac:dyDescent="0.3">
      <c r="C730"/>
      <c r="D730"/>
    </row>
    <row r="731" spans="3:4" x14ac:dyDescent="0.3">
      <c r="C731"/>
      <c r="D731"/>
    </row>
    <row r="732" spans="3:4" x14ac:dyDescent="0.3">
      <c r="C732"/>
      <c r="D732"/>
    </row>
    <row r="733" spans="3:4" x14ac:dyDescent="0.3">
      <c r="C733"/>
      <c r="D733"/>
    </row>
    <row r="734" spans="3:4" x14ac:dyDescent="0.3">
      <c r="C734"/>
      <c r="D734"/>
    </row>
    <row r="735" spans="3:4" x14ac:dyDescent="0.3">
      <c r="C735"/>
      <c r="D735"/>
    </row>
    <row r="736" spans="3:4" x14ac:dyDescent="0.3">
      <c r="C736"/>
      <c r="D736"/>
    </row>
    <row r="737" spans="3:4" x14ac:dyDescent="0.3">
      <c r="C737"/>
      <c r="D737"/>
    </row>
    <row r="738" spans="3:4" x14ac:dyDescent="0.3">
      <c r="C738"/>
      <c r="D738"/>
    </row>
    <row r="739" spans="3:4" x14ac:dyDescent="0.3">
      <c r="C739"/>
      <c r="D739"/>
    </row>
    <row r="740" spans="3:4" x14ac:dyDescent="0.3">
      <c r="C740"/>
      <c r="D740"/>
    </row>
    <row r="741" spans="3:4" x14ac:dyDescent="0.3">
      <c r="C741"/>
      <c r="D741"/>
    </row>
    <row r="742" spans="3:4" x14ac:dyDescent="0.3">
      <c r="C742"/>
      <c r="D742"/>
    </row>
    <row r="743" spans="3:4" x14ac:dyDescent="0.3">
      <c r="C743"/>
      <c r="D743"/>
    </row>
    <row r="744" spans="3:4" x14ac:dyDescent="0.3">
      <c r="C744"/>
      <c r="D744"/>
    </row>
    <row r="745" spans="3:4" x14ac:dyDescent="0.3">
      <c r="C745"/>
      <c r="D745"/>
    </row>
    <row r="746" spans="3:4" x14ac:dyDescent="0.3">
      <c r="C746"/>
      <c r="D746"/>
    </row>
    <row r="747" spans="3:4" x14ac:dyDescent="0.3">
      <c r="C747"/>
      <c r="D747"/>
    </row>
    <row r="748" spans="3:4" x14ac:dyDescent="0.3">
      <c r="C748"/>
      <c r="D748"/>
    </row>
    <row r="749" spans="3:4" x14ac:dyDescent="0.3">
      <c r="C749"/>
      <c r="D749"/>
    </row>
    <row r="750" spans="3:4" x14ac:dyDescent="0.3">
      <c r="C750"/>
      <c r="D750"/>
    </row>
    <row r="751" spans="3:4" x14ac:dyDescent="0.3">
      <c r="C751"/>
      <c r="D751"/>
    </row>
    <row r="752" spans="3:4" x14ac:dyDescent="0.3">
      <c r="C752"/>
      <c r="D752"/>
    </row>
    <row r="753" spans="3:4" x14ac:dyDescent="0.3">
      <c r="C753"/>
      <c r="D753"/>
    </row>
    <row r="754" spans="3:4" x14ac:dyDescent="0.3">
      <c r="C754"/>
      <c r="D754"/>
    </row>
    <row r="755" spans="3:4" x14ac:dyDescent="0.3">
      <c r="C755"/>
      <c r="D755"/>
    </row>
    <row r="756" spans="3:4" x14ac:dyDescent="0.3">
      <c r="C756"/>
      <c r="D756"/>
    </row>
    <row r="757" spans="3:4" x14ac:dyDescent="0.3">
      <c r="C757"/>
      <c r="D757"/>
    </row>
    <row r="758" spans="3:4" x14ac:dyDescent="0.3">
      <c r="C758"/>
      <c r="D758"/>
    </row>
    <row r="759" spans="3:4" x14ac:dyDescent="0.3">
      <c r="C759"/>
      <c r="D759"/>
    </row>
    <row r="760" spans="3:4" x14ac:dyDescent="0.3">
      <c r="C760"/>
      <c r="D760"/>
    </row>
    <row r="761" spans="3:4" x14ac:dyDescent="0.3">
      <c r="C761"/>
      <c r="D761"/>
    </row>
    <row r="762" spans="3:4" x14ac:dyDescent="0.3">
      <c r="C762"/>
      <c r="D762"/>
    </row>
    <row r="763" spans="3:4" x14ac:dyDescent="0.3">
      <c r="C763"/>
      <c r="D763"/>
    </row>
    <row r="764" spans="3:4" x14ac:dyDescent="0.3">
      <c r="C764"/>
      <c r="D764"/>
    </row>
    <row r="765" spans="3:4" x14ac:dyDescent="0.3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7620</xdr:colOff>
                    <xdr:row>1</xdr:row>
                    <xdr:rowOff>38100</xdr:rowOff>
                  </from>
                  <to>
                    <xdr:col>6</xdr:col>
                    <xdr:colOff>1097280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3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44"/>
  <sheetViews>
    <sheetView tabSelected="1" zoomScale="85" zoomScaleNormal="85" workbookViewId="0">
      <pane ySplit="1" topLeftCell="A900" activePane="bottomLeft" state="frozen"/>
      <selection activeCell="F1" sqref="F1"/>
      <selection pane="bottomLeft" activeCell="X938" sqref="X938"/>
    </sheetView>
  </sheetViews>
  <sheetFormatPr defaultRowHeight="14.4" x14ac:dyDescent="0.3"/>
  <cols>
    <col min="1" max="1" width="15" customWidth="1"/>
    <col min="2" max="2" width="37.5546875" customWidth="1"/>
    <col min="3" max="3" width="13.6640625" customWidth="1"/>
    <col min="4" max="4" width="20.44140625" customWidth="1"/>
    <col min="5" max="5" width="24.6640625" style="2" customWidth="1"/>
    <col min="6" max="6" width="20.33203125" style="38" hidden="1" customWidth="1"/>
    <col min="7" max="7" width="11.5546875" style="36" hidden="1" customWidth="1"/>
    <col min="8" max="8" width="14.5546875" style="36" hidden="1" customWidth="1"/>
    <col min="9" max="9" width="9.5546875" style="36" hidden="1" customWidth="1"/>
    <col min="10" max="10" width="8.33203125" style="36" hidden="1" customWidth="1"/>
    <col min="11" max="11" width="10.88671875" style="36" hidden="1" customWidth="1"/>
    <col min="12" max="13" width="9.109375" style="36" hidden="1" customWidth="1"/>
    <col min="14" max="14" width="11.44140625" style="36" hidden="1" customWidth="1"/>
    <col min="15" max="15" width="13" style="36" hidden="1" customWidth="1"/>
    <col min="16" max="16" width="10.44140625" style="36" hidden="1" customWidth="1"/>
    <col min="17" max="19" width="12.5546875" style="36" hidden="1" customWidth="1"/>
    <col min="20" max="20" width="11.88671875" style="41" bestFit="1" customWidth="1"/>
    <col min="21" max="21" width="50.109375" style="5" customWidth="1"/>
    <col min="22" max="22" width="9.33203125" style="36" hidden="1" customWidth="1"/>
    <col min="23" max="23" width="6.6640625" style="36" hidden="1" customWidth="1"/>
    <col min="24" max="24" width="22" customWidth="1"/>
    <col min="25" max="25" width="31.5546875" bestFit="1" customWidth="1"/>
    <col min="26" max="26" width="16.109375" style="2" customWidth="1"/>
    <col min="27" max="27" width="12.33203125" style="43" customWidth="1"/>
  </cols>
  <sheetData>
    <row r="1" spans="1:28" x14ac:dyDescent="0.3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3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3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3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3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3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3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3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3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3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3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3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3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3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3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3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3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3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3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3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3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3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3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3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3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3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3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3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3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3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3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3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3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3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3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3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3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3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3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3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3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3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3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3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3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3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x14ac:dyDescent="0.3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3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3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3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3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3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3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3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3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3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3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3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3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3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3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3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3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3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3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3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3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3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x14ac:dyDescent="0.3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3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x14ac:dyDescent="0.3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3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3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3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3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3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3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3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3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3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3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x14ac:dyDescent="0.3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3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3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3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3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3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3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3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3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3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3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3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3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3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3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3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3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3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3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3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3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3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3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3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3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3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3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3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3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3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3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3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3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3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3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3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3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3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3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3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3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3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3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3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3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3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3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3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3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3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3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3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3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3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x14ac:dyDescent="0.3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3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3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3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3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3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3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3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3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3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3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3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3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3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3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3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3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3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3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3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3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3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3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3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x14ac:dyDescent="0.3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3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3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3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3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3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3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x14ac:dyDescent="0.3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3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3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3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3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3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3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3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3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3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3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3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3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3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3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3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3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3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3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3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3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3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3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3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3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3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3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3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3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3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3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3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3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3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3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3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3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3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3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3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3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3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3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3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3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3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x14ac:dyDescent="0.3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3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3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x14ac:dyDescent="0.3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3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3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3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3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3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3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x14ac:dyDescent="0.3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3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3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3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3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3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3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3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3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3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3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3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3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3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3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3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3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3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3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3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3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3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3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3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3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3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3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3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3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3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3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3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3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3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3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3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3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3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3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3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3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3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x14ac:dyDescent="0.3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3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3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3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3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3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3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3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3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3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3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3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3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3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3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3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3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3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3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x14ac:dyDescent="0.3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3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3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3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3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3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3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3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3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x14ac:dyDescent="0.3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x14ac:dyDescent="0.3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x14ac:dyDescent="0.3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x14ac:dyDescent="0.3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x14ac:dyDescent="0.3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x14ac:dyDescent="0.3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x14ac:dyDescent="0.3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3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x14ac:dyDescent="0.3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x14ac:dyDescent="0.3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3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x14ac:dyDescent="0.3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x14ac:dyDescent="0.3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x14ac:dyDescent="0.3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x14ac:dyDescent="0.3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x14ac:dyDescent="0.3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x14ac:dyDescent="0.3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3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x14ac:dyDescent="0.3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x14ac:dyDescent="0.3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x14ac:dyDescent="0.3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x14ac:dyDescent="0.3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3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x14ac:dyDescent="0.3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x14ac:dyDescent="0.3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3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3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x14ac:dyDescent="0.3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3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x14ac:dyDescent="0.3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x14ac:dyDescent="0.3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x14ac:dyDescent="0.3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x14ac:dyDescent="0.3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x14ac:dyDescent="0.3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3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x14ac:dyDescent="0.3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x14ac:dyDescent="0.3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x14ac:dyDescent="0.3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3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3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x14ac:dyDescent="0.3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x14ac:dyDescent="0.3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3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3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x14ac:dyDescent="0.3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x14ac:dyDescent="0.3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3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x14ac:dyDescent="0.3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x14ac:dyDescent="0.3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x14ac:dyDescent="0.3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3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x14ac:dyDescent="0.3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x14ac:dyDescent="0.3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x14ac:dyDescent="0.3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x14ac:dyDescent="0.3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x14ac:dyDescent="0.3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x14ac:dyDescent="0.3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x14ac:dyDescent="0.3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x14ac:dyDescent="0.3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x14ac:dyDescent="0.3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x14ac:dyDescent="0.3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x14ac:dyDescent="0.3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x14ac:dyDescent="0.3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3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x14ac:dyDescent="0.3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x14ac:dyDescent="0.3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x14ac:dyDescent="0.3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x14ac:dyDescent="0.3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x14ac:dyDescent="0.3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x14ac:dyDescent="0.3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3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x14ac:dyDescent="0.3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x14ac:dyDescent="0.3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x14ac:dyDescent="0.3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3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3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3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3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3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3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3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3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3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3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3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3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3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3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3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3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3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x14ac:dyDescent="0.3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x14ac:dyDescent="0.3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x14ac:dyDescent="0.3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x14ac:dyDescent="0.3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x14ac:dyDescent="0.3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x14ac:dyDescent="0.3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x14ac:dyDescent="0.3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x14ac:dyDescent="0.3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x14ac:dyDescent="0.3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x14ac:dyDescent="0.3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x14ac:dyDescent="0.3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x14ac:dyDescent="0.3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x14ac:dyDescent="0.3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x14ac:dyDescent="0.3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x14ac:dyDescent="0.3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x14ac:dyDescent="0.3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x14ac:dyDescent="0.3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x14ac:dyDescent="0.3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x14ac:dyDescent="0.3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x14ac:dyDescent="0.3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x14ac:dyDescent="0.3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x14ac:dyDescent="0.3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x14ac:dyDescent="0.3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x14ac:dyDescent="0.3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x14ac:dyDescent="0.3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x14ac:dyDescent="0.3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x14ac:dyDescent="0.3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x14ac:dyDescent="0.3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x14ac:dyDescent="0.3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3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3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3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x14ac:dyDescent="0.3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x14ac:dyDescent="0.3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x14ac:dyDescent="0.3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3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x14ac:dyDescent="0.3">
      <c r="A892">
        <v>41619</v>
      </c>
      <c r="B892" t="str">
        <f>_xlfn.CONCAT(bron[[#This Row],[personeelsnr]]," ",bron[[#This Row],[achternaam]]," ",bron[[#This Row],[voornaam]])</f>
        <v>41619 Bachiri Ousama</v>
      </c>
      <c r="C892" t="str">
        <f>VLOOKUP(bron[[#This Row],[personeelsnr]],'data hastus'!$A:$C,2,0)</f>
        <v>Bachiri</v>
      </c>
      <c r="D892" t="str">
        <f>VLOOKUP(bron[[#This Row],[personeelsnr]],'data hastus'!$A:$C,3,0)</f>
        <v>Ousama</v>
      </c>
      <c r="E892" s="2" t="str">
        <f>VLOOKUP(bron[[#This Row],[personeelsnr]],'data hastus'!A:K,11,FALSE)</f>
        <v>Bart Van Der Beken</v>
      </c>
      <c r="G892" s="39"/>
      <c r="H892" s="39"/>
      <c r="I892" s="39"/>
      <c r="S892" s="36">
        <f>SUM(bron[[#This Row],[Januari]:[December]])</f>
        <v>0</v>
      </c>
      <c r="T892" s="41">
        <v>45933</v>
      </c>
      <c r="U892" s="5" t="s">
        <v>3703</v>
      </c>
      <c r="V892" s="37"/>
      <c r="W892" s="37"/>
      <c r="X892" t="s">
        <v>3513</v>
      </c>
      <c r="Y892" t="s">
        <v>51</v>
      </c>
      <c r="Z892" s="2">
        <v>5042</v>
      </c>
      <c r="AA892" s="43" t="s">
        <v>3558</v>
      </c>
    </row>
    <row r="893" spans="1:27" x14ac:dyDescent="0.3">
      <c r="A893">
        <v>41948</v>
      </c>
      <c r="B893" t="str">
        <f>_xlfn.CONCAT(bron[[#This Row],[personeelsnr]]," ",bron[[#This Row],[achternaam]]," ",bron[[#This Row],[voornaam]])</f>
        <v>41948 Vervaecke Wim</v>
      </c>
      <c r="C893" t="str">
        <f>VLOOKUP(bron[[#This Row],[personeelsnr]],'data hastus'!$A:$C,2,0)</f>
        <v>Vervaecke</v>
      </c>
      <c r="D893" t="str">
        <f>VLOOKUP(bron[[#This Row],[personeelsnr]],'data hastus'!$A:$C,3,0)</f>
        <v>Wim</v>
      </c>
      <c r="E893" s="2" t="str">
        <f>VLOOKUP(bron[[#This Row],[personeelsnr]],'data hastus'!A:K,11,FALSE)</f>
        <v>Els Dewulf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3655</v>
      </c>
      <c r="V893" s="37"/>
      <c r="W893" s="37"/>
      <c r="X893" t="s">
        <v>3512</v>
      </c>
      <c r="Y893" t="s">
        <v>578</v>
      </c>
      <c r="Z893" s="2">
        <v>2548</v>
      </c>
      <c r="AA893" s="43" t="s">
        <v>3558</v>
      </c>
    </row>
    <row r="894" spans="1:27" x14ac:dyDescent="0.3">
      <c r="A894">
        <v>38555</v>
      </c>
      <c r="B894" t="str">
        <f>_xlfn.CONCAT(bron[[#This Row],[personeelsnr]]," ",bron[[#This Row],[achternaam]]," ",bron[[#This Row],[voornaam]])</f>
        <v>38555 Almohammad Malek</v>
      </c>
      <c r="C894" t="str">
        <f>VLOOKUP(bron[[#This Row],[personeelsnr]],'data hastus'!$A:$C,2,0)</f>
        <v>Almohammad</v>
      </c>
      <c r="D894" t="str">
        <f>VLOOKUP(bron[[#This Row],[personeelsnr]],'data hastus'!$A:$C,3,0)</f>
        <v>Malek</v>
      </c>
      <c r="E894" s="2" t="str">
        <f>VLOOKUP(bron[[#This Row],[personeelsnr]],'data hastus'!A:K,11,FALSE)</f>
        <v>Els Vanhoe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3657</v>
      </c>
      <c r="V894" s="37"/>
      <c r="W894" s="37"/>
      <c r="X894" t="s">
        <v>3513</v>
      </c>
      <c r="Y894" t="s">
        <v>3658</v>
      </c>
      <c r="Z894" s="2">
        <v>5044</v>
      </c>
      <c r="AA894" s="43" t="s">
        <v>3558</v>
      </c>
    </row>
    <row r="895" spans="1:27" x14ac:dyDescent="0.3">
      <c r="A895">
        <v>32611</v>
      </c>
      <c r="B895" t="str">
        <f>_xlfn.CONCAT(bron[[#This Row],[personeelsnr]]," ",bron[[#This Row],[achternaam]]," ",bron[[#This Row],[voornaam]])</f>
        <v>32611 Özer Özgur</v>
      </c>
      <c r="C895" t="str">
        <f>VLOOKUP(bron[[#This Row],[personeelsnr]],'data hastus'!$A:$C,2,0)</f>
        <v>Özer</v>
      </c>
      <c r="D895" t="str">
        <f>VLOOKUP(bron[[#This Row],[personeelsnr]],'data hastus'!$A:$C,3,0)</f>
        <v>Özgur</v>
      </c>
      <c r="E895" s="2" t="str">
        <f>VLOOKUP(bron[[#This Row],[personeelsnr]],'data hastus'!A:K,11,FALSE)</f>
        <v>Kenneth De Rick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3706</v>
      </c>
      <c r="V895" s="37"/>
      <c r="W895" s="37"/>
      <c r="X895" t="s">
        <v>3547</v>
      </c>
      <c r="Y895" t="s">
        <v>169</v>
      </c>
      <c r="Z895" s="2">
        <v>6315</v>
      </c>
      <c r="AA895" s="43" t="s">
        <v>3558</v>
      </c>
    </row>
    <row r="896" spans="1:27" x14ac:dyDescent="0.3">
      <c r="A896">
        <v>41520</v>
      </c>
      <c r="B896" t="str">
        <f>_xlfn.CONCAT(bron[[#This Row],[personeelsnr]]," ",bron[[#This Row],[achternaam]]," ",bron[[#This Row],[voornaam]])</f>
        <v>41520 Smets Avery</v>
      </c>
      <c r="C896" t="str">
        <f>VLOOKUP(bron[[#This Row],[personeelsnr]],'data hastus'!$A:$C,2,0)</f>
        <v>Smets</v>
      </c>
      <c r="D896" t="str">
        <f>VLOOKUP(bron[[#This Row],[personeelsnr]],'data hastus'!$A:$C,3,0)</f>
        <v>Avery</v>
      </c>
      <c r="E896" s="2" t="str">
        <f>VLOOKUP(bron[[#This Row],[personeelsnr]],'data hastus'!A:K,11,FALSE)</f>
        <v>Christoff Rotty</v>
      </c>
      <c r="G896" s="39"/>
      <c r="H896" s="39"/>
      <c r="I896" s="39"/>
      <c r="S896" s="36">
        <f>SUM(bron[[#This Row],[Januari]:[December]])</f>
        <v>0</v>
      </c>
      <c r="T896" s="41">
        <v>45934</v>
      </c>
      <c r="U896" s="5" t="s">
        <v>3709</v>
      </c>
      <c r="V896" s="37"/>
      <c r="W896" s="37"/>
      <c r="X896" t="s">
        <v>3513</v>
      </c>
      <c r="Y896" t="s">
        <v>40</v>
      </c>
      <c r="Z896" s="2">
        <v>2196</v>
      </c>
      <c r="AA896" s="43" t="s">
        <v>3558</v>
      </c>
    </row>
    <row r="897" spans="1:27" x14ac:dyDescent="0.3">
      <c r="A897">
        <v>39856</v>
      </c>
      <c r="B897" t="str">
        <f>_xlfn.CONCAT(bron[[#This Row],[personeelsnr]]," ",bron[[#This Row],[achternaam]]," ",bron[[#This Row],[voornaam]])</f>
        <v>39856 Curukcu Bayram</v>
      </c>
      <c r="C897" t="str">
        <f>VLOOKUP(bron[[#This Row],[personeelsnr]],'data hastus'!$A:$C,2,0)</f>
        <v>Curukcu</v>
      </c>
      <c r="D897" t="str">
        <f>VLOOKUP(bron[[#This Row],[personeelsnr]],'data hastus'!$A:$C,3,0)</f>
        <v>Bayram</v>
      </c>
      <c r="E897" s="2" t="str">
        <f>VLOOKUP(bron[[#This Row],[personeelsnr]],'data hastus'!A:K,11,FALSE)</f>
        <v>Kenneth De Rick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3711</v>
      </c>
      <c r="V897" s="37"/>
      <c r="W897" s="37"/>
      <c r="X897" t="s">
        <v>3513</v>
      </c>
      <c r="Y897" t="s">
        <v>25</v>
      </c>
      <c r="Z897" s="2">
        <v>5052</v>
      </c>
      <c r="AA897" s="43" t="s">
        <v>3558</v>
      </c>
    </row>
    <row r="898" spans="1:27" x14ac:dyDescent="0.3">
      <c r="A898">
        <v>41871</v>
      </c>
      <c r="B898" t="str">
        <f>_xlfn.CONCAT(bron[[#This Row],[personeelsnr]]," ",bron[[#This Row],[achternaam]]," ",bron[[#This Row],[voornaam]])</f>
        <v>41871 Karanfil Ibrahim</v>
      </c>
      <c r="C898" t="str">
        <f>VLOOKUP(bron[[#This Row],[personeelsnr]],'data hastus'!$A:$C,2,0)</f>
        <v>Karanfil</v>
      </c>
      <c r="D898" t="str">
        <f>VLOOKUP(bron[[#This Row],[personeelsnr]],'data hastus'!$A:$C,3,0)</f>
        <v>Ibrahim</v>
      </c>
      <c r="E898" s="2" t="str">
        <f>VLOOKUP(bron[[#This Row],[personeelsnr]],'data hastus'!A:K,11,FALSE)</f>
        <v>Dominique De Clercq</v>
      </c>
      <c r="G898" s="39"/>
      <c r="H898" s="39"/>
      <c r="I898" s="39"/>
      <c r="S898" s="36">
        <f>SUM(bron[[#This Row],[Januari]:[December]])</f>
        <v>0</v>
      </c>
      <c r="T898" s="41">
        <v>45936</v>
      </c>
      <c r="U898" s="5" t="s">
        <v>3713</v>
      </c>
      <c r="V898" s="37"/>
      <c r="W898" s="37"/>
      <c r="X898" t="s">
        <v>3512</v>
      </c>
      <c r="Y898" t="s">
        <v>46</v>
      </c>
      <c r="Z898" s="2">
        <v>5487</v>
      </c>
      <c r="AA898" s="43" t="s">
        <v>3558</v>
      </c>
    </row>
    <row r="899" spans="1:27" x14ac:dyDescent="0.3">
      <c r="A899">
        <v>42015</v>
      </c>
      <c r="B899" t="str">
        <f>_xlfn.CONCAT(bron[[#This Row],[personeelsnr]]," ",bron[[#This Row],[achternaam]]," ",bron[[#This Row],[voornaam]])</f>
        <v>42015 Crop Alexander</v>
      </c>
      <c r="C899" t="str">
        <f>VLOOKUP(bron[[#This Row],[personeelsnr]],'data hastus'!$A:$C,2,0)</f>
        <v>Crop</v>
      </c>
      <c r="D899" t="str">
        <f>VLOOKUP(bron[[#This Row],[personeelsnr]],'data hastus'!$A:$C,3,0)</f>
        <v>Alexander</v>
      </c>
      <c r="E899" s="2" t="str">
        <f>VLOOKUP(bron[[#This Row],[personeelsnr]],'data hastus'!A:K,11,FALSE)</f>
        <v>Els Vanhoe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3705</v>
      </c>
      <c r="V899" s="37"/>
      <c r="W899" s="37"/>
      <c r="X899" t="s">
        <v>3512</v>
      </c>
      <c r="Y899" t="s">
        <v>54</v>
      </c>
      <c r="Z899" s="2">
        <v>5771</v>
      </c>
      <c r="AA899" s="43" t="s">
        <v>3558</v>
      </c>
    </row>
    <row r="900" spans="1:27" x14ac:dyDescent="0.3">
      <c r="A900">
        <v>12024</v>
      </c>
      <c r="B900" t="str">
        <f>_xlfn.CONCAT(bron[[#This Row],[personeelsnr]]," ",bron[[#This Row],[achternaam]]," ",bron[[#This Row],[voornaam]])</f>
        <v>12024 De Cooman Kurt</v>
      </c>
      <c r="C900" t="str">
        <f>VLOOKUP(bron[[#This Row],[personeelsnr]],'data hastus'!$A:$C,2,0)</f>
        <v>De Cooman</v>
      </c>
      <c r="D900" t="str">
        <f>VLOOKUP(bron[[#This Row],[personeelsnr]],'data hastus'!$A:$C,3,0)</f>
        <v>Kurt</v>
      </c>
      <c r="E900" s="2" t="str">
        <f>VLOOKUP(bron[[#This Row],[personeelsnr]],'data hastus'!A:K,11,FALSE)</f>
        <v>Lucie Vande Velde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5" t="s">
        <v>3707</v>
      </c>
      <c r="V900" s="37"/>
      <c r="W900" s="37"/>
      <c r="X900" t="s">
        <v>3513</v>
      </c>
      <c r="Y900" t="s">
        <v>3708</v>
      </c>
      <c r="Z900" s="2">
        <v>5328</v>
      </c>
      <c r="AA900" s="43" t="s">
        <v>3558</v>
      </c>
    </row>
    <row r="901" spans="1:27" x14ac:dyDescent="0.3">
      <c r="A901">
        <v>41482</v>
      </c>
      <c r="B901" t="str">
        <f>_xlfn.CONCAT(bron[[#This Row],[personeelsnr]]," ",bron[[#This Row],[achternaam]]," ",bron[[#This Row],[voornaam]])</f>
        <v>41482 Özdemir Osman</v>
      </c>
      <c r="C901" t="str">
        <f>VLOOKUP(bron[[#This Row],[personeelsnr]],'data hastus'!$A:$C,2,0)</f>
        <v>Özdemir</v>
      </c>
      <c r="D901" t="str">
        <f>VLOOKUP(bron[[#This Row],[personeelsnr]],'data hastus'!$A:$C,3,0)</f>
        <v>Osman</v>
      </c>
      <c r="E901" s="2" t="str">
        <f>VLOOKUP(bron[[#This Row],[personeelsnr]],'data hastus'!A:K,11,FALSE)</f>
        <v>Bart Van Der Beken</v>
      </c>
      <c r="G901" s="39"/>
      <c r="H901" s="39"/>
      <c r="I901" s="39"/>
      <c r="S901" s="36">
        <f>SUM(bron[[#This Row],[Januari]:[December]])</f>
        <v>0</v>
      </c>
      <c r="T901" s="41">
        <v>45938</v>
      </c>
      <c r="U901" s="24" t="s">
        <v>3710</v>
      </c>
      <c r="V901" s="37"/>
      <c r="W901" s="37"/>
      <c r="X901" t="s">
        <v>3513</v>
      </c>
      <c r="Y901" t="s">
        <v>240</v>
      </c>
      <c r="Z901" s="2">
        <v>2189</v>
      </c>
      <c r="AA901" s="43" t="s">
        <v>3558</v>
      </c>
    </row>
    <row r="902" spans="1:27" x14ac:dyDescent="0.3">
      <c r="A902">
        <v>30623</v>
      </c>
      <c r="B902" t="str">
        <f>_xlfn.CONCAT(bron[[#This Row],[personeelsnr]]," ",bron[[#This Row],[achternaam]]," ",bron[[#This Row],[voornaam]])</f>
        <v>30623 Gassa Mustafa</v>
      </c>
      <c r="C902" t="str">
        <f>VLOOKUP(bron[[#This Row],[personeelsnr]],'data hastus'!$A:$C,2,0)</f>
        <v>Gassa</v>
      </c>
      <c r="D902" t="str">
        <f>VLOOKUP(bron[[#This Row],[personeelsnr]],'data hastus'!$A:$C,3,0)</f>
        <v>Mustafa</v>
      </c>
      <c r="E902" s="2" t="str">
        <f>VLOOKUP(bron[[#This Row],[personeelsnr]],'data hastus'!A:K,11,FALSE)</f>
        <v>Kenneth De Rick</v>
      </c>
      <c r="F902" s="10"/>
      <c r="G902" s="39"/>
      <c r="H902" s="39"/>
      <c r="I902" s="39"/>
      <c r="S902" s="36">
        <f>SUM(bron[[#This Row],[Januari]:[December]])</f>
        <v>0</v>
      </c>
      <c r="T902" s="41">
        <v>45938</v>
      </c>
      <c r="U902" s="5" t="s">
        <v>3723</v>
      </c>
      <c r="V902" s="37"/>
      <c r="W902" s="37"/>
      <c r="X902" t="s">
        <v>3512</v>
      </c>
      <c r="Y902" t="s">
        <v>3724</v>
      </c>
      <c r="Z902" s="2">
        <v>5770</v>
      </c>
      <c r="AA902" s="43" t="s">
        <v>3558</v>
      </c>
    </row>
    <row r="903" spans="1:27" x14ac:dyDescent="0.3">
      <c r="A903">
        <v>40138</v>
      </c>
      <c r="B903" t="str">
        <f>_xlfn.CONCAT(bron[[#This Row],[personeelsnr]]," ",bron[[#This Row],[achternaam]]," ",bron[[#This Row],[voornaam]])</f>
        <v>40138 Moerman Tjimmy</v>
      </c>
      <c r="C903" t="str">
        <f>VLOOKUP(bron[[#This Row],[personeelsnr]],'data hastus'!$A:$C,2,0)</f>
        <v>Moerman</v>
      </c>
      <c r="D903" t="str">
        <f>VLOOKUP(bron[[#This Row],[personeelsnr]],'data hastus'!$A:$C,3,0)</f>
        <v>Tjimmy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45939</v>
      </c>
      <c r="U903" s="5" t="s">
        <v>3717</v>
      </c>
      <c r="V903" s="37"/>
      <c r="W903" s="37"/>
      <c r="X903" t="s">
        <v>3513</v>
      </c>
      <c r="Y903" t="s">
        <v>236</v>
      </c>
      <c r="Z903" s="2">
        <v>5041</v>
      </c>
      <c r="AA903" s="43" t="s">
        <v>3559</v>
      </c>
    </row>
    <row r="904" spans="1:27" x14ac:dyDescent="0.3">
      <c r="A904">
        <v>39929</v>
      </c>
      <c r="B904" t="str">
        <f>_xlfn.CONCAT(bron[[#This Row],[personeelsnr]]," ",bron[[#This Row],[achternaam]]," ",bron[[#This Row],[voornaam]])</f>
        <v>39929 Staneva Mariyana</v>
      </c>
      <c r="C904" t="str">
        <f>VLOOKUP(bron[[#This Row],[personeelsnr]],'data hastus'!$A:$C,2,0)</f>
        <v>Staneva</v>
      </c>
      <c r="D904" t="str">
        <f>VLOOKUP(bron[[#This Row],[personeelsnr]],'data hastus'!$A:$C,3,0)</f>
        <v>Mariyana</v>
      </c>
      <c r="E904" s="2" t="str">
        <f>VLOOKUP(bron[[#This Row],[personeelsnr]],'data hastus'!A:K,11,FALSE)</f>
        <v>Christoff Rotty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3714</v>
      </c>
      <c r="V904" s="37"/>
      <c r="W904" s="37"/>
      <c r="X904" t="s">
        <v>3513</v>
      </c>
      <c r="Y904" t="s">
        <v>19</v>
      </c>
      <c r="Z904" s="2">
        <v>2195</v>
      </c>
      <c r="AA904" s="43" t="s">
        <v>3559</v>
      </c>
    </row>
    <row r="905" spans="1:27" x14ac:dyDescent="0.3">
      <c r="A905">
        <v>20542</v>
      </c>
      <c r="B905" t="str">
        <f>_xlfn.CONCAT(bron[[#This Row],[personeelsnr]]," ",bron[[#This Row],[achternaam]]," ",bron[[#This Row],[voornaam]])</f>
        <v>20542 Kizilmese Emra</v>
      </c>
      <c r="C905" t="str">
        <f>VLOOKUP(bron[[#This Row],[personeelsnr]],'data hastus'!$A:$C,2,0)</f>
        <v>Kizilmese</v>
      </c>
      <c r="D905" t="str">
        <f>VLOOKUP(bron[[#This Row],[personeelsnr]],'data hastus'!$A:$C,3,0)</f>
        <v>Emra</v>
      </c>
      <c r="E905" s="2" t="str">
        <f>VLOOKUP(bron[[#This Row],[personeelsnr]],'data hastus'!A:K,11,FALSE)</f>
        <v>Els Dewulf</v>
      </c>
      <c r="G905" s="39"/>
      <c r="H905" s="39"/>
      <c r="I905" s="39"/>
      <c r="S905" s="36">
        <f>SUM(bron[[#This Row],[Januari]:[December]])</f>
        <v>0</v>
      </c>
      <c r="T905" s="41">
        <v>45940</v>
      </c>
      <c r="U905" s="5" t="s">
        <v>3720</v>
      </c>
      <c r="V905" s="37"/>
      <c r="W905" s="37"/>
      <c r="X905" t="s">
        <v>3513</v>
      </c>
      <c r="Y905" t="s">
        <v>25</v>
      </c>
      <c r="Z905" s="2">
        <v>5235</v>
      </c>
      <c r="AA905" s="43" t="s">
        <v>3558</v>
      </c>
    </row>
    <row r="906" spans="1:27" x14ac:dyDescent="0.3">
      <c r="A906">
        <v>35430</v>
      </c>
      <c r="B906" t="str">
        <f>_xlfn.CONCAT(bron[[#This Row],[personeelsnr]]," ",bron[[#This Row],[achternaam]]," ",bron[[#This Row],[voornaam]])</f>
        <v>35430 Vlaminck Dirk</v>
      </c>
      <c r="C906" t="str">
        <f>VLOOKUP(bron[[#This Row],[personeelsnr]],'data hastus'!$A:$C,2,0)</f>
        <v>Vlaminck</v>
      </c>
      <c r="D906" t="str">
        <f>VLOOKUP(bron[[#This Row],[personeelsnr]],'data hastus'!$A:$C,3,0)</f>
        <v>Dirk</v>
      </c>
      <c r="E906" s="2" t="str">
        <f>VLOOKUP(bron[[#This Row],[personeelsnr]],'data hastus'!A:K,11,FALSE)</f>
        <v>Els Vanhoe</v>
      </c>
      <c r="G906" s="39"/>
      <c r="H906" s="39"/>
      <c r="I906" s="39"/>
      <c r="S906" s="36">
        <f>SUM(bron[[#This Row],[Januari]:[December]])</f>
        <v>0</v>
      </c>
      <c r="T906" s="41">
        <v>45941</v>
      </c>
      <c r="U906" s="5" t="s">
        <v>3712</v>
      </c>
      <c r="V906" s="37"/>
      <c r="W906" s="37"/>
      <c r="X906" t="s">
        <v>3513</v>
      </c>
      <c r="Y906" t="s">
        <v>3658</v>
      </c>
      <c r="Z906" s="2">
        <v>5237</v>
      </c>
      <c r="AA906" s="43" t="s">
        <v>3631</v>
      </c>
    </row>
    <row r="907" spans="1:27" x14ac:dyDescent="0.3">
      <c r="A907">
        <v>15219</v>
      </c>
      <c r="B907" t="str">
        <f>_xlfn.CONCAT(bron[[#This Row],[personeelsnr]]," ",bron[[#This Row],[achternaam]]," ",bron[[#This Row],[voornaam]])</f>
        <v>15219 De Mey Peter</v>
      </c>
      <c r="C907" t="str">
        <f>VLOOKUP(bron[[#This Row],[personeelsnr]],'data hastus'!$A:$C,2,0)</f>
        <v>De Mey</v>
      </c>
      <c r="D907" t="str">
        <f>VLOOKUP(bron[[#This Row],[personeelsnr]],'data hastus'!$A:$C,3,0)</f>
        <v>Peter</v>
      </c>
      <c r="E907" s="2" t="str">
        <f>VLOOKUP(bron[[#This Row],[personeelsnr]],'data hastus'!A:K,11,FALSE)</f>
        <v>Bart Van Der Beken</v>
      </c>
      <c r="G907" s="39"/>
      <c r="H907" s="39"/>
      <c r="I907" s="39"/>
      <c r="S907" s="36">
        <f>SUM(bron[[#This Row],[Januari]:[December]])</f>
        <v>0</v>
      </c>
      <c r="T907" s="41">
        <v>45942</v>
      </c>
      <c r="U907" s="5" t="s">
        <v>3715</v>
      </c>
      <c r="V907" s="37"/>
      <c r="W907" s="37"/>
      <c r="X907" t="s">
        <v>3548</v>
      </c>
      <c r="Y907" t="s">
        <v>487</v>
      </c>
      <c r="Z907" s="2">
        <v>6362</v>
      </c>
      <c r="AA907" s="43" t="s">
        <v>3558</v>
      </c>
    </row>
    <row r="908" spans="1:27" x14ac:dyDescent="0.3">
      <c r="A908">
        <v>38633</v>
      </c>
      <c r="B908" t="str">
        <f>_xlfn.CONCAT(bron[[#This Row],[personeelsnr]]," ",bron[[#This Row],[achternaam]]," ",bron[[#This Row],[voornaam]])</f>
        <v>38633 Stomphorst Mattanja</v>
      </c>
      <c r="C908" t="str">
        <f>VLOOKUP(bron[[#This Row],[personeelsnr]],'data hastus'!$A:$C,2,0)</f>
        <v>Stomphorst</v>
      </c>
      <c r="D908" t="str">
        <f>VLOOKUP(bron[[#This Row],[personeelsnr]],'data hastus'!$A:$C,3,0)</f>
        <v>Mattanja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3731</v>
      </c>
      <c r="V908" s="37"/>
      <c r="W908" s="37"/>
      <c r="X908" t="s">
        <v>3513</v>
      </c>
      <c r="Y908" t="s">
        <v>663</v>
      </c>
      <c r="Z908" s="2">
        <v>5047</v>
      </c>
      <c r="AA908" s="43" t="s">
        <v>3558</v>
      </c>
    </row>
    <row r="909" spans="1:27" x14ac:dyDescent="0.3">
      <c r="A909">
        <v>16275</v>
      </c>
      <c r="B909" t="str">
        <f>_xlfn.CONCAT(bron[[#This Row],[personeelsnr]]," ",bron[[#This Row],[achternaam]]," ",bron[[#This Row],[voornaam]])</f>
        <v>16275 Devriendt Patrick</v>
      </c>
      <c r="C909" t="str">
        <f>VLOOKUP(bron[[#This Row],[personeelsnr]],'data hastus'!$A:$C,2,0)</f>
        <v>Devriendt</v>
      </c>
      <c r="D909" t="str">
        <f>VLOOKUP(bron[[#This Row],[personeelsnr]],'data hastus'!$A:$C,3,0)</f>
        <v>Patrick</v>
      </c>
      <c r="E909" s="2" t="str">
        <f>VLOOKUP(bron[[#This Row],[personeelsnr]],'data hastus'!A:K,11,FALSE)</f>
        <v>Els Dewulf</v>
      </c>
      <c r="F909" s="10"/>
      <c r="G909" s="39"/>
      <c r="H909" s="39"/>
      <c r="I909" s="39"/>
      <c r="S909" s="36">
        <f>SUM(bron[[#This Row],[Januari]:[December]])</f>
        <v>0</v>
      </c>
      <c r="T909" s="41">
        <v>45943</v>
      </c>
      <c r="U909" s="5" t="s">
        <v>3733</v>
      </c>
      <c r="V909" s="37"/>
      <c r="W909" s="37"/>
      <c r="X909" t="s">
        <v>3547</v>
      </c>
      <c r="Y909" t="s">
        <v>5</v>
      </c>
      <c r="Z909" s="2">
        <v>6329</v>
      </c>
      <c r="AA909" s="43" t="s">
        <v>3558</v>
      </c>
    </row>
    <row r="910" spans="1:27" x14ac:dyDescent="0.3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3718</v>
      </c>
      <c r="V910" s="37"/>
      <c r="W910" s="37"/>
      <c r="X910" t="s">
        <v>3513</v>
      </c>
      <c r="Y910" t="s">
        <v>16</v>
      </c>
      <c r="Z910" s="2">
        <v>2196</v>
      </c>
      <c r="AA910" s="43" t="s">
        <v>3558</v>
      </c>
    </row>
    <row r="911" spans="1:27" x14ac:dyDescent="0.3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39"/>
      <c r="H911" s="39"/>
      <c r="I911" s="39"/>
      <c r="S911" s="36">
        <f>SUM(bron[[#This Row],[Januari]:[December]])</f>
        <v>0</v>
      </c>
      <c r="T911" s="41">
        <v>45944</v>
      </c>
      <c r="U911" s="5" t="s">
        <v>3719</v>
      </c>
      <c r="V911" s="37"/>
      <c r="W911" s="37"/>
      <c r="X911" t="s">
        <v>3512</v>
      </c>
      <c r="Y911" t="s">
        <v>3563</v>
      </c>
      <c r="Z911" s="2">
        <v>5934</v>
      </c>
      <c r="AA911" s="43" t="s">
        <v>3558</v>
      </c>
    </row>
    <row r="912" spans="1:27" x14ac:dyDescent="0.3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39"/>
      <c r="H912" s="39"/>
      <c r="I912" s="39"/>
      <c r="S912" s="36">
        <f>SUM(bron[[#This Row],[Januari]:[December]])</f>
        <v>0</v>
      </c>
      <c r="T912" s="41">
        <v>45945</v>
      </c>
      <c r="U912" s="5" t="s">
        <v>3716</v>
      </c>
      <c r="V912" s="37"/>
      <c r="W912" s="37"/>
      <c r="X912" t="s">
        <v>3512</v>
      </c>
      <c r="Y912" t="s">
        <v>608</v>
      </c>
      <c r="Z912" s="2">
        <v>5910</v>
      </c>
      <c r="AA912" s="43" t="s">
        <v>3559</v>
      </c>
    </row>
    <row r="913" spans="1:27" x14ac:dyDescent="0.3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39"/>
      <c r="H913" s="39"/>
      <c r="I913" s="39"/>
      <c r="S913" s="36">
        <f>SUM(bron[[#This Row],[Januari]:[December]])</f>
        <v>0</v>
      </c>
      <c r="T913" s="41">
        <v>45947</v>
      </c>
      <c r="U913" s="5" t="s">
        <v>3726</v>
      </c>
      <c r="V913" s="37"/>
      <c r="W913" s="37"/>
      <c r="X913" t="s">
        <v>3512</v>
      </c>
      <c r="Y913" t="s">
        <v>207</v>
      </c>
      <c r="Z913" s="2">
        <v>5927</v>
      </c>
      <c r="AA913" s="43" t="s">
        <v>3558</v>
      </c>
    </row>
    <row r="914" spans="1:27" x14ac:dyDescent="0.3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39"/>
      <c r="H914" s="39"/>
      <c r="I914" s="39"/>
      <c r="S914" s="36">
        <f>SUM(bron[[#This Row],[Januari]:[December]])</f>
        <v>0</v>
      </c>
      <c r="T914" s="41">
        <v>45947</v>
      </c>
      <c r="U914" s="5" t="s">
        <v>3746</v>
      </c>
      <c r="V914" s="37"/>
      <c r="W914" s="37"/>
      <c r="X914" t="s">
        <v>3547</v>
      </c>
      <c r="Y914" t="s">
        <v>199</v>
      </c>
      <c r="Z914" s="2">
        <v>6314</v>
      </c>
      <c r="AA914" s="43" t="s">
        <v>3558</v>
      </c>
    </row>
    <row r="915" spans="1:27" x14ac:dyDescent="0.3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39"/>
      <c r="H915" s="39"/>
      <c r="I915" s="39"/>
      <c r="S915" s="36">
        <f>SUM(bron[[#This Row],[Januari]:[December]])</f>
        <v>0</v>
      </c>
      <c r="T915" s="41">
        <v>45948</v>
      </c>
      <c r="U915" s="5" t="s">
        <v>3725</v>
      </c>
      <c r="V915" s="37"/>
      <c r="W915" s="37"/>
      <c r="X915" t="s">
        <v>3512</v>
      </c>
      <c r="Y915" t="s">
        <v>84</v>
      </c>
      <c r="Z915" s="2">
        <v>550822</v>
      </c>
      <c r="AA915" s="43" t="s">
        <v>3559</v>
      </c>
    </row>
    <row r="916" spans="1:27" x14ac:dyDescent="0.3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39"/>
      <c r="H916" s="39"/>
      <c r="I916" s="39"/>
      <c r="S916" s="36">
        <f>SUM(bron[[#This Row],[Januari]:[December]])</f>
        <v>0</v>
      </c>
      <c r="T916" s="41">
        <v>45950</v>
      </c>
      <c r="U916" s="5" t="s">
        <v>3721</v>
      </c>
      <c r="V916" s="37"/>
      <c r="W916" s="37"/>
      <c r="X916" t="s">
        <v>3548</v>
      </c>
      <c r="Y916" t="s">
        <v>3722</v>
      </c>
      <c r="Z916" s="2">
        <v>6366</v>
      </c>
      <c r="AA916" s="43" t="s">
        <v>3558</v>
      </c>
    </row>
    <row r="917" spans="1:27" x14ac:dyDescent="0.3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3727</v>
      </c>
      <c r="V917" s="37"/>
      <c r="W917" s="37"/>
      <c r="X917" t="s">
        <v>3513</v>
      </c>
      <c r="Y917" t="s">
        <v>3728</v>
      </c>
      <c r="Z917" s="2">
        <v>5259</v>
      </c>
      <c r="AA917" s="43" t="s">
        <v>3559</v>
      </c>
    </row>
    <row r="918" spans="1:27" x14ac:dyDescent="0.3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39"/>
      <c r="H918" s="39"/>
      <c r="I918" s="39"/>
      <c r="S918" s="36">
        <f>SUM(bron[[#This Row],[Januari]:[December]])</f>
        <v>0</v>
      </c>
      <c r="T918" s="41">
        <v>45951</v>
      </c>
      <c r="U918" s="5" t="s">
        <v>3732</v>
      </c>
      <c r="V918" s="37"/>
      <c r="W918" s="37"/>
      <c r="X918" t="s">
        <v>3512</v>
      </c>
      <c r="Y918" t="s">
        <v>48</v>
      </c>
      <c r="Z918" s="2">
        <v>5767</v>
      </c>
      <c r="AA918" s="43" t="s">
        <v>3558</v>
      </c>
    </row>
    <row r="919" spans="1:27" x14ac:dyDescent="0.3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3729</v>
      </c>
      <c r="V919" s="37"/>
      <c r="W919" s="37"/>
      <c r="X919" t="s">
        <v>3513</v>
      </c>
      <c r="Y919" t="s">
        <v>3730</v>
      </c>
      <c r="Z919" s="2">
        <v>2195</v>
      </c>
      <c r="AA919" s="43" t="s">
        <v>3558</v>
      </c>
    </row>
    <row r="920" spans="1:27" x14ac:dyDescent="0.3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39"/>
      <c r="H920" s="39"/>
      <c r="I920" s="39"/>
      <c r="S920" s="36">
        <f>SUM(bron[[#This Row],[Januari]:[December]])</f>
        <v>0</v>
      </c>
      <c r="T920" s="41">
        <v>45952</v>
      </c>
      <c r="U920" s="5" t="s">
        <v>3734</v>
      </c>
      <c r="V920" s="37"/>
      <c r="W920" s="37"/>
      <c r="X920" t="s">
        <v>3547</v>
      </c>
      <c r="Y920" t="s">
        <v>265</v>
      </c>
      <c r="Z920" s="2">
        <v>6337</v>
      </c>
      <c r="AA920" s="43" t="s">
        <v>3558</v>
      </c>
    </row>
    <row r="921" spans="1:27" x14ac:dyDescent="0.3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3736</v>
      </c>
      <c r="V921" s="37"/>
      <c r="W921" s="37"/>
      <c r="X921" t="s">
        <v>3512</v>
      </c>
      <c r="Y921" t="s">
        <v>10</v>
      </c>
      <c r="Z921" s="2">
        <v>5764</v>
      </c>
      <c r="AA921" s="43" t="s">
        <v>3558</v>
      </c>
    </row>
    <row r="922" spans="1:27" x14ac:dyDescent="0.3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39"/>
      <c r="H922" s="39"/>
      <c r="I922" s="39"/>
      <c r="S922" s="36">
        <f>SUM(bron[[#This Row],[Januari]:[December]])</f>
        <v>0</v>
      </c>
      <c r="T922" s="41">
        <v>45954</v>
      </c>
      <c r="U922" s="5" t="s">
        <v>3749</v>
      </c>
      <c r="V922" s="37"/>
      <c r="W922" s="37"/>
      <c r="X922" t="s">
        <v>3548</v>
      </c>
      <c r="Y922" t="s">
        <v>31</v>
      </c>
      <c r="Z922" s="2">
        <v>6368</v>
      </c>
      <c r="AA922" s="43" t="s">
        <v>3558</v>
      </c>
    </row>
    <row r="923" spans="1:27" x14ac:dyDescent="0.3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39"/>
      <c r="H923" s="39"/>
      <c r="I923" s="39"/>
      <c r="S923" s="36">
        <f>SUM(bron[[#This Row],[Januari]:[December]])</f>
        <v>0</v>
      </c>
      <c r="T923" s="41">
        <v>45955</v>
      </c>
      <c r="U923" s="5" t="s">
        <v>3739</v>
      </c>
      <c r="V923" s="37"/>
      <c r="W923" s="37"/>
      <c r="X923" t="s">
        <v>3512</v>
      </c>
      <c r="Y923" t="s">
        <v>84</v>
      </c>
      <c r="Z923" s="2">
        <v>5767</v>
      </c>
      <c r="AA923" s="43" t="s">
        <v>3558</v>
      </c>
    </row>
    <row r="924" spans="1:27" x14ac:dyDescent="0.3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39"/>
      <c r="H924" s="39"/>
      <c r="I924" s="39"/>
      <c r="S924" s="36">
        <f>SUM(bron[[#This Row],[Januari]:[December]])</f>
        <v>0</v>
      </c>
      <c r="T924" s="41">
        <v>45955</v>
      </c>
      <c r="U924" s="5" t="s">
        <v>3750</v>
      </c>
      <c r="V924" s="37"/>
      <c r="W924" s="37"/>
      <c r="X924" t="s">
        <v>3548</v>
      </c>
      <c r="Y924" t="s">
        <v>1312</v>
      </c>
      <c r="Z924" s="2">
        <v>6375</v>
      </c>
      <c r="AA924" s="43" t="s">
        <v>3558</v>
      </c>
    </row>
    <row r="925" spans="1:27" x14ac:dyDescent="0.3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39"/>
      <c r="H925" s="39"/>
      <c r="I925" s="39"/>
      <c r="S925" s="36">
        <f>SUM(bron[[#This Row],[Januari]:[December]])</f>
        <v>0</v>
      </c>
      <c r="T925" s="41">
        <v>45956</v>
      </c>
      <c r="U925" s="5" t="s">
        <v>3735</v>
      </c>
      <c r="V925" s="37"/>
      <c r="W925" s="37"/>
      <c r="X925" t="s">
        <v>3547</v>
      </c>
      <c r="Y925" t="s">
        <v>3508</v>
      </c>
      <c r="Z925" s="2">
        <v>6321</v>
      </c>
      <c r="AA925" s="43" t="s">
        <v>3558</v>
      </c>
    </row>
    <row r="926" spans="1:27" x14ac:dyDescent="0.3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39"/>
      <c r="H926" s="39"/>
      <c r="I926" s="39"/>
      <c r="S926" s="36">
        <f>SUM(bron[[#This Row],[Januari]:[December]])</f>
        <v>0</v>
      </c>
      <c r="T926" s="41">
        <v>45956</v>
      </c>
      <c r="U926" s="5" t="s">
        <v>3745</v>
      </c>
      <c r="V926" s="37"/>
      <c r="W926" s="37"/>
      <c r="X926" t="s">
        <v>3513</v>
      </c>
      <c r="Y926" t="s">
        <v>13</v>
      </c>
      <c r="Z926" s="2">
        <v>5232</v>
      </c>
      <c r="AA926" s="43" t="s">
        <v>3558</v>
      </c>
    </row>
    <row r="927" spans="1:27" x14ac:dyDescent="0.3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39"/>
      <c r="H927" s="39"/>
      <c r="I927" s="39"/>
      <c r="S927" s="36">
        <f>SUM(bron[[#This Row],[Januari]:[December]])</f>
        <v>0</v>
      </c>
      <c r="T927" s="41">
        <v>45957</v>
      </c>
      <c r="U927" s="5" t="s">
        <v>3738</v>
      </c>
      <c r="V927" s="37"/>
      <c r="W927" s="37"/>
      <c r="X927" t="s">
        <v>3548</v>
      </c>
      <c r="Y927" t="s">
        <v>19</v>
      </c>
      <c r="Z927" s="2">
        <v>6374</v>
      </c>
      <c r="AA927" s="43" t="s">
        <v>3559</v>
      </c>
    </row>
    <row r="928" spans="1:27" x14ac:dyDescent="0.3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39"/>
      <c r="H928" s="39"/>
      <c r="I928" s="39"/>
      <c r="S928" s="36">
        <f>SUM(bron[[#This Row],[Januari]:[December]])</f>
        <v>0</v>
      </c>
      <c r="T928" s="41">
        <v>45957</v>
      </c>
      <c r="U928" s="5" t="s">
        <v>3741</v>
      </c>
      <c r="V928" s="37"/>
      <c r="W928" s="37"/>
      <c r="X928" t="s">
        <v>3511</v>
      </c>
      <c r="Y928" t="s">
        <v>3742</v>
      </c>
      <c r="Z928" s="2">
        <v>5271</v>
      </c>
      <c r="AA928" s="43" t="s">
        <v>3558</v>
      </c>
    </row>
    <row r="929" spans="1:27" x14ac:dyDescent="0.3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39"/>
      <c r="H929" s="39"/>
      <c r="I929" s="39"/>
      <c r="S929" s="36">
        <f>SUM(bron[[#This Row],[Januari]:[December]])</f>
        <v>0</v>
      </c>
      <c r="T929" s="41">
        <v>45958</v>
      </c>
      <c r="U929" s="5" t="s">
        <v>3740</v>
      </c>
      <c r="V929" s="37"/>
      <c r="W929" s="37"/>
      <c r="X929" t="s">
        <v>3547</v>
      </c>
      <c r="Y929" t="s">
        <v>250</v>
      </c>
      <c r="Z929" s="2">
        <v>6318</v>
      </c>
      <c r="AA929" s="43" t="s">
        <v>3558</v>
      </c>
    </row>
    <row r="930" spans="1:27" x14ac:dyDescent="0.3">
      <c r="A930">
        <v>40938</v>
      </c>
      <c r="B930" t="str">
        <f>_xlfn.CONCAT(bron[[#This Row],[personeelsnr]]," ",bron[[#This Row],[achternaam]]," ",bron[[#This Row],[voornaam]])</f>
        <v>40938 Hasnaoui Nejmeddine</v>
      </c>
      <c r="C930" t="str">
        <f>VLOOKUP(bron[[#This Row],[personeelsnr]],'data hastus'!$A:$C,2,0)</f>
        <v>Hasnaoui</v>
      </c>
      <c r="D930" t="str">
        <f>VLOOKUP(bron[[#This Row],[personeelsnr]],'data hastus'!$A:$C,3,0)</f>
        <v>Nejmeddine</v>
      </c>
      <c r="E930" s="2" t="str">
        <f>VLOOKUP(bron[[#This Row],[personeelsnr]],'data hastus'!A:K,11,FALSE)</f>
        <v>Dominique De Clercq</v>
      </c>
      <c r="F930" s="10"/>
      <c r="G930" s="39"/>
      <c r="H930" s="39"/>
      <c r="I930" s="39"/>
      <c r="S930" s="36">
        <f>SUM(bron[[#This Row],[Januari]:[December]])</f>
        <v>0</v>
      </c>
      <c r="T930" s="41">
        <v>45960</v>
      </c>
      <c r="U930" s="8" t="s">
        <v>3737</v>
      </c>
      <c r="V930" s="37"/>
      <c r="W930" s="37"/>
      <c r="X930" t="s">
        <v>3512</v>
      </c>
      <c r="Y930" t="s">
        <v>13</v>
      </c>
      <c r="Z930" s="2">
        <v>13024</v>
      </c>
      <c r="AA930" s="43" t="s">
        <v>3558</v>
      </c>
    </row>
    <row r="931" spans="1:27" x14ac:dyDescent="0.3">
      <c r="A931">
        <v>42105</v>
      </c>
      <c r="B931" t="str">
        <f>_xlfn.CONCAT(bron[[#This Row],[personeelsnr]]," ",bron[[#This Row],[achternaam]]," ",bron[[#This Row],[voornaam]])</f>
        <v>42105 Van den Bossche Jarne</v>
      </c>
      <c r="C931" t="str">
        <f>VLOOKUP(bron[[#This Row],[personeelsnr]],'data hastus'!$A:$C,2,0)</f>
        <v>Van den Bossche</v>
      </c>
      <c r="D931" t="str">
        <f>VLOOKUP(bron[[#This Row],[personeelsnr]],'data hastus'!$A:$C,3,0)</f>
        <v>Jarne</v>
      </c>
      <c r="E931" s="2" t="str">
        <f>VLOOKUP(bron[[#This Row],[personeelsnr]],'data hastus'!A:K,11,FALSE)</f>
        <v>Els Dewulf</v>
      </c>
      <c r="F931" s="10"/>
      <c r="G931" s="39"/>
      <c r="H931" s="39"/>
      <c r="I931" s="39"/>
      <c r="S931" s="36">
        <f>SUM(bron[[#This Row],[Januari]:[December]])</f>
        <v>0</v>
      </c>
      <c r="T931" s="41">
        <v>45960</v>
      </c>
      <c r="U931" s="5" t="s">
        <v>3744</v>
      </c>
      <c r="V931" s="37"/>
      <c r="W931" s="37"/>
      <c r="X931" t="s">
        <v>3512</v>
      </c>
      <c r="Y931" t="s">
        <v>31</v>
      </c>
      <c r="Z931" s="2">
        <v>5489</v>
      </c>
      <c r="AA931" s="43" t="s">
        <v>3558</v>
      </c>
    </row>
    <row r="932" spans="1:27" x14ac:dyDescent="0.3">
      <c r="A932">
        <v>25873</v>
      </c>
      <c r="B932" t="str">
        <f>_xlfn.CONCAT(bron[[#This Row],[personeelsnr]]," ",bron[[#This Row],[achternaam]]," ",bron[[#This Row],[voornaam]])</f>
        <v>25873 Kazakbiyev Osman</v>
      </c>
      <c r="C932" t="str">
        <f>VLOOKUP(bron[[#This Row],[personeelsnr]],'data hastus'!$A:$C,2,0)</f>
        <v>Kazakbiyev</v>
      </c>
      <c r="D932" t="str">
        <f>VLOOKUP(bron[[#This Row],[personeelsnr]],'data hastus'!$A:$C,3,0)</f>
        <v>Osman</v>
      </c>
      <c r="E932" s="2" t="str">
        <f>VLOOKUP(bron[[#This Row],[personeelsnr]],'data hastus'!A:K,11,FALSE)</f>
        <v>Els Vanhoe</v>
      </c>
      <c r="F932" s="10"/>
      <c r="G932" s="39"/>
      <c r="H932" s="39"/>
      <c r="I932" s="39"/>
      <c r="S932" s="36">
        <f>SUM(bron[[#This Row],[Januari]:[December]])</f>
        <v>0</v>
      </c>
      <c r="T932" s="41">
        <v>45960</v>
      </c>
      <c r="U932" s="5" t="s">
        <v>3747</v>
      </c>
      <c r="V932" s="37"/>
      <c r="W932" s="37"/>
      <c r="X932" t="s">
        <v>3513</v>
      </c>
      <c r="Y932" t="s">
        <v>3748</v>
      </c>
      <c r="Z932" s="2">
        <v>5052</v>
      </c>
      <c r="AA932" s="43" t="s">
        <v>3558</v>
      </c>
    </row>
    <row r="933" spans="1:27" x14ac:dyDescent="0.3">
      <c r="A933">
        <v>39858</v>
      </c>
      <c r="B933" t="str">
        <f>_xlfn.CONCAT(bron[[#This Row],[personeelsnr]]," ",bron[[#This Row],[achternaam]]," ",bron[[#This Row],[voornaam]])</f>
        <v>39858 Jacobs Elos</v>
      </c>
      <c r="C933" t="str">
        <f>VLOOKUP(bron[[#This Row],[personeelsnr]],'data hastus'!$A:$C,2,0)</f>
        <v>Jacobs</v>
      </c>
      <c r="D933" t="str">
        <f>VLOOKUP(bron[[#This Row],[personeelsnr]],'data hastus'!$A:$C,3,0)</f>
        <v>Elos</v>
      </c>
      <c r="E933" s="2" t="str">
        <f>VLOOKUP(bron[[#This Row],[personeelsnr]],'data hastus'!A:K,11,FALSE)</f>
        <v>Els Dewulf</v>
      </c>
      <c r="F933" s="10"/>
      <c r="G933" s="39"/>
      <c r="H933" s="39"/>
      <c r="I933" s="39"/>
      <c r="S933" s="36">
        <f>SUM(bron[[#This Row],[Januari]:[December]])</f>
        <v>0</v>
      </c>
      <c r="T933" s="41">
        <v>45961</v>
      </c>
      <c r="U933" s="5" t="s">
        <v>3743</v>
      </c>
      <c r="V933" s="37"/>
      <c r="W933" s="37"/>
      <c r="X933" t="s">
        <v>3511</v>
      </c>
      <c r="Y933" t="s">
        <v>663</v>
      </c>
      <c r="Z933" s="2">
        <v>5229</v>
      </c>
      <c r="AA933" s="43" t="s">
        <v>3558</v>
      </c>
    </row>
    <row r="934" spans="1:27" x14ac:dyDescent="0.3">
      <c r="A934">
        <v>37543</v>
      </c>
      <c r="B934" t="str">
        <f>_xlfn.CONCAT(bron[[#This Row],[personeelsnr]]," ",bron[[#This Row],[achternaam]]," ",bron[[#This Row],[voornaam]])</f>
        <v>37543 Öztürk Bilgehan</v>
      </c>
      <c r="C934" t="str">
        <f>VLOOKUP(bron[[#This Row],[personeelsnr]],'data hastus'!$A:$C,2,0)</f>
        <v>Öztürk</v>
      </c>
      <c r="D934" t="str">
        <f>VLOOKUP(bron[[#This Row],[personeelsnr]],'data hastus'!$A:$C,3,0)</f>
        <v>Bilgehan</v>
      </c>
      <c r="E934" s="2" t="str">
        <f>VLOOKUP(bron[[#This Row],[personeelsnr]],'data hastus'!A:K,11,FALSE)</f>
        <v>Kenneth De Rick</v>
      </c>
      <c r="F934" s="10"/>
      <c r="G934" s="39"/>
      <c r="H934" s="39"/>
      <c r="I934" s="39"/>
      <c r="S934" s="36">
        <f>SUM(bron[[#This Row],[Januari]:[December]])</f>
        <v>0</v>
      </c>
      <c r="T934" s="41">
        <v>45962</v>
      </c>
      <c r="U934" s="5" t="s">
        <v>3751</v>
      </c>
      <c r="V934" s="37"/>
      <c r="W934" s="37"/>
      <c r="X934" t="s">
        <v>3513</v>
      </c>
      <c r="Y934" t="s">
        <v>3752</v>
      </c>
      <c r="Z934" s="2">
        <v>5233</v>
      </c>
      <c r="AA934" s="43" t="s">
        <v>3559</v>
      </c>
    </row>
    <row r="935" spans="1:27" x14ac:dyDescent="0.3">
      <c r="A935">
        <v>35463</v>
      </c>
      <c r="B935" t="str">
        <f>_xlfn.CONCAT(bron[[#This Row],[personeelsnr]]," ",bron[[#This Row],[achternaam]]," ",bron[[#This Row],[voornaam]])</f>
        <v>35463 Vandaele Tom</v>
      </c>
      <c r="C935" t="str">
        <f>VLOOKUP(bron[[#This Row],[personeelsnr]],'data hastus'!$A:$C,2,0)</f>
        <v>Vandaele</v>
      </c>
      <c r="D935" t="str">
        <f>VLOOKUP(bron[[#This Row],[personeelsnr]],'data hastus'!$A:$C,3,0)</f>
        <v>Tom</v>
      </c>
      <c r="E935" s="2" t="str">
        <f>VLOOKUP(bron[[#This Row],[personeelsnr]],'data hastus'!A:K,11,FALSE)</f>
        <v>Dominique De Clercq</v>
      </c>
      <c r="F935" s="10"/>
      <c r="G935" s="39"/>
      <c r="H935" s="39"/>
      <c r="I935" s="39"/>
      <c r="S935" s="36">
        <f>SUM(bron[[#This Row],[Januari]:[December]])</f>
        <v>0</v>
      </c>
      <c r="T935" s="41">
        <v>45963</v>
      </c>
      <c r="U935" s="5" t="s">
        <v>3753</v>
      </c>
      <c r="V935" s="37"/>
      <c r="W935" s="37"/>
      <c r="X935" t="s">
        <v>3547</v>
      </c>
      <c r="Y935" t="s">
        <v>5</v>
      </c>
      <c r="Z935" s="2">
        <v>6312</v>
      </c>
      <c r="AA935" s="43" t="s">
        <v>3558</v>
      </c>
    </row>
    <row r="936" spans="1:27" x14ac:dyDescent="0.3">
      <c r="A936">
        <v>40362</v>
      </c>
      <c r="B936" t="str">
        <f>_xlfn.CONCAT(bron[[#This Row],[personeelsnr]]," ",bron[[#This Row],[achternaam]]," ",bron[[#This Row],[voornaam]])</f>
        <v>40362 Kuru Cetin</v>
      </c>
      <c r="C936" t="str">
        <f>VLOOKUP(bron[[#This Row],[personeelsnr]],'data hastus'!$A:$C,2,0)</f>
        <v>Kuru</v>
      </c>
      <c r="D936" t="str">
        <f>VLOOKUP(bron[[#This Row],[personeelsnr]],'data hastus'!$A:$C,3,0)</f>
        <v>Cetin</v>
      </c>
      <c r="E936" s="2" t="str">
        <f>VLOOKUP(bron[[#This Row],[personeelsnr]],'data hastus'!A:K,11,FALSE)</f>
        <v>Kenneth De Rick</v>
      </c>
      <c r="F936" s="10"/>
      <c r="G936" s="39"/>
      <c r="H936" s="39"/>
      <c r="I936" s="39"/>
      <c r="S936" s="36">
        <f>SUM(bron[[#This Row],[Januari]:[December]])</f>
        <v>0</v>
      </c>
      <c r="T936" s="41">
        <v>45964</v>
      </c>
      <c r="U936" s="5" t="s">
        <v>3754</v>
      </c>
      <c r="V936" s="37"/>
      <c r="W936" s="37"/>
      <c r="X936" t="s">
        <v>3512</v>
      </c>
      <c r="Y936" t="s">
        <v>3755</v>
      </c>
      <c r="Z936" s="2">
        <v>5935</v>
      </c>
      <c r="AA936" s="43" t="s">
        <v>3558</v>
      </c>
    </row>
    <row r="937" spans="1:27" x14ac:dyDescent="0.3">
      <c r="A937">
        <v>42143</v>
      </c>
      <c r="B937" t="str">
        <f>_xlfn.CONCAT(bron[[#This Row],[personeelsnr]]," ",bron[[#This Row],[achternaam]]," ",bron[[#This Row],[voornaam]])</f>
        <v>42143 Rahoens Christ</v>
      </c>
      <c r="C937" t="str">
        <f>VLOOKUP(bron[[#This Row],[personeelsnr]],'data hastus'!$A:$C,2,0)</f>
        <v>Rahoens</v>
      </c>
      <c r="D937" t="str">
        <f>VLOOKUP(bron[[#This Row],[personeelsnr]],'data hastus'!$A:$C,3,0)</f>
        <v>Christ</v>
      </c>
      <c r="E937" s="2" t="str">
        <f>VLOOKUP(bron[[#This Row],[personeelsnr]],'data hastus'!A:K,11,FALSE)</f>
        <v>Bart Van Der Beken</v>
      </c>
      <c r="F937" s="10"/>
      <c r="G937" s="39"/>
      <c r="H937" s="39"/>
      <c r="I937" s="39"/>
      <c r="S937" s="36">
        <f>SUM(bron[[#This Row],[Januari]:[December]])</f>
        <v>0</v>
      </c>
      <c r="T937" s="41">
        <v>45964</v>
      </c>
      <c r="U937" s="5" t="s">
        <v>3756</v>
      </c>
      <c r="V937" s="37"/>
      <c r="W937" s="37"/>
      <c r="X937" t="s">
        <v>3512</v>
      </c>
      <c r="Y937" t="str">
        <f>Y936</f>
        <v>Port Arthurlaan</v>
      </c>
      <c r="Z937" s="2">
        <v>550821</v>
      </c>
      <c r="AA937" s="43" t="s">
        <v>3631</v>
      </c>
    </row>
    <row r="938" spans="1:27" x14ac:dyDescent="0.3">
      <c r="A938">
        <v>41384</v>
      </c>
      <c r="B938" t="str">
        <f>_xlfn.CONCAT(bron[[#This Row],[personeelsnr]]," ",bron[[#This Row],[achternaam]]," ",bron[[#This Row],[voornaam]])</f>
        <v>41384 Hillaert Thimo</v>
      </c>
      <c r="C938" t="str">
        <f>VLOOKUP(bron[[#This Row],[personeelsnr]],'data hastus'!$A:$C,2,0)</f>
        <v>Hillaert</v>
      </c>
      <c r="D938" t="str">
        <f>VLOOKUP(bron[[#This Row],[personeelsnr]],'data hastus'!$A:$C,3,0)</f>
        <v>Thimo</v>
      </c>
      <c r="E938" s="2" t="str">
        <f>VLOOKUP(bron[[#This Row],[personeelsnr]],'data hastus'!A:K,11,FALSE)</f>
        <v>Christoff Rotty</v>
      </c>
      <c r="F938" s="10"/>
      <c r="G938" s="39"/>
      <c r="H938" s="39"/>
      <c r="I938" s="39"/>
      <c r="S938" s="36">
        <f>SUM(bron[[#This Row],[Januari]:[December]])</f>
        <v>0</v>
      </c>
      <c r="T938" s="41">
        <v>45962</v>
      </c>
      <c r="U938" s="5" t="s">
        <v>3757</v>
      </c>
      <c r="V938" s="37"/>
      <c r="W938" s="37"/>
      <c r="X938" t="s">
        <v>3512</v>
      </c>
      <c r="Y938" t="s">
        <v>3636</v>
      </c>
      <c r="Z938" s="2">
        <v>5916</v>
      </c>
      <c r="AA938" s="43" t="s">
        <v>3558</v>
      </c>
    </row>
    <row r="939" spans="1:27" x14ac:dyDescent="0.3">
      <c r="B939" t="e">
        <f>_xlfn.CONCAT(bron[[#This Row],[personeelsnr]]," ",bron[[#This Row],[achternaam]]," ",bron[[#This Row],[voornaam]])</f>
        <v>#N/A</v>
      </c>
      <c r="C939" t="e">
        <f>VLOOKUP(bron[[#This Row],[personeelsnr]],'data hastus'!$A:$C,2,0)</f>
        <v>#N/A</v>
      </c>
      <c r="D939" t="e">
        <f>VLOOKUP(bron[[#This Row],[personeelsnr]],'data hastus'!$A:$C,3,0)</f>
        <v>#N/A</v>
      </c>
      <c r="E939" s="2" t="e">
        <f>VLOOKUP(bron[[#This Row],[personeelsnr]],'data hastus'!A:K,11,FALSE)</f>
        <v>#N/A</v>
      </c>
      <c r="F939" s="10"/>
      <c r="G939" s="39"/>
      <c r="H939" s="39"/>
      <c r="I939" s="39"/>
      <c r="S939" s="36">
        <f>SUM(bron[[#This Row],[Januari]:[December]])</f>
        <v>0</v>
      </c>
      <c r="V939" s="37"/>
      <c r="W939" s="37"/>
    </row>
    <row r="940" spans="1:27" x14ac:dyDescent="0.3">
      <c r="B940" t="e">
        <f>_xlfn.CONCAT(bron[[#This Row],[personeelsnr]]," ",bron[[#This Row],[achternaam]]," ",bron[[#This Row],[voornaam]])</f>
        <v>#N/A</v>
      </c>
      <c r="C940" t="e">
        <f>VLOOKUP(bron[[#This Row],[personeelsnr]],'data hastus'!$A:$C,2,0)</f>
        <v>#N/A</v>
      </c>
      <c r="D940" t="e">
        <f>VLOOKUP(bron[[#This Row],[personeelsnr]],'data hastus'!$A:$C,3,0)</f>
        <v>#N/A</v>
      </c>
      <c r="E940" s="2" t="e">
        <f>VLOOKUP(bron[[#This Row],[personeelsnr]],'data hastus'!A:K,11,FALSE)</f>
        <v>#N/A</v>
      </c>
      <c r="F940" s="10"/>
      <c r="G940" s="39"/>
      <c r="H940" s="39"/>
      <c r="I940" s="39"/>
      <c r="S940" s="36">
        <f>SUM(bron[[#This Row],[Januari]:[December]])</f>
        <v>0</v>
      </c>
      <c r="V940" s="37"/>
      <c r="W940" s="37"/>
    </row>
    <row r="941" spans="1:27" x14ac:dyDescent="0.3">
      <c r="B941" t="e">
        <f>_xlfn.CONCAT(bron[[#This Row],[personeelsnr]]," ",bron[[#This Row],[achternaam]]," ",bron[[#This Row],[voornaam]])</f>
        <v>#N/A</v>
      </c>
      <c r="C941" t="e">
        <f>VLOOKUP(bron[[#This Row],[personeelsnr]],'data hastus'!$A:$C,2,0)</f>
        <v>#N/A</v>
      </c>
      <c r="D941" t="e">
        <f>VLOOKUP(bron[[#This Row],[personeelsnr]],'data hastus'!$A:$C,3,0)</f>
        <v>#N/A</v>
      </c>
      <c r="E941" s="2" t="e">
        <f>VLOOKUP(bron[[#This Row],[personeelsnr]],'data hastus'!A:K,11,FALSE)</f>
        <v>#N/A</v>
      </c>
      <c r="F941" s="10"/>
      <c r="G941" s="39"/>
      <c r="H941" s="39"/>
      <c r="I941" s="39"/>
      <c r="S941" s="36">
        <f>SUM(bron[[#This Row],[Januari]:[December]])</f>
        <v>0</v>
      </c>
      <c r="V941" s="37"/>
      <c r="W941" s="37"/>
    </row>
    <row r="942" spans="1:27" x14ac:dyDescent="0.3">
      <c r="B942" t="e">
        <f>_xlfn.CONCAT(bron[[#This Row],[personeelsnr]]," ",bron[[#This Row],[achternaam]]," ",bron[[#This Row],[voornaam]])</f>
        <v>#N/A</v>
      </c>
      <c r="C942" t="e">
        <f>VLOOKUP(bron[[#This Row],[personeelsnr]],'data hastus'!$A:$C,2,0)</f>
        <v>#N/A</v>
      </c>
      <c r="D942" t="e">
        <f>VLOOKUP(bron[[#This Row],[personeelsnr]],'data hastus'!$A:$C,3,0)</f>
        <v>#N/A</v>
      </c>
      <c r="E942" s="2" t="e">
        <f>VLOOKUP(bron[[#This Row],[personeelsnr]],'data hastus'!A:K,11,FALSE)</f>
        <v>#N/A</v>
      </c>
      <c r="F942" s="10"/>
      <c r="G942" s="39"/>
      <c r="H942" s="39"/>
      <c r="I942" s="39"/>
      <c r="S942" s="36">
        <f>SUM(bron[[#This Row],[Januari]:[December]])</f>
        <v>0</v>
      </c>
      <c r="V942" s="37"/>
      <c r="W942" s="37"/>
    </row>
    <row r="943" spans="1:27" x14ac:dyDescent="0.3">
      <c r="B943" t="e">
        <f>_xlfn.CONCAT(bron[[#This Row],[personeelsnr]]," ",bron[[#This Row],[achternaam]]," ",bron[[#This Row],[voornaam]])</f>
        <v>#N/A</v>
      </c>
      <c r="C943" t="e">
        <f>VLOOKUP(bron[[#This Row],[personeelsnr]],'data hastus'!$A:$C,2,0)</f>
        <v>#N/A</v>
      </c>
      <c r="D943" t="e">
        <f>VLOOKUP(bron[[#This Row],[personeelsnr]],'data hastus'!$A:$C,3,0)</f>
        <v>#N/A</v>
      </c>
      <c r="E943" s="2" t="e">
        <f>VLOOKUP(bron[[#This Row],[personeelsnr]],'data hastus'!A:K,11,FALSE)</f>
        <v>#N/A</v>
      </c>
      <c r="F943" s="10"/>
      <c r="G943" s="39"/>
      <c r="H943" s="39"/>
      <c r="I943" s="39"/>
      <c r="S943" s="36">
        <f>SUM(bron[[#This Row],[Januari]:[December]])</f>
        <v>0</v>
      </c>
      <c r="V943" s="37"/>
      <c r="W943" s="37"/>
    </row>
    <row r="944" spans="1:27" x14ac:dyDescent="0.3">
      <c r="B944" t="e">
        <f>_xlfn.CONCAT(bron[[#This Row],[personeelsnr]]," ",bron[[#This Row],[achternaam]]," ",bron[[#This Row],[voornaam]])</f>
        <v>#N/A</v>
      </c>
      <c r="C944" t="e">
        <f>VLOOKUP(bron[[#This Row],[personeelsnr]],'data hastus'!$A:$C,2,0)</f>
        <v>#N/A</v>
      </c>
      <c r="D944" t="e">
        <f>VLOOKUP(bron[[#This Row],[personeelsnr]],'data hastus'!$A:$C,3,0)</f>
        <v>#N/A</v>
      </c>
      <c r="E944" s="2" t="e">
        <f>VLOOKUP(bron[[#This Row],[personeelsnr]],'data hastus'!A:K,11,FALSE)</f>
        <v>#N/A</v>
      </c>
      <c r="F944" s="10"/>
      <c r="G944" s="39"/>
      <c r="H944" s="39"/>
      <c r="I944" s="39"/>
      <c r="S944" s="36">
        <f>SUM(bron[[#This Row],[Januari]:[December]])</f>
        <v>0</v>
      </c>
      <c r="V944" s="37"/>
      <c r="W944" s="37"/>
    </row>
  </sheetData>
  <sheetProtection sort="0" autoFilter="0"/>
  <phoneticPr fontId="1" type="noConversion"/>
  <conditionalFormatting sqref="F2:F944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1" r:id="rId819" xr:uid="{7FC56684-76EF-413B-A479-630E352B6909}"/>
    <hyperlink ref="U930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3" x14ac:dyDescent="0.3">
      <c r="A1" t="s">
        <v>1340</v>
      </c>
      <c r="B1" t="s">
        <v>1341</v>
      </c>
      <c r="C1" t="s">
        <v>1342</v>
      </c>
    </row>
    <row r="2" spans="1:3" x14ac:dyDescent="0.3">
      <c r="A2">
        <v>29076</v>
      </c>
      <c r="B2" t="s">
        <v>1343</v>
      </c>
      <c r="C2" s="8" t="s">
        <v>1344</v>
      </c>
    </row>
    <row r="3" spans="1:3" x14ac:dyDescent="0.3">
      <c r="A3">
        <v>35348</v>
      </c>
      <c r="B3" t="s">
        <v>1345</v>
      </c>
      <c r="C3" s="8" t="s">
        <v>1346</v>
      </c>
    </row>
    <row r="4" spans="1:3" x14ac:dyDescent="0.3">
      <c r="A4">
        <v>10170</v>
      </c>
      <c r="B4" t="s">
        <v>1347</v>
      </c>
      <c r="C4" s="8" t="s">
        <v>1348</v>
      </c>
    </row>
    <row r="5" spans="1:3" x14ac:dyDescent="0.3">
      <c r="A5">
        <v>5579</v>
      </c>
      <c r="B5" t="s">
        <v>1349</v>
      </c>
      <c r="C5" s="8" t="s">
        <v>1350</v>
      </c>
    </row>
    <row r="6" spans="1:3" x14ac:dyDescent="0.3">
      <c r="A6">
        <v>4597</v>
      </c>
      <c r="B6" t="s">
        <v>1351</v>
      </c>
      <c r="C6" s="8" t="s">
        <v>1352</v>
      </c>
    </row>
    <row r="7" spans="1:3" x14ac:dyDescent="0.3">
      <c r="A7">
        <v>26268</v>
      </c>
      <c r="B7" t="s">
        <v>1353</v>
      </c>
      <c r="C7" s="8" t="s">
        <v>1354</v>
      </c>
    </row>
    <row r="8" spans="1:3" x14ac:dyDescent="0.3">
      <c r="A8">
        <v>23897</v>
      </c>
      <c r="B8" t="s">
        <v>1355</v>
      </c>
      <c r="C8" s="8" t="s">
        <v>1356</v>
      </c>
    </row>
    <row r="9" spans="1:3" x14ac:dyDescent="0.3">
      <c r="A9">
        <v>30456</v>
      </c>
      <c r="B9" t="s">
        <v>1357</v>
      </c>
      <c r="C9" s="8" t="s">
        <v>1358</v>
      </c>
    </row>
    <row r="10" spans="1:3" x14ac:dyDescent="0.3">
      <c r="A10">
        <v>7839</v>
      </c>
      <c r="B10" t="s">
        <v>1349</v>
      </c>
      <c r="C10" s="8" t="s">
        <v>1359</v>
      </c>
    </row>
    <row r="11" spans="1:3" x14ac:dyDescent="0.3">
      <c r="A11">
        <v>28740</v>
      </c>
      <c r="B11" t="s">
        <v>1360</v>
      </c>
      <c r="C11" s="8" t="s">
        <v>1361</v>
      </c>
    </row>
    <row r="12" spans="1:3" x14ac:dyDescent="0.3">
      <c r="A12">
        <v>32219</v>
      </c>
      <c r="B12" t="s">
        <v>1362</v>
      </c>
      <c r="C12" s="8" t="s">
        <v>1363</v>
      </c>
    </row>
    <row r="13" spans="1:3" x14ac:dyDescent="0.3">
      <c r="A13">
        <v>33531</v>
      </c>
      <c r="B13" t="s">
        <v>1364</v>
      </c>
      <c r="C13" s="8" t="s">
        <v>1365</v>
      </c>
    </row>
    <row r="14" spans="1:3" x14ac:dyDescent="0.3">
      <c r="A14">
        <v>10072</v>
      </c>
      <c r="B14" t="s">
        <v>1366</v>
      </c>
      <c r="C14" s="8" t="s">
        <v>1367</v>
      </c>
    </row>
    <row r="15" spans="1:3" x14ac:dyDescent="0.3">
      <c r="A15">
        <v>33429</v>
      </c>
      <c r="B15" t="s">
        <v>1368</v>
      </c>
      <c r="C15" s="8" t="s">
        <v>1369</v>
      </c>
    </row>
    <row r="16" spans="1:3" x14ac:dyDescent="0.3">
      <c r="A16">
        <v>15673</v>
      </c>
      <c r="B16" t="s">
        <v>1370</v>
      </c>
      <c r="C16" s="8" t="s">
        <v>1371</v>
      </c>
    </row>
    <row r="17" spans="1:3" x14ac:dyDescent="0.3">
      <c r="A17">
        <v>6046</v>
      </c>
      <c r="B17" t="s">
        <v>3514</v>
      </c>
      <c r="C17" s="8" t="s">
        <v>3515</v>
      </c>
    </row>
    <row r="18" spans="1:3" x14ac:dyDescent="0.3">
      <c r="A18">
        <v>4691</v>
      </c>
      <c r="B18" t="s">
        <v>1472</v>
      </c>
      <c r="C18" s="8" t="s">
        <v>3516</v>
      </c>
    </row>
    <row r="19" spans="1:3" x14ac:dyDescent="0.3">
      <c r="A19">
        <v>22812</v>
      </c>
      <c r="B19" t="s">
        <v>1570</v>
      </c>
      <c r="C19" s="8" t="s">
        <v>3517</v>
      </c>
    </row>
    <row r="20" spans="1:3" x14ac:dyDescent="0.3">
      <c r="A20">
        <v>25875</v>
      </c>
      <c r="B20" t="s">
        <v>3518</v>
      </c>
      <c r="C20" s="8" t="s">
        <v>3519</v>
      </c>
    </row>
    <row r="21" spans="1:3" x14ac:dyDescent="0.3">
      <c r="A21">
        <v>10905</v>
      </c>
      <c r="B21" t="s">
        <v>3520</v>
      </c>
      <c r="C21" s="8" t="s">
        <v>3521</v>
      </c>
    </row>
    <row r="22" spans="1:3" x14ac:dyDescent="0.3">
      <c r="A22">
        <v>17552</v>
      </c>
      <c r="B22" t="s">
        <v>3522</v>
      </c>
      <c r="C22" s="8" t="s">
        <v>3523</v>
      </c>
    </row>
    <row r="23" spans="1:3" x14ac:dyDescent="0.3">
      <c r="A23">
        <v>29544</v>
      </c>
      <c r="B23" t="s">
        <v>3524</v>
      </c>
      <c r="C23" s="8" t="s">
        <v>3525</v>
      </c>
    </row>
    <row r="24" spans="1:3" x14ac:dyDescent="0.3">
      <c r="A24">
        <v>14537</v>
      </c>
      <c r="B24" t="s">
        <v>3367</v>
      </c>
      <c r="C24" s="8" t="s">
        <v>3526</v>
      </c>
    </row>
    <row r="25" spans="1:3" x14ac:dyDescent="0.3">
      <c r="A25">
        <v>16707</v>
      </c>
      <c r="B25" t="s">
        <v>1472</v>
      </c>
      <c r="C25" s="8" t="s">
        <v>3527</v>
      </c>
    </row>
    <row r="26" spans="1:3" x14ac:dyDescent="0.3">
      <c r="A26">
        <v>7848</v>
      </c>
      <c r="B26" t="s">
        <v>2522</v>
      </c>
      <c r="C26" s="8" t="s">
        <v>3528</v>
      </c>
    </row>
    <row r="27" spans="1:3" x14ac:dyDescent="0.3">
      <c r="A27">
        <v>32710</v>
      </c>
      <c r="B27" t="s">
        <v>3035</v>
      </c>
      <c r="C27" s="8" t="s">
        <v>3529</v>
      </c>
    </row>
    <row r="28" spans="1:3" x14ac:dyDescent="0.3">
      <c r="A28">
        <v>20541</v>
      </c>
      <c r="B28" t="s">
        <v>1832</v>
      </c>
      <c r="C28" s="8" t="s">
        <v>3530</v>
      </c>
    </row>
    <row r="29" spans="1:3" x14ac:dyDescent="0.3">
      <c r="A29">
        <v>26202</v>
      </c>
      <c r="B29" t="s">
        <v>3531</v>
      </c>
      <c r="C29" s="8" t="s">
        <v>3532</v>
      </c>
    </row>
    <row r="30" spans="1:3" x14ac:dyDescent="0.3">
      <c r="A30">
        <v>27081</v>
      </c>
      <c r="B30" t="s">
        <v>3533</v>
      </c>
      <c r="C30" s="8" t="s">
        <v>3534</v>
      </c>
    </row>
    <row r="31" spans="1:3" x14ac:dyDescent="0.3">
      <c r="A31">
        <v>24577</v>
      </c>
      <c r="B31" t="s">
        <v>3535</v>
      </c>
      <c r="C31" s="8" t="s">
        <v>3536</v>
      </c>
    </row>
    <row r="32" spans="1:3" x14ac:dyDescent="0.3">
      <c r="A32">
        <v>29909</v>
      </c>
      <c r="B32" t="s">
        <v>3537</v>
      </c>
      <c r="C32" s="8" t="s">
        <v>3538</v>
      </c>
    </row>
    <row r="33" spans="1:3" x14ac:dyDescent="0.3">
      <c r="A33">
        <v>31154</v>
      </c>
      <c r="B33" t="s">
        <v>3539</v>
      </c>
      <c r="C33" s="8" t="s">
        <v>3540</v>
      </c>
    </row>
    <row r="34" spans="1:3" x14ac:dyDescent="0.3">
      <c r="A34">
        <v>4707</v>
      </c>
      <c r="B34" t="s">
        <v>1949</v>
      </c>
      <c r="C34" s="8" t="s">
        <v>3541</v>
      </c>
    </row>
    <row r="35" spans="1:3" x14ac:dyDescent="0.3">
      <c r="A35">
        <v>8538</v>
      </c>
      <c r="B35" t="s">
        <v>1931</v>
      </c>
      <c r="C35" s="8" t="s">
        <v>3542</v>
      </c>
    </row>
    <row r="36" spans="1:3" x14ac:dyDescent="0.3">
      <c r="A36">
        <v>27105</v>
      </c>
      <c r="B36" t="s">
        <v>3543</v>
      </c>
      <c r="C36" s="8" t="s">
        <v>3544</v>
      </c>
    </row>
    <row r="37" spans="1:3" x14ac:dyDescent="0.3">
      <c r="A37">
        <v>4692</v>
      </c>
      <c r="B37" t="s">
        <v>3035</v>
      </c>
      <c r="C37" s="8" t="s">
        <v>3545</v>
      </c>
    </row>
    <row r="38" spans="1:3" x14ac:dyDescent="0.3">
      <c r="A38">
        <v>90649</v>
      </c>
      <c r="B38" t="s">
        <v>2601</v>
      </c>
      <c r="C38" s="8" t="s">
        <v>3564</v>
      </c>
    </row>
    <row r="39" spans="1:3" x14ac:dyDescent="0.3">
      <c r="A39">
        <v>23079</v>
      </c>
      <c r="B39" t="s">
        <v>3543</v>
      </c>
      <c r="C39" s="8" t="s">
        <v>3565</v>
      </c>
    </row>
    <row r="40" spans="1:3" x14ac:dyDescent="0.3">
      <c r="A40">
        <v>40152</v>
      </c>
      <c r="B40" t="s">
        <v>3621</v>
      </c>
      <c r="C40" s="8" t="s">
        <v>3622</v>
      </c>
    </row>
    <row r="41" spans="1:3" x14ac:dyDescent="0.3">
      <c r="A41">
        <v>10865</v>
      </c>
      <c r="B41" t="s">
        <v>3650</v>
      </c>
      <c r="C41" s="8" t="s">
        <v>3651</v>
      </c>
    </row>
    <row r="42" spans="1:3" x14ac:dyDescent="0.3">
      <c r="A42">
        <v>35714</v>
      </c>
      <c r="B42" t="s">
        <v>2647</v>
      </c>
      <c r="C42" s="8" t="s">
        <v>3704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4.4" x14ac:dyDescent="0.3"/>
  <sheetData>
    <row r="1" spans="1:20" x14ac:dyDescent="0.3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3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3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3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3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3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3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3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3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3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3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3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3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3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3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3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3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3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3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3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3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3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3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3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3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3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3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3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3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3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3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3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3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3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3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3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3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3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3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3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3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3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3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3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3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3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3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3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3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3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3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3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3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3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3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3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3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3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3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3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3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3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3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3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3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3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3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3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3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3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3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3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3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3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3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3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3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3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3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3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3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3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3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3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3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3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3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3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3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3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3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3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3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3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3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3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3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3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3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3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3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3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3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3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3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3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3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3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3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3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3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3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3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3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3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3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3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3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3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3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3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3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3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3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3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3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3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3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3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3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3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3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3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3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3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3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3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3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3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3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3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3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3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3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3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3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3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3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3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3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3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3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3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3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3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3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3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3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3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3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3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3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3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3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3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3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3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3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3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3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3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3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3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3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3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3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3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3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3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3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3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3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3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3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3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3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3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3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3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3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3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3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3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3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3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3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3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3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3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3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3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3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3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3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3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3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3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3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3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3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3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3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3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3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3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3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3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3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3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3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3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3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3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3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3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3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3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3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3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3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3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3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3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3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3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3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3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3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3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3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3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3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3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3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3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3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3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3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3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3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3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3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3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3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3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3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3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3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3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3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3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3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3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3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3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3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3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3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3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3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3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3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3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3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3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3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3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3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3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3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3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3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3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3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3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3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3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3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3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3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3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3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3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3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3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3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3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3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3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3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3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3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3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3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3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3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3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3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3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3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3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3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3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3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3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3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3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3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3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3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3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3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3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3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3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3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3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3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3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3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3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3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3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3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3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3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3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3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3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3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3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3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3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3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3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3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3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3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3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3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3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3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3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3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3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3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3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3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3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3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3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3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3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3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3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3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3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3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3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3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3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3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3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3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3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3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3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3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3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3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3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3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3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3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3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3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3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3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3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3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3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3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3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3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3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3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3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3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3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3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3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3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3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3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3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3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3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3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3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3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3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3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3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3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3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3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3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3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3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3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3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3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3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3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3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3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3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3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3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3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3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3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3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3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3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3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3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3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3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3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3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3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3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3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3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3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3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3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3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3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3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3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3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3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3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3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3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3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3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3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3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3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3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3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3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3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3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3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3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3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3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3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3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3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3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3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3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3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3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3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3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3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3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3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3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3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3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3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3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3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3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3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3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3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3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3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3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3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3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3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3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3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3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3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3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3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3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3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3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3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3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3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3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3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3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3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3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3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3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3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3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3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3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3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3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3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3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3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3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3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3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3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3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3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3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3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3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3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3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3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3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3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3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3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3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3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3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3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3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3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3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3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3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3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3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3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3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3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3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3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3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3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3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3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3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3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3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3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3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3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3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3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3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3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3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3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3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3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3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3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3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3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3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3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3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3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3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3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3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3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3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3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3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3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3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3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3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3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3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3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3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e7229e5165138ff38703d0bd0252e655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54065dfa763075b64fca7034668eddf1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E3478E0-B71A-4456-912A-81FF3A014F7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2025-11-03T17:13:49Z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