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3" documentId="8_{21511603-A870-4D4C-809B-4C28D285AF8F}" xr6:coauthVersionLast="47" xr6:coauthVersionMax="47" xr10:uidLastSave="{A3385864-44A3-44E8-9A58-3BA4B65BC4B1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<sst xmlns="http://schemas.openxmlformats.org/spreadsheetml/2006/main" count="8461" uniqueCount="3651">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</sst>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19</v>
          </cell>
        </row>
        <row r="6">
          <cell r="A6">
            <v>11</v>
          </cell>
          <cell r="B6" t="str">
            <v>Dominique De Clercq</v>
          </cell>
          <cell r="D6">
            <v>32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42578125" style="27" bestFit="1" customWidth="1"/>
    <col min="10" max="10" width="16.28515625" style="27" bestFit="1" customWidth="1"/>
    <col min="11" max="11" width="5.5703125" style="27" bestFit="1" customWidth="1"/>
    <col min="12" max="12" width="10.140625" style="27" bestFit="1" customWidth="1"/>
    <col min="13" max="13" width="18.85546875" style="27" bestFit="1" customWidth="1"/>
    <col min="14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1" t="s">
        <v>45</v>
      </c>
      <c r="D26">
        <v>3</v>
      </c>
      <c r="F26" s="2" t="s">
        <v>46</v>
      </c>
      <c r="G26">
        <v>5</v>
      </c>
    </row>
    <row r="27" spans="2:11" x14ac:dyDescent="0.25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1" t="s">
        <v>85</v>
      </c>
      <c r="D40">
        <v>2</v>
      </c>
      <c r="F40" s="2" t="s">
        <v>86</v>
      </c>
      <c r="G40">
        <v>2</v>
      </c>
    </row>
    <row r="41" spans="3:15" x14ac:dyDescent="0.25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19</v>
      </c>
      <c r="N43" s="13" t="str">
        <f>'[1]Ingeplande per TC'!$B$3</f>
        <v>Bart Van der Beken</v>
      </c>
      <c r="O43" s="13"/>
    </row>
    <row r="44" spans="3:15" x14ac:dyDescent="0.25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32</v>
      </c>
      <c r="N46" s="13" t="str">
        <f>'[1]Ingeplande per TC'!$B$6</f>
        <v>Dominique De Clercq</v>
      </c>
      <c r="O46" s="13"/>
    </row>
    <row r="47" spans="3:15" x14ac:dyDescent="0.25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22</v>
      </c>
      <c r="N49" s="13" t="str">
        <f>'[1]Ingeplande per TC'!$B$9</f>
        <v>Kenneth De Rick</v>
      </c>
      <c r="O49" s="13"/>
    </row>
    <row r="50" spans="3:15" x14ac:dyDescent="0.25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170</v>
      </c>
      <c r="N50" s="14" t="s">
        <v>109</v>
      </c>
      <c r="O50" s="14"/>
    </row>
    <row r="51" spans="3:15" x14ac:dyDescent="0.25">
      <c r="C51" s="31" t="s">
        <v>110</v>
      </c>
      <c r="D51">
        <v>2</v>
      </c>
      <c r="F51" s="2" t="s">
        <v>111</v>
      </c>
      <c r="G51">
        <v>2</v>
      </c>
    </row>
    <row r="52" spans="3:15" x14ac:dyDescent="0.25">
      <c r="C52" s="34" t="s">
        <v>112</v>
      </c>
      <c r="D52">
        <v>2</v>
      </c>
      <c r="F52" s="2" t="s">
        <v>113</v>
      </c>
      <c r="G52">
        <v>2</v>
      </c>
    </row>
    <row r="53" spans="3:15" x14ac:dyDescent="0.25">
      <c r="C53" s="31" t="s">
        <v>114</v>
      </c>
      <c r="D53">
        <v>2</v>
      </c>
      <c r="F53" s="2" t="s">
        <v>115</v>
      </c>
      <c r="G53">
        <v>2</v>
      </c>
    </row>
    <row r="54" spans="3:15" x14ac:dyDescent="0.25">
      <c r="C54" s="34" t="s">
        <v>116</v>
      </c>
      <c r="D54">
        <v>2</v>
      </c>
      <c r="F54" s="2" t="s">
        <v>117</v>
      </c>
      <c r="G54">
        <v>2</v>
      </c>
    </row>
    <row r="55" spans="3:15" x14ac:dyDescent="0.25">
      <c r="C55" s="34" t="s">
        <v>118</v>
      </c>
      <c r="D55">
        <v>2</v>
      </c>
      <c r="F55" s="2" t="s">
        <v>119</v>
      </c>
      <c r="G55">
        <v>2</v>
      </c>
    </row>
    <row r="56" spans="3:15" x14ac:dyDescent="0.25">
      <c r="C56" s="34" t="s">
        <v>120</v>
      </c>
      <c r="D56">
        <v>2</v>
      </c>
      <c r="F56" s="2" t="s">
        <v>121</v>
      </c>
      <c r="G56">
        <v>2</v>
      </c>
    </row>
    <row r="57" spans="3:15" x14ac:dyDescent="0.25">
      <c r="C57" s="31" t="s">
        <v>122</v>
      </c>
      <c r="D57">
        <v>2</v>
      </c>
      <c r="F57" s="2" t="s">
        <v>123</v>
      </c>
      <c r="G57">
        <v>2</v>
      </c>
    </row>
    <row r="58" spans="3:15" x14ac:dyDescent="0.25">
      <c r="C58" s="31" t="s">
        <v>124</v>
      </c>
      <c r="D58">
        <v>2</v>
      </c>
      <c r="F58" s="2" t="s">
        <v>125</v>
      </c>
      <c r="G58">
        <v>2</v>
      </c>
    </row>
    <row r="59" spans="3:15" x14ac:dyDescent="0.25">
      <c r="C59" s="34" t="s">
        <v>126</v>
      </c>
      <c r="D59">
        <v>2</v>
      </c>
      <c r="F59" s="2" t="s">
        <v>127</v>
      </c>
      <c r="G59">
        <v>2</v>
      </c>
    </row>
    <row r="60" spans="3:15" x14ac:dyDescent="0.25">
      <c r="C60" s="31" t="s">
        <v>128</v>
      </c>
      <c r="D60">
        <v>2</v>
      </c>
      <c r="F60" s="2" t="s">
        <v>129</v>
      </c>
      <c r="G60">
        <v>2</v>
      </c>
    </row>
    <row r="61" spans="3:15" x14ac:dyDescent="0.25">
      <c r="C61" s="31" t="s">
        <v>130</v>
      </c>
      <c r="D61">
        <v>2</v>
      </c>
      <c r="F61" s="2" t="s">
        <v>131</v>
      </c>
      <c r="G61">
        <v>2</v>
      </c>
    </row>
    <row r="62" spans="3:15" x14ac:dyDescent="0.25">
      <c r="C62" s="34" t="s">
        <v>132</v>
      </c>
      <c r="D62">
        <v>2</v>
      </c>
      <c r="F62" s="2" t="s">
        <v>133</v>
      </c>
      <c r="G62">
        <v>2</v>
      </c>
    </row>
    <row r="63" spans="3:15" x14ac:dyDescent="0.25">
      <c r="C63" s="34" t="s">
        <v>134</v>
      </c>
      <c r="D63">
        <v>2</v>
      </c>
      <c r="F63" s="2" t="s">
        <v>135</v>
      </c>
      <c r="G63">
        <v>2</v>
      </c>
    </row>
    <row r="64" spans="3:15" x14ac:dyDescent="0.25">
      <c r="C64" s="31" t="s">
        <v>136</v>
      </c>
      <c r="D64">
        <v>2</v>
      </c>
      <c r="F64" s="2" t="s">
        <v>137</v>
      </c>
      <c r="G64">
        <v>1</v>
      </c>
    </row>
    <row r="65" spans="3:7" x14ac:dyDescent="0.25">
      <c r="C65" s="34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2" activePane="bottomLeft" state="frozen"/>
      <selection activeCell="F1" sqref="F1"/>
      <selection pane="bottomLeft" activeCell="A884" sqref="A88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3644</v>
      </c>
      <c r="V878" s="37"/>
      <c r="W878" s="37"/>
      <c r="X878" t="s">
        <v>3514</v>
      </c>
      <c r="Y878" t="s">
        <v>610</v>
      </c>
      <c r="Z878" s="2">
        <v>5768</v>
      </c>
      <c r="AA878" s="43" t="s">
        <v>3560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3645</v>
      </c>
      <c r="V879" s="37"/>
      <c r="W879" s="37"/>
      <c r="X879" t="s">
        <v>3514</v>
      </c>
      <c r="Y879" t="s">
        <v>3504</v>
      </c>
      <c r="Z879" s="2">
        <v>5913</v>
      </c>
      <c r="AA879" s="43" t="s">
        <v>3560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3646</v>
      </c>
      <c r="V880" s="37"/>
      <c r="W880" s="37"/>
      <c r="X880" t="s">
        <v>3515</v>
      </c>
      <c r="Y880" t="s">
        <v>100</v>
      </c>
      <c r="Z880" s="2">
        <v>2201</v>
      </c>
      <c r="AA880" s="43" t="s">
        <v>3561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3647</v>
      </c>
      <c r="V881" s="37"/>
      <c r="W881" s="37"/>
      <c r="X881" t="s">
        <v>3514</v>
      </c>
      <c r="Y881" t="s">
        <v>243</v>
      </c>
      <c r="Z881" s="2">
        <v>550822</v>
      </c>
      <c r="AA881" s="43" t="s">
        <v>3560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3648</v>
      </c>
      <c r="V882" s="37"/>
      <c r="W882" s="37"/>
      <c r="X882" t="s">
        <v>3549</v>
      </c>
      <c r="Y882" t="s">
        <v>625</v>
      </c>
      <c r="Z882" s="2">
        <v>6312</v>
      </c>
      <c r="AA882" s="43" t="s">
        <v>3560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3649</v>
      </c>
      <c r="V883" s="37"/>
      <c r="W883" s="37"/>
      <c r="X883" t="s">
        <v>3515</v>
      </c>
      <c r="Y883" t="s">
        <v>3650</v>
      </c>
      <c r="Z883" s="2">
        <v>2191</v>
      </c>
      <c r="AA883" s="43" t="s">
        <v>3560</v>
      </c>
    </row>
    <row r="884" spans="1:27" x14ac:dyDescent="0.25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s="2" t="e">
        <f>VLOOKUP(bron[[#This Row],[personeelsnr]],'data hastus'!A:K,11,FALSE)</f>
        <v>#N/A</v>
      </c>
      <c r="G884" s="39"/>
      <c r="H884" s="39"/>
      <c r="I884" s="39"/>
      <c r="S884" s="36">
        <f>SUM(bron[[#This Row],[Januari]:[December]])</f>
        <v>0</v>
      </c>
      <c r="V884" s="37"/>
      <c r="W884" s="37"/>
    </row>
    <row r="885" spans="1:27" x14ac:dyDescent="0.25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s="2" t="e">
        <f>VLOOKUP(bron[[#This Row],[personeelsnr]],'data hastus'!A:K,11,FALSE)</f>
        <v>#N/A</v>
      </c>
      <c r="G885" s="39"/>
      <c r="H885" s="39"/>
      <c r="I885" s="39"/>
      <c r="S885" s="36">
        <f>SUM(bron[[#This Row],[Januari]:[December]])</f>
        <v>0</v>
      </c>
      <c r="V885" s="37"/>
      <c r="W885" s="37"/>
    </row>
    <row r="886" spans="1:27" x14ac:dyDescent="0.25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s="2" t="e">
        <f>VLOOKUP(bron[[#This Row],[personeelsnr]],'data hastus'!A:K,11,FALSE)</f>
        <v>#N/A</v>
      </c>
      <c r="G886" s="39"/>
      <c r="H886" s="39"/>
      <c r="I886" s="39"/>
      <c r="S886" s="36">
        <f>SUM(bron[[#This Row],[Januari]:[December]])</f>
        <v>0</v>
      </c>
      <c r="V886" s="37"/>
      <c r="W886" s="37"/>
    </row>
    <row r="887" spans="1:27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39"/>
      <c r="H887" s="39"/>
      <c r="I887" s="39"/>
      <c r="S887" s="36">
        <f>SUM(bron[[#This Row],[Januari]:[December]])</f>
        <v>0</v>
      </c>
      <c r="V887" s="37"/>
      <c r="W887" s="37"/>
    </row>
    <row r="888" spans="1:27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39"/>
      <c r="H888" s="39"/>
      <c r="I888" s="39"/>
      <c r="S888" s="36">
        <f>SUM(bron[[#This Row],[Januari]:[December]])</f>
        <v>0</v>
      </c>
      <c r="V888" s="37"/>
      <c r="W888" s="37"/>
    </row>
    <row r="889" spans="1:27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39"/>
      <c r="H889" s="39"/>
      <c r="I889" s="39"/>
      <c r="S889" s="36">
        <f>SUM(bron[[#This Row],[Januari]:[December]])</f>
        <v>0</v>
      </c>
      <c r="V889" s="37"/>
      <c r="W889" s="37"/>
    </row>
    <row r="890" spans="1:27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1:27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1:27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1:27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1:27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2025-10-02T07:05:41Z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