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90" documentId="13_ncr:1_{10FCACA5-8197-478D-90D3-5F83063FB753}" xr6:coauthVersionLast="47" xr6:coauthVersionMax="47" xr10:uidLastSave="{CC2B8E2D-51FC-4290-B746-319CCB7E2F4F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<sst xmlns="http://schemas.openxmlformats.org/spreadsheetml/2006/main" count="11030" uniqueCount="4279">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</sst>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62"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6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0"/>
        </references>
      </pivotArea>
    </format>
    <format dxfId="32">
      <pivotArea dataOnly="0" labelOnly="1" grandRow="1" outline="0" fieldPosition="0"/>
    </format>
    <format dxfId="9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1"/>
    <tableColumn id="5" xr3:uid="{DF37AD45-FC5C-478A-989D-9143E744CEEA}" name="voornaam" dataDxfId="60">
      <calculatedColumnFormula>VLOOKUP(Tabel2[[#This Row],[nr]],'data hastus'!A:C,3,FALSE)</calculatedColumnFormula>
    </tableColumn>
    <tableColumn id="6" xr3:uid="{4098FAFB-9B09-4A81-8B22-18CC90B5F979}" name="achternaam" dataDxfId="5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5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5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6"/>
    <tableColumn id="11" xr3:uid="{97ECF1D5-48DC-4487-B3C2-17232CC8E19E}" name="Januari" dataDxfId="55"/>
    <tableColumn id="12" xr3:uid="{7B2FF520-A575-45C0-BB5A-19B87DDB4EA0}" name="Februari" dataDxfId="54"/>
    <tableColumn id="13" xr3:uid="{4E6C30D1-FB72-4AB2-900F-14A3D53F34DE}" name="Maart" dataDxfId="5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2">
      <calculatedColumnFormula>SUM(bron[[#This Row],[Januari]:[December]])</calculatedColumnFormula>
    </tableColumn>
    <tableColumn id="10" xr3:uid="{8D9646BD-38B6-4F4D-9859-B3933369346B}" name="Datum" dataDxfId="5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49">
      <calculatedColumnFormula>YEAR(TODAY()) - YEAR(F2) - (IF(DATE(YEAR(TODAY()), MONTH(F2), DAY(F2)) &gt; TODAY(), 1, 0))</calculatedColumnFormula>
    </tableColumn>
    <tableColumn id="5" xr3:uid="{4C697650-E57C-44EB-9139-9D19E4E44782}" name="aantal schades" dataDxfId="48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Z981" sqref="Z98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46" priority="5" operator="equal">
      <formula>0</formula>
    </cfRule>
    <cfRule type="cellIs" dxfId="45" priority="7" operator="between">
      <formula>1</formula>
      <formula>4</formula>
    </cfRule>
    <cfRule type="cellIs" dxfId="4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3" priority="1" operator="equal">
      <formula>0</formula>
    </cfRule>
    <cfRule type="cellIs" dxfId="42" priority="2" operator="between">
      <formula>1</formula>
      <formula>4</formula>
    </cfRule>
    <cfRule type="cellIs" dxfId="4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topLeftCell="A2" zoomScale="90" zoomScaleNormal="90" workbookViewId="0">
      <selection activeCell="K3" sqref="K3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7" bestFit="1" customWidth="1"/>
    <col min="11" max="11" width="24.28515625" style="36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38" t="s">
        <v>3807</v>
      </c>
      <c r="K2" s="36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9">
        <v>37</v>
      </c>
      <c r="K3" s="36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9">
        <v>36</v>
      </c>
      <c r="K4" s="36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9">
        <v>34</v>
      </c>
      <c r="K5" s="36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9">
        <v>33</v>
      </c>
      <c r="K6" s="36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9">
        <v>32</v>
      </c>
      <c r="K7" s="36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9">
        <v>30</v>
      </c>
      <c r="K8" s="36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9">
        <v>29</v>
      </c>
      <c r="K9" s="36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9">
        <v>28</v>
      </c>
      <c r="K10" s="36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9">
        <v>27</v>
      </c>
      <c r="K11" s="36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9">
        <v>26</v>
      </c>
      <c r="K12" s="36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9">
        <v>25</v>
      </c>
      <c r="K13" s="36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9">
        <v>24</v>
      </c>
      <c r="K14" s="36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9">
        <v>23</v>
      </c>
      <c r="K15" s="36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9">
        <v>22</v>
      </c>
      <c r="K16" s="36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9">
        <v>21</v>
      </c>
      <c r="K17" s="36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9">
        <v>20</v>
      </c>
      <c r="K18" s="36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9">
        <v>19</v>
      </c>
      <c r="K19" s="36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9">
        <v>18</v>
      </c>
      <c r="K20" s="36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9">
        <v>17</v>
      </c>
      <c r="K21" s="36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9">
        <v>16</v>
      </c>
      <c r="K22" s="36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9">
        <v>15</v>
      </c>
      <c r="K23" s="36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9">
        <v>14</v>
      </c>
      <c r="K24" s="36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9">
        <v>13</v>
      </c>
      <c r="K25" s="36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9">
        <v>12</v>
      </c>
      <c r="K26" s="36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9">
        <v>11</v>
      </c>
      <c r="K27" s="36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9">
        <v>10</v>
      </c>
      <c r="K28" s="36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9">
        <v>9</v>
      </c>
      <c r="K29" s="36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9">
        <v>8</v>
      </c>
      <c r="K30" s="36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9">
        <v>7</v>
      </c>
      <c r="K31" s="36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9">
        <v>6</v>
      </c>
      <c r="K32" s="36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9">
        <v>5</v>
      </c>
      <c r="K33" s="36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9">
        <v>4</v>
      </c>
      <c r="K34" s="36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9">
        <v>3</v>
      </c>
      <c r="K35" s="36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9">
        <v>2</v>
      </c>
      <c r="K36" s="36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9">
        <v>1</v>
      </c>
      <c r="K37" s="36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9">
        <v>0</v>
      </c>
      <c r="K38" s="36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9" t="s">
        <v>65</v>
      </c>
      <c r="K39" s="36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2025-12-01T08:45:05Z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