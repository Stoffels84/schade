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timelines/timeline1.xml" ContentType="application/vnd.ms-excel.timelin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7.xml" ContentType="application/vnd.openxmlformats-officedocument.spreadsheetml.pivot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8.xml" ContentType="application/vnd.openxmlformats-officedocument.spreadsheetml.pivotTable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417" documentId="13_ncr:1_{10FCACA5-8197-478D-90D3-5F83063FB753}" xr6:coauthVersionLast="47" xr6:coauthVersionMax="47" xr10:uidLastSave="{FA9A2AA7-A8DD-45D0-B4A1-014C9236AD40}"/>
  <bookViews>
    <workbookView xWindow="-14040" yWindow="-16320" windowWidth="29040" windowHeight="15720" tabRatio="656" firstSheet="1" activeTab="8" xr2:uid="{D7AB5F58-0F25-45E4-9869-1B2DB4C7BDA0}"/>
  </bookViews>
  <sheets>
    <sheet name="naar word" sheetId="12" state="hidden" r:id="rId1"/>
    <sheet name="Dashboard" sheetId="14" r:id="rId2"/>
    <sheet name="BRON" sheetId="1" r:id="rId3"/>
    <sheet name="contact" sheetId="13" state="hidden" r:id="rId4"/>
    <sheet name="archief 2024" sheetId="10" state="hidden" r:id="rId5"/>
    <sheet name="data hastus" sheetId="3" state="hidden" r:id="rId6"/>
    <sheet name="schades-dienstjaar voortschrijd" sheetId="15" r:id="rId7"/>
    <sheet name="schades-leeftijd" sheetId="16" r:id="rId8"/>
    <sheet name="schades-dienstjaar compleet" sheetId="18" r:id="rId9"/>
  </sheets>
  <functionGroups builtInGroupCount="19"/>
  <definedNames>
    <definedName name="_xlnm._FilterDatabase" localSheetId="2" hidden="1">BRON!$A$1:$E$1</definedName>
    <definedName name="_xlnm._FilterDatabase" localSheetId="5" hidden="1">'data hastus'!$A$1:$T$1</definedName>
    <definedName name="_xleta.DATE" hidden="1" xlm="1">#NAME?</definedName>
    <definedName name="_xleta.IF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10"/>
    <pivotCache cacheId="3" r:id="rId11"/>
    <pivotCache cacheId="22" r:id="rId12"/>
    <pivotCache cacheId="42" r:id="rId1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93" i="1" l="1"/>
  <c r="B994" i="1"/>
  <c r="B995" i="1"/>
  <c r="B996" i="1"/>
  <c r="B997" i="1"/>
  <c r="B998" i="1"/>
  <c r="B999" i="1"/>
  <c r="B1000" i="1"/>
  <c r="B1001" i="1"/>
  <c r="C1001" i="1"/>
  <c r="D1001" i="1"/>
  <c r="E1001" i="1"/>
  <c r="S1001" i="1"/>
  <c r="C1000" i="1"/>
  <c r="D1000" i="1"/>
  <c r="E1000" i="1"/>
  <c r="S1000" i="1"/>
  <c r="C999" i="1"/>
  <c r="D999" i="1"/>
  <c r="E999" i="1"/>
  <c r="S999" i="1"/>
  <c r="C998" i="1"/>
  <c r="D998" i="1"/>
  <c r="E998" i="1"/>
  <c r="S998" i="1"/>
  <c r="C997" i="1"/>
  <c r="D997" i="1"/>
  <c r="E997" i="1"/>
  <c r="S997" i="1"/>
  <c r="C996" i="1"/>
  <c r="D996" i="1"/>
  <c r="E996" i="1"/>
  <c r="S996" i="1"/>
  <c r="C995" i="1"/>
  <c r="D995" i="1"/>
  <c r="E995" i="1"/>
  <c r="S995" i="1"/>
  <c r="C994" i="1"/>
  <c r="D994" i="1"/>
  <c r="E994" i="1"/>
  <c r="S994" i="1"/>
  <c r="C993" i="1"/>
  <c r="D993" i="1"/>
  <c r="E993" i="1"/>
  <c r="S993" i="1"/>
  <c r="H12" i="18"/>
  <c r="H2" i="18"/>
  <c r="H3" i="18"/>
  <c r="H4" i="18"/>
  <c r="H5" i="18"/>
  <c r="H6" i="18"/>
  <c r="H7" i="18"/>
  <c r="H8" i="18"/>
  <c r="H9" i="18"/>
  <c r="H10" i="18"/>
  <c r="H11" i="18"/>
  <c r="H13" i="18"/>
  <c r="H14" i="18"/>
  <c r="H15" i="18"/>
  <c r="H16" i="18"/>
  <c r="H17" i="18"/>
  <c r="H18" i="18"/>
  <c r="H19" i="18"/>
  <c r="H20" i="18"/>
  <c r="H21" i="18"/>
  <c r="H22" i="18"/>
  <c r="H23" i="18"/>
  <c r="H24" i="18"/>
  <c r="H25" i="18"/>
  <c r="H26" i="18"/>
  <c r="H27" i="18"/>
  <c r="H28" i="18"/>
  <c r="H29" i="18"/>
  <c r="H30" i="18"/>
  <c r="H31" i="18"/>
  <c r="H32" i="18"/>
  <c r="H33" i="18"/>
  <c r="H34" i="18"/>
  <c r="H35" i="18"/>
  <c r="H36" i="18"/>
  <c r="H37" i="18"/>
  <c r="H38" i="18"/>
  <c r="H39" i="18"/>
  <c r="H40" i="18"/>
  <c r="H41" i="18"/>
  <c r="H42" i="18"/>
  <c r="H43" i="18"/>
  <c r="H44" i="18"/>
  <c r="H45" i="18"/>
  <c r="H46" i="18"/>
  <c r="H47" i="18"/>
  <c r="H48" i="18"/>
  <c r="H49" i="18"/>
  <c r="H50" i="18"/>
  <c r="H51" i="18"/>
  <c r="H52" i="18"/>
  <c r="H53" i="18"/>
  <c r="H54" i="18"/>
  <c r="H55" i="18"/>
  <c r="H56" i="18"/>
  <c r="H57" i="18"/>
  <c r="H58" i="18"/>
  <c r="H59" i="18"/>
  <c r="H60" i="18"/>
  <c r="H61" i="18"/>
  <c r="H62" i="18"/>
  <c r="H63" i="18"/>
  <c r="H64" i="18"/>
  <c r="H65" i="18"/>
  <c r="H66" i="18"/>
  <c r="H67" i="18"/>
  <c r="H68" i="18"/>
  <c r="H69" i="18"/>
  <c r="H70" i="18"/>
  <c r="H71" i="18"/>
  <c r="H72" i="18"/>
  <c r="H73" i="18"/>
  <c r="H74" i="18"/>
  <c r="H75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88" i="18"/>
  <c r="H89" i="18"/>
  <c r="H90" i="18"/>
  <c r="H91" i="18"/>
  <c r="H92" i="18"/>
  <c r="H93" i="18"/>
  <c r="H94" i="18"/>
  <c r="H95" i="18"/>
  <c r="H96" i="18"/>
  <c r="H97" i="18"/>
  <c r="H98" i="18"/>
  <c r="H99" i="18"/>
  <c r="H100" i="18"/>
  <c r="H101" i="18"/>
  <c r="H102" i="18"/>
  <c r="H103" i="18"/>
  <c r="H104" i="18"/>
  <c r="H105" i="18"/>
  <c r="H106" i="18"/>
  <c r="H107" i="18"/>
  <c r="H108" i="18"/>
  <c r="H109" i="18"/>
  <c r="H110" i="18"/>
  <c r="H111" i="18"/>
  <c r="H112" i="18"/>
  <c r="H113" i="18"/>
  <c r="H114" i="18"/>
  <c r="H115" i="18"/>
  <c r="H116" i="18"/>
  <c r="H117" i="18"/>
  <c r="H118" i="18"/>
  <c r="H119" i="18"/>
  <c r="H120" i="18"/>
  <c r="H121" i="18"/>
  <c r="H122" i="18"/>
  <c r="H123" i="18"/>
  <c r="H124" i="18"/>
  <c r="H125" i="18"/>
  <c r="H126" i="18"/>
  <c r="H127" i="18"/>
  <c r="H128" i="18"/>
  <c r="H129" i="18"/>
  <c r="H130" i="18"/>
  <c r="H131" i="18"/>
  <c r="H132" i="18"/>
  <c r="H133" i="18"/>
  <c r="H134" i="18"/>
  <c r="H135" i="18"/>
  <c r="H136" i="18"/>
  <c r="H137" i="18"/>
  <c r="H138" i="18"/>
  <c r="H139" i="18"/>
  <c r="H140" i="18"/>
  <c r="H141" i="18"/>
  <c r="H142" i="18"/>
  <c r="H143" i="18"/>
  <c r="H144" i="18"/>
  <c r="H145" i="18"/>
  <c r="H146" i="18"/>
  <c r="H147" i="18"/>
  <c r="H148" i="18"/>
  <c r="H149" i="18"/>
  <c r="H150" i="18"/>
  <c r="H151" i="18"/>
  <c r="H152" i="18"/>
  <c r="H153" i="18"/>
  <c r="H154" i="18"/>
  <c r="H155" i="18"/>
  <c r="H156" i="18"/>
  <c r="H157" i="18"/>
  <c r="H158" i="18"/>
  <c r="H159" i="18"/>
  <c r="H160" i="18"/>
  <c r="H161" i="18"/>
  <c r="H162" i="18"/>
  <c r="H163" i="18"/>
  <c r="H164" i="18"/>
  <c r="H165" i="18"/>
  <c r="H166" i="18"/>
  <c r="H167" i="18"/>
  <c r="H168" i="18"/>
  <c r="H169" i="18"/>
  <c r="H170" i="18"/>
  <c r="H171" i="18"/>
  <c r="H172" i="18"/>
  <c r="H173" i="18"/>
  <c r="H174" i="18"/>
  <c r="H175" i="18"/>
  <c r="H176" i="18"/>
  <c r="H177" i="18"/>
  <c r="H178" i="18"/>
  <c r="H179" i="18"/>
  <c r="H180" i="18"/>
  <c r="H181" i="18"/>
  <c r="H182" i="18"/>
  <c r="H183" i="18"/>
  <c r="H184" i="18"/>
  <c r="H185" i="18"/>
  <c r="H186" i="18"/>
  <c r="H187" i="18"/>
  <c r="H188" i="18"/>
  <c r="H189" i="18"/>
  <c r="H190" i="18"/>
  <c r="H191" i="18"/>
  <c r="H192" i="18"/>
  <c r="H193" i="18"/>
  <c r="H194" i="18"/>
  <c r="H195" i="18"/>
  <c r="H196" i="18"/>
  <c r="H197" i="18"/>
  <c r="H198" i="18"/>
  <c r="H199" i="18"/>
  <c r="H200" i="18"/>
  <c r="H201" i="18"/>
  <c r="H202" i="18"/>
  <c r="H203" i="18"/>
  <c r="H204" i="18"/>
  <c r="H205" i="18"/>
  <c r="H206" i="18"/>
  <c r="H207" i="18"/>
  <c r="H208" i="18"/>
  <c r="H209" i="18"/>
  <c r="H210" i="18"/>
  <c r="H211" i="18"/>
  <c r="H212" i="18"/>
  <c r="H213" i="18"/>
  <c r="H214" i="18"/>
  <c r="H215" i="18"/>
  <c r="H216" i="18"/>
  <c r="H217" i="18"/>
  <c r="H218" i="18"/>
  <c r="H219" i="18"/>
  <c r="H220" i="18"/>
  <c r="H221" i="18"/>
  <c r="H222" i="18"/>
  <c r="H223" i="18"/>
  <c r="H224" i="18"/>
  <c r="H225" i="18"/>
  <c r="H226" i="18"/>
  <c r="H227" i="18"/>
  <c r="H228" i="18"/>
  <c r="H229" i="18"/>
  <c r="H230" i="18"/>
  <c r="H231" i="18"/>
  <c r="H232" i="18"/>
  <c r="H233" i="18"/>
  <c r="H234" i="18"/>
  <c r="H235" i="18"/>
  <c r="H236" i="18"/>
  <c r="H237" i="18"/>
  <c r="H238" i="18"/>
  <c r="H239" i="18"/>
  <c r="H240" i="18"/>
  <c r="H241" i="18"/>
  <c r="H242" i="18"/>
  <c r="H243" i="18"/>
  <c r="H244" i="18"/>
  <c r="H245" i="18"/>
  <c r="H246" i="18"/>
  <c r="H247" i="18"/>
  <c r="H248" i="18"/>
  <c r="H249" i="18"/>
  <c r="H250" i="18"/>
  <c r="H251" i="18"/>
  <c r="H252" i="18"/>
  <c r="H253" i="18"/>
  <c r="H254" i="18"/>
  <c r="H255" i="18"/>
  <c r="H256" i="18"/>
  <c r="H257" i="18"/>
  <c r="H258" i="18"/>
  <c r="H259" i="18"/>
  <c r="H260" i="18"/>
  <c r="H261" i="18"/>
  <c r="H262" i="18"/>
  <c r="H263" i="18"/>
  <c r="H264" i="18"/>
  <c r="H265" i="18"/>
  <c r="H266" i="18"/>
  <c r="H267" i="18"/>
  <c r="H268" i="18"/>
  <c r="H269" i="18"/>
  <c r="H270" i="18"/>
  <c r="H271" i="18"/>
  <c r="H272" i="18"/>
  <c r="H273" i="18"/>
  <c r="H274" i="18"/>
  <c r="H275" i="18"/>
  <c r="H276" i="18"/>
  <c r="H277" i="18"/>
  <c r="H278" i="18"/>
  <c r="H279" i="18"/>
  <c r="H280" i="18"/>
  <c r="H281" i="18"/>
  <c r="H282" i="18"/>
  <c r="H283" i="18"/>
  <c r="H284" i="18"/>
  <c r="H285" i="18"/>
  <c r="H286" i="18"/>
  <c r="H287" i="18"/>
  <c r="H288" i="18"/>
  <c r="H289" i="18"/>
  <c r="H290" i="18"/>
  <c r="H291" i="18"/>
  <c r="H292" i="18"/>
  <c r="H293" i="18"/>
  <c r="H294" i="18"/>
  <c r="H295" i="18"/>
  <c r="H296" i="18"/>
  <c r="H297" i="18"/>
  <c r="H298" i="18"/>
  <c r="H299" i="18"/>
  <c r="H300" i="18"/>
  <c r="H301" i="18"/>
  <c r="H302" i="18"/>
  <c r="H303" i="18"/>
  <c r="H304" i="18"/>
  <c r="H305" i="18"/>
  <c r="H306" i="18"/>
  <c r="H307" i="18"/>
  <c r="H308" i="18"/>
  <c r="H309" i="18"/>
  <c r="H310" i="18"/>
  <c r="H311" i="18"/>
  <c r="H312" i="18"/>
  <c r="H313" i="18"/>
  <c r="H314" i="18"/>
  <c r="H315" i="18"/>
  <c r="H316" i="18"/>
  <c r="H317" i="18"/>
  <c r="H318" i="18"/>
  <c r="H319" i="18"/>
  <c r="H320" i="18"/>
  <c r="H321" i="18"/>
  <c r="H322" i="18"/>
  <c r="H323" i="18"/>
  <c r="H324" i="18"/>
  <c r="H325" i="18"/>
  <c r="H326" i="18"/>
  <c r="H327" i="18"/>
  <c r="H328" i="18"/>
  <c r="H329" i="18"/>
  <c r="H330" i="18"/>
  <c r="H331" i="18"/>
  <c r="H332" i="18"/>
  <c r="H333" i="18"/>
  <c r="H334" i="18"/>
  <c r="H335" i="18"/>
  <c r="H336" i="18"/>
  <c r="H337" i="18"/>
  <c r="H338" i="18"/>
  <c r="H339" i="18"/>
  <c r="H340" i="18"/>
  <c r="H341" i="18"/>
  <c r="H342" i="18"/>
  <c r="H343" i="18"/>
  <c r="H344" i="18"/>
  <c r="H345" i="18"/>
  <c r="H346" i="18"/>
  <c r="H347" i="18"/>
  <c r="H348" i="18"/>
  <c r="H349" i="18"/>
  <c r="H350" i="18"/>
  <c r="H351" i="18"/>
  <c r="H352" i="18"/>
  <c r="H353" i="18"/>
  <c r="H354" i="18"/>
  <c r="H355" i="18"/>
  <c r="H356" i="18"/>
  <c r="H357" i="18"/>
  <c r="H358" i="18"/>
  <c r="H359" i="18"/>
  <c r="H360" i="18"/>
  <c r="H361" i="18"/>
  <c r="H362" i="18"/>
  <c r="H363" i="18"/>
  <c r="H364" i="18"/>
  <c r="H365" i="18"/>
  <c r="H366" i="18"/>
  <c r="H367" i="18"/>
  <c r="H368" i="18"/>
  <c r="H369" i="18"/>
  <c r="H370" i="18"/>
  <c r="H371" i="18"/>
  <c r="H372" i="18"/>
  <c r="H373" i="18"/>
  <c r="H374" i="18"/>
  <c r="H375" i="18"/>
  <c r="H376" i="18"/>
  <c r="H377" i="18"/>
  <c r="H378" i="18"/>
  <c r="H379" i="18"/>
  <c r="H380" i="18"/>
  <c r="H381" i="18"/>
  <c r="H382" i="18"/>
  <c r="H383" i="18"/>
  <c r="H384" i="18"/>
  <c r="H385" i="18"/>
  <c r="H386" i="18"/>
  <c r="H387" i="18"/>
  <c r="H388" i="18"/>
  <c r="H389" i="18"/>
  <c r="H390" i="18"/>
  <c r="H391" i="18"/>
  <c r="H392" i="18"/>
  <c r="H393" i="18"/>
  <c r="H394" i="18"/>
  <c r="H395" i="18"/>
  <c r="H396" i="18"/>
  <c r="H397" i="18"/>
  <c r="H398" i="18"/>
  <c r="H399" i="18"/>
  <c r="H400" i="18"/>
  <c r="H401" i="18"/>
  <c r="H402" i="18"/>
  <c r="H403" i="18"/>
  <c r="H404" i="18"/>
  <c r="H405" i="18"/>
  <c r="H406" i="18"/>
  <c r="H407" i="18"/>
  <c r="H408" i="18"/>
  <c r="H409" i="18"/>
  <c r="H410" i="18"/>
  <c r="H411" i="18"/>
  <c r="H412" i="18"/>
  <c r="H413" i="18"/>
  <c r="H414" i="18"/>
  <c r="H415" i="18"/>
  <c r="H416" i="18"/>
  <c r="H417" i="18"/>
  <c r="H418" i="18"/>
  <c r="H419" i="18"/>
  <c r="H420" i="18"/>
  <c r="H421" i="18"/>
  <c r="H422" i="18"/>
  <c r="H423" i="18"/>
  <c r="H424" i="18"/>
  <c r="H425" i="18"/>
  <c r="H426" i="18"/>
  <c r="H427" i="18"/>
  <c r="H428" i="18"/>
  <c r="H429" i="18"/>
  <c r="H430" i="18"/>
  <c r="H431" i="18"/>
  <c r="H432" i="18"/>
  <c r="H433" i="18"/>
  <c r="H434" i="18"/>
  <c r="H435" i="18"/>
  <c r="H436" i="18"/>
  <c r="H437" i="18"/>
  <c r="H438" i="18"/>
  <c r="H439" i="18"/>
  <c r="H440" i="18"/>
  <c r="H441" i="18"/>
  <c r="H442" i="18"/>
  <c r="H443" i="18"/>
  <c r="H444" i="18"/>
  <c r="H445" i="18"/>
  <c r="H446" i="18"/>
  <c r="H447" i="18"/>
  <c r="H448" i="18"/>
  <c r="H449" i="18"/>
  <c r="H450" i="18"/>
  <c r="H451" i="18"/>
  <c r="H452" i="18"/>
  <c r="H453" i="18"/>
  <c r="H454" i="18"/>
  <c r="H455" i="18"/>
  <c r="H456" i="18"/>
  <c r="H457" i="18"/>
  <c r="H458" i="18"/>
  <c r="H459" i="18"/>
  <c r="H460" i="18"/>
  <c r="H461" i="18"/>
  <c r="H462" i="18"/>
  <c r="H463" i="18"/>
  <c r="H464" i="18"/>
  <c r="H465" i="18"/>
  <c r="H466" i="18"/>
  <c r="H467" i="18"/>
  <c r="H468" i="18"/>
  <c r="H469" i="18"/>
  <c r="H470" i="18"/>
  <c r="H471" i="18"/>
  <c r="H472" i="18"/>
  <c r="H473" i="18"/>
  <c r="H474" i="18"/>
  <c r="H475" i="18"/>
  <c r="H476" i="18"/>
  <c r="H477" i="18"/>
  <c r="H478" i="18"/>
  <c r="H479" i="18"/>
  <c r="H480" i="18"/>
  <c r="H481" i="18"/>
  <c r="H482" i="18"/>
  <c r="H483" i="18"/>
  <c r="H484" i="18"/>
  <c r="H485" i="18"/>
  <c r="H486" i="18"/>
  <c r="H487" i="18"/>
  <c r="H488" i="18"/>
  <c r="H489" i="18"/>
  <c r="H490" i="18"/>
  <c r="H491" i="18"/>
  <c r="H492" i="18"/>
  <c r="H493" i="18"/>
  <c r="H494" i="18"/>
  <c r="H495" i="18"/>
  <c r="H496" i="18"/>
  <c r="H497" i="18"/>
  <c r="H498" i="18"/>
  <c r="H499" i="18"/>
  <c r="H500" i="18"/>
  <c r="H501" i="18"/>
  <c r="H502" i="18"/>
  <c r="H503" i="18"/>
  <c r="H504" i="18"/>
  <c r="H505" i="18"/>
  <c r="H506" i="18"/>
  <c r="H507" i="18"/>
  <c r="H508" i="18"/>
  <c r="H509" i="18"/>
  <c r="H510" i="18"/>
  <c r="H511" i="18"/>
  <c r="H512" i="18"/>
  <c r="H513" i="18"/>
  <c r="H514" i="18"/>
  <c r="H515" i="18"/>
  <c r="H516" i="18"/>
  <c r="H517" i="18"/>
  <c r="H518" i="18"/>
  <c r="H519" i="18"/>
  <c r="H520" i="18"/>
  <c r="H521" i="18"/>
  <c r="H522" i="18"/>
  <c r="H523" i="18"/>
  <c r="H524" i="18"/>
  <c r="H525" i="18"/>
  <c r="H526" i="18"/>
  <c r="H527" i="18"/>
  <c r="H528" i="18"/>
  <c r="H529" i="18"/>
  <c r="H530" i="18"/>
  <c r="H531" i="18"/>
  <c r="H532" i="18"/>
  <c r="H533" i="18"/>
  <c r="H534" i="18"/>
  <c r="H535" i="18"/>
  <c r="H536" i="18"/>
  <c r="H537" i="18"/>
  <c r="H538" i="18"/>
  <c r="H539" i="18"/>
  <c r="H540" i="18"/>
  <c r="H541" i="18"/>
  <c r="H542" i="18"/>
  <c r="H543" i="18"/>
  <c r="H544" i="18"/>
  <c r="H545" i="18"/>
  <c r="H546" i="18"/>
  <c r="H547" i="18"/>
  <c r="H548" i="18"/>
  <c r="H549" i="18"/>
  <c r="H550" i="18"/>
  <c r="H551" i="18"/>
  <c r="H552" i="18"/>
  <c r="H553" i="18"/>
  <c r="H554" i="18"/>
  <c r="H555" i="18"/>
  <c r="H556" i="18"/>
  <c r="H557" i="18"/>
  <c r="H558" i="18"/>
  <c r="H559" i="18"/>
  <c r="H560" i="18"/>
  <c r="H561" i="18"/>
  <c r="H562" i="18"/>
  <c r="H563" i="18"/>
  <c r="H564" i="18"/>
  <c r="H565" i="18"/>
  <c r="H566" i="18"/>
  <c r="H567" i="18"/>
  <c r="H568" i="18"/>
  <c r="H569" i="18"/>
  <c r="H570" i="18"/>
  <c r="H571" i="18"/>
  <c r="H572" i="18"/>
  <c r="H573" i="18"/>
  <c r="H574" i="18"/>
  <c r="H575" i="18"/>
  <c r="H576" i="18"/>
  <c r="H577" i="18"/>
  <c r="H578" i="18"/>
  <c r="H579" i="18"/>
  <c r="H580" i="18"/>
  <c r="H581" i="18"/>
  <c r="H582" i="18"/>
  <c r="H583" i="18"/>
  <c r="H584" i="18"/>
  <c r="H585" i="18"/>
  <c r="H586" i="18"/>
  <c r="H587" i="18"/>
  <c r="H588" i="18"/>
  <c r="H589" i="18"/>
  <c r="H590" i="18"/>
  <c r="H591" i="18"/>
  <c r="H592" i="18"/>
  <c r="H593" i="18"/>
  <c r="H594" i="18"/>
  <c r="H595" i="18"/>
  <c r="H596" i="18"/>
  <c r="H597" i="18"/>
  <c r="H598" i="18"/>
  <c r="H599" i="18"/>
  <c r="H600" i="18"/>
  <c r="H601" i="18"/>
  <c r="H602" i="18"/>
  <c r="H603" i="18"/>
  <c r="H604" i="18"/>
  <c r="H605" i="18"/>
  <c r="H606" i="18"/>
  <c r="H607" i="18"/>
  <c r="H608" i="18"/>
  <c r="H609" i="18"/>
  <c r="H610" i="18"/>
  <c r="H611" i="18"/>
  <c r="H612" i="18"/>
  <c r="H613" i="18"/>
  <c r="H614" i="18"/>
  <c r="H615" i="18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149" i="16"/>
  <c r="G150" i="16"/>
  <c r="G151" i="16"/>
  <c r="G152" i="16"/>
  <c r="G153" i="16"/>
  <c r="G154" i="16"/>
  <c r="G155" i="16"/>
  <c r="G156" i="16"/>
  <c r="G157" i="16"/>
  <c r="G158" i="16"/>
  <c r="G159" i="16"/>
  <c r="G160" i="16"/>
  <c r="G161" i="16"/>
  <c r="G162" i="16"/>
  <c r="G163" i="16"/>
  <c r="G164" i="16"/>
  <c r="G165" i="16"/>
  <c r="G166" i="16"/>
  <c r="G167" i="16"/>
  <c r="G168" i="16"/>
  <c r="G169" i="16"/>
  <c r="G170" i="16"/>
  <c r="G171" i="16"/>
  <c r="G172" i="16"/>
  <c r="G173" i="16"/>
  <c r="G174" i="16"/>
  <c r="G175" i="16"/>
  <c r="G176" i="16"/>
  <c r="G177" i="16"/>
  <c r="G178" i="16"/>
  <c r="G179" i="16"/>
  <c r="G180" i="16"/>
  <c r="G181" i="16"/>
  <c r="G182" i="16"/>
  <c r="G183" i="16"/>
  <c r="G184" i="16"/>
  <c r="G185" i="16"/>
  <c r="G186" i="16"/>
  <c r="G187" i="16"/>
  <c r="G188" i="16"/>
  <c r="G189" i="16"/>
  <c r="G190" i="16"/>
  <c r="G191" i="16"/>
  <c r="G192" i="16"/>
  <c r="G193" i="16"/>
  <c r="G194" i="16"/>
  <c r="G195" i="16"/>
  <c r="G196" i="16"/>
  <c r="G197" i="16"/>
  <c r="G198" i="16"/>
  <c r="G199" i="16"/>
  <c r="G200" i="16"/>
  <c r="G201" i="16"/>
  <c r="G202" i="16"/>
  <c r="G203" i="16"/>
  <c r="G204" i="16"/>
  <c r="G205" i="16"/>
  <c r="G206" i="16"/>
  <c r="G207" i="16"/>
  <c r="G208" i="16"/>
  <c r="G209" i="16"/>
  <c r="G210" i="16"/>
  <c r="G211" i="16"/>
  <c r="G212" i="16"/>
  <c r="G213" i="16"/>
  <c r="G214" i="16"/>
  <c r="G215" i="16"/>
  <c r="G216" i="16"/>
  <c r="G217" i="16"/>
  <c r="G218" i="16"/>
  <c r="G219" i="16"/>
  <c r="G220" i="16"/>
  <c r="G221" i="16"/>
  <c r="G222" i="16"/>
  <c r="G223" i="16"/>
  <c r="G224" i="16"/>
  <c r="G225" i="16"/>
  <c r="G226" i="16"/>
  <c r="G227" i="16"/>
  <c r="G228" i="16"/>
  <c r="G229" i="16"/>
  <c r="G230" i="16"/>
  <c r="G231" i="16"/>
  <c r="G232" i="16"/>
  <c r="G233" i="16"/>
  <c r="G234" i="16"/>
  <c r="G235" i="16"/>
  <c r="G236" i="16"/>
  <c r="G237" i="16"/>
  <c r="G238" i="16"/>
  <c r="G239" i="16"/>
  <c r="G240" i="16"/>
  <c r="G241" i="16"/>
  <c r="G242" i="16"/>
  <c r="G243" i="16"/>
  <c r="G244" i="16"/>
  <c r="G245" i="16"/>
  <c r="G246" i="16"/>
  <c r="G247" i="16"/>
  <c r="G248" i="16"/>
  <c r="G249" i="16"/>
  <c r="G250" i="16"/>
  <c r="G251" i="16"/>
  <c r="G252" i="16"/>
  <c r="G253" i="16"/>
  <c r="G254" i="16"/>
  <c r="G255" i="16"/>
  <c r="G256" i="16"/>
  <c r="G257" i="16"/>
  <c r="G258" i="16"/>
  <c r="G259" i="16"/>
  <c r="G260" i="16"/>
  <c r="G261" i="16"/>
  <c r="G262" i="16"/>
  <c r="G263" i="16"/>
  <c r="G264" i="16"/>
  <c r="G265" i="16"/>
  <c r="G266" i="16"/>
  <c r="G267" i="16"/>
  <c r="G268" i="16"/>
  <c r="G269" i="16"/>
  <c r="G270" i="16"/>
  <c r="G271" i="16"/>
  <c r="G272" i="16"/>
  <c r="G273" i="16"/>
  <c r="G274" i="16"/>
  <c r="G275" i="16"/>
  <c r="G276" i="16"/>
  <c r="G277" i="16"/>
  <c r="G278" i="16"/>
  <c r="G279" i="16"/>
  <c r="G280" i="16"/>
  <c r="G281" i="16"/>
  <c r="G282" i="16"/>
  <c r="G283" i="16"/>
  <c r="G284" i="16"/>
  <c r="G285" i="16"/>
  <c r="G286" i="16"/>
  <c r="G287" i="16"/>
  <c r="G288" i="16"/>
  <c r="G289" i="16"/>
  <c r="G290" i="16"/>
  <c r="G291" i="16"/>
  <c r="G292" i="16"/>
  <c r="G293" i="16"/>
  <c r="G294" i="16"/>
  <c r="G295" i="16"/>
  <c r="G296" i="16"/>
  <c r="G297" i="16"/>
  <c r="G298" i="16"/>
  <c r="G299" i="16"/>
  <c r="G300" i="16"/>
  <c r="G301" i="16"/>
  <c r="G302" i="16"/>
  <c r="G303" i="16"/>
  <c r="G304" i="16"/>
  <c r="G305" i="16"/>
  <c r="G306" i="16"/>
  <c r="G307" i="16"/>
  <c r="G308" i="16"/>
  <c r="G309" i="16"/>
  <c r="G310" i="16"/>
  <c r="G311" i="16"/>
  <c r="G312" i="16"/>
  <c r="G313" i="16"/>
  <c r="G314" i="16"/>
  <c r="G315" i="16"/>
  <c r="G316" i="16"/>
  <c r="G317" i="16"/>
  <c r="G318" i="16"/>
  <c r="G319" i="16"/>
  <c r="G320" i="16"/>
  <c r="G321" i="16"/>
  <c r="G322" i="16"/>
  <c r="G323" i="16"/>
  <c r="G324" i="16"/>
  <c r="G325" i="16"/>
  <c r="G326" i="16"/>
  <c r="G327" i="16"/>
  <c r="G328" i="16"/>
  <c r="G329" i="16"/>
  <c r="G330" i="16"/>
  <c r="G331" i="16"/>
  <c r="G332" i="16"/>
  <c r="G333" i="16"/>
  <c r="G334" i="16"/>
  <c r="G335" i="16"/>
  <c r="G336" i="16"/>
  <c r="G337" i="16"/>
  <c r="G338" i="16"/>
  <c r="G339" i="16"/>
  <c r="G340" i="16"/>
  <c r="G341" i="16"/>
  <c r="G342" i="16"/>
  <c r="G343" i="16"/>
  <c r="G344" i="16"/>
  <c r="G345" i="16"/>
  <c r="G346" i="16"/>
  <c r="G347" i="16"/>
  <c r="G348" i="16"/>
  <c r="G349" i="16"/>
  <c r="G350" i="16"/>
  <c r="G351" i="16"/>
  <c r="G352" i="16"/>
  <c r="G353" i="16"/>
  <c r="G354" i="16"/>
  <c r="G355" i="16"/>
  <c r="G356" i="16"/>
  <c r="G357" i="16"/>
  <c r="G358" i="16"/>
  <c r="G359" i="16"/>
  <c r="G360" i="16"/>
  <c r="G361" i="16"/>
  <c r="G362" i="16"/>
  <c r="G363" i="16"/>
  <c r="G364" i="16"/>
  <c r="G365" i="16"/>
  <c r="G366" i="16"/>
  <c r="G367" i="16"/>
  <c r="G368" i="16"/>
  <c r="G369" i="16"/>
  <c r="G370" i="16"/>
  <c r="G371" i="16"/>
  <c r="G372" i="16"/>
  <c r="G373" i="16"/>
  <c r="G374" i="16"/>
  <c r="G375" i="16"/>
  <c r="G376" i="16"/>
  <c r="G377" i="16"/>
  <c r="G378" i="16"/>
  <c r="G379" i="16"/>
  <c r="G380" i="16"/>
  <c r="G381" i="16"/>
  <c r="G382" i="16"/>
  <c r="G383" i="16"/>
  <c r="G384" i="16"/>
  <c r="G385" i="16"/>
  <c r="G386" i="16"/>
  <c r="G387" i="16"/>
  <c r="G388" i="16"/>
  <c r="G389" i="16"/>
  <c r="G390" i="16"/>
  <c r="G391" i="16"/>
  <c r="G392" i="16"/>
  <c r="G393" i="16"/>
  <c r="G394" i="16"/>
  <c r="G395" i="16"/>
  <c r="G396" i="16"/>
  <c r="G397" i="16"/>
  <c r="G398" i="16"/>
  <c r="G399" i="16"/>
  <c r="G400" i="16"/>
  <c r="G401" i="16"/>
  <c r="G402" i="16"/>
  <c r="G403" i="16"/>
  <c r="G404" i="16"/>
  <c r="G405" i="16"/>
  <c r="G406" i="16"/>
  <c r="G407" i="16"/>
  <c r="G408" i="16"/>
  <c r="G409" i="16"/>
  <c r="G410" i="16"/>
  <c r="G411" i="16"/>
  <c r="G412" i="16"/>
  <c r="G413" i="16"/>
  <c r="G414" i="16"/>
  <c r="G415" i="16"/>
  <c r="G416" i="16"/>
  <c r="G417" i="16"/>
  <c r="G418" i="16"/>
  <c r="G419" i="16"/>
  <c r="G420" i="16"/>
  <c r="G421" i="16"/>
  <c r="G422" i="16"/>
  <c r="G423" i="16"/>
  <c r="G424" i="16"/>
  <c r="G425" i="16"/>
  <c r="G426" i="16"/>
  <c r="G427" i="16"/>
  <c r="G428" i="16"/>
  <c r="G429" i="16"/>
  <c r="G430" i="16"/>
  <c r="G431" i="16"/>
  <c r="G432" i="16"/>
  <c r="G433" i="16"/>
  <c r="G434" i="16"/>
  <c r="G435" i="16"/>
  <c r="G436" i="16"/>
  <c r="G437" i="16"/>
  <c r="G438" i="16"/>
  <c r="G439" i="16"/>
  <c r="G440" i="16"/>
  <c r="G441" i="16"/>
  <c r="G442" i="16"/>
  <c r="G443" i="16"/>
  <c r="G444" i="16"/>
  <c r="G445" i="16"/>
  <c r="G446" i="16"/>
  <c r="G447" i="16"/>
  <c r="G448" i="16"/>
  <c r="G449" i="16"/>
  <c r="G450" i="16"/>
  <c r="G451" i="16"/>
  <c r="G452" i="16"/>
  <c r="G453" i="16"/>
  <c r="G454" i="16"/>
  <c r="G455" i="16"/>
  <c r="G456" i="16"/>
  <c r="G457" i="16"/>
  <c r="G458" i="16"/>
  <c r="G459" i="16"/>
  <c r="G460" i="16"/>
  <c r="G461" i="16"/>
  <c r="G462" i="16"/>
  <c r="G463" i="16"/>
  <c r="G464" i="16"/>
  <c r="G465" i="16"/>
  <c r="G466" i="16"/>
  <c r="G467" i="16"/>
  <c r="G468" i="16"/>
  <c r="G469" i="16"/>
  <c r="G470" i="16"/>
  <c r="G471" i="16"/>
  <c r="G472" i="16"/>
  <c r="G473" i="16"/>
  <c r="G474" i="16"/>
  <c r="G475" i="16"/>
  <c r="G476" i="16"/>
  <c r="G477" i="16"/>
  <c r="G478" i="16"/>
  <c r="G479" i="16"/>
  <c r="G480" i="16"/>
  <c r="G481" i="16"/>
  <c r="G482" i="16"/>
  <c r="G483" i="16"/>
  <c r="G484" i="16"/>
  <c r="G485" i="16"/>
  <c r="G486" i="16"/>
  <c r="G487" i="16"/>
  <c r="G488" i="16"/>
  <c r="G489" i="16"/>
  <c r="G490" i="16"/>
  <c r="G491" i="16"/>
  <c r="G492" i="16"/>
  <c r="G493" i="16"/>
  <c r="G494" i="16"/>
  <c r="G495" i="16"/>
  <c r="G496" i="16"/>
  <c r="G497" i="16"/>
  <c r="G498" i="16"/>
  <c r="G499" i="16"/>
  <c r="G500" i="16"/>
  <c r="G501" i="16"/>
  <c r="G502" i="16"/>
  <c r="G503" i="16"/>
  <c r="G504" i="16"/>
  <c r="G505" i="16"/>
  <c r="G506" i="16"/>
  <c r="G507" i="16"/>
  <c r="G508" i="16"/>
  <c r="G509" i="16"/>
  <c r="G510" i="16"/>
  <c r="G511" i="16"/>
  <c r="G512" i="16"/>
  <c r="G513" i="16"/>
  <c r="G514" i="16"/>
  <c r="G515" i="16"/>
  <c r="G516" i="16"/>
  <c r="G517" i="16"/>
  <c r="G518" i="16"/>
  <c r="G519" i="16"/>
  <c r="G520" i="16"/>
  <c r="G521" i="16"/>
  <c r="G522" i="16"/>
  <c r="G523" i="16"/>
  <c r="G524" i="16"/>
  <c r="G525" i="16"/>
  <c r="G526" i="16"/>
  <c r="G527" i="16"/>
  <c r="G528" i="16"/>
  <c r="G529" i="16"/>
  <c r="G530" i="16"/>
  <c r="G531" i="16"/>
  <c r="G532" i="16"/>
  <c r="G533" i="16"/>
  <c r="G534" i="16"/>
  <c r="G535" i="16"/>
  <c r="G536" i="16"/>
  <c r="G537" i="16"/>
  <c r="G538" i="16"/>
  <c r="G539" i="16"/>
  <c r="G540" i="16"/>
  <c r="G541" i="16"/>
  <c r="G542" i="16"/>
  <c r="G543" i="16"/>
  <c r="G544" i="16"/>
  <c r="G545" i="16"/>
  <c r="G546" i="16"/>
  <c r="G547" i="16"/>
  <c r="G548" i="16"/>
  <c r="G549" i="16"/>
  <c r="G550" i="16"/>
  <c r="G551" i="16"/>
  <c r="G552" i="16"/>
  <c r="G553" i="16"/>
  <c r="G554" i="16"/>
  <c r="G555" i="16"/>
  <c r="G556" i="16"/>
  <c r="G557" i="16"/>
  <c r="G558" i="16"/>
  <c r="G559" i="16"/>
  <c r="G560" i="16"/>
  <c r="G561" i="16"/>
  <c r="G562" i="16"/>
  <c r="G563" i="16"/>
  <c r="G564" i="16"/>
  <c r="G565" i="16"/>
  <c r="G566" i="16"/>
  <c r="G567" i="16"/>
  <c r="G568" i="16"/>
  <c r="G569" i="16"/>
  <c r="G570" i="16"/>
  <c r="G571" i="16"/>
  <c r="G572" i="16"/>
  <c r="G573" i="16"/>
  <c r="G574" i="16"/>
  <c r="G575" i="16"/>
  <c r="G576" i="16"/>
  <c r="G577" i="16"/>
  <c r="G578" i="16"/>
  <c r="G579" i="16"/>
  <c r="G580" i="16"/>
  <c r="G581" i="16"/>
  <c r="G582" i="16"/>
  <c r="G583" i="16"/>
  <c r="G584" i="16"/>
  <c r="G585" i="16"/>
  <c r="G586" i="16"/>
  <c r="G587" i="16"/>
  <c r="G588" i="16"/>
  <c r="G589" i="16"/>
  <c r="G590" i="16"/>
  <c r="G591" i="16"/>
  <c r="G592" i="16"/>
  <c r="G593" i="16"/>
  <c r="G2" i="16"/>
  <c r="C992" i="1" l="1"/>
  <c r="D992" i="1"/>
  <c r="E992" i="1"/>
  <c r="S992" i="1"/>
  <c r="G33" i="18"/>
  <c r="G154" i="18"/>
  <c r="G220" i="18"/>
  <c r="G360" i="18"/>
  <c r="G265" i="18"/>
  <c r="G393" i="18"/>
  <c r="G431" i="18"/>
  <c r="G555" i="18"/>
  <c r="G2" i="18"/>
  <c r="G3" i="18"/>
  <c r="G4" i="18"/>
  <c r="G5" i="18"/>
  <c r="G6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12" i="18"/>
  <c r="G113" i="18"/>
  <c r="G114" i="18"/>
  <c r="G115" i="18"/>
  <c r="G116" i="18"/>
  <c r="G394" i="18"/>
  <c r="G117" i="18"/>
  <c r="G118" i="18"/>
  <c r="G119" i="18"/>
  <c r="G120" i="18"/>
  <c r="G121" i="18"/>
  <c r="G122" i="18"/>
  <c r="G123" i="18"/>
  <c r="G124" i="18"/>
  <c r="G125" i="18"/>
  <c r="G126" i="18"/>
  <c r="G127" i="18"/>
  <c r="G128" i="18"/>
  <c r="G129" i="18"/>
  <c r="G130" i="18"/>
  <c r="G131" i="18"/>
  <c r="G132" i="18"/>
  <c r="G133" i="18"/>
  <c r="G134" i="18"/>
  <c r="G135" i="18"/>
  <c r="G136" i="18"/>
  <c r="G137" i="18"/>
  <c r="G138" i="18"/>
  <c r="G139" i="18"/>
  <c r="G140" i="18"/>
  <c r="G141" i="18"/>
  <c r="G142" i="18"/>
  <c r="G143" i="18"/>
  <c r="G144" i="18"/>
  <c r="G145" i="18"/>
  <c r="G146" i="18"/>
  <c r="G147" i="18"/>
  <c r="G148" i="18"/>
  <c r="G149" i="18"/>
  <c r="G150" i="18"/>
  <c r="G151" i="18"/>
  <c r="G152" i="18"/>
  <c r="G153" i="18"/>
  <c r="G155" i="18"/>
  <c r="G156" i="18"/>
  <c r="G157" i="18"/>
  <c r="G158" i="18"/>
  <c r="G159" i="18"/>
  <c r="G160" i="18"/>
  <c r="G161" i="18"/>
  <c r="G162" i="18"/>
  <c r="G163" i="18"/>
  <c r="G164" i="18"/>
  <c r="G165" i="18"/>
  <c r="G166" i="18"/>
  <c r="G167" i="18"/>
  <c r="G168" i="18"/>
  <c r="G169" i="18"/>
  <c r="G170" i="18"/>
  <c r="G171" i="18"/>
  <c r="G172" i="18"/>
  <c r="G173" i="18"/>
  <c r="G174" i="18"/>
  <c r="G175" i="18"/>
  <c r="G176" i="18"/>
  <c r="G177" i="18"/>
  <c r="G178" i="18"/>
  <c r="G432" i="18"/>
  <c r="G179" i="18"/>
  <c r="G180" i="18"/>
  <c r="G181" i="18"/>
  <c r="G182" i="18"/>
  <c r="G183" i="18"/>
  <c r="G184" i="18"/>
  <c r="G185" i="18"/>
  <c r="G186" i="18"/>
  <c r="G187" i="18"/>
  <c r="G188" i="18"/>
  <c r="G189" i="18"/>
  <c r="G190" i="18"/>
  <c r="G191" i="18"/>
  <c r="G192" i="18"/>
  <c r="G193" i="18"/>
  <c r="G194" i="18"/>
  <c r="G195" i="18"/>
  <c r="G196" i="18"/>
  <c r="G197" i="18"/>
  <c r="G198" i="18"/>
  <c r="G199" i="18"/>
  <c r="G200" i="18"/>
  <c r="G201" i="18"/>
  <c r="G202" i="18"/>
  <c r="G203" i="18"/>
  <c r="G204" i="18"/>
  <c r="G205" i="18"/>
  <c r="G206" i="18"/>
  <c r="G207" i="18"/>
  <c r="G208" i="18"/>
  <c r="G209" i="18"/>
  <c r="G210" i="18"/>
  <c r="G211" i="18"/>
  <c r="G212" i="18"/>
  <c r="G213" i="18"/>
  <c r="G214" i="18"/>
  <c r="G215" i="18"/>
  <c r="G216" i="18"/>
  <c r="G217" i="18"/>
  <c r="G218" i="18"/>
  <c r="G219" i="18"/>
  <c r="G221" i="18"/>
  <c r="G433" i="18"/>
  <c r="G222" i="18"/>
  <c r="G223" i="18"/>
  <c r="G224" i="18"/>
  <c r="G225" i="18"/>
  <c r="G226" i="18"/>
  <c r="G227" i="18"/>
  <c r="G228" i="18"/>
  <c r="G229" i="18"/>
  <c r="G230" i="18"/>
  <c r="G231" i="18"/>
  <c r="G232" i="18"/>
  <c r="G233" i="18"/>
  <c r="G234" i="18"/>
  <c r="G235" i="18"/>
  <c r="G236" i="18"/>
  <c r="G237" i="18"/>
  <c r="G238" i="18"/>
  <c r="G239" i="18"/>
  <c r="G240" i="18"/>
  <c r="G241" i="18"/>
  <c r="G242" i="18"/>
  <c r="G243" i="18"/>
  <c r="G244" i="18"/>
  <c r="G245" i="18"/>
  <c r="G246" i="18"/>
  <c r="G247" i="18"/>
  <c r="G248" i="18"/>
  <c r="G249" i="18"/>
  <c r="G250" i="18"/>
  <c r="G251" i="18"/>
  <c r="G252" i="18"/>
  <c r="G253" i="18"/>
  <c r="G254" i="18"/>
  <c r="G255" i="18"/>
  <c r="G486" i="18"/>
  <c r="G256" i="18"/>
  <c r="G257" i="18"/>
  <c r="G258" i="18"/>
  <c r="G259" i="18"/>
  <c r="G260" i="18"/>
  <c r="G261" i="18"/>
  <c r="G262" i="18"/>
  <c r="G263" i="18"/>
  <c r="G264" i="18"/>
  <c r="G266" i="18"/>
  <c r="G267" i="18"/>
  <c r="G268" i="18"/>
  <c r="G269" i="18"/>
  <c r="G270" i="18"/>
  <c r="G271" i="18"/>
  <c r="G272" i="18"/>
  <c r="G273" i="18"/>
  <c r="G274" i="18"/>
  <c r="G275" i="18"/>
  <c r="G276" i="18"/>
  <c r="G277" i="18"/>
  <c r="G278" i="18"/>
  <c r="G279" i="18"/>
  <c r="G280" i="18"/>
  <c r="G281" i="18"/>
  <c r="G282" i="18"/>
  <c r="G283" i="18"/>
  <c r="G284" i="18"/>
  <c r="G285" i="18"/>
  <c r="G286" i="18"/>
  <c r="G287" i="18"/>
  <c r="G288" i="18"/>
  <c r="G289" i="18"/>
  <c r="G556" i="18"/>
  <c r="G290" i="18"/>
  <c r="G291" i="18"/>
  <c r="G292" i="18"/>
  <c r="G293" i="18"/>
  <c r="G294" i="18"/>
  <c r="G295" i="18"/>
  <c r="G296" i="18"/>
  <c r="G297" i="18"/>
  <c r="G298" i="18"/>
  <c r="G299" i="18"/>
  <c r="G300" i="18"/>
  <c r="G301" i="18"/>
  <c r="G302" i="18"/>
  <c r="G303" i="18"/>
  <c r="G304" i="18"/>
  <c r="G487" i="18"/>
  <c r="G305" i="18"/>
  <c r="G306" i="18"/>
  <c r="G307" i="18"/>
  <c r="G488" i="18"/>
  <c r="G308" i="18"/>
  <c r="G309" i="18"/>
  <c r="G310" i="18"/>
  <c r="G311" i="18"/>
  <c r="G312" i="18"/>
  <c r="G313" i="18"/>
  <c r="G314" i="18"/>
  <c r="G315" i="18"/>
  <c r="G316" i="18"/>
  <c r="G317" i="18"/>
  <c r="G318" i="18"/>
  <c r="G319" i="18"/>
  <c r="G434" i="18"/>
  <c r="G320" i="18"/>
  <c r="G321" i="18"/>
  <c r="G322" i="18"/>
  <c r="G323" i="18"/>
  <c r="G324" i="18"/>
  <c r="G325" i="18"/>
  <c r="G326" i="18"/>
  <c r="G327" i="18"/>
  <c r="G328" i="18"/>
  <c r="G329" i="18"/>
  <c r="G330" i="18"/>
  <c r="G331" i="18"/>
  <c r="G332" i="18"/>
  <c r="G333" i="18"/>
  <c r="G334" i="18"/>
  <c r="G335" i="18"/>
  <c r="G336" i="18"/>
  <c r="G337" i="18"/>
  <c r="G338" i="18"/>
  <c r="G339" i="18"/>
  <c r="G361" i="18"/>
  <c r="G340" i="18"/>
  <c r="G341" i="18"/>
  <c r="G342" i="18"/>
  <c r="G343" i="18"/>
  <c r="G344" i="18"/>
  <c r="G345" i="18"/>
  <c r="G346" i="18"/>
  <c r="G347" i="18"/>
  <c r="G348" i="18"/>
  <c r="G349" i="18"/>
  <c r="G350" i="18"/>
  <c r="G351" i="18"/>
  <c r="G352" i="18"/>
  <c r="G353" i="18"/>
  <c r="G354" i="18"/>
  <c r="G355" i="18"/>
  <c r="G356" i="18"/>
  <c r="G357" i="18"/>
  <c r="G358" i="18"/>
  <c r="G359" i="18"/>
  <c r="G362" i="18"/>
  <c r="G363" i="18"/>
  <c r="G395" i="18"/>
  <c r="G364" i="18"/>
  <c r="G365" i="18"/>
  <c r="G366" i="18"/>
  <c r="G367" i="18"/>
  <c r="G368" i="18"/>
  <c r="G369" i="18"/>
  <c r="G370" i="18"/>
  <c r="G371" i="18"/>
  <c r="G557" i="18"/>
  <c r="G372" i="18"/>
  <c r="G373" i="18"/>
  <c r="G374" i="18"/>
  <c r="G375" i="18"/>
  <c r="G376" i="18"/>
  <c r="G377" i="18"/>
  <c r="G378" i="18"/>
  <c r="G379" i="18"/>
  <c r="G380" i="18"/>
  <c r="G381" i="18"/>
  <c r="G382" i="18"/>
  <c r="G383" i="18"/>
  <c r="G384" i="18"/>
  <c r="G385" i="18"/>
  <c r="G386" i="18"/>
  <c r="G387" i="18"/>
  <c r="G388" i="18"/>
  <c r="G389" i="18"/>
  <c r="G558" i="18"/>
  <c r="G390" i="18"/>
  <c r="G391" i="18"/>
  <c r="G392" i="18"/>
  <c r="G396" i="18"/>
  <c r="G397" i="18"/>
  <c r="G398" i="18"/>
  <c r="G399" i="18"/>
  <c r="G400" i="18"/>
  <c r="G401" i="18"/>
  <c r="G402" i="18"/>
  <c r="G403" i="18"/>
  <c r="G404" i="18"/>
  <c r="G405" i="18"/>
  <c r="G406" i="18"/>
  <c r="G407" i="18"/>
  <c r="G408" i="18"/>
  <c r="G409" i="18"/>
  <c r="G410" i="18"/>
  <c r="G411" i="18"/>
  <c r="G412" i="18"/>
  <c r="G413" i="18"/>
  <c r="G414" i="18"/>
  <c r="G415" i="18"/>
  <c r="G416" i="18"/>
  <c r="G417" i="18"/>
  <c r="G418" i="18"/>
  <c r="G419" i="18"/>
  <c r="G420" i="18"/>
  <c r="G421" i="18"/>
  <c r="G422" i="18"/>
  <c r="G423" i="18"/>
  <c r="G424" i="18"/>
  <c r="G425" i="18"/>
  <c r="G426" i="18"/>
  <c r="G427" i="18"/>
  <c r="G428" i="18"/>
  <c r="G429" i="18"/>
  <c r="G435" i="18"/>
  <c r="G430" i="18"/>
  <c r="G436" i="18"/>
  <c r="G437" i="18"/>
  <c r="G438" i="18"/>
  <c r="G439" i="18"/>
  <c r="G440" i="18"/>
  <c r="G441" i="18"/>
  <c r="G442" i="18"/>
  <c r="G443" i="18"/>
  <c r="G444" i="18"/>
  <c r="G445" i="18"/>
  <c r="G446" i="18"/>
  <c r="G447" i="18"/>
  <c r="G448" i="18"/>
  <c r="G449" i="18"/>
  <c r="G450" i="18"/>
  <c r="G451" i="18"/>
  <c r="G452" i="18"/>
  <c r="G453" i="18"/>
  <c r="G454" i="18"/>
  <c r="G455" i="18"/>
  <c r="G456" i="18"/>
  <c r="G489" i="18"/>
  <c r="G457" i="18"/>
  <c r="G458" i="18"/>
  <c r="G459" i="18"/>
  <c r="G460" i="18"/>
  <c r="G461" i="18"/>
  <c r="G462" i="18"/>
  <c r="G463" i="18"/>
  <c r="G464" i="18"/>
  <c r="G465" i="18"/>
  <c r="G466" i="18"/>
  <c r="G490" i="18"/>
  <c r="G467" i="18"/>
  <c r="G468" i="18"/>
  <c r="G469" i="18"/>
  <c r="G470" i="18"/>
  <c r="G471" i="18"/>
  <c r="G472" i="18"/>
  <c r="G473" i="18"/>
  <c r="G474" i="18"/>
  <c r="G475" i="18"/>
  <c r="G476" i="18"/>
  <c r="G477" i="18"/>
  <c r="G491" i="18"/>
  <c r="G478" i="18"/>
  <c r="G479" i="18"/>
  <c r="G480" i="18"/>
  <c r="G481" i="18"/>
  <c r="G482" i="18"/>
  <c r="G483" i="18"/>
  <c r="G484" i="18"/>
  <c r="G485" i="18"/>
  <c r="G492" i="18"/>
  <c r="G493" i="18"/>
  <c r="G494" i="18"/>
  <c r="G495" i="18"/>
  <c r="G496" i="18"/>
  <c r="G559" i="18"/>
  <c r="G497" i="18"/>
  <c r="G498" i="18"/>
  <c r="G499" i="18"/>
  <c r="G500" i="18"/>
  <c r="G501" i="18"/>
  <c r="G502" i="18"/>
  <c r="G503" i="18"/>
  <c r="G504" i="18"/>
  <c r="G505" i="18"/>
  <c r="G506" i="18"/>
  <c r="G507" i="18"/>
  <c r="G508" i="18"/>
  <c r="G509" i="18"/>
  <c r="G510" i="18"/>
  <c r="G511" i="18"/>
  <c r="G512" i="18"/>
  <c r="G513" i="18"/>
  <c r="G514" i="18"/>
  <c r="G515" i="18"/>
  <c r="G516" i="18"/>
  <c r="G517" i="18"/>
  <c r="G518" i="18"/>
  <c r="G519" i="18"/>
  <c r="G520" i="18"/>
  <c r="G521" i="18"/>
  <c r="G522" i="18"/>
  <c r="G523" i="18"/>
  <c r="G524" i="18"/>
  <c r="G525" i="18"/>
  <c r="G526" i="18"/>
  <c r="G527" i="18"/>
  <c r="G528" i="18"/>
  <c r="G529" i="18"/>
  <c r="G530" i="18"/>
  <c r="G531" i="18"/>
  <c r="G532" i="18"/>
  <c r="G533" i="18"/>
  <c r="G534" i="18"/>
  <c r="G535" i="18"/>
  <c r="G536" i="18"/>
  <c r="G537" i="18"/>
  <c r="G538" i="18"/>
  <c r="G539" i="18"/>
  <c r="G540" i="18"/>
  <c r="G541" i="18"/>
  <c r="G542" i="18"/>
  <c r="G543" i="18"/>
  <c r="G544" i="18"/>
  <c r="G545" i="18"/>
  <c r="G546" i="18"/>
  <c r="G547" i="18"/>
  <c r="G548" i="18"/>
  <c r="G549" i="18"/>
  <c r="G550" i="18"/>
  <c r="G551" i="18"/>
  <c r="G552" i="18"/>
  <c r="G553" i="18"/>
  <c r="G560" i="18"/>
  <c r="G554" i="18"/>
  <c r="G561" i="18"/>
  <c r="G562" i="18"/>
  <c r="G563" i="18"/>
  <c r="G564" i="18"/>
  <c r="G565" i="18"/>
  <c r="G566" i="18"/>
  <c r="G567" i="18"/>
  <c r="G568" i="18"/>
  <c r="G569" i="18"/>
  <c r="G570" i="18"/>
  <c r="G571" i="18"/>
  <c r="G572" i="18"/>
  <c r="G573" i="18"/>
  <c r="G574" i="18"/>
  <c r="G575" i="18"/>
  <c r="G576" i="18"/>
  <c r="G577" i="18"/>
  <c r="G578" i="18"/>
  <c r="G579" i="18"/>
  <c r="G580" i="18"/>
  <c r="G581" i="18"/>
  <c r="G582" i="18"/>
  <c r="G583" i="18"/>
  <c r="G584" i="18"/>
  <c r="G585" i="18"/>
  <c r="G586" i="18"/>
  <c r="G587" i="18"/>
  <c r="G588" i="18"/>
  <c r="G589" i="18"/>
  <c r="G590" i="18"/>
  <c r="G591" i="18"/>
  <c r="G592" i="18"/>
  <c r="G593" i="18"/>
  <c r="G594" i="18"/>
  <c r="G595" i="18"/>
  <c r="G596" i="18"/>
  <c r="G597" i="18"/>
  <c r="G598" i="18"/>
  <c r="G599" i="18"/>
  <c r="G600" i="18"/>
  <c r="G601" i="18"/>
  <c r="G602" i="18"/>
  <c r="G603" i="18"/>
  <c r="G604" i="18"/>
  <c r="G605" i="18"/>
  <c r="G606" i="18"/>
  <c r="G607" i="18"/>
  <c r="G608" i="18"/>
  <c r="G609" i="18"/>
  <c r="G610" i="18"/>
  <c r="G611" i="18"/>
  <c r="G612" i="18"/>
  <c r="G613" i="18"/>
  <c r="G614" i="18"/>
  <c r="G615" i="18"/>
  <c r="G2" i="15" a="1"/>
  <c r="G2" i="15" s="1"/>
  <c r="G3" i="15" a="1"/>
  <c r="G3" i="15" s="1"/>
  <c r="G4" i="15" a="1"/>
  <c r="G4" i="15" s="1"/>
  <c r="G5" i="15" a="1"/>
  <c r="G5" i="15" s="1"/>
  <c r="G6" i="15" a="1"/>
  <c r="G6" i="15" s="1"/>
  <c r="G7" i="15" a="1"/>
  <c r="G7" i="15" s="1"/>
  <c r="G8" i="15" a="1"/>
  <c r="G8" i="15" s="1"/>
  <c r="G9" i="15" a="1"/>
  <c r="G9" i="15" s="1"/>
  <c r="G10" i="15" a="1"/>
  <c r="G10" i="15" s="1"/>
  <c r="G11" i="15" a="1"/>
  <c r="G11" i="15" s="1"/>
  <c r="G12" i="15" a="1"/>
  <c r="G12" i="15" s="1"/>
  <c r="G13" i="15" a="1"/>
  <c r="G13" i="15" s="1"/>
  <c r="G14" i="15" a="1"/>
  <c r="G14" i="15" s="1"/>
  <c r="G15" i="15" a="1"/>
  <c r="G15" i="15" s="1"/>
  <c r="G16" i="15" a="1"/>
  <c r="G16" i="15" s="1"/>
  <c r="G17" i="15" a="1"/>
  <c r="G17" i="15" s="1"/>
  <c r="G18" i="15" a="1"/>
  <c r="G18" i="15" s="1"/>
  <c r="G19" i="15" a="1"/>
  <c r="G19" i="15" s="1"/>
  <c r="G20" i="15" a="1"/>
  <c r="G20" i="15" s="1"/>
  <c r="G21" i="15" a="1"/>
  <c r="G21" i="15" s="1"/>
  <c r="G22" i="15" a="1"/>
  <c r="G22" i="15" s="1"/>
  <c r="G23" i="15" a="1"/>
  <c r="G23" i="15" s="1"/>
  <c r="G24" i="15" a="1"/>
  <c r="G24" i="15" s="1"/>
  <c r="G25" i="15" a="1"/>
  <c r="G25" i="15" s="1"/>
  <c r="G26" i="15" a="1"/>
  <c r="G26" i="15" s="1"/>
  <c r="G27" i="15" a="1"/>
  <c r="G27" i="15" s="1"/>
  <c r="G28" i="15" a="1"/>
  <c r="G28" i="15" s="1"/>
  <c r="G29" i="15" a="1"/>
  <c r="G29" i="15" s="1"/>
  <c r="G30" i="15" a="1"/>
  <c r="G30" i="15" s="1"/>
  <c r="G31" i="15" a="1"/>
  <c r="G31" i="15" s="1"/>
  <c r="G32" i="15" a="1"/>
  <c r="G32" i="15" s="1"/>
  <c r="G33" i="15" a="1"/>
  <c r="G33" i="15" s="1"/>
  <c r="G34" i="15" a="1"/>
  <c r="G34" i="15" s="1"/>
  <c r="G35" i="15" a="1"/>
  <c r="G35" i="15" s="1"/>
  <c r="G36" i="15" a="1"/>
  <c r="G36" i="15" s="1"/>
  <c r="G37" i="15" a="1"/>
  <c r="G37" i="15" s="1"/>
  <c r="G38" i="15" a="1"/>
  <c r="G38" i="15" s="1"/>
  <c r="G39" i="15" a="1"/>
  <c r="G39" i="15" s="1"/>
  <c r="G40" i="15" a="1"/>
  <c r="G40" i="15" s="1"/>
  <c r="G41" i="15" a="1"/>
  <c r="G41" i="15" s="1"/>
  <c r="G42" i="15" a="1"/>
  <c r="G42" i="15" s="1"/>
  <c r="G43" i="15" a="1"/>
  <c r="G43" i="15" s="1"/>
  <c r="G44" i="15" a="1"/>
  <c r="G44" i="15" s="1"/>
  <c r="G45" i="15" a="1"/>
  <c r="G45" i="15" s="1"/>
  <c r="G46" i="15" a="1"/>
  <c r="G46" i="15" s="1"/>
  <c r="G47" i="15" a="1"/>
  <c r="G47" i="15" s="1"/>
  <c r="G48" i="15" a="1"/>
  <c r="G48" i="15" s="1"/>
  <c r="G49" i="15" a="1"/>
  <c r="G49" i="15" s="1"/>
  <c r="G50" i="15" a="1"/>
  <c r="G50" i="15" s="1"/>
  <c r="G51" i="15" a="1"/>
  <c r="G51" i="15" s="1"/>
  <c r="G52" i="15" a="1"/>
  <c r="G52" i="15" s="1"/>
  <c r="G53" i="15" a="1"/>
  <c r="G53" i="15" s="1"/>
  <c r="G54" i="15" a="1"/>
  <c r="G54" i="15" s="1"/>
  <c r="G55" i="15" a="1"/>
  <c r="G55" i="15" s="1"/>
  <c r="G56" i="15" a="1"/>
  <c r="G56" i="15" s="1"/>
  <c r="G57" i="15" a="1"/>
  <c r="G57" i="15" s="1"/>
  <c r="G58" i="15" a="1"/>
  <c r="G58" i="15" s="1"/>
  <c r="G59" i="15" a="1"/>
  <c r="G59" i="15" s="1"/>
  <c r="G60" i="15" a="1"/>
  <c r="G60" i="15" s="1"/>
  <c r="G61" i="15" a="1"/>
  <c r="G61" i="15" s="1"/>
  <c r="G62" i="15" a="1"/>
  <c r="G62" i="15" s="1"/>
  <c r="G63" i="15" a="1"/>
  <c r="G63" i="15" s="1"/>
  <c r="G64" i="15" a="1"/>
  <c r="G64" i="15" s="1"/>
  <c r="G65" i="15" a="1"/>
  <c r="G65" i="15" s="1"/>
  <c r="G66" i="15" a="1"/>
  <c r="G66" i="15" s="1"/>
  <c r="G67" i="15" a="1"/>
  <c r="G67" i="15" s="1"/>
  <c r="G68" i="15" a="1"/>
  <c r="G68" i="15" s="1"/>
  <c r="G69" i="15" a="1"/>
  <c r="G69" i="15" s="1"/>
  <c r="G70" i="15" a="1"/>
  <c r="G70" i="15" s="1"/>
  <c r="G71" i="15" a="1"/>
  <c r="G71" i="15" s="1"/>
  <c r="G72" i="15" a="1"/>
  <c r="G72" i="15" s="1"/>
  <c r="G73" i="15" a="1"/>
  <c r="G73" i="15" s="1"/>
  <c r="G74" i="15" a="1"/>
  <c r="G74" i="15" s="1"/>
  <c r="G75" i="15" a="1"/>
  <c r="G75" i="15" s="1"/>
  <c r="G76" i="15" a="1"/>
  <c r="G76" i="15" s="1"/>
  <c r="G77" i="15" a="1"/>
  <c r="G77" i="15" s="1"/>
  <c r="G78" i="15" a="1"/>
  <c r="G78" i="15" s="1"/>
  <c r="G79" i="15" a="1"/>
  <c r="G79" i="15" s="1"/>
  <c r="G80" i="15" a="1"/>
  <c r="G80" i="15" s="1"/>
  <c r="G81" i="15" a="1"/>
  <c r="G81" i="15" s="1"/>
  <c r="G82" i="15" a="1"/>
  <c r="G82" i="15" s="1"/>
  <c r="G83" i="15" a="1"/>
  <c r="G83" i="15" s="1"/>
  <c r="G84" i="15" a="1"/>
  <c r="G84" i="15" s="1"/>
  <c r="G85" i="15" a="1"/>
  <c r="G85" i="15" s="1"/>
  <c r="G86" i="15" a="1"/>
  <c r="G86" i="15" s="1"/>
  <c r="G87" i="15" a="1"/>
  <c r="G87" i="15" s="1"/>
  <c r="G88" i="15" a="1"/>
  <c r="G88" i="15" s="1"/>
  <c r="G89" i="15" a="1"/>
  <c r="G89" i="15" s="1"/>
  <c r="G90" i="15" a="1"/>
  <c r="G90" i="15" s="1"/>
  <c r="G91" i="15" a="1"/>
  <c r="G91" i="15" s="1"/>
  <c r="G92" i="15" a="1"/>
  <c r="G92" i="15" s="1"/>
  <c r="G93" i="15" a="1"/>
  <c r="G93" i="15" s="1"/>
  <c r="G94" i="15" a="1"/>
  <c r="G94" i="15" s="1"/>
  <c r="G95" i="15" a="1"/>
  <c r="G95" i="15" s="1"/>
  <c r="G96" i="15" a="1"/>
  <c r="G96" i="15" s="1"/>
  <c r="G97" i="15" a="1"/>
  <c r="G97" i="15" s="1"/>
  <c r="G98" i="15" a="1"/>
  <c r="G98" i="15" s="1"/>
  <c r="G99" i="15" a="1"/>
  <c r="G99" i="15" s="1"/>
  <c r="G100" i="15" a="1"/>
  <c r="G100" i="15" s="1"/>
  <c r="G101" i="15" a="1"/>
  <c r="G101" i="15" s="1"/>
  <c r="G102" i="15" a="1"/>
  <c r="G102" i="15" s="1"/>
  <c r="G103" i="15" a="1"/>
  <c r="G103" i="15" s="1"/>
  <c r="G104" i="15" a="1"/>
  <c r="G104" i="15" s="1"/>
  <c r="G105" i="15" a="1"/>
  <c r="G105" i="15" s="1"/>
  <c r="G106" i="15" a="1"/>
  <c r="G106" i="15" s="1"/>
  <c r="G107" i="15" a="1"/>
  <c r="G107" i="15" s="1"/>
  <c r="G108" i="15" a="1"/>
  <c r="G108" i="15" s="1"/>
  <c r="G109" i="15" a="1"/>
  <c r="G109" i="15" s="1"/>
  <c r="G110" i="15" a="1"/>
  <c r="G110" i="15" s="1"/>
  <c r="G111" i="15" a="1"/>
  <c r="G111" i="15" s="1"/>
  <c r="G112" i="15" a="1"/>
  <c r="G112" i="15" s="1"/>
  <c r="G113" i="15" a="1"/>
  <c r="G113" i="15" s="1"/>
  <c r="G114" i="15" a="1"/>
  <c r="G114" i="15" s="1"/>
  <c r="G115" i="15" a="1"/>
  <c r="G115" i="15" s="1"/>
  <c r="G116" i="15" a="1"/>
  <c r="G116" i="15" s="1"/>
  <c r="G117" i="15" a="1"/>
  <c r="G117" i="15" s="1"/>
  <c r="G118" i="15" a="1"/>
  <c r="G118" i="15" s="1"/>
  <c r="G119" i="15" a="1"/>
  <c r="G119" i="15" s="1"/>
  <c r="G120" i="15" a="1"/>
  <c r="G120" i="15" s="1"/>
  <c r="G121" i="15" a="1"/>
  <c r="G121" i="15" s="1"/>
  <c r="G122" i="15" a="1"/>
  <c r="G122" i="15" s="1"/>
  <c r="G123" i="15" a="1"/>
  <c r="G123" i="15" s="1"/>
  <c r="G124" i="15" a="1"/>
  <c r="G124" i="15" s="1"/>
  <c r="G125" i="15" a="1"/>
  <c r="G125" i="15" s="1"/>
  <c r="G126" i="15" a="1"/>
  <c r="G126" i="15" s="1"/>
  <c r="G127" i="15" a="1"/>
  <c r="G127" i="15" s="1"/>
  <c r="G128" i="15" a="1"/>
  <c r="G128" i="15" s="1"/>
  <c r="G129" i="15" a="1"/>
  <c r="G129" i="15" s="1"/>
  <c r="G130" i="15" a="1"/>
  <c r="G130" i="15" s="1"/>
  <c r="G131" i="15" a="1"/>
  <c r="G131" i="15" s="1"/>
  <c r="G132" i="15" a="1"/>
  <c r="G132" i="15" s="1"/>
  <c r="G133" i="15" a="1"/>
  <c r="G133" i="15" s="1"/>
  <c r="G134" i="15" a="1"/>
  <c r="G134" i="15" s="1"/>
  <c r="G135" i="15" a="1"/>
  <c r="G135" i="15" s="1"/>
  <c r="G136" i="15" a="1"/>
  <c r="G136" i="15" s="1"/>
  <c r="G137" i="15" a="1"/>
  <c r="G137" i="15" s="1"/>
  <c r="G138" i="15" a="1"/>
  <c r="G138" i="15" s="1"/>
  <c r="G139" i="15" a="1"/>
  <c r="G139" i="15" s="1"/>
  <c r="G140" i="15" a="1"/>
  <c r="G140" i="15" s="1"/>
  <c r="G141" i="15" a="1"/>
  <c r="G141" i="15" s="1"/>
  <c r="G142" i="15" a="1"/>
  <c r="G142" i="15" s="1"/>
  <c r="G143" i="15" a="1"/>
  <c r="G143" i="15" s="1"/>
  <c r="G144" i="15" a="1"/>
  <c r="G144" i="15" s="1"/>
  <c r="G145" i="15" a="1"/>
  <c r="G145" i="15" s="1"/>
  <c r="G146" i="15" a="1"/>
  <c r="G146" i="15" s="1"/>
  <c r="G147" i="15" a="1"/>
  <c r="G147" i="15" s="1"/>
  <c r="G148" i="15" a="1"/>
  <c r="G148" i="15" s="1"/>
  <c r="G149" i="15" a="1"/>
  <c r="G149" i="15" s="1"/>
  <c r="G150" i="15" a="1"/>
  <c r="G150" i="15" s="1"/>
  <c r="G151" i="15" a="1"/>
  <c r="G151" i="15" s="1"/>
  <c r="G152" i="15" a="1"/>
  <c r="G152" i="15" s="1"/>
  <c r="G153" i="15" a="1"/>
  <c r="G153" i="15" s="1"/>
  <c r="G154" i="15" a="1"/>
  <c r="G154" i="15" s="1"/>
  <c r="G155" i="15" a="1"/>
  <c r="G155" i="15" s="1"/>
  <c r="G156" i="15" a="1"/>
  <c r="G156" i="15" s="1"/>
  <c r="G157" i="15" a="1"/>
  <c r="G157" i="15" s="1"/>
  <c r="G158" i="15" a="1"/>
  <c r="G158" i="15" s="1"/>
  <c r="G159" i="15" a="1"/>
  <c r="G159" i="15" s="1"/>
  <c r="G160" i="15" a="1"/>
  <c r="G160" i="15" s="1"/>
  <c r="G161" i="15" a="1"/>
  <c r="G161" i="15" s="1"/>
  <c r="G162" i="15" a="1"/>
  <c r="G162" i="15" s="1"/>
  <c r="G163" i="15" a="1"/>
  <c r="G163" i="15" s="1"/>
  <c r="G164" i="15" a="1"/>
  <c r="G164" i="15" s="1"/>
  <c r="G165" i="15" a="1"/>
  <c r="G165" i="15" s="1"/>
  <c r="G166" i="15" a="1"/>
  <c r="G166" i="15" s="1"/>
  <c r="G167" i="15" a="1"/>
  <c r="G167" i="15" s="1"/>
  <c r="G168" i="15" a="1"/>
  <c r="G168" i="15" s="1"/>
  <c r="G169" i="15" a="1"/>
  <c r="G169" i="15" s="1"/>
  <c r="G170" i="15" a="1"/>
  <c r="G170" i="15" s="1"/>
  <c r="G171" i="15" a="1"/>
  <c r="G171" i="15" s="1"/>
  <c r="G172" i="15" a="1"/>
  <c r="G172" i="15" s="1"/>
  <c r="G173" i="15" a="1"/>
  <c r="G173" i="15" s="1"/>
  <c r="G174" i="15" a="1"/>
  <c r="G174" i="15" s="1"/>
  <c r="G175" i="15" a="1"/>
  <c r="G175" i="15" s="1"/>
  <c r="G176" i="15" a="1"/>
  <c r="G176" i="15" s="1"/>
  <c r="G177" i="15" a="1"/>
  <c r="G177" i="15" s="1"/>
  <c r="G178" i="15" a="1"/>
  <c r="G178" i="15" s="1"/>
  <c r="G179" i="15" a="1"/>
  <c r="G179" i="15" s="1"/>
  <c r="G180" i="15" a="1"/>
  <c r="G180" i="15" s="1"/>
  <c r="G181" i="15" a="1"/>
  <c r="G181" i="15" s="1"/>
  <c r="G182" i="15" a="1"/>
  <c r="G182" i="15" s="1"/>
  <c r="G183" i="15" a="1"/>
  <c r="G183" i="15" s="1"/>
  <c r="G184" i="15" a="1"/>
  <c r="G184" i="15" s="1"/>
  <c r="G185" i="15" a="1"/>
  <c r="G185" i="15" s="1"/>
  <c r="G186" i="15" a="1"/>
  <c r="G186" i="15" s="1"/>
  <c r="G187" i="15" a="1"/>
  <c r="G187" i="15" s="1"/>
  <c r="G188" i="15" a="1"/>
  <c r="G188" i="15" s="1"/>
  <c r="G189" i="15" a="1"/>
  <c r="G189" i="15" s="1"/>
  <c r="G190" i="15" a="1"/>
  <c r="G190" i="15" s="1"/>
  <c r="G191" i="15" a="1"/>
  <c r="G191" i="15" s="1"/>
  <c r="G192" i="15" a="1"/>
  <c r="G192" i="15" s="1"/>
  <c r="G193" i="15" a="1"/>
  <c r="G193" i="15" s="1"/>
  <c r="G194" i="15" a="1"/>
  <c r="G194" i="15" s="1"/>
  <c r="G195" i="15" a="1"/>
  <c r="G195" i="15" s="1"/>
  <c r="G196" i="15" a="1"/>
  <c r="G196" i="15" s="1"/>
  <c r="G197" i="15" a="1"/>
  <c r="G197" i="15" s="1"/>
  <c r="G198" i="15" a="1"/>
  <c r="G198" i="15" s="1"/>
  <c r="G199" i="15" a="1"/>
  <c r="G199" i="15" s="1"/>
  <c r="G200" i="15" a="1"/>
  <c r="G200" i="15" s="1"/>
  <c r="G201" i="15" a="1"/>
  <c r="G201" i="15" s="1"/>
  <c r="G202" i="15" a="1"/>
  <c r="G202" i="15" s="1"/>
  <c r="G203" i="15" a="1"/>
  <c r="G203" i="15" s="1"/>
  <c r="G204" i="15" a="1"/>
  <c r="G204" i="15" s="1"/>
  <c r="G205" i="15" a="1"/>
  <c r="G205" i="15" s="1"/>
  <c r="G206" i="15" a="1"/>
  <c r="G206" i="15" s="1"/>
  <c r="G207" i="15" a="1"/>
  <c r="G207" i="15" s="1"/>
  <c r="G208" i="15" a="1"/>
  <c r="G208" i="15" s="1"/>
  <c r="G209" i="15" a="1"/>
  <c r="G209" i="15" s="1"/>
  <c r="G210" i="15" a="1"/>
  <c r="G210" i="15" s="1"/>
  <c r="G211" i="15" a="1"/>
  <c r="G211" i="15" s="1"/>
  <c r="G212" i="15" a="1"/>
  <c r="G212" i="15" s="1"/>
  <c r="G213" i="15" a="1"/>
  <c r="G213" i="15" s="1"/>
  <c r="G214" i="15" a="1"/>
  <c r="G214" i="15" s="1"/>
  <c r="G215" i="15" a="1"/>
  <c r="G215" i="15" s="1"/>
  <c r="G216" i="15" a="1"/>
  <c r="G216" i="15" s="1"/>
  <c r="G217" i="15" a="1"/>
  <c r="G217" i="15" s="1"/>
  <c r="G218" i="15" a="1"/>
  <c r="G218" i="15" s="1"/>
  <c r="G219" i="15" a="1"/>
  <c r="G219" i="15" s="1"/>
  <c r="G220" i="15" a="1"/>
  <c r="G220" i="15" s="1"/>
  <c r="G221" i="15" a="1"/>
  <c r="G221" i="15" s="1"/>
  <c r="G222" i="15" a="1"/>
  <c r="G222" i="15" s="1"/>
  <c r="G223" i="15" a="1"/>
  <c r="G223" i="15" s="1"/>
  <c r="G224" i="15" a="1"/>
  <c r="G224" i="15" s="1"/>
  <c r="G225" i="15" a="1"/>
  <c r="G225" i="15" s="1"/>
  <c r="G226" i="15" a="1"/>
  <c r="G226" i="15" s="1"/>
  <c r="G227" i="15" a="1"/>
  <c r="G227" i="15" s="1"/>
  <c r="G228" i="15" a="1"/>
  <c r="G228" i="15" s="1"/>
  <c r="G229" i="15" a="1"/>
  <c r="G229" i="15" s="1"/>
  <c r="G230" i="15" a="1"/>
  <c r="G230" i="15" s="1"/>
  <c r="G231" i="15" a="1"/>
  <c r="G231" i="15" s="1"/>
  <c r="G232" i="15" a="1"/>
  <c r="G232" i="15" s="1"/>
  <c r="G233" i="15" a="1"/>
  <c r="G233" i="15" s="1"/>
  <c r="G234" i="15" a="1"/>
  <c r="G234" i="15" s="1"/>
  <c r="G235" i="15" a="1"/>
  <c r="G235" i="15" s="1"/>
  <c r="G236" i="15" a="1"/>
  <c r="G236" i="15" s="1"/>
  <c r="G237" i="15" a="1"/>
  <c r="G237" i="15" s="1"/>
  <c r="G238" i="15" a="1"/>
  <c r="G238" i="15" s="1"/>
  <c r="G239" i="15" a="1"/>
  <c r="G239" i="15" s="1"/>
  <c r="G240" i="15" a="1"/>
  <c r="G240" i="15" s="1"/>
  <c r="G241" i="15" a="1"/>
  <c r="G241" i="15" s="1"/>
  <c r="G242" i="15" a="1"/>
  <c r="G242" i="15" s="1"/>
  <c r="G243" i="15" a="1"/>
  <c r="G243" i="15" s="1"/>
  <c r="G244" i="15" a="1"/>
  <c r="G244" i="15" s="1"/>
  <c r="G245" i="15" a="1"/>
  <c r="G245" i="15" s="1"/>
  <c r="G246" i="15" a="1"/>
  <c r="G246" i="15" s="1"/>
  <c r="G247" i="15" a="1"/>
  <c r="G247" i="15" s="1"/>
  <c r="G248" i="15" a="1"/>
  <c r="G248" i="15" s="1"/>
  <c r="G249" i="15" a="1"/>
  <c r="G249" i="15" s="1"/>
  <c r="G250" i="15" a="1"/>
  <c r="G250" i="15" s="1"/>
  <c r="G251" i="15" a="1"/>
  <c r="G251" i="15" s="1"/>
  <c r="G252" i="15" a="1"/>
  <c r="G252" i="15" s="1"/>
  <c r="G253" i="15" a="1"/>
  <c r="G253" i="15" s="1"/>
  <c r="G254" i="15" a="1"/>
  <c r="G254" i="15" s="1"/>
  <c r="G255" i="15" a="1"/>
  <c r="G255" i="15" s="1"/>
  <c r="G256" i="15" a="1"/>
  <c r="G256" i="15" s="1"/>
  <c r="G257" i="15" a="1"/>
  <c r="G257" i="15" s="1"/>
  <c r="G258" i="15" a="1"/>
  <c r="G258" i="15" s="1"/>
  <c r="G259" i="15" a="1"/>
  <c r="G259" i="15" s="1"/>
  <c r="G260" i="15" a="1"/>
  <c r="G260" i="15" s="1"/>
  <c r="G261" i="15" a="1"/>
  <c r="G261" i="15" s="1"/>
  <c r="G262" i="15" a="1"/>
  <c r="G262" i="15" s="1"/>
  <c r="G263" i="15" a="1"/>
  <c r="G263" i="15" s="1"/>
  <c r="G264" i="15" a="1"/>
  <c r="G264" i="15" s="1"/>
  <c r="G265" i="15" a="1"/>
  <c r="G265" i="15" s="1"/>
  <c r="G266" i="15" a="1"/>
  <c r="G266" i="15" s="1"/>
  <c r="G267" i="15" a="1"/>
  <c r="G267" i="15" s="1"/>
  <c r="G268" i="15" a="1"/>
  <c r="G268" i="15" s="1"/>
  <c r="G269" i="15" a="1"/>
  <c r="G269" i="15" s="1"/>
  <c r="G270" i="15" a="1"/>
  <c r="G270" i="15" s="1"/>
  <c r="G271" i="15" a="1"/>
  <c r="G271" i="15" s="1"/>
  <c r="G272" i="15" a="1"/>
  <c r="G272" i="15" s="1"/>
  <c r="G273" i="15" a="1"/>
  <c r="G273" i="15" s="1"/>
  <c r="G274" i="15" a="1"/>
  <c r="G274" i="15" s="1"/>
  <c r="G275" i="15" a="1"/>
  <c r="G275" i="15" s="1"/>
  <c r="G276" i="15" a="1"/>
  <c r="G276" i="15" s="1"/>
  <c r="G277" i="15" a="1"/>
  <c r="G277" i="15" s="1"/>
  <c r="G278" i="15" a="1"/>
  <c r="G278" i="15" s="1"/>
  <c r="G279" i="15" a="1"/>
  <c r="G279" i="15" s="1"/>
  <c r="G280" i="15" a="1"/>
  <c r="G280" i="15" s="1"/>
  <c r="G281" i="15" a="1"/>
  <c r="G281" i="15" s="1"/>
  <c r="G282" i="15" a="1"/>
  <c r="G282" i="15" s="1"/>
  <c r="G283" i="15" a="1"/>
  <c r="G283" i="15" s="1"/>
  <c r="G284" i="15" a="1"/>
  <c r="G284" i="15" s="1"/>
  <c r="G285" i="15" a="1"/>
  <c r="G285" i="15" s="1"/>
  <c r="G286" i="15" a="1"/>
  <c r="G286" i="15" s="1"/>
  <c r="G287" i="15" a="1"/>
  <c r="G287" i="15" s="1"/>
  <c r="G288" i="15" a="1"/>
  <c r="G288" i="15" s="1"/>
  <c r="G289" i="15" a="1"/>
  <c r="G289" i="15" s="1"/>
  <c r="G290" i="15" a="1"/>
  <c r="G290" i="15" s="1"/>
  <c r="G291" i="15" a="1"/>
  <c r="G291" i="15" s="1"/>
  <c r="G292" i="15" a="1"/>
  <c r="G292" i="15" s="1"/>
  <c r="G293" i="15" a="1"/>
  <c r="G293" i="15" s="1"/>
  <c r="G294" i="15" a="1"/>
  <c r="G294" i="15" s="1"/>
  <c r="G295" i="15" a="1"/>
  <c r="G295" i="15" s="1"/>
  <c r="G296" i="15" a="1"/>
  <c r="G296" i="15" s="1"/>
  <c r="G297" i="15" a="1"/>
  <c r="G297" i="15" s="1"/>
  <c r="G298" i="15" a="1"/>
  <c r="G298" i="15" s="1"/>
  <c r="G299" i="15" a="1"/>
  <c r="G299" i="15" s="1"/>
  <c r="G300" i="15" a="1"/>
  <c r="G300" i="15" s="1"/>
  <c r="G301" i="15" a="1"/>
  <c r="G301" i="15" s="1"/>
  <c r="G302" i="15" a="1"/>
  <c r="G302" i="15" s="1"/>
  <c r="G303" i="15" a="1"/>
  <c r="G303" i="15" s="1"/>
  <c r="G304" i="15" a="1"/>
  <c r="G304" i="15" s="1"/>
  <c r="G305" i="15" a="1"/>
  <c r="G305" i="15" s="1"/>
  <c r="G306" i="15" a="1"/>
  <c r="G306" i="15" s="1"/>
  <c r="G307" i="15" a="1"/>
  <c r="G307" i="15" s="1"/>
  <c r="G308" i="15" a="1"/>
  <c r="G308" i="15" s="1"/>
  <c r="G309" i="15" a="1"/>
  <c r="G309" i="15" s="1"/>
  <c r="G310" i="15" a="1"/>
  <c r="G310" i="15" s="1"/>
  <c r="G311" i="15" a="1"/>
  <c r="G311" i="15" s="1"/>
  <c r="G312" i="15" a="1"/>
  <c r="G312" i="15" s="1"/>
  <c r="G313" i="15" a="1"/>
  <c r="G313" i="15" s="1"/>
  <c r="G314" i="15" a="1"/>
  <c r="G314" i="15" s="1"/>
  <c r="G315" i="15" a="1"/>
  <c r="G315" i="15" s="1"/>
  <c r="G316" i="15" a="1"/>
  <c r="G316" i="15" s="1"/>
  <c r="G317" i="15" a="1"/>
  <c r="G317" i="15" s="1"/>
  <c r="G318" i="15" a="1"/>
  <c r="G318" i="15" s="1"/>
  <c r="G319" i="15" a="1"/>
  <c r="G319" i="15" s="1"/>
  <c r="G320" i="15" a="1"/>
  <c r="G320" i="15" s="1"/>
  <c r="G321" i="15" a="1"/>
  <c r="G321" i="15" s="1"/>
  <c r="G322" i="15" a="1"/>
  <c r="G322" i="15" s="1"/>
  <c r="G323" i="15" a="1"/>
  <c r="G323" i="15" s="1"/>
  <c r="G324" i="15" a="1"/>
  <c r="G324" i="15" s="1"/>
  <c r="G325" i="15" a="1"/>
  <c r="G325" i="15" s="1"/>
  <c r="G326" i="15" a="1"/>
  <c r="G326" i="15" s="1"/>
  <c r="G327" i="15" a="1"/>
  <c r="G327" i="15" s="1"/>
  <c r="G328" i="15" a="1"/>
  <c r="G328" i="15" s="1"/>
  <c r="G329" i="15" a="1"/>
  <c r="G329" i="15" s="1"/>
  <c r="G330" i="15" a="1"/>
  <c r="G330" i="15" s="1"/>
  <c r="G331" i="15" a="1"/>
  <c r="G331" i="15" s="1"/>
  <c r="G332" i="15" a="1"/>
  <c r="G332" i="15" s="1"/>
  <c r="G333" i="15" a="1"/>
  <c r="G333" i="15" s="1"/>
  <c r="G334" i="15" a="1"/>
  <c r="G334" i="15" s="1"/>
  <c r="G335" i="15" a="1"/>
  <c r="G335" i="15" s="1"/>
  <c r="G336" i="15" a="1"/>
  <c r="G336" i="15" s="1"/>
  <c r="G337" i="15" a="1"/>
  <c r="G337" i="15" s="1"/>
  <c r="G338" i="15" a="1"/>
  <c r="G338" i="15" s="1"/>
  <c r="G339" i="15" a="1"/>
  <c r="G339" i="15" s="1"/>
  <c r="G340" i="15" a="1"/>
  <c r="G340" i="15" s="1"/>
  <c r="G341" i="15" a="1"/>
  <c r="G341" i="15" s="1"/>
  <c r="G342" i="15" a="1"/>
  <c r="G342" i="15" s="1"/>
  <c r="G343" i="15" a="1"/>
  <c r="G343" i="15" s="1"/>
  <c r="G344" i="15" a="1"/>
  <c r="G344" i="15" s="1"/>
  <c r="G345" i="15" a="1"/>
  <c r="G345" i="15" s="1"/>
  <c r="G346" i="15" a="1"/>
  <c r="G346" i="15" s="1"/>
  <c r="G347" i="15" a="1"/>
  <c r="G347" i="15" s="1"/>
  <c r="G348" i="15" a="1"/>
  <c r="G348" i="15" s="1"/>
  <c r="G349" i="15" a="1"/>
  <c r="G349" i="15" s="1"/>
  <c r="G350" i="15" a="1"/>
  <c r="G350" i="15" s="1"/>
  <c r="G351" i="15" a="1"/>
  <c r="G351" i="15" s="1"/>
  <c r="G352" i="15" a="1"/>
  <c r="G352" i="15" s="1"/>
  <c r="G353" i="15" a="1"/>
  <c r="G353" i="15" s="1"/>
  <c r="G354" i="15" a="1"/>
  <c r="G354" i="15" s="1"/>
  <c r="G355" i="15" a="1"/>
  <c r="G355" i="15" s="1"/>
  <c r="G356" i="15" a="1"/>
  <c r="G356" i="15" s="1"/>
  <c r="G357" i="15" a="1"/>
  <c r="G357" i="15" s="1"/>
  <c r="G358" i="15" a="1"/>
  <c r="G358" i="15" s="1"/>
  <c r="G359" i="15" a="1"/>
  <c r="G359" i="15" s="1"/>
  <c r="G360" i="15" a="1"/>
  <c r="G360" i="15" s="1"/>
  <c r="G361" i="15" a="1"/>
  <c r="G361" i="15" s="1"/>
  <c r="G362" i="15" a="1"/>
  <c r="G362" i="15" s="1"/>
  <c r="G363" i="15" a="1"/>
  <c r="G363" i="15" s="1"/>
  <c r="G364" i="15" a="1"/>
  <c r="G364" i="15" s="1"/>
  <c r="G365" i="15" a="1"/>
  <c r="G365" i="15" s="1"/>
  <c r="G366" i="15" a="1"/>
  <c r="G366" i="15" s="1"/>
  <c r="G367" i="15" a="1"/>
  <c r="G367" i="15" s="1"/>
  <c r="G368" i="15" a="1"/>
  <c r="G368" i="15" s="1"/>
  <c r="G369" i="15" a="1"/>
  <c r="G369" i="15" s="1"/>
  <c r="G370" i="15" a="1"/>
  <c r="G370" i="15" s="1"/>
  <c r="G371" i="15" a="1"/>
  <c r="G371" i="15" s="1"/>
  <c r="G372" i="15" a="1"/>
  <c r="G372" i="15" s="1"/>
  <c r="G373" i="15" a="1"/>
  <c r="G373" i="15" s="1"/>
  <c r="G374" i="15" a="1"/>
  <c r="G374" i="15" s="1"/>
  <c r="G375" i="15" a="1"/>
  <c r="G375" i="15" s="1"/>
  <c r="G376" i="15" a="1"/>
  <c r="G376" i="15" s="1"/>
  <c r="G377" i="15" a="1"/>
  <c r="G377" i="15" s="1"/>
  <c r="G378" i="15" a="1"/>
  <c r="G378" i="15" s="1"/>
  <c r="G379" i="15" a="1"/>
  <c r="G379" i="15" s="1"/>
  <c r="G380" i="15" a="1"/>
  <c r="G380" i="15" s="1"/>
  <c r="G381" i="15" a="1"/>
  <c r="G381" i="15" s="1"/>
  <c r="G382" i="15" a="1"/>
  <c r="G382" i="15" s="1"/>
  <c r="G383" i="15" a="1"/>
  <c r="G383" i="15" s="1"/>
  <c r="G384" i="15" a="1"/>
  <c r="G384" i="15" s="1"/>
  <c r="G385" i="15" a="1"/>
  <c r="G385" i="15" s="1"/>
  <c r="G386" i="15" a="1"/>
  <c r="G386" i="15" s="1"/>
  <c r="G387" i="15" a="1"/>
  <c r="G387" i="15" s="1"/>
  <c r="G388" i="15" a="1"/>
  <c r="G388" i="15" s="1"/>
  <c r="G389" i="15" a="1"/>
  <c r="G389" i="15" s="1"/>
  <c r="G390" i="15" a="1"/>
  <c r="G390" i="15" s="1"/>
  <c r="G391" i="15" a="1"/>
  <c r="G391" i="15" s="1"/>
  <c r="G392" i="15" a="1"/>
  <c r="G392" i="15" s="1"/>
  <c r="G393" i="15" a="1"/>
  <c r="G393" i="15" s="1"/>
  <c r="G394" i="15" a="1"/>
  <c r="G394" i="15" s="1"/>
  <c r="G395" i="15" a="1"/>
  <c r="G395" i="15" s="1"/>
  <c r="G396" i="15" a="1"/>
  <c r="G396" i="15" s="1"/>
  <c r="G397" i="15" a="1"/>
  <c r="G397" i="15" s="1"/>
  <c r="G398" i="15" a="1"/>
  <c r="G398" i="15" s="1"/>
  <c r="G399" i="15" a="1"/>
  <c r="G399" i="15" s="1"/>
  <c r="G400" i="15" a="1"/>
  <c r="G400" i="15" s="1"/>
  <c r="G401" i="15" a="1"/>
  <c r="G401" i="15" s="1"/>
  <c r="G402" i="15" a="1"/>
  <c r="G402" i="15" s="1"/>
  <c r="G403" i="15" a="1"/>
  <c r="G403" i="15" s="1"/>
  <c r="E3" i="16"/>
  <c r="F3" i="16" s="1"/>
  <c r="E4" i="16"/>
  <c r="F4" i="16" s="1"/>
  <c r="E5" i="16"/>
  <c r="F5" i="16" s="1"/>
  <c r="E6" i="16"/>
  <c r="F6" i="16" s="1"/>
  <c r="E7" i="16"/>
  <c r="F7" i="16" s="1"/>
  <c r="E8" i="16"/>
  <c r="F8" i="16" s="1"/>
  <c r="E9" i="16"/>
  <c r="F9" i="16" s="1"/>
  <c r="E10" i="16"/>
  <c r="F10" i="16" s="1"/>
  <c r="E11" i="16"/>
  <c r="F11" i="16" s="1"/>
  <c r="E12" i="16"/>
  <c r="F12" i="16" s="1"/>
  <c r="E13" i="16"/>
  <c r="F13" i="16" s="1"/>
  <c r="E14" i="16"/>
  <c r="F14" i="16" s="1"/>
  <c r="E15" i="16"/>
  <c r="F15" i="16" s="1"/>
  <c r="E16" i="16"/>
  <c r="F16" i="16" s="1"/>
  <c r="E17" i="16"/>
  <c r="F17" i="16" s="1"/>
  <c r="E18" i="16"/>
  <c r="F18" i="16" s="1"/>
  <c r="E19" i="16"/>
  <c r="F19" i="16" s="1"/>
  <c r="E20" i="16"/>
  <c r="F20" i="16" s="1"/>
  <c r="E21" i="16"/>
  <c r="F21" i="16" s="1"/>
  <c r="E22" i="16"/>
  <c r="F22" i="16" s="1"/>
  <c r="E23" i="16"/>
  <c r="F23" i="16" s="1"/>
  <c r="E24" i="16"/>
  <c r="F24" i="16" s="1"/>
  <c r="E25" i="16"/>
  <c r="F25" i="16" s="1"/>
  <c r="E26" i="16"/>
  <c r="F26" i="16" s="1"/>
  <c r="E27" i="16"/>
  <c r="F27" i="16" s="1"/>
  <c r="E28" i="16"/>
  <c r="F28" i="16" s="1"/>
  <c r="E29" i="16"/>
  <c r="F29" i="16" s="1"/>
  <c r="E30" i="16"/>
  <c r="F30" i="16" s="1"/>
  <c r="E31" i="16"/>
  <c r="F31" i="16" s="1"/>
  <c r="E32" i="16"/>
  <c r="F32" i="16" s="1"/>
  <c r="E33" i="16"/>
  <c r="F33" i="16" s="1"/>
  <c r="E34" i="16"/>
  <c r="F34" i="16" s="1"/>
  <c r="E35" i="16"/>
  <c r="F35" i="16" s="1"/>
  <c r="E36" i="16"/>
  <c r="F36" i="16" s="1"/>
  <c r="E37" i="16"/>
  <c r="F37" i="16" s="1"/>
  <c r="E38" i="16"/>
  <c r="F38" i="16" s="1"/>
  <c r="E39" i="16"/>
  <c r="F39" i="16" s="1"/>
  <c r="E40" i="16"/>
  <c r="F40" i="16" s="1"/>
  <c r="E41" i="16"/>
  <c r="F41" i="16" s="1"/>
  <c r="E42" i="16"/>
  <c r="F42" i="16" s="1"/>
  <c r="E43" i="16"/>
  <c r="F43" i="16" s="1"/>
  <c r="E44" i="16"/>
  <c r="F44" i="16" s="1"/>
  <c r="E45" i="16"/>
  <c r="F45" i="16" s="1"/>
  <c r="E46" i="16"/>
  <c r="F46" i="16" s="1"/>
  <c r="E47" i="16"/>
  <c r="F47" i="16" s="1"/>
  <c r="E48" i="16"/>
  <c r="F48" i="16" s="1"/>
  <c r="E49" i="16"/>
  <c r="F49" i="16" s="1"/>
  <c r="E50" i="16"/>
  <c r="F50" i="16" s="1"/>
  <c r="E51" i="16"/>
  <c r="F51" i="16" s="1"/>
  <c r="E52" i="16"/>
  <c r="F52" i="16" s="1"/>
  <c r="E53" i="16"/>
  <c r="F53" i="16" s="1"/>
  <c r="E54" i="16"/>
  <c r="F54" i="16" s="1"/>
  <c r="E55" i="16"/>
  <c r="F55" i="16" s="1"/>
  <c r="E56" i="16"/>
  <c r="F56" i="16" s="1"/>
  <c r="E57" i="16"/>
  <c r="F57" i="16" s="1"/>
  <c r="E58" i="16"/>
  <c r="F58" i="16" s="1"/>
  <c r="E59" i="16"/>
  <c r="F59" i="16" s="1"/>
  <c r="E60" i="16"/>
  <c r="F60" i="16" s="1"/>
  <c r="E61" i="16"/>
  <c r="F61" i="16" s="1"/>
  <c r="E62" i="16"/>
  <c r="F62" i="16" s="1"/>
  <c r="E63" i="16"/>
  <c r="F63" i="16" s="1"/>
  <c r="E64" i="16"/>
  <c r="F64" i="16" s="1"/>
  <c r="E65" i="16"/>
  <c r="F65" i="16" s="1"/>
  <c r="E66" i="16"/>
  <c r="F66" i="16" s="1"/>
  <c r="E67" i="16"/>
  <c r="F67" i="16" s="1"/>
  <c r="E68" i="16"/>
  <c r="F68" i="16" s="1"/>
  <c r="E69" i="16"/>
  <c r="F69" i="16" s="1"/>
  <c r="E70" i="16"/>
  <c r="F70" i="16" s="1"/>
  <c r="E71" i="16"/>
  <c r="F71" i="16" s="1"/>
  <c r="E72" i="16"/>
  <c r="F72" i="16" s="1"/>
  <c r="E73" i="16"/>
  <c r="F73" i="16" s="1"/>
  <c r="E74" i="16"/>
  <c r="F74" i="16" s="1"/>
  <c r="E75" i="16"/>
  <c r="F75" i="16" s="1"/>
  <c r="E76" i="16"/>
  <c r="F76" i="16" s="1"/>
  <c r="E77" i="16"/>
  <c r="F77" i="16" s="1"/>
  <c r="E78" i="16"/>
  <c r="F78" i="16" s="1"/>
  <c r="E79" i="16"/>
  <c r="F79" i="16" s="1"/>
  <c r="E80" i="16"/>
  <c r="F80" i="16" s="1"/>
  <c r="E81" i="16"/>
  <c r="F81" i="16" s="1"/>
  <c r="E82" i="16"/>
  <c r="F82" i="16" s="1"/>
  <c r="E83" i="16"/>
  <c r="F83" i="16" s="1"/>
  <c r="E84" i="16"/>
  <c r="F84" i="16" s="1"/>
  <c r="E85" i="16"/>
  <c r="F85" i="16" s="1"/>
  <c r="E86" i="16"/>
  <c r="F86" i="16" s="1"/>
  <c r="E87" i="16"/>
  <c r="F87" i="16" s="1"/>
  <c r="E88" i="16"/>
  <c r="F88" i="16" s="1"/>
  <c r="E89" i="16"/>
  <c r="F89" i="16" s="1"/>
  <c r="E90" i="16"/>
  <c r="F90" i="16" s="1"/>
  <c r="E91" i="16"/>
  <c r="F91" i="16" s="1"/>
  <c r="E92" i="16"/>
  <c r="F92" i="16" s="1"/>
  <c r="E93" i="16"/>
  <c r="F93" i="16" s="1"/>
  <c r="E94" i="16"/>
  <c r="F94" i="16" s="1"/>
  <c r="E95" i="16"/>
  <c r="F95" i="16" s="1"/>
  <c r="E96" i="16"/>
  <c r="F96" i="16" s="1"/>
  <c r="E97" i="16"/>
  <c r="F97" i="16" s="1"/>
  <c r="E98" i="16"/>
  <c r="F98" i="16" s="1"/>
  <c r="E99" i="16"/>
  <c r="F99" i="16" s="1"/>
  <c r="E100" i="16"/>
  <c r="F100" i="16" s="1"/>
  <c r="E101" i="16"/>
  <c r="F101" i="16" s="1"/>
  <c r="E102" i="16"/>
  <c r="F102" i="16" s="1"/>
  <c r="E103" i="16"/>
  <c r="F103" i="16" s="1"/>
  <c r="E104" i="16"/>
  <c r="F104" i="16" s="1"/>
  <c r="E105" i="16"/>
  <c r="F105" i="16" s="1"/>
  <c r="E106" i="16"/>
  <c r="F106" i="16" s="1"/>
  <c r="E107" i="16"/>
  <c r="F107" i="16" s="1"/>
  <c r="E108" i="16"/>
  <c r="F108" i="16" s="1"/>
  <c r="E109" i="16"/>
  <c r="F109" i="16" s="1"/>
  <c r="E110" i="16"/>
  <c r="F110" i="16" s="1"/>
  <c r="E111" i="16"/>
  <c r="F111" i="16" s="1"/>
  <c r="E112" i="16"/>
  <c r="F112" i="16" s="1"/>
  <c r="E113" i="16"/>
  <c r="F113" i="16" s="1"/>
  <c r="E114" i="16"/>
  <c r="F114" i="16" s="1"/>
  <c r="E115" i="16"/>
  <c r="F115" i="16" s="1"/>
  <c r="E116" i="16"/>
  <c r="F116" i="16" s="1"/>
  <c r="E117" i="16"/>
  <c r="F117" i="16" s="1"/>
  <c r="E118" i="16"/>
  <c r="F118" i="16" s="1"/>
  <c r="E119" i="16"/>
  <c r="F119" i="16" s="1"/>
  <c r="E120" i="16"/>
  <c r="F120" i="16" s="1"/>
  <c r="E121" i="16"/>
  <c r="F121" i="16" s="1"/>
  <c r="E122" i="16"/>
  <c r="F122" i="16" s="1"/>
  <c r="E123" i="16"/>
  <c r="F123" i="16" s="1"/>
  <c r="E124" i="16"/>
  <c r="F124" i="16" s="1"/>
  <c r="E125" i="16"/>
  <c r="F125" i="16" s="1"/>
  <c r="E126" i="16"/>
  <c r="F126" i="16" s="1"/>
  <c r="E127" i="16"/>
  <c r="F127" i="16" s="1"/>
  <c r="E128" i="16"/>
  <c r="F128" i="16" s="1"/>
  <c r="E129" i="16"/>
  <c r="F129" i="16" s="1"/>
  <c r="E130" i="16"/>
  <c r="F130" i="16" s="1"/>
  <c r="E131" i="16"/>
  <c r="F131" i="16" s="1"/>
  <c r="E132" i="16"/>
  <c r="F132" i="16" s="1"/>
  <c r="E133" i="16"/>
  <c r="F133" i="16" s="1"/>
  <c r="E134" i="16"/>
  <c r="F134" i="16" s="1"/>
  <c r="E135" i="16"/>
  <c r="F135" i="16" s="1"/>
  <c r="E136" i="16"/>
  <c r="F136" i="16" s="1"/>
  <c r="E137" i="16"/>
  <c r="F137" i="16" s="1"/>
  <c r="E138" i="16"/>
  <c r="F138" i="16" s="1"/>
  <c r="E139" i="16"/>
  <c r="F139" i="16" s="1"/>
  <c r="E140" i="16"/>
  <c r="F140" i="16" s="1"/>
  <c r="E141" i="16"/>
  <c r="F141" i="16" s="1"/>
  <c r="E142" i="16"/>
  <c r="F142" i="16" s="1"/>
  <c r="E143" i="16"/>
  <c r="F143" i="16" s="1"/>
  <c r="E144" i="16"/>
  <c r="F144" i="16" s="1"/>
  <c r="E145" i="16"/>
  <c r="F145" i="16" s="1"/>
  <c r="E146" i="16"/>
  <c r="F146" i="16" s="1"/>
  <c r="E147" i="16"/>
  <c r="F147" i="16" s="1"/>
  <c r="E148" i="16"/>
  <c r="F148" i="16" s="1"/>
  <c r="E149" i="16"/>
  <c r="F149" i="16" s="1"/>
  <c r="E150" i="16"/>
  <c r="F150" i="16" s="1"/>
  <c r="E151" i="16"/>
  <c r="F151" i="16" s="1"/>
  <c r="E152" i="16"/>
  <c r="F152" i="16" s="1"/>
  <c r="E153" i="16"/>
  <c r="F153" i="16" s="1"/>
  <c r="E154" i="16"/>
  <c r="F154" i="16" s="1"/>
  <c r="E155" i="16"/>
  <c r="F155" i="16" s="1"/>
  <c r="E156" i="16"/>
  <c r="F156" i="16" s="1"/>
  <c r="E157" i="16"/>
  <c r="F157" i="16" s="1"/>
  <c r="E158" i="16"/>
  <c r="F158" i="16" s="1"/>
  <c r="E159" i="16"/>
  <c r="F159" i="16" s="1"/>
  <c r="E160" i="16"/>
  <c r="F160" i="16" s="1"/>
  <c r="E161" i="16"/>
  <c r="F161" i="16" s="1"/>
  <c r="E162" i="16"/>
  <c r="F162" i="16" s="1"/>
  <c r="E163" i="16"/>
  <c r="F163" i="16" s="1"/>
  <c r="E164" i="16"/>
  <c r="F164" i="16" s="1"/>
  <c r="E165" i="16"/>
  <c r="F165" i="16" s="1"/>
  <c r="E166" i="16"/>
  <c r="F166" i="16" s="1"/>
  <c r="E167" i="16"/>
  <c r="F167" i="16" s="1"/>
  <c r="E168" i="16"/>
  <c r="F168" i="16" s="1"/>
  <c r="E169" i="16"/>
  <c r="F169" i="16" s="1"/>
  <c r="E170" i="16"/>
  <c r="F170" i="16" s="1"/>
  <c r="E171" i="16"/>
  <c r="F171" i="16" s="1"/>
  <c r="E172" i="16"/>
  <c r="F172" i="16" s="1"/>
  <c r="E173" i="16"/>
  <c r="F173" i="16" s="1"/>
  <c r="E174" i="16"/>
  <c r="F174" i="16" s="1"/>
  <c r="E175" i="16"/>
  <c r="F175" i="16" s="1"/>
  <c r="E176" i="16"/>
  <c r="F176" i="16" s="1"/>
  <c r="E177" i="16"/>
  <c r="F177" i="16" s="1"/>
  <c r="E178" i="16"/>
  <c r="F178" i="16" s="1"/>
  <c r="E179" i="16"/>
  <c r="F179" i="16" s="1"/>
  <c r="E180" i="16"/>
  <c r="F180" i="16" s="1"/>
  <c r="E181" i="16"/>
  <c r="F181" i="16" s="1"/>
  <c r="E182" i="16"/>
  <c r="F182" i="16" s="1"/>
  <c r="E183" i="16"/>
  <c r="F183" i="16" s="1"/>
  <c r="E184" i="16"/>
  <c r="F184" i="16" s="1"/>
  <c r="E185" i="16"/>
  <c r="F185" i="16" s="1"/>
  <c r="E186" i="16"/>
  <c r="F186" i="16" s="1"/>
  <c r="E187" i="16"/>
  <c r="F187" i="16" s="1"/>
  <c r="E188" i="16"/>
  <c r="F188" i="16" s="1"/>
  <c r="E189" i="16"/>
  <c r="F189" i="16" s="1"/>
  <c r="E190" i="16"/>
  <c r="F190" i="16" s="1"/>
  <c r="E191" i="16"/>
  <c r="F191" i="16" s="1"/>
  <c r="E192" i="16"/>
  <c r="F192" i="16" s="1"/>
  <c r="E193" i="16"/>
  <c r="F193" i="16" s="1"/>
  <c r="E194" i="16"/>
  <c r="F194" i="16" s="1"/>
  <c r="E195" i="16"/>
  <c r="F195" i="16" s="1"/>
  <c r="E196" i="16"/>
  <c r="F196" i="16" s="1"/>
  <c r="E197" i="16"/>
  <c r="F197" i="16" s="1"/>
  <c r="E198" i="16"/>
  <c r="F198" i="16" s="1"/>
  <c r="E199" i="16"/>
  <c r="F199" i="16" s="1"/>
  <c r="E200" i="16"/>
  <c r="F200" i="16" s="1"/>
  <c r="E201" i="16"/>
  <c r="F201" i="16" s="1"/>
  <c r="E202" i="16"/>
  <c r="F202" i="16" s="1"/>
  <c r="E203" i="16"/>
  <c r="F203" i="16" s="1"/>
  <c r="E204" i="16"/>
  <c r="F204" i="16" s="1"/>
  <c r="E205" i="16"/>
  <c r="F205" i="16" s="1"/>
  <c r="E206" i="16"/>
  <c r="F206" i="16" s="1"/>
  <c r="E207" i="16"/>
  <c r="F207" i="16" s="1"/>
  <c r="E208" i="16"/>
  <c r="F208" i="16" s="1"/>
  <c r="E209" i="16"/>
  <c r="F209" i="16" s="1"/>
  <c r="E210" i="16"/>
  <c r="F210" i="16" s="1"/>
  <c r="E211" i="16"/>
  <c r="F211" i="16" s="1"/>
  <c r="E212" i="16"/>
  <c r="F212" i="16" s="1"/>
  <c r="E213" i="16"/>
  <c r="F213" i="16" s="1"/>
  <c r="E214" i="16"/>
  <c r="F214" i="16" s="1"/>
  <c r="E215" i="16"/>
  <c r="F215" i="16" s="1"/>
  <c r="E216" i="16"/>
  <c r="F216" i="16" s="1"/>
  <c r="E217" i="16"/>
  <c r="F217" i="16" s="1"/>
  <c r="E218" i="16"/>
  <c r="F218" i="16" s="1"/>
  <c r="E219" i="16"/>
  <c r="F219" i="16" s="1"/>
  <c r="E220" i="16"/>
  <c r="F220" i="16" s="1"/>
  <c r="E221" i="16"/>
  <c r="F221" i="16" s="1"/>
  <c r="E222" i="16"/>
  <c r="F222" i="16" s="1"/>
  <c r="E223" i="16"/>
  <c r="F223" i="16" s="1"/>
  <c r="E224" i="16"/>
  <c r="F224" i="16" s="1"/>
  <c r="E225" i="16"/>
  <c r="F225" i="16" s="1"/>
  <c r="E226" i="16"/>
  <c r="F226" i="16" s="1"/>
  <c r="E227" i="16"/>
  <c r="F227" i="16" s="1"/>
  <c r="E228" i="16"/>
  <c r="F228" i="16" s="1"/>
  <c r="E229" i="16"/>
  <c r="F229" i="16" s="1"/>
  <c r="E230" i="16"/>
  <c r="F230" i="16" s="1"/>
  <c r="E231" i="16"/>
  <c r="F231" i="16" s="1"/>
  <c r="E232" i="16"/>
  <c r="F232" i="16" s="1"/>
  <c r="E233" i="16"/>
  <c r="F233" i="16" s="1"/>
  <c r="E234" i="16"/>
  <c r="F234" i="16" s="1"/>
  <c r="E235" i="16"/>
  <c r="F235" i="16" s="1"/>
  <c r="E236" i="16"/>
  <c r="F236" i="16" s="1"/>
  <c r="E237" i="16"/>
  <c r="F237" i="16" s="1"/>
  <c r="E238" i="16"/>
  <c r="F238" i="16" s="1"/>
  <c r="E239" i="16"/>
  <c r="F239" i="16" s="1"/>
  <c r="E240" i="16"/>
  <c r="F240" i="16" s="1"/>
  <c r="E241" i="16"/>
  <c r="F241" i="16" s="1"/>
  <c r="E242" i="16"/>
  <c r="F242" i="16" s="1"/>
  <c r="E243" i="16"/>
  <c r="F243" i="16" s="1"/>
  <c r="E244" i="16"/>
  <c r="F244" i="16" s="1"/>
  <c r="E245" i="16"/>
  <c r="F245" i="16" s="1"/>
  <c r="E246" i="16"/>
  <c r="F246" i="16" s="1"/>
  <c r="E247" i="16"/>
  <c r="F247" i="16" s="1"/>
  <c r="E248" i="16"/>
  <c r="F248" i="16" s="1"/>
  <c r="E249" i="16"/>
  <c r="F249" i="16" s="1"/>
  <c r="E250" i="16"/>
  <c r="F250" i="16" s="1"/>
  <c r="E251" i="16"/>
  <c r="F251" i="16" s="1"/>
  <c r="E252" i="16"/>
  <c r="F252" i="16" s="1"/>
  <c r="E253" i="16"/>
  <c r="F253" i="16" s="1"/>
  <c r="E254" i="16"/>
  <c r="F254" i="16" s="1"/>
  <c r="E255" i="16"/>
  <c r="F255" i="16" s="1"/>
  <c r="E256" i="16"/>
  <c r="F256" i="16" s="1"/>
  <c r="E257" i="16"/>
  <c r="F257" i="16" s="1"/>
  <c r="E258" i="16"/>
  <c r="F258" i="16" s="1"/>
  <c r="E259" i="16"/>
  <c r="F259" i="16" s="1"/>
  <c r="E260" i="16"/>
  <c r="F260" i="16" s="1"/>
  <c r="E261" i="16"/>
  <c r="F261" i="16" s="1"/>
  <c r="E262" i="16"/>
  <c r="F262" i="16" s="1"/>
  <c r="E263" i="16"/>
  <c r="F263" i="16" s="1"/>
  <c r="E264" i="16"/>
  <c r="F264" i="16" s="1"/>
  <c r="E265" i="16"/>
  <c r="F265" i="16" s="1"/>
  <c r="E266" i="16"/>
  <c r="F266" i="16" s="1"/>
  <c r="E267" i="16"/>
  <c r="F267" i="16" s="1"/>
  <c r="E268" i="16"/>
  <c r="F268" i="16" s="1"/>
  <c r="E269" i="16"/>
  <c r="F269" i="16" s="1"/>
  <c r="E270" i="16"/>
  <c r="F270" i="16" s="1"/>
  <c r="E271" i="16"/>
  <c r="F271" i="16" s="1"/>
  <c r="E272" i="16"/>
  <c r="F272" i="16" s="1"/>
  <c r="E273" i="16"/>
  <c r="F273" i="16" s="1"/>
  <c r="E274" i="16"/>
  <c r="F274" i="16" s="1"/>
  <c r="E275" i="16"/>
  <c r="F275" i="16" s="1"/>
  <c r="E276" i="16"/>
  <c r="F276" i="16" s="1"/>
  <c r="E277" i="16"/>
  <c r="F277" i="16" s="1"/>
  <c r="E278" i="16"/>
  <c r="F278" i="16" s="1"/>
  <c r="E279" i="16"/>
  <c r="F279" i="16" s="1"/>
  <c r="E280" i="16"/>
  <c r="F280" i="16" s="1"/>
  <c r="E281" i="16"/>
  <c r="F281" i="16" s="1"/>
  <c r="E282" i="16"/>
  <c r="F282" i="16" s="1"/>
  <c r="E283" i="16"/>
  <c r="F283" i="16" s="1"/>
  <c r="E284" i="16"/>
  <c r="F284" i="16" s="1"/>
  <c r="E285" i="16"/>
  <c r="F285" i="16" s="1"/>
  <c r="E286" i="16"/>
  <c r="F286" i="16" s="1"/>
  <c r="E287" i="16"/>
  <c r="F287" i="16" s="1"/>
  <c r="E288" i="16"/>
  <c r="F288" i="16" s="1"/>
  <c r="E289" i="16"/>
  <c r="F289" i="16" s="1"/>
  <c r="E290" i="16"/>
  <c r="F290" i="16" s="1"/>
  <c r="E291" i="16"/>
  <c r="F291" i="16" s="1"/>
  <c r="E292" i="16"/>
  <c r="F292" i="16" s="1"/>
  <c r="E293" i="16"/>
  <c r="F293" i="16" s="1"/>
  <c r="E294" i="16"/>
  <c r="F294" i="16" s="1"/>
  <c r="E295" i="16"/>
  <c r="F295" i="16" s="1"/>
  <c r="E296" i="16"/>
  <c r="F296" i="16" s="1"/>
  <c r="E297" i="16"/>
  <c r="F297" i="16" s="1"/>
  <c r="E298" i="16"/>
  <c r="F298" i="16" s="1"/>
  <c r="E299" i="16"/>
  <c r="F299" i="16" s="1"/>
  <c r="E300" i="16"/>
  <c r="F300" i="16" s="1"/>
  <c r="E301" i="16"/>
  <c r="F301" i="16" s="1"/>
  <c r="E302" i="16"/>
  <c r="F302" i="16" s="1"/>
  <c r="E303" i="16"/>
  <c r="F303" i="16" s="1"/>
  <c r="E304" i="16"/>
  <c r="F304" i="16" s="1"/>
  <c r="E305" i="16"/>
  <c r="F305" i="16" s="1"/>
  <c r="E306" i="16"/>
  <c r="F306" i="16" s="1"/>
  <c r="E307" i="16"/>
  <c r="F307" i="16" s="1"/>
  <c r="E308" i="16"/>
  <c r="F308" i="16" s="1"/>
  <c r="E309" i="16"/>
  <c r="F309" i="16" s="1"/>
  <c r="E310" i="16"/>
  <c r="F310" i="16" s="1"/>
  <c r="E311" i="16"/>
  <c r="F311" i="16" s="1"/>
  <c r="E312" i="16"/>
  <c r="F312" i="16" s="1"/>
  <c r="E313" i="16"/>
  <c r="F313" i="16" s="1"/>
  <c r="E314" i="16"/>
  <c r="F314" i="16" s="1"/>
  <c r="E315" i="16"/>
  <c r="F315" i="16" s="1"/>
  <c r="E316" i="16"/>
  <c r="F316" i="16" s="1"/>
  <c r="E317" i="16"/>
  <c r="F317" i="16" s="1"/>
  <c r="E318" i="16"/>
  <c r="F318" i="16" s="1"/>
  <c r="E319" i="16"/>
  <c r="F319" i="16" s="1"/>
  <c r="E320" i="16"/>
  <c r="F320" i="16" s="1"/>
  <c r="E321" i="16"/>
  <c r="F321" i="16" s="1"/>
  <c r="E322" i="16"/>
  <c r="F322" i="16" s="1"/>
  <c r="E323" i="16"/>
  <c r="F323" i="16" s="1"/>
  <c r="E324" i="16"/>
  <c r="F324" i="16" s="1"/>
  <c r="E325" i="16"/>
  <c r="F325" i="16" s="1"/>
  <c r="E326" i="16"/>
  <c r="F326" i="16" s="1"/>
  <c r="E327" i="16"/>
  <c r="F327" i="16" s="1"/>
  <c r="E328" i="16"/>
  <c r="F328" i="16" s="1"/>
  <c r="E329" i="16"/>
  <c r="F329" i="16" s="1"/>
  <c r="E330" i="16"/>
  <c r="F330" i="16" s="1"/>
  <c r="E331" i="16"/>
  <c r="F331" i="16" s="1"/>
  <c r="E332" i="16"/>
  <c r="F332" i="16" s="1"/>
  <c r="E333" i="16"/>
  <c r="F333" i="16" s="1"/>
  <c r="E334" i="16"/>
  <c r="F334" i="16" s="1"/>
  <c r="E335" i="16"/>
  <c r="F335" i="16" s="1"/>
  <c r="E336" i="16"/>
  <c r="F336" i="16" s="1"/>
  <c r="E337" i="16"/>
  <c r="F337" i="16" s="1"/>
  <c r="E338" i="16"/>
  <c r="F338" i="16" s="1"/>
  <c r="E339" i="16"/>
  <c r="F339" i="16" s="1"/>
  <c r="E340" i="16"/>
  <c r="F340" i="16" s="1"/>
  <c r="E341" i="16"/>
  <c r="F341" i="16" s="1"/>
  <c r="E342" i="16"/>
  <c r="F342" i="16" s="1"/>
  <c r="E343" i="16"/>
  <c r="F343" i="16" s="1"/>
  <c r="E344" i="16"/>
  <c r="F344" i="16" s="1"/>
  <c r="E345" i="16"/>
  <c r="F345" i="16" s="1"/>
  <c r="E346" i="16"/>
  <c r="F346" i="16" s="1"/>
  <c r="E347" i="16"/>
  <c r="F347" i="16" s="1"/>
  <c r="E348" i="16"/>
  <c r="F348" i="16" s="1"/>
  <c r="E349" i="16"/>
  <c r="F349" i="16" s="1"/>
  <c r="E350" i="16"/>
  <c r="F350" i="16" s="1"/>
  <c r="E351" i="16"/>
  <c r="F351" i="16" s="1"/>
  <c r="E352" i="16"/>
  <c r="F352" i="16" s="1"/>
  <c r="E353" i="16"/>
  <c r="F353" i="16" s="1"/>
  <c r="E354" i="16"/>
  <c r="F354" i="16" s="1"/>
  <c r="E355" i="16"/>
  <c r="F355" i="16" s="1"/>
  <c r="E356" i="16"/>
  <c r="F356" i="16" s="1"/>
  <c r="E357" i="16"/>
  <c r="F357" i="16" s="1"/>
  <c r="E358" i="16"/>
  <c r="F358" i="16" s="1"/>
  <c r="E359" i="16"/>
  <c r="F359" i="16" s="1"/>
  <c r="E360" i="16"/>
  <c r="F360" i="16" s="1"/>
  <c r="E361" i="16"/>
  <c r="F361" i="16" s="1"/>
  <c r="E362" i="16"/>
  <c r="F362" i="16" s="1"/>
  <c r="E363" i="16"/>
  <c r="F363" i="16" s="1"/>
  <c r="E364" i="16"/>
  <c r="F364" i="16" s="1"/>
  <c r="E365" i="16"/>
  <c r="F365" i="16" s="1"/>
  <c r="E366" i="16"/>
  <c r="F366" i="16" s="1"/>
  <c r="E367" i="16"/>
  <c r="F367" i="16" s="1"/>
  <c r="E368" i="16"/>
  <c r="F368" i="16" s="1"/>
  <c r="E369" i="16"/>
  <c r="F369" i="16" s="1"/>
  <c r="E370" i="16"/>
  <c r="F370" i="16" s="1"/>
  <c r="E371" i="16"/>
  <c r="F371" i="16" s="1"/>
  <c r="E372" i="16"/>
  <c r="F372" i="16" s="1"/>
  <c r="E373" i="16"/>
  <c r="F373" i="16" s="1"/>
  <c r="E374" i="16"/>
  <c r="F374" i="16" s="1"/>
  <c r="E375" i="16"/>
  <c r="F375" i="16" s="1"/>
  <c r="E376" i="16"/>
  <c r="F376" i="16" s="1"/>
  <c r="E377" i="16"/>
  <c r="F377" i="16" s="1"/>
  <c r="E378" i="16"/>
  <c r="F378" i="16" s="1"/>
  <c r="E379" i="16"/>
  <c r="F379" i="16" s="1"/>
  <c r="E380" i="16"/>
  <c r="F380" i="16" s="1"/>
  <c r="E381" i="16"/>
  <c r="F381" i="16" s="1"/>
  <c r="E382" i="16"/>
  <c r="F382" i="16" s="1"/>
  <c r="E383" i="16"/>
  <c r="F383" i="16" s="1"/>
  <c r="E384" i="16"/>
  <c r="F384" i="16" s="1"/>
  <c r="E385" i="16"/>
  <c r="F385" i="16" s="1"/>
  <c r="E386" i="16"/>
  <c r="F386" i="16" s="1"/>
  <c r="E387" i="16"/>
  <c r="F387" i="16" s="1"/>
  <c r="E388" i="16"/>
  <c r="F388" i="16" s="1"/>
  <c r="E389" i="16"/>
  <c r="F389" i="16" s="1"/>
  <c r="E390" i="16"/>
  <c r="F390" i="16" s="1"/>
  <c r="E391" i="16"/>
  <c r="F391" i="16" s="1"/>
  <c r="E392" i="16"/>
  <c r="F392" i="16" s="1"/>
  <c r="E393" i="16"/>
  <c r="F393" i="16" s="1"/>
  <c r="E394" i="16"/>
  <c r="F394" i="16" s="1"/>
  <c r="E395" i="16"/>
  <c r="F395" i="16" s="1"/>
  <c r="E396" i="16"/>
  <c r="F396" i="16" s="1"/>
  <c r="E397" i="16"/>
  <c r="F397" i="16" s="1"/>
  <c r="E398" i="16"/>
  <c r="F398" i="16" s="1"/>
  <c r="E399" i="16"/>
  <c r="F399" i="16" s="1"/>
  <c r="E400" i="16"/>
  <c r="F400" i="16" s="1"/>
  <c r="E401" i="16"/>
  <c r="F401" i="16" s="1"/>
  <c r="E402" i="16"/>
  <c r="F402" i="16" s="1"/>
  <c r="E403" i="16"/>
  <c r="F403" i="16" s="1"/>
  <c r="E404" i="16"/>
  <c r="F404" i="16" s="1"/>
  <c r="E405" i="16"/>
  <c r="F405" i="16" s="1"/>
  <c r="E406" i="16"/>
  <c r="F406" i="16" s="1"/>
  <c r="E407" i="16"/>
  <c r="F407" i="16" s="1"/>
  <c r="E408" i="16"/>
  <c r="F408" i="16" s="1"/>
  <c r="E409" i="16"/>
  <c r="F409" i="16" s="1"/>
  <c r="E410" i="16"/>
  <c r="F410" i="16" s="1"/>
  <c r="E411" i="16"/>
  <c r="F411" i="16" s="1"/>
  <c r="E412" i="16"/>
  <c r="F412" i="16" s="1"/>
  <c r="E413" i="16"/>
  <c r="F413" i="16" s="1"/>
  <c r="E414" i="16"/>
  <c r="F414" i="16" s="1"/>
  <c r="E415" i="16"/>
  <c r="F415" i="16" s="1"/>
  <c r="E416" i="16"/>
  <c r="F416" i="16" s="1"/>
  <c r="E417" i="16"/>
  <c r="F417" i="16" s="1"/>
  <c r="E418" i="16"/>
  <c r="F418" i="16" s="1"/>
  <c r="E419" i="16"/>
  <c r="F419" i="16" s="1"/>
  <c r="E420" i="16"/>
  <c r="F420" i="16" s="1"/>
  <c r="E421" i="16"/>
  <c r="F421" i="16" s="1"/>
  <c r="E422" i="16"/>
  <c r="F422" i="16" s="1"/>
  <c r="E423" i="16"/>
  <c r="F423" i="16" s="1"/>
  <c r="E424" i="16"/>
  <c r="F424" i="16" s="1"/>
  <c r="E425" i="16"/>
  <c r="F425" i="16" s="1"/>
  <c r="E426" i="16"/>
  <c r="F426" i="16" s="1"/>
  <c r="E427" i="16"/>
  <c r="F427" i="16" s="1"/>
  <c r="E428" i="16"/>
  <c r="F428" i="16" s="1"/>
  <c r="E429" i="16"/>
  <c r="F429" i="16" s="1"/>
  <c r="E430" i="16"/>
  <c r="F430" i="16" s="1"/>
  <c r="E431" i="16"/>
  <c r="F431" i="16" s="1"/>
  <c r="E432" i="16"/>
  <c r="F432" i="16" s="1"/>
  <c r="E433" i="16"/>
  <c r="F433" i="16" s="1"/>
  <c r="E434" i="16"/>
  <c r="F434" i="16" s="1"/>
  <c r="E435" i="16"/>
  <c r="F435" i="16" s="1"/>
  <c r="E436" i="16"/>
  <c r="F436" i="16" s="1"/>
  <c r="E437" i="16"/>
  <c r="F437" i="16" s="1"/>
  <c r="E438" i="16"/>
  <c r="F438" i="16" s="1"/>
  <c r="E439" i="16"/>
  <c r="F439" i="16" s="1"/>
  <c r="E440" i="16"/>
  <c r="F440" i="16" s="1"/>
  <c r="E441" i="16"/>
  <c r="F441" i="16" s="1"/>
  <c r="E442" i="16"/>
  <c r="F442" i="16" s="1"/>
  <c r="E443" i="16"/>
  <c r="F443" i="16" s="1"/>
  <c r="E444" i="16"/>
  <c r="F444" i="16" s="1"/>
  <c r="E445" i="16"/>
  <c r="F445" i="16" s="1"/>
  <c r="E446" i="16"/>
  <c r="F446" i="16" s="1"/>
  <c r="E447" i="16"/>
  <c r="F447" i="16" s="1"/>
  <c r="E448" i="16"/>
  <c r="F448" i="16" s="1"/>
  <c r="E449" i="16"/>
  <c r="F449" i="16" s="1"/>
  <c r="E450" i="16"/>
  <c r="F450" i="16" s="1"/>
  <c r="E451" i="16"/>
  <c r="F451" i="16" s="1"/>
  <c r="E452" i="16"/>
  <c r="F452" i="16" s="1"/>
  <c r="E453" i="16"/>
  <c r="F453" i="16" s="1"/>
  <c r="E454" i="16"/>
  <c r="F454" i="16" s="1"/>
  <c r="E455" i="16"/>
  <c r="F455" i="16" s="1"/>
  <c r="E456" i="16"/>
  <c r="F456" i="16" s="1"/>
  <c r="E457" i="16"/>
  <c r="F457" i="16" s="1"/>
  <c r="E458" i="16"/>
  <c r="F458" i="16" s="1"/>
  <c r="E459" i="16"/>
  <c r="F459" i="16" s="1"/>
  <c r="E460" i="16"/>
  <c r="F460" i="16" s="1"/>
  <c r="E461" i="16"/>
  <c r="F461" i="16" s="1"/>
  <c r="E462" i="16"/>
  <c r="F462" i="16" s="1"/>
  <c r="E463" i="16"/>
  <c r="F463" i="16" s="1"/>
  <c r="E464" i="16"/>
  <c r="F464" i="16" s="1"/>
  <c r="E465" i="16"/>
  <c r="F465" i="16" s="1"/>
  <c r="E466" i="16"/>
  <c r="F466" i="16" s="1"/>
  <c r="E467" i="16"/>
  <c r="F467" i="16" s="1"/>
  <c r="E468" i="16"/>
  <c r="F468" i="16" s="1"/>
  <c r="E469" i="16"/>
  <c r="F469" i="16" s="1"/>
  <c r="E470" i="16"/>
  <c r="F470" i="16" s="1"/>
  <c r="E471" i="16"/>
  <c r="F471" i="16" s="1"/>
  <c r="E472" i="16"/>
  <c r="F472" i="16" s="1"/>
  <c r="E473" i="16"/>
  <c r="F473" i="16" s="1"/>
  <c r="E474" i="16"/>
  <c r="F474" i="16" s="1"/>
  <c r="E475" i="16"/>
  <c r="F475" i="16" s="1"/>
  <c r="E476" i="16"/>
  <c r="F476" i="16" s="1"/>
  <c r="E477" i="16"/>
  <c r="F477" i="16" s="1"/>
  <c r="E478" i="16"/>
  <c r="F478" i="16" s="1"/>
  <c r="E479" i="16"/>
  <c r="F479" i="16" s="1"/>
  <c r="E480" i="16"/>
  <c r="F480" i="16" s="1"/>
  <c r="E481" i="16"/>
  <c r="F481" i="16" s="1"/>
  <c r="E482" i="16"/>
  <c r="F482" i="16" s="1"/>
  <c r="E483" i="16"/>
  <c r="F483" i="16" s="1"/>
  <c r="E484" i="16"/>
  <c r="F484" i="16" s="1"/>
  <c r="E485" i="16"/>
  <c r="F485" i="16" s="1"/>
  <c r="E486" i="16"/>
  <c r="F486" i="16" s="1"/>
  <c r="E487" i="16"/>
  <c r="F487" i="16" s="1"/>
  <c r="E488" i="16"/>
  <c r="F488" i="16" s="1"/>
  <c r="E489" i="16"/>
  <c r="F489" i="16" s="1"/>
  <c r="E490" i="16"/>
  <c r="F490" i="16" s="1"/>
  <c r="E491" i="16"/>
  <c r="F491" i="16" s="1"/>
  <c r="E492" i="16"/>
  <c r="F492" i="16" s="1"/>
  <c r="E493" i="16"/>
  <c r="F493" i="16" s="1"/>
  <c r="E494" i="16"/>
  <c r="F494" i="16" s="1"/>
  <c r="E495" i="16"/>
  <c r="F495" i="16" s="1"/>
  <c r="E496" i="16"/>
  <c r="F496" i="16" s="1"/>
  <c r="E497" i="16"/>
  <c r="F497" i="16" s="1"/>
  <c r="E498" i="16"/>
  <c r="F498" i="16" s="1"/>
  <c r="E499" i="16"/>
  <c r="F499" i="16" s="1"/>
  <c r="E500" i="16"/>
  <c r="F500" i="16" s="1"/>
  <c r="E501" i="16"/>
  <c r="F501" i="16" s="1"/>
  <c r="E502" i="16"/>
  <c r="F502" i="16" s="1"/>
  <c r="E503" i="16"/>
  <c r="F503" i="16" s="1"/>
  <c r="E504" i="16"/>
  <c r="F504" i="16" s="1"/>
  <c r="E505" i="16"/>
  <c r="F505" i="16" s="1"/>
  <c r="E506" i="16"/>
  <c r="F506" i="16" s="1"/>
  <c r="E507" i="16"/>
  <c r="F507" i="16" s="1"/>
  <c r="E508" i="16"/>
  <c r="F508" i="16" s="1"/>
  <c r="E509" i="16"/>
  <c r="F509" i="16" s="1"/>
  <c r="E510" i="16"/>
  <c r="F510" i="16" s="1"/>
  <c r="E511" i="16"/>
  <c r="F511" i="16" s="1"/>
  <c r="E512" i="16"/>
  <c r="F512" i="16" s="1"/>
  <c r="E513" i="16"/>
  <c r="F513" i="16" s="1"/>
  <c r="E514" i="16"/>
  <c r="F514" i="16" s="1"/>
  <c r="E515" i="16"/>
  <c r="F515" i="16" s="1"/>
  <c r="E516" i="16"/>
  <c r="F516" i="16" s="1"/>
  <c r="E517" i="16"/>
  <c r="F517" i="16" s="1"/>
  <c r="E518" i="16"/>
  <c r="F518" i="16" s="1"/>
  <c r="E519" i="16"/>
  <c r="F519" i="16" s="1"/>
  <c r="E520" i="16"/>
  <c r="F520" i="16" s="1"/>
  <c r="E521" i="16"/>
  <c r="F521" i="16" s="1"/>
  <c r="E522" i="16"/>
  <c r="F522" i="16" s="1"/>
  <c r="E523" i="16"/>
  <c r="F523" i="16" s="1"/>
  <c r="E524" i="16"/>
  <c r="F524" i="16" s="1"/>
  <c r="E525" i="16"/>
  <c r="F525" i="16" s="1"/>
  <c r="E526" i="16"/>
  <c r="F526" i="16" s="1"/>
  <c r="E527" i="16"/>
  <c r="F527" i="16" s="1"/>
  <c r="E528" i="16"/>
  <c r="F528" i="16" s="1"/>
  <c r="E529" i="16"/>
  <c r="F529" i="16" s="1"/>
  <c r="E530" i="16"/>
  <c r="F530" i="16" s="1"/>
  <c r="E531" i="16"/>
  <c r="F531" i="16" s="1"/>
  <c r="E532" i="16"/>
  <c r="F532" i="16" s="1"/>
  <c r="E533" i="16"/>
  <c r="F533" i="16" s="1"/>
  <c r="E534" i="16"/>
  <c r="F534" i="16" s="1"/>
  <c r="E535" i="16"/>
  <c r="F535" i="16" s="1"/>
  <c r="E536" i="16"/>
  <c r="F536" i="16" s="1"/>
  <c r="E537" i="16"/>
  <c r="F537" i="16" s="1"/>
  <c r="E538" i="16"/>
  <c r="F538" i="16" s="1"/>
  <c r="E539" i="16"/>
  <c r="F539" i="16" s="1"/>
  <c r="E540" i="16"/>
  <c r="F540" i="16" s="1"/>
  <c r="E541" i="16"/>
  <c r="F541" i="16" s="1"/>
  <c r="E542" i="16"/>
  <c r="F542" i="16" s="1"/>
  <c r="E543" i="16"/>
  <c r="F543" i="16" s="1"/>
  <c r="E544" i="16"/>
  <c r="F544" i="16" s="1"/>
  <c r="E545" i="16"/>
  <c r="F545" i="16" s="1"/>
  <c r="E546" i="16"/>
  <c r="F546" i="16" s="1"/>
  <c r="E547" i="16"/>
  <c r="F547" i="16" s="1"/>
  <c r="E548" i="16"/>
  <c r="F548" i="16" s="1"/>
  <c r="E549" i="16"/>
  <c r="F549" i="16" s="1"/>
  <c r="E550" i="16"/>
  <c r="F550" i="16" s="1"/>
  <c r="E551" i="16"/>
  <c r="F551" i="16" s="1"/>
  <c r="E552" i="16"/>
  <c r="F552" i="16" s="1"/>
  <c r="E553" i="16"/>
  <c r="F553" i="16" s="1"/>
  <c r="E554" i="16"/>
  <c r="F554" i="16" s="1"/>
  <c r="E555" i="16"/>
  <c r="F555" i="16" s="1"/>
  <c r="E556" i="16"/>
  <c r="F556" i="16" s="1"/>
  <c r="E557" i="16"/>
  <c r="F557" i="16" s="1"/>
  <c r="E558" i="16"/>
  <c r="F558" i="16" s="1"/>
  <c r="E559" i="16"/>
  <c r="F559" i="16" s="1"/>
  <c r="E560" i="16"/>
  <c r="F560" i="16" s="1"/>
  <c r="E561" i="16"/>
  <c r="F561" i="16" s="1"/>
  <c r="E562" i="16"/>
  <c r="F562" i="16" s="1"/>
  <c r="E563" i="16"/>
  <c r="F563" i="16" s="1"/>
  <c r="E564" i="16"/>
  <c r="F564" i="16" s="1"/>
  <c r="E565" i="16"/>
  <c r="F565" i="16" s="1"/>
  <c r="E566" i="16"/>
  <c r="F566" i="16" s="1"/>
  <c r="E567" i="16"/>
  <c r="F567" i="16" s="1"/>
  <c r="E568" i="16"/>
  <c r="F568" i="16" s="1"/>
  <c r="E569" i="16"/>
  <c r="F569" i="16" s="1"/>
  <c r="E570" i="16"/>
  <c r="F570" i="16" s="1"/>
  <c r="E571" i="16"/>
  <c r="F571" i="16" s="1"/>
  <c r="E572" i="16"/>
  <c r="F572" i="16" s="1"/>
  <c r="E573" i="16"/>
  <c r="F573" i="16" s="1"/>
  <c r="E574" i="16"/>
  <c r="F574" i="16" s="1"/>
  <c r="E575" i="16"/>
  <c r="F575" i="16" s="1"/>
  <c r="E576" i="16"/>
  <c r="F576" i="16" s="1"/>
  <c r="E577" i="16"/>
  <c r="F577" i="16" s="1"/>
  <c r="E578" i="16"/>
  <c r="F578" i="16" s="1"/>
  <c r="E579" i="16"/>
  <c r="F579" i="16" s="1"/>
  <c r="E580" i="16"/>
  <c r="F580" i="16" s="1"/>
  <c r="E581" i="16"/>
  <c r="F581" i="16" s="1"/>
  <c r="E582" i="16"/>
  <c r="F582" i="16" s="1"/>
  <c r="E583" i="16"/>
  <c r="F583" i="16" s="1"/>
  <c r="E584" i="16"/>
  <c r="F584" i="16" s="1"/>
  <c r="E585" i="16"/>
  <c r="F585" i="16" s="1"/>
  <c r="E586" i="16"/>
  <c r="F586" i="16" s="1"/>
  <c r="E587" i="16"/>
  <c r="F587" i="16" s="1"/>
  <c r="E588" i="16"/>
  <c r="F588" i="16" s="1"/>
  <c r="E589" i="16"/>
  <c r="F589" i="16" s="1"/>
  <c r="E590" i="16"/>
  <c r="F590" i="16" s="1"/>
  <c r="E591" i="16"/>
  <c r="F591" i="16" s="1"/>
  <c r="E592" i="16"/>
  <c r="F592" i="16" s="1"/>
  <c r="E593" i="16"/>
  <c r="F593" i="16" s="1"/>
  <c r="E2" i="16"/>
  <c r="F2" i="16" s="1"/>
  <c r="C977" i="1"/>
  <c r="D977" i="1"/>
  <c r="E977" i="1"/>
  <c r="S977" i="1"/>
  <c r="C991" i="1"/>
  <c r="D991" i="1"/>
  <c r="E991" i="1"/>
  <c r="S991" i="1"/>
  <c r="C989" i="1"/>
  <c r="D989" i="1"/>
  <c r="E989" i="1"/>
  <c r="S989" i="1"/>
  <c r="C985" i="1"/>
  <c r="D985" i="1"/>
  <c r="E985" i="1"/>
  <c r="S985" i="1"/>
  <c r="C987" i="1"/>
  <c r="D987" i="1"/>
  <c r="E987" i="1"/>
  <c r="S987" i="1"/>
  <c r="C990" i="1"/>
  <c r="D990" i="1"/>
  <c r="E990" i="1"/>
  <c r="S990" i="1"/>
  <c r="C986" i="1"/>
  <c r="D986" i="1"/>
  <c r="E986" i="1"/>
  <c r="S986" i="1"/>
  <c r="C952" i="1"/>
  <c r="D952" i="1"/>
  <c r="E952" i="1"/>
  <c r="C984" i="1"/>
  <c r="D984" i="1"/>
  <c r="E984" i="1"/>
  <c r="F180" i="15"/>
  <c r="F212" i="15"/>
  <c r="F155" i="15"/>
  <c r="F13" i="15"/>
  <c r="F39" i="15"/>
  <c r="F280" i="15"/>
  <c r="F281" i="15"/>
  <c r="F403" i="15"/>
  <c r="F279" i="15"/>
  <c r="F400" i="15"/>
  <c r="F402" i="15"/>
  <c r="F401" i="15"/>
  <c r="F278" i="15"/>
  <c r="F277" i="15"/>
  <c r="F399" i="15"/>
  <c r="F397" i="15"/>
  <c r="F276" i="15"/>
  <c r="F398" i="15"/>
  <c r="F275" i="15"/>
  <c r="F272" i="15"/>
  <c r="F396" i="15"/>
  <c r="F273" i="15"/>
  <c r="F274" i="15"/>
  <c r="F394" i="15"/>
  <c r="F395" i="15"/>
  <c r="F271" i="15"/>
  <c r="F267" i="15"/>
  <c r="F268" i="15"/>
  <c r="F269" i="15"/>
  <c r="F270" i="15"/>
  <c r="F107" i="15"/>
  <c r="F393" i="15"/>
  <c r="F391" i="15"/>
  <c r="F263" i="15"/>
  <c r="F266" i="15"/>
  <c r="F392" i="15"/>
  <c r="F264" i="15"/>
  <c r="F106" i="15"/>
  <c r="F265" i="15"/>
  <c r="F389" i="15"/>
  <c r="F260" i="15"/>
  <c r="F390" i="15"/>
  <c r="F261" i="15"/>
  <c r="F262" i="15"/>
  <c r="F387" i="15"/>
  <c r="F255" i="15"/>
  <c r="F388" i="15"/>
  <c r="F258" i="15"/>
  <c r="F256" i="15"/>
  <c r="F257" i="15"/>
  <c r="F259" i="15"/>
  <c r="F386" i="15"/>
  <c r="F105" i="15"/>
  <c r="F385" i="15"/>
  <c r="F382" i="15"/>
  <c r="F383" i="15"/>
  <c r="F254" i="15"/>
  <c r="F384" i="15"/>
  <c r="F251" i="15"/>
  <c r="F381" i="15"/>
  <c r="F8" i="15"/>
  <c r="F252" i="15"/>
  <c r="F380" i="15"/>
  <c r="F253" i="15"/>
  <c r="F379" i="15"/>
  <c r="F250" i="15"/>
  <c r="F38" i="15"/>
  <c r="F378" i="15"/>
  <c r="F249" i="15"/>
  <c r="F374" i="15"/>
  <c r="F375" i="15"/>
  <c r="F376" i="15"/>
  <c r="F104" i="15"/>
  <c r="F248" i="15"/>
  <c r="F377" i="15"/>
  <c r="F7" i="15"/>
  <c r="F368" i="15"/>
  <c r="F369" i="15"/>
  <c r="F372" i="15"/>
  <c r="F245" i="15"/>
  <c r="F246" i="15"/>
  <c r="F103" i="15"/>
  <c r="F247" i="15"/>
  <c r="F373" i="15"/>
  <c r="F370" i="15"/>
  <c r="F371" i="15"/>
  <c r="F102" i="15"/>
  <c r="F37" i="15"/>
  <c r="F241" i="15"/>
  <c r="F365" i="15"/>
  <c r="F242" i="15"/>
  <c r="F237" i="15"/>
  <c r="F238" i="15"/>
  <c r="F243" i="15"/>
  <c r="F244" i="15"/>
  <c r="F239" i="15"/>
  <c r="F366" i="15"/>
  <c r="F367" i="15"/>
  <c r="F240" i="15"/>
  <c r="F150" i="15"/>
  <c r="F362" i="15"/>
  <c r="F363" i="15"/>
  <c r="F101" i="15"/>
  <c r="F235" i="15"/>
  <c r="F236" i="15"/>
  <c r="F364" i="15"/>
  <c r="F233" i="15"/>
  <c r="F36" i="15"/>
  <c r="F99" i="15"/>
  <c r="F100" i="15"/>
  <c r="F234" i="15"/>
  <c r="F225" i="15"/>
  <c r="F356" i="15"/>
  <c r="F357" i="15"/>
  <c r="F358" i="15"/>
  <c r="F232" i="15"/>
  <c r="F361" i="15"/>
  <c r="F226" i="15"/>
  <c r="F359" i="15"/>
  <c r="F231" i="15"/>
  <c r="F360" i="15"/>
  <c r="F227" i="15"/>
  <c r="F228" i="15"/>
  <c r="F229" i="15"/>
  <c r="F230" i="15"/>
  <c r="F98" i="15"/>
  <c r="F224" i="15"/>
  <c r="F301" i="15"/>
  <c r="F97" i="15"/>
  <c r="F354" i="15"/>
  <c r="F222" i="15"/>
  <c r="F223" i="15"/>
  <c r="F355" i="15"/>
  <c r="F221" i="15"/>
  <c r="F349" i="15"/>
  <c r="F35" i="15"/>
  <c r="F350" i="15"/>
  <c r="F351" i="15"/>
  <c r="F96" i="15"/>
  <c r="F353" i="15"/>
  <c r="F219" i="15"/>
  <c r="F352" i="15"/>
  <c r="F220" i="15"/>
  <c r="F347" i="15"/>
  <c r="F215" i="15"/>
  <c r="F129" i="15"/>
  <c r="F34" i="15"/>
  <c r="F348" i="15"/>
  <c r="F217" i="15"/>
  <c r="F218" i="15"/>
  <c r="F216" i="15"/>
  <c r="F344" i="15"/>
  <c r="F95" i="15"/>
  <c r="F345" i="15"/>
  <c r="F346" i="15"/>
  <c r="F94" i="15"/>
  <c r="F211" i="15"/>
  <c r="F213" i="15"/>
  <c r="F214" i="15"/>
  <c r="F92" i="15"/>
  <c r="F210" i="15"/>
  <c r="F207" i="15"/>
  <c r="F341" i="15"/>
  <c r="F93" i="15"/>
  <c r="F339" i="15"/>
  <c r="F342" i="15"/>
  <c r="F343" i="15"/>
  <c r="F208" i="15"/>
  <c r="F91" i="15"/>
  <c r="F209" i="15"/>
  <c r="F340" i="15"/>
  <c r="F203" i="15"/>
  <c r="F337" i="15"/>
  <c r="F205" i="15"/>
  <c r="F204" i="15"/>
  <c r="F338" i="15"/>
  <c r="F89" i="15"/>
  <c r="F90" i="15"/>
  <c r="F206" i="15"/>
  <c r="F45" i="15"/>
  <c r="F198" i="15"/>
  <c r="F334" i="15"/>
  <c r="F196" i="15"/>
  <c r="F291" i="15"/>
  <c r="F194" i="15"/>
  <c r="F200" i="15"/>
  <c r="F195" i="15"/>
  <c r="F335" i="15"/>
  <c r="F197" i="15"/>
  <c r="F336" i="15"/>
  <c r="F161" i="15"/>
  <c r="F201" i="15"/>
  <c r="F199" i="15"/>
  <c r="F333" i="15"/>
  <c r="F202" i="15"/>
  <c r="F324" i="15"/>
  <c r="F332" i="15"/>
  <c r="F325" i="15"/>
  <c r="F326" i="15"/>
  <c r="F327" i="15"/>
  <c r="F184" i="15"/>
  <c r="F188" i="15"/>
  <c r="F189" i="15"/>
  <c r="F190" i="15"/>
  <c r="F85" i="15"/>
  <c r="F191" i="15"/>
  <c r="F328" i="15"/>
  <c r="F192" i="15"/>
  <c r="F193" i="15"/>
  <c r="F185" i="15"/>
  <c r="F86" i="15"/>
  <c r="F329" i="15"/>
  <c r="F186" i="15"/>
  <c r="F88" i="15"/>
  <c r="F330" i="15"/>
  <c r="F187" i="15"/>
  <c r="F33" i="15"/>
  <c r="F331" i="15"/>
  <c r="F87" i="15"/>
  <c r="F176" i="15"/>
  <c r="F319" i="15"/>
  <c r="F315" i="15"/>
  <c r="F79" i="15"/>
  <c r="F320" i="15"/>
  <c r="F181" i="15"/>
  <c r="F29" i="15"/>
  <c r="F31" i="15"/>
  <c r="F321" i="15"/>
  <c r="F80" i="15"/>
  <c r="F322" i="15"/>
  <c r="F177" i="15"/>
  <c r="F81" i="15"/>
  <c r="F323" i="15"/>
  <c r="F182" i="15"/>
  <c r="F32" i="15"/>
  <c r="F178" i="15"/>
  <c r="F183" i="15"/>
  <c r="F84" i="15"/>
  <c r="F83" i="15"/>
  <c r="F82" i="15"/>
  <c r="F30" i="15"/>
  <c r="F179" i="15"/>
  <c r="F316" i="15"/>
  <c r="F74" i="15"/>
  <c r="F169" i="15"/>
  <c r="F164" i="15"/>
  <c r="F307" i="15"/>
  <c r="F165" i="15"/>
  <c r="F170" i="15"/>
  <c r="F318" i="15"/>
  <c r="F308" i="15"/>
  <c r="F75" i="15"/>
  <c r="F174" i="15"/>
  <c r="F77" i="15"/>
  <c r="F76" i="15"/>
  <c r="F175" i="15"/>
  <c r="F78" i="15"/>
  <c r="F309" i="15"/>
  <c r="F317" i="15"/>
  <c r="F28" i="15"/>
  <c r="F310" i="15"/>
  <c r="F166" i="15"/>
  <c r="F311" i="15"/>
  <c r="F312" i="15"/>
  <c r="F172" i="15"/>
  <c r="F167" i="15"/>
  <c r="F171" i="15"/>
  <c r="F173" i="15"/>
  <c r="F313" i="15"/>
  <c r="F314" i="15"/>
  <c r="F168" i="15"/>
  <c r="F67" i="15"/>
  <c r="F162" i="15"/>
  <c r="F297" i="15"/>
  <c r="F145" i="15"/>
  <c r="F298" i="15"/>
  <c r="F146" i="15"/>
  <c r="F65" i="15"/>
  <c r="F156" i="15"/>
  <c r="F68" i="15"/>
  <c r="F157" i="15"/>
  <c r="F147" i="15"/>
  <c r="F64" i="15"/>
  <c r="F24" i="15"/>
  <c r="F163" i="15"/>
  <c r="F158" i="15"/>
  <c r="F72" i="15"/>
  <c r="F304" i="15"/>
  <c r="F66" i="15"/>
  <c r="F302" i="15"/>
  <c r="F299" i="15"/>
  <c r="F305" i="15"/>
  <c r="F306" i="15"/>
  <c r="F303" i="15"/>
  <c r="F148" i="15"/>
  <c r="F69" i="15"/>
  <c r="F151" i="15"/>
  <c r="F159" i="15"/>
  <c r="F58" i="15"/>
  <c r="F71" i="15"/>
  <c r="F152" i="15"/>
  <c r="F70" i="15"/>
  <c r="F300" i="15"/>
  <c r="F25" i="15"/>
  <c r="F153" i="15"/>
  <c r="F27" i="15"/>
  <c r="F26" i="15"/>
  <c r="F149" i="15"/>
  <c r="F160" i="15"/>
  <c r="F154" i="15"/>
  <c r="F73" i="15"/>
  <c r="F139" i="15"/>
  <c r="F130" i="15"/>
  <c r="F46" i="15"/>
  <c r="F47" i="15"/>
  <c r="F140" i="15"/>
  <c r="F296" i="15"/>
  <c r="F282" i="15"/>
  <c r="F283" i="15"/>
  <c r="F131" i="15"/>
  <c r="F284" i="15"/>
  <c r="F141" i="15"/>
  <c r="F108" i="15"/>
  <c r="F63" i="15"/>
  <c r="F292" i="15"/>
  <c r="F142" i="15"/>
  <c r="F285" i="15"/>
  <c r="F143" i="15"/>
  <c r="F48" i="15"/>
  <c r="F55" i="15"/>
  <c r="F23" i="15"/>
  <c r="F59" i="15"/>
  <c r="F2" i="15"/>
  <c r="F293" i="15"/>
  <c r="F294" i="15"/>
  <c r="F56" i="15"/>
  <c r="F22" i="15"/>
  <c r="F286" i="15"/>
  <c r="F20" i="15"/>
  <c r="F132" i="15"/>
  <c r="F57" i="15"/>
  <c r="F287" i="15"/>
  <c r="F133" i="15"/>
  <c r="F134" i="15"/>
  <c r="F60" i="15"/>
  <c r="F288" i="15"/>
  <c r="F295" i="15"/>
  <c r="F49" i="15"/>
  <c r="F289" i="15"/>
  <c r="F50" i="15"/>
  <c r="F12" i="15"/>
  <c r="F62" i="15"/>
  <c r="F135" i="15"/>
  <c r="F290" i="15"/>
  <c r="F5" i="15"/>
  <c r="F61" i="15"/>
  <c r="F10" i="15"/>
  <c r="F21" i="15"/>
  <c r="F136" i="15"/>
  <c r="F51" i="15"/>
  <c r="F11" i="15"/>
  <c r="F52" i="15"/>
  <c r="F53" i="15"/>
  <c r="F3" i="15"/>
  <c r="F137" i="15"/>
  <c r="F138" i="15"/>
  <c r="F6" i="15"/>
  <c r="F54" i="15"/>
  <c r="F14" i="15"/>
  <c r="F144" i="15"/>
  <c r="F109" i="15"/>
  <c r="F110" i="15"/>
  <c r="F9" i="15"/>
  <c r="F15" i="15"/>
  <c r="F16" i="15"/>
  <c r="F40" i="15"/>
  <c r="F17" i="15"/>
  <c r="F111" i="15"/>
  <c r="F112" i="15"/>
  <c r="F113" i="15"/>
  <c r="F114" i="15"/>
  <c r="F115" i="15"/>
  <c r="F116" i="15"/>
  <c r="F117" i="15"/>
  <c r="F41" i="15"/>
  <c r="F18" i="15"/>
  <c r="F118" i="15"/>
  <c r="F119" i="15"/>
  <c r="F42" i="15"/>
  <c r="F43" i="15"/>
  <c r="F120" i="15"/>
  <c r="F121" i="15"/>
  <c r="F122" i="15"/>
  <c r="F123" i="15"/>
  <c r="F124" i="15"/>
  <c r="F44" i="15"/>
  <c r="F19" i="15"/>
  <c r="F125" i="15"/>
  <c r="F126" i="15"/>
  <c r="F4" i="15"/>
  <c r="F127" i="15"/>
  <c r="F128" i="15"/>
  <c r="C988" i="1"/>
  <c r="D988" i="1"/>
  <c r="E988" i="1"/>
  <c r="S988" i="1"/>
  <c r="S952" i="1"/>
  <c r="S984" i="1"/>
  <c r="C983" i="1"/>
  <c r="D983" i="1"/>
  <c r="E983" i="1"/>
  <c r="S983" i="1"/>
  <c r="C979" i="1"/>
  <c r="D979" i="1"/>
  <c r="E979" i="1"/>
  <c r="S979" i="1"/>
  <c r="C982" i="1"/>
  <c r="D982" i="1"/>
  <c r="E982" i="1"/>
  <c r="S982" i="1"/>
  <c r="C978" i="1"/>
  <c r="D978" i="1"/>
  <c r="E978" i="1"/>
  <c r="S978" i="1"/>
  <c r="C948" i="1"/>
  <c r="D948" i="1"/>
  <c r="E948" i="1"/>
  <c r="S948" i="1"/>
  <c r="C981" i="1"/>
  <c r="D981" i="1"/>
  <c r="E981" i="1"/>
  <c r="S981" i="1"/>
  <c r="C976" i="1"/>
  <c r="D976" i="1"/>
  <c r="E976" i="1"/>
  <c r="S976" i="1"/>
  <c r="C980" i="1"/>
  <c r="D980" i="1"/>
  <c r="E980" i="1"/>
  <c r="S980" i="1"/>
  <c r="C975" i="1"/>
  <c r="D975" i="1"/>
  <c r="E975" i="1"/>
  <c r="S975" i="1"/>
  <c r="C971" i="1"/>
  <c r="D971" i="1"/>
  <c r="E971" i="1"/>
  <c r="S971" i="1"/>
  <c r="C966" i="1"/>
  <c r="D966" i="1"/>
  <c r="E966" i="1"/>
  <c r="S966" i="1"/>
  <c r="C974" i="1"/>
  <c r="D974" i="1"/>
  <c r="E974" i="1"/>
  <c r="S974" i="1"/>
  <c r="C957" i="1"/>
  <c r="D957" i="1"/>
  <c r="E957" i="1"/>
  <c r="S957" i="1"/>
  <c r="C953" i="1"/>
  <c r="D953" i="1"/>
  <c r="E953" i="1"/>
  <c r="S953" i="1"/>
  <c r="C954" i="1"/>
  <c r="D954" i="1"/>
  <c r="E954" i="1"/>
  <c r="S954" i="1"/>
  <c r="C947" i="1"/>
  <c r="D947" i="1"/>
  <c r="E947" i="1"/>
  <c r="S947" i="1"/>
  <c r="C909" i="1"/>
  <c r="D909" i="1"/>
  <c r="E909" i="1"/>
  <c r="S909" i="1"/>
  <c r="C970" i="1"/>
  <c r="D970" i="1"/>
  <c r="E970" i="1"/>
  <c r="S970" i="1"/>
  <c r="C964" i="1"/>
  <c r="D964" i="1"/>
  <c r="E964" i="1"/>
  <c r="S964" i="1"/>
  <c r="C951" i="1"/>
  <c r="D951" i="1"/>
  <c r="E951" i="1"/>
  <c r="S951" i="1"/>
  <c r="C973" i="1"/>
  <c r="D973" i="1"/>
  <c r="E973" i="1"/>
  <c r="S973" i="1"/>
  <c r="C967" i="1"/>
  <c r="D967" i="1"/>
  <c r="E967" i="1"/>
  <c r="S967" i="1"/>
  <c r="C969" i="1"/>
  <c r="D969" i="1"/>
  <c r="E969" i="1"/>
  <c r="S969" i="1"/>
  <c r="C963" i="1"/>
  <c r="D963" i="1"/>
  <c r="E963" i="1"/>
  <c r="S963" i="1"/>
  <c r="C972" i="1"/>
  <c r="D972" i="1"/>
  <c r="E972" i="1"/>
  <c r="S972" i="1"/>
  <c r="C968" i="1"/>
  <c r="D968" i="1"/>
  <c r="E968" i="1"/>
  <c r="S968" i="1"/>
  <c r="C962" i="1"/>
  <c r="D962" i="1"/>
  <c r="E962" i="1"/>
  <c r="S962" i="1"/>
  <c r="C961" i="1"/>
  <c r="D961" i="1"/>
  <c r="E961" i="1"/>
  <c r="S961" i="1"/>
  <c r="C965" i="1"/>
  <c r="D965" i="1"/>
  <c r="E965" i="1"/>
  <c r="S965" i="1"/>
  <c r="C960" i="1"/>
  <c r="D960" i="1"/>
  <c r="E960" i="1"/>
  <c r="S960" i="1"/>
  <c r="C959" i="1"/>
  <c r="D959" i="1"/>
  <c r="E959" i="1"/>
  <c r="S959" i="1"/>
  <c r="C956" i="1"/>
  <c r="D956" i="1"/>
  <c r="E956" i="1"/>
  <c r="S956" i="1"/>
  <c r="C958" i="1"/>
  <c r="D958" i="1"/>
  <c r="E958" i="1"/>
  <c r="S958" i="1"/>
  <c r="C950" i="1"/>
  <c r="D950" i="1"/>
  <c r="E950" i="1"/>
  <c r="S950" i="1"/>
  <c r="C955" i="1"/>
  <c r="D955" i="1"/>
  <c r="E955" i="1"/>
  <c r="S955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92" i="1" l="1"/>
  <c r="B991" i="1"/>
  <c r="B977" i="1"/>
  <c r="B989" i="1"/>
  <c r="B987" i="1"/>
  <c r="B985" i="1"/>
  <c r="B990" i="1"/>
  <c r="B988" i="1"/>
  <c r="B986" i="1"/>
  <c r="B952" i="1"/>
  <c r="B983" i="1"/>
  <c r="B979" i="1"/>
  <c r="B978" i="1"/>
  <c r="B982" i="1"/>
  <c r="B948" i="1"/>
  <c r="B981" i="1"/>
  <c r="B975" i="1"/>
  <c r="B976" i="1"/>
  <c r="B971" i="1"/>
  <c r="B980" i="1"/>
  <c r="B965" i="1"/>
  <c r="B969" i="1"/>
  <c r="B959" i="1"/>
  <c r="B962" i="1"/>
  <c r="B973" i="1"/>
  <c r="B964" i="1"/>
  <c r="B966" i="1"/>
  <c r="B968" i="1"/>
  <c r="B963" i="1"/>
  <c r="B967" i="1"/>
  <c r="B951" i="1"/>
  <c r="B974" i="1"/>
  <c r="B970" i="1"/>
  <c r="B972" i="1"/>
  <c r="B956" i="1"/>
  <c r="B950" i="1"/>
  <c r="B961" i="1"/>
  <c r="B960" i="1"/>
  <c r="B958" i="1"/>
  <c r="B947" i="1"/>
  <c r="B957" i="1"/>
  <c r="B953" i="1"/>
  <c r="B909" i="1"/>
  <c r="B954" i="1"/>
  <c r="B944" i="1"/>
  <c r="B949" i="1"/>
  <c r="B945" i="1"/>
  <c r="B955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9" i="12" l="1"/>
  <c r="E10" i="12"/>
  <c r="D3" i="12"/>
  <c r="D7" i="12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AB997" i="1" s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B984" i="1"/>
  <c r="AB994" i="1" l="1"/>
  <c r="AB996" i="1"/>
  <c r="AB999" i="1"/>
  <c r="AB1001" i="1"/>
  <c r="AB998" i="1"/>
  <c r="AB995" i="1"/>
  <c r="AB1000" i="1"/>
  <c r="AB993" i="1"/>
  <c r="AB992" i="1"/>
  <c r="AB977" i="1"/>
  <c r="AB991" i="1"/>
  <c r="AB989" i="1"/>
  <c r="AB985" i="1"/>
  <c r="AB987" i="1"/>
  <c r="AB192" i="1"/>
  <c r="AB770" i="1"/>
  <c r="AB54" i="1"/>
  <c r="AB201" i="1"/>
  <c r="AB986" i="1"/>
  <c r="AB990" i="1"/>
  <c r="AB331" i="1"/>
  <c r="AB937" i="1"/>
  <c r="AB853" i="1"/>
  <c r="AB156" i="1"/>
  <c r="AB623" i="1"/>
  <c r="AB796" i="1"/>
  <c r="AB474" i="1"/>
  <c r="AB692" i="1"/>
  <c r="AB892" i="1"/>
  <c r="AB398" i="1"/>
  <c r="AB498" i="1"/>
  <c r="AB829" i="1"/>
  <c r="AB74" i="1"/>
  <c r="AB636" i="1"/>
  <c r="AB815" i="1"/>
  <c r="AB408" i="1"/>
  <c r="AB634" i="1"/>
  <c r="AB835" i="1"/>
  <c r="AB812" i="1"/>
  <c r="AB891" i="1"/>
  <c r="AB529" i="1"/>
  <c r="AB659" i="1"/>
  <c r="AB952" i="1"/>
  <c r="AB729" i="1"/>
  <c r="AB701" i="1"/>
  <c r="AB467" i="1"/>
  <c r="AB116" i="1"/>
  <c r="AB281" i="1"/>
  <c r="AB344" i="1"/>
  <c r="AB846" i="1"/>
  <c r="AB940" i="1"/>
  <c r="AB490" i="1"/>
  <c r="AB273" i="1"/>
  <c r="AB794" i="1"/>
  <c r="AB517" i="1"/>
  <c r="AB883" i="1"/>
  <c r="AB263" i="1"/>
  <c r="AB510" i="1"/>
  <c r="AB216" i="1"/>
  <c r="AB49" i="1"/>
  <c r="AB988" i="1"/>
  <c r="AB48" i="1"/>
  <c r="AB66" i="1"/>
  <c r="AB527" i="1"/>
  <c r="AB878" i="1"/>
  <c r="AB247" i="1"/>
  <c r="AB367" i="1"/>
  <c r="AB855" i="1"/>
  <c r="AB830" i="1"/>
  <c r="AB138" i="1"/>
  <c r="AB321" i="1"/>
  <c r="AB850" i="1"/>
  <c r="AB866" i="1"/>
  <c r="AB943" i="1"/>
  <c r="AB179" i="1"/>
  <c r="AB249" i="1"/>
  <c r="AB641" i="1"/>
  <c r="AB917" i="1"/>
  <c r="AB907" i="1"/>
  <c r="AB210" i="1"/>
  <c r="AB393" i="1"/>
  <c r="AB565" i="1"/>
  <c r="AB81" i="1"/>
  <c r="AB862" i="1"/>
  <c r="AB256" i="1"/>
  <c r="AB654" i="1"/>
  <c r="AB324" i="1"/>
  <c r="AB422" i="1"/>
  <c r="AB233" i="1"/>
  <c r="AB506" i="1"/>
  <c r="AB532" i="1"/>
  <c r="AB269" i="1"/>
  <c r="AB970" i="1"/>
  <c r="AB343" i="1"/>
  <c r="AB400" i="1"/>
  <c r="AB465" i="1"/>
  <c r="AB860" i="1"/>
  <c r="AB700" i="1"/>
  <c r="AB516" i="1"/>
  <c r="AB228" i="1"/>
  <c r="AB950" i="1"/>
  <c r="AB413" i="1"/>
  <c r="AB341" i="1"/>
  <c r="AB495" i="1"/>
  <c r="AB807" i="1"/>
  <c r="AB282" i="1"/>
  <c r="AB350" i="1"/>
  <c r="AB775" i="1"/>
  <c r="AB683" i="1"/>
  <c r="AB370" i="1"/>
  <c r="AB927" i="1"/>
  <c r="AB534" i="1"/>
  <c r="AB519" i="1"/>
  <c r="AB843" i="1"/>
  <c r="AB334" i="1"/>
  <c r="AB808" i="1"/>
  <c r="AB294" i="1"/>
  <c r="AB625" i="1"/>
  <c r="AB445" i="1"/>
  <c r="AB395" i="1"/>
  <c r="AB707" i="1"/>
  <c r="AB933" i="1"/>
  <c r="AB858" i="1"/>
  <c r="AB180" i="1"/>
  <c r="AB642" i="1"/>
  <c r="AB473" i="1"/>
  <c r="AB451" i="1"/>
  <c r="AB875" i="1"/>
  <c r="AB4" i="1"/>
  <c r="AB148" i="1"/>
  <c r="AB108" i="1"/>
  <c r="AB277" i="1"/>
  <c r="AB652" i="1"/>
  <c r="AB910" i="1"/>
  <c r="AB468" i="1"/>
  <c r="AB881" i="1"/>
  <c r="AB834" i="1"/>
  <c r="AB533" i="1"/>
  <c r="AB322" i="1"/>
  <c r="AB777" i="1"/>
  <c r="AB301" i="1"/>
  <c r="AB42" i="1"/>
  <c r="AB240" i="1"/>
  <c r="AB487" i="1"/>
  <c r="AB217" i="1"/>
  <c r="AB411" i="1"/>
  <c r="AB323" i="1"/>
  <c r="AB650" i="1"/>
  <c r="AB723" i="1"/>
  <c r="AB328" i="1"/>
  <c r="AB709" i="1"/>
  <c r="AB243" i="1"/>
  <c r="AB944" i="1"/>
  <c r="AB769" i="1"/>
  <c r="AB963" i="1"/>
  <c r="AB653" i="1"/>
  <c r="AB810" i="1"/>
  <c r="AB399" i="1"/>
  <c r="AB556" i="1"/>
  <c r="AB298" i="1"/>
  <c r="AB293" i="1"/>
  <c r="AB908" i="1"/>
  <c r="AB903" i="1"/>
  <c r="AB288" i="1"/>
  <c r="AB98" i="1"/>
  <c r="AB973" i="1"/>
  <c r="AB162" i="1"/>
  <c r="AB890" i="1"/>
  <c r="AB906" i="1"/>
  <c r="AB327" i="1"/>
  <c r="AB972" i="1"/>
  <c r="AB480" i="1"/>
  <c r="AB606" i="1"/>
  <c r="AB531" i="1"/>
  <c r="AB377" i="1"/>
  <c r="AB745" i="1"/>
  <c r="AB241" i="1"/>
  <c r="AB333" i="1"/>
  <c r="AB317" i="1"/>
  <c r="AB902" i="1"/>
  <c r="AB863" i="1"/>
  <c r="AB382" i="1"/>
  <c r="AB706" i="1"/>
  <c r="AB476" i="1"/>
  <c r="AB781" i="1"/>
  <c r="AB3" i="1"/>
  <c r="AB497" i="1"/>
  <c r="AB144" i="1"/>
  <c r="AB976" i="1"/>
  <c r="AB264" i="1"/>
  <c r="AB887" i="1"/>
  <c r="AB150" i="1"/>
  <c r="AB437" i="1"/>
  <c r="AB56" i="1"/>
  <c r="AB375" i="1"/>
  <c r="AB630" i="1"/>
  <c r="AB161" i="1"/>
  <c r="AB885" i="1"/>
  <c r="AB782" i="1"/>
  <c r="AB699" i="1"/>
  <c r="AB493" i="1"/>
  <c r="AB15" i="1"/>
  <c r="AB971" i="1"/>
  <c r="AB286" i="1"/>
  <c r="AB799" i="1"/>
  <c r="AB951" i="1"/>
  <c r="AB113" i="1"/>
  <c r="AB673" i="1"/>
  <c r="AB570" i="1"/>
  <c r="AB131" i="1"/>
  <c r="AB668" i="1"/>
  <c r="AB956" i="1"/>
  <c r="AB865" i="1"/>
  <c r="AB610" i="1"/>
  <c r="AB715" i="1"/>
  <c r="AB877" i="1"/>
  <c r="AB839" i="1"/>
  <c r="AB710" i="1"/>
  <c r="AB932" i="1"/>
  <c r="AB539" i="1"/>
  <c r="AB981" i="1"/>
  <c r="AB211" i="1"/>
  <c r="AB948" i="1"/>
  <c r="AB366" i="1"/>
  <c r="AB371" i="1"/>
  <c r="AB463" i="1"/>
  <c r="AB61" i="1"/>
  <c r="AB335" i="1"/>
  <c r="AB38" i="1"/>
  <c r="AB584" i="1"/>
  <c r="AB660" i="1"/>
  <c r="AB753" i="1"/>
  <c r="AB64" i="1"/>
  <c r="AB900" i="1"/>
  <c r="AB787" i="1"/>
  <c r="AB340" i="1"/>
  <c r="AB894" i="1"/>
  <c r="AB686" i="1"/>
  <c r="AB694" i="1"/>
  <c r="AB119" i="1"/>
  <c r="AB246" i="1"/>
  <c r="AB154" i="1"/>
  <c r="AB916" i="1"/>
  <c r="AB589" i="1"/>
  <c r="AB576" i="1"/>
  <c r="AB257" i="1"/>
  <c r="AB167" i="1"/>
  <c r="AB181" i="1"/>
  <c r="AB478" i="1"/>
  <c r="AB522" i="1"/>
  <c r="AB980" i="1"/>
  <c r="AB354" i="1"/>
  <c r="AB825" i="1"/>
  <c r="AB207" i="1"/>
  <c r="AB558" i="1"/>
  <c r="AB645" i="1"/>
  <c r="AB820" i="1"/>
  <c r="AB621" i="1"/>
  <c r="AB372" i="1"/>
  <c r="AB7" i="1"/>
  <c r="AB857" i="1"/>
  <c r="AB756" i="1"/>
  <c r="AB669" i="1"/>
  <c r="AB18" i="1"/>
  <c r="AB13" i="1"/>
  <c r="AB428" i="1"/>
  <c r="AB12" i="1"/>
  <c r="AB314" i="1"/>
  <c r="AB43" i="1"/>
  <c r="AB245" i="1"/>
  <c r="AB471" i="1"/>
  <c r="AB452" i="1"/>
  <c r="AB438" i="1"/>
  <c r="AB356" i="1"/>
  <c r="AB945" i="1"/>
  <c r="AB947" i="1"/>
  <c r="AB337" i="1"/>
  <c r="AB524" i="1"/>
  <c r="AB924" i="1"/>
  <c r="AB434" i="1"/>
  <c r="AB841" i="1"/>
  <c r="AB609" i="1"/>
  <c r="AB417" i="1"/>
  <c r="AB585" i="1"/>
  <c r="AB420" i="1"/>
  <c r="AB575" i="1"/>
  <c r="AB402" i="1"/>
  <c r="AB456" i="1"/>
  <c r="AB788" i="1"/>
  <c r="AB358" i="1"/>
  <c r="AB601" i="1"/>
  <c r="AB477" i="1"/>
  <c r="AB104" i="1"/>
  <c r="AB278" i="1"/>
  <c r="AB615" i="1"/>
  <c r="AB122" i="1"/>
  <c r="AB342" i="1"/>
  <c r="AB357" i="1"/>
  <c r="AB237" i="1"/>
  <c r="AB840" i="1"/>
  <c r="AB427" i="1"/>
  <c r="AB616" i="1"/>
  <c r="AB826" i="1"/>
  <c r="AB394" i="1"/>
  <c r="AB965" i="1"/>
  <c r="AB168" i="1"/>
  <c r="AB315" i="1"/>
  <c r="AB727" i="1"/>
  <c r="AB785" i="1"/>
  <c r="AB717" i="1"/>
  <c r="AB96" i="1"/>
  <c r="AB833" i="1"/>
  <c r="AB455" i="1"/>
  <c r="AB76" i="1"/>
  <c r="AB523" i="1"/>
  <c r="AB845" i="1"/>
  <c r="AB73" i="1"/>
  <c r="AB351" i="1"/>
  <c r="AB313" i="1"/>
  <c r="AB743" i="1"/>
  <c r="AB872" i="1"/>
  <c r="AB206" i="1"/>
  <c r="AB204" i="1"/>
  <c r="AB262" i="1"/>
  <c r="AB712" i="1"/>
  <c r="AB922" i="1"/>
  <c r="AB391" i="1"/>
  <c r="AB223" i="1"/>
  <c r="AB594" i="1"/>
  <c r="AB889" i="1"/>
  <c r="AB725" i="1"/>
  <c r="AB797" i="1"/>
  <c r="AB486" i="1"/>
  <c r="AB365" i="1"/>
  <c r="AB899" i="1"/>
  <c r="AB582" i="1"/>
  <c r="AB672" i="1"/>
  <c r="AB542" i="1"/>
  <c r="AB648" i="1"/>
  <c r="AB627" i="1"/>
  <c r="AB45" i="1"/>
  <c r="AB818" i="1"/>
  <c r="AB114" i="1"/>
  <c r="AB479" i="1"/>
  <c r="AB348" i="1"/>
  <c r="AB430" i="1"/>
  <c r="AB938" i="1"/>
  <c r="AB283" i="1"/>
  <c r="AB401" i="1"/>
  <c r="AB182" i="1"/>
  <c r="AB496" i="1"/>
  <c r="AB137" i="1"/>
  <c r="AB974" i="1"/>
  <c r="AB656" i="1"/>
  <c r="AB284" i="1"/>
  <c r="AB767" i="1"/>
  <c r="AB255" i="1"/>
  <c r="AB299" i="1"/>
  <c r="AB300" i="1"/>
  <c r="AB755" i="1"/>
  <c r="AB123" i="1"/>
  <c r="AB638" i="1"/>
  <c r="AB946" i="1"/>
  <c r="AB378" i="1"/>
  <c r="AB802" i="1"/>
  <c r="AB554" i="1"/>
  <c r="AB153" i="1"/>
  <c r="AB663" i="1"/>
  <c r="AB202" i="1"/>
  <c r="AB734" i="1"/>
  <c r="AB198" i="1"/>
  <c r="AB25" i="1"/>
  <c r="AB109" i="1"/>
  <c r="AB472" i="1"/>
  <c r="AB92" i="1"/>
  <c r="AB279" i="1"/>
  <c r="AB809" i="1"/>
  <c r="AB436" i="1"/>
  <c r="AB95" i="1"/>
  <c r="AB555" i="1"/>
  <c r="AB125" i="1"/>
  <c r="AB806" i="1"/>
  <c r="AB595" i="1"/>
  <c r="AB219" i="1"/>
  <c r="AB535" i="1"/>
  <c r="AB703" i="1"/>
  <c r="AB921" i="1"/>
  <c r="AB310" i="1"/>
  <c r="AB546" i="1"/>
  <c r="AB856" i="1"/>
  <c r="AB605" i="1"/>
  <c r="AB70" i="1"/>
  <c r="AB34" i="1"/>
  <c r="AB117" i="1"/>
  <c r="AB702" i="1"/>
  <c r="AB766" i="1"/>
  <c r="AB364" i="1"/>
  <c r="AB608" i="1"/>
  <c r="AB814" i="1"/>
  <c r="AB209" i="1"/>
  <c r="AB332" i="1"/>
  <c r="AB548" i="1"/>
  <c r="AB100" i="1"/>
  <c r="AB140" i="1"/>
  <c r="AB236" i="1"/>
  <c r="AB345" i="1"/>
  <c r="AB739" i="1"/>
  <c r="AB484" i="1"/>
  <c r="AB221" i="1"/>
  <c r="AB28" i="1"/>
  <c r="AB549" i="1"/>
  <c r="AB459" i="1"/>
  <c r="AB80" i="1"/>
  <c r="AB779" i="1"/>
  <c r="AB326" i="1"/>
  <c r="AB935" i="1"/>
  <c r="AB934" i="1"/>
  <c r="AB778" i="1"/>
  <c r="AB784" i="1"/>
  <c r="AB178" i="1"/>
  <c r="AB748" i="1"/>
  <c r="AB711" i="1"/>
  <c r="AB746" i="1"/>
  <c r="AB661" i="1"/>
  <c r="AB189" i="1"/>
  <c r="AB220" i="1"/>
  <c r="AB680" i="1"/>
  <c r="AB75" i="1"/>
  <c r="AB86" i="1"/>
  <c r="AB287" i="1"/>
  <c r="AB757" i="1"/>
  <c r="AB165" i="1"/>
  <c r="AB193" i="1"/>
  <c r="AB33" i="1"/>
  <c r="AB359" i="1"/>
  <c r="AB388" i="1"/>
  <c r="AB115" i="1"/>
  <c r="AB492" i="1"/>
  <c r="AB77" i="1"/>
  <c r="AB666" i="1"/>
  <c r="AB762" i="1"/>
  <c r="AB580" i="1"/>
  <c r="AB385" i="1"/>
  <c r="AB801" i="1"/>
  <c r="AB518" i="1"/>
  <c r="AB982" i="1"/>
  <c r="AB14" i="1"/>
  <c r="AB874" i="1"/>
  <c r="AB844" i="1"/>
  <c r="AB813" i="1"/>
  <c r="AB251" i="1"/>
  <c r="AB718" i="1"/>
  <c r="AB2" i="1"/>
  <c r="AB483" i="1"/>
  <c r="AB296" i="1"/>
  <c r="AB557" i="1"/>
  <c r="AB258" i="1"/>
  <c r="AB289" i="1"/>
  <c r="AB426" i="1"/>
  <c r="AB628" i="1"/>
  <c r="AB759" i="1"/>
  <c r="AB297" i="1"/>
  <c r="AB386" i="1"/>
  <c r="AB868" i="1"/>
  <c r="AB884" i="1"/>
  <c r="AB252" i="1"/>
  <c r="AB381" i="1"/>
  <c r="AB248" i="1"/>
  <c r="AB687" i="1"/>
  <c r="AB239" i="1"/>
  <c r="AB270" i="1"/>
  <c r="AB136" i="1"/>
  <c r="AB567" i="1"/>
  <c r="AB978" i="1"/>
  <c r="AB177" i="1"/>
  <c r="AB716" i="1"/>
  <c r="AB837" i="1"/>
  <c r="AB454" i="1"/>
  <c r="AB693" i="1"/>
  <c r="AB17" i="1"/>
  <c r="AB639" i="1"/>
  <c r="AB566" i="1"/>
  <c r="AB369" i="1"/>
  <c r="AB415" i="1"/>
  <c r="AB46" i="1"/>
  <c r="AB886" i="1"/>
  <c r="AB893" i="1"/>
  <c r="AB218" i="1"/>
  <c r="AB418" i="1"/>
  <c r="AB622" i="1"/>
  <c r="AB166" i="1"/>
  <c r="AB564" i="1"/>
  <c r="AB780" i="1"/>
  <c r="AB501" i="1"/>
  <c r="AB760" i="1"/>
  <c r="AB441" i="1"/>
  <c r="AB440" i="1"/>
  <c r="AB509" i="1"/>
  <c r="AB768" i="1"/>
  <c r="AB695" i="1"/>
  <c r="AB105" i="1"/>
  <c r="AB679" i="1"/>
  <c r="AB457" i="1"/>
  <c r="AB735" i="1"/>
  <c r="AB102" i="1"/>
  <c r="AB643" i="1"/>
  <c r="AB720" i="1"/>
  <c r="AB16" i="1"/>
  <c r="AB101" i="1"/>
  <c r="AB869" i="1"/>
  <c r="AB89" i="1"/>
  <c r="AB957" i="1"/>
  <c r="AB338" i="1"/>
  <c r="AB111" i="1"/>
  <c r="AB969" i="1"/>
  <c r="AB749" i="1"/>
  <c r="AB175" i="1"/>
  <c r="AB6" i="1"/>
  <c r="AB10" i="1"/>
  <c r="AB786" i="1"/>
  <c r="AB141" i="1"/>
  <c r="AB36" i="1"/>
  <c r="AB311" i="1"/>
  <c r="AB553" i="1"/>
  <c r="AB448" i="1"/>
  <c r="AB97" i="1"/>
  <c r="AB851" i="1"/>
  <c r="AB848" i="1"/>
  <c r="AB713" i="1"/>
  <c r="AB898" i="1"/>
  <c r="AB79" i="1"/>
  <c r="AB728" i="1"/>
  <c r="AB832" i="1"/>
  <c r="AB562" i="1"/>
  <c r="AB50" i="1"/>
  <c r="AB199" i="1"/>
  <c r="AB629" i="1"/>
  <c r="AB966" i="1"/>
  <c r="AB304" i="1"/>
  <c r="AB551" i="1"/>
  <c r="AB783" i="1"/>
  <c r="AB84" i="1"/>
  <c r="AB305" i="1"/>
  <c r="AB961" i="1"/>
  <c r="AB722" i="1"/>
  <c r="AB253" i="1"/>
  <c r="AB72" i="1"/>
  <c r="AB864" i="1"/>
  <c r="AB811" i="1"/>
  <c r="AB481" i="1"/>
  <c r="AB135" i="1"/>
  <c r="AB433" i="1"/>
  <c r="AB665" i="1"/>
  <c r="AB47" i="1"/>
  <c r="AB145" i="1"/>
  <c r="AB460" i="1"/>
  <c r="AB362" i="1"/>
  <c r="AB958" i="1"/>
  <c r="AB503" i="1"/>
  <c r="AB133" i="1"/>
  <c r="AB469" i="1"/>
  <c r="AB405" i="1"/>
  <c r="AB308" i="1"/>
  <c r="AB41" i="1"/>
  <c r="AB581" i="1"/>
  <c r="AB568" i="1"/>
  <c r="AB876" i="1"/>
  <c r="AB959" i="1"/>
  <c r="AB678" i="1"/>
  <c r="AB390" i="1"/>
  <c r="AB563" i="1"/>
  <c r="AB611" i="1"/>
  <c r="AB505" i="1"/>
  <c r="AB733" i="1"/>
  <c r="AB450" i="1"/>
  <c r="AB443" i="1"/>
  <c r="AB968" i="1"/>
  <c r="AB446" i="1"/>
  <c r="AB719" i="1"/>
  <c r="AB488" i="1"/>
  <c r="AB27" i="1"/>
  <c r="AB376" i="1"/>
  <c r="AB614" i="1"/>
  <c r="AB361" i="1"/>
  <c r="AB416" i="1"/>
  <c r="AB526" i="1"/>
  <c r="AB419" i="1"/>
  <c r="AB60" i="1"/>
  <c r="AB194" i="1"/>
  <c r="AB121" i="1"/>
  <c r="AB500" i="1"/>
  <c r="AB925" i="1"/>
  <c r="AB29" i="1"/>
  <c r="AB736" i="1"/>
  <c r="AB763" i="1"/>
  <c r="AB842" i="1"/>
  <c r="AB761" i="1"/>
  <c r="AB538" i="1"/>
  <c r="AB647" i="1"/>
  <c r="AB588" i="1"/>
  <c r="AB234" i="1"/>
  <c r="AB905" i="1"/>
  <c r="AB170" i="1"/>
  <c r="AB197" i="1"/>
  <c r="AB128" i="1"/>
  <c r="AB861" i="1"/>
  <c r="AB274" i="1"/>
  <c r="AB747" i="1"/>
  <c r="AB88" i="1"/>
  <c r="AB658" i="1"/>
  <c r="AB475" i="1"/>
  <c r="AB577" i="1"/>
  <c r="AB85" i="1"/>
  <c r="AB250" i="1"/>
  <c r="AB67" i="1"/>
  <c r="AB569" i="1"/>
  <c r="AB266" i="1"/>
  <c r="AB149" i="1"/>
  <c r="AB83" i="1"/>
  <c r="AB598" i="1"/>
  <c r="AB640" i="1"/>
  <c r="AB590" i="1"/>
  <c r="AB764" i="1"/>
  <c r="AB224" i="1"/>
  <c r="AB626" i="1"/>
  <c r="AB336" i="1"/>
  <c r="AB744" i="1"/>
  <c r="AB618" i="1"/>
  <c r="AB124" i="1"/>
  <c r="AB244" i="1"/>
  <c r="AB87" i="1"/>
  <c r="AB821" i="1"/>
  <c r="AB169" i="1"/>
  <c r="AB380" i="1"/>
  <c r="AB631" i="1"/>
  <c r="AB485" i="1"/>
  <c r="AB583" i="1"/>
  <c r="AB5" i="1"/>
  <c r="AB502" i="1"/>
  <c r="AB93" i="1"/>
  <c r="AB827" i="1"/>
  <c r="AB431" i="1"/>
  <c r="AB227" i="1"/>
  <c r="AB624" i="1"/>
  <c r="AB913" i="1"/>
  <c r="AB670" i="1"/>
  <c r="AB203" i="1"/>
  <c r="AB404" i="1"/>
  <c r="AB754" i="1"/>
  <c r="AB879" i="1"/>
  <c r="AB954" i="1"/>
  <c r="AB461" i="1"/>
  <c r="AB689" i="1"/>
  <c r="AB32" i="1"/>
  <c r="AB8" i="1"/>
  <c r="AB55" i="1"/>
  <c r="AB352" i="1"/>
  <c r="AB691" i="1"/>
  <c r="AB290" i="1"/>
  <c r="AB330" i="1"/>
  <c r="AB82" i="1"/>
  <c r="AB403" i="1"/>
  <c r="AB586" i="1"/>
  <c r="AB528" i="1"/>
  <c r="AB205" i="1"/>
  <c r="AB107" i="1"/>
  <c r="AB685" i="1"/>
  <c r="AB319" i="1"/>
  <c r="AB967" i="1"/>
  <c r="AB512" i="1"/>
  <c r="AB619" i="1"/>
  <c r="AB65" i="1"/>
  <c r="AB360" i="1"/>
  <c r="AB676" i="1"/>
  <c r="AB439" i="1"/>
  <c r="AB22" i="1"/>
  <c r="AB130" i="1"/>
  <c r="AB617" i="1"/>
  <c r="AB871" i="1"/>
  <c r="AB106" i="1"/>
  <c r="AB655" i="1"/>
  <c r="AB159" i="1"/>
  <c r="AB915" i="1"/>
  <c r="AB975" i="1"/>
  <c r="AB593" i="1"/>
  <c r="AB870" i="1"/>
  <c r="AB157" i="1"/>
  <c r="AB368" i="1"/>
  <c r="AB888" i="1"/>
  <c r="AB800" i="1"/>
  <c r="AB730" i="1"/>
  <c r="AB384" i="1"/>
  <c r="AB458" i="1"/>
  <c r="AB470" i="1"/>
  <c r="AB758" i="1"/>
  <c r="AB414" i="1"/>
  <c r="AB442" i="1"/>
  <c r="AB235" i="1"/>
  <c r="AB930" i="1"/>
  <c r="AB59" i="1"/>
  <c r="AB698" i="1"/>
  <c r="AB40" i="1"/>
  <c r="AB918" i="1"/>
  <c r="AB295" i="1"/>
  <c r="AB37" i="1"/>
  <c r="AB190" i="1"/>
  <c r="AB790" i="1"/>
  <c r="AB69" i="1"/>
  <c r="AB984" i="1"/>
  <c r="AB901" i="1"/>
  <c r="AB544" i="1"/>
  <c r="AB71" i="1"/>
  <c r="AB191" i="1"/>
  <c r="AB163" i="1"/>
  <c r="AB173" i="1"/>
  <c r="AB24" i="1"/>
  <c r="AB633" i="1"/>
  <c r="AB662" i="1"/>
  <c r="AB453" i="1"/>
  <c r="AB409" i="1"/>
  <c r="AB325" i="1"/>
  <c r="AB657" i="1"/>
  <c r="AB389" i="1"/>
  <c r="AB374" i="1"/>
  <c r="AB39" i="1"/>
  <c r="AB30" i="1"/>
  <c r="AB579" i="1"/>
  <c r="AB186" i="1"/>
  <c r="AB188" i="1"/>
  <c r="AB620" i="1"/>
  <c r="AB139" i="1"/>
  <c r="AB941" i="1"/>
  <c r="AB578" i="1"/>
  <c r="AB449" i="1"/>
  <c r="AB62" i="1"/>
  <c r="AB406" i="1"/>
  <c r="AB572" i="1"/>
  <c r="AB513" i="1"/>
  <c r="AB804" i="1"/>
  <c r="AB429" i="1"/>
  <c r="AB20" i="1"/>
  <c r="AB637" i="1"/>
  <c r="AB291" i="1"/>
  <c r="AB897" i="1"/>
  <c r="AB412" i="1"/>
  <c r="AB464" i="1"/>
  <c r="AB731" i="1"/>
  <c r="AB561" i="1"/>
  <c r="AB185" i="1"/>
  <c r="AB592" i="1"/>
  <c r="AB911" i="1"/>
  <c r="AB867" i="1"/>
  <c r="AB550" i="1"/>
  <c r="AB151" i="1"/>
  <c r="AB339" i="1"/>
  <c r="AB803" i="1"/>
  <c r="AB742" i="1"/>
  <c r="AB309" i="1"/>
  <c r="AB543" i="1"/>
  <c r="AB187" i="1"/>
  <c r="AB880" i="1"/>
  <c r="AB424" i="1"/>
  <c r="AB955" i="1"/>
  <c r="AB68" i="1"/>
  <c r="AB912" i="1"/>
  <c r="AB57" i="1"/>
  <c r="AB447" i="1"/>
  <c r="AB571" i="1"/>
  <c r="AB259" i="1"/>
  <c r="AB35" i="1"/>
  <c r="AB547" i="1"/>
  <c r="AB613" i="1"/>
  <c r="AB146" i="1"/>
  <c r="AB489" i="1"/>
  <c r="AB265" i="1"/>
  <c r="AB791" i="1"/>
  <c r="AB275" i="1"/>
  <c r="AB320" i="1"/>
  <c r="AB423" i="1"/>
  <c r="AB214" i="1"/>
  <c r="AB421" i="1"/>
  <c r="AB379" i="1"/>
  <c r="AB751" i="1"/>
  <c r="AB929" i="1"/>
  <c r="AB63" i="1"/>
  <c r="AB721" i="1"/>
  <c r="AB158" i="1"/>
  <c r="AB682" i="1"/>
  <c r="AB267" i="1"/>
  <c r="AB789" i="1"/>
  <c r="AB651" i="1"/>
  <c r="AB704" i="1"/>
  <c r="AB103" i="1"/>
  <c r="AB222" i="1"/>
  <c r="AB19" i="1"/>
  <c r="AB91" i="1"/>
  <c r="AB859" i="1"/>
  <c r="AB793" i="1"/>
  <c r="AB432" i="1"/>
  <c r="AB520" i="1"/>
  <c r="AB738" i="1"/>
  <c r="AB515" i="1"/>
  <c r="AB552" i="1"/>
  <c r="AB604" i="1"/>
  <c r="AB143" i="1"/>
  <c r="AB854" i="1"/>
  <c r="AB737" i="1"/>
  <c r="AB292" i="1"/>
  <c r="AB612" i="1"/>
  <c r="AB9" i="1"/>
  <c r="AB347" i="1"/>
  <c r="AB195" i="1"/>
  <c r="AB261" i="1"/>
  <c r="AB363" i="1"/>
  <c r="AB346" i="1"/>
  <c r="AB962" i="1"/>
  <c r="AB410" i="1"/>
  <c r="AB303" i="1"/>
  <c r="AB232" i="1"/>
  <c r="AB208" i="1"/>
  <c r="AB765" i="1"/>
  <c r="AB960" i="1"/>
  <c r="AB752" i="1"/>
  <c r="AB540" i="1"/>
  <c r="AB482" i="1"/>
  <c r="AB923" i="1"/>
  <c r="AB597" i="1"/>
  <c r="AB507" i="1"/>
  <c r="AB724" i="1"/>
  <c r="AB112" i="1"/>
  <c r="AB708" i="1"/>
  <c r="AB696" i="1"/>
  <c r="AB200" i="1"/>
  <c r="AB838" i="1"/>
  <c r="AB688" i="1"/>
  <c r="AB771" i="1"/>
  <c r="AB238" i="1"/>
  <c r="AB229" i="1"/>
  <c r="AB511" i="1"/>
  <c r="AB307" i="1"/>
  <c r="AB53" i="1"/>
  <c r="AB928" i="1"/>
  <c r="AB599" i="1"/>
  <c r="AB268" i="1"/>
  <c r="AB242" i="1"/>
  <c r="AB607" i="1"/>
  <c r="AB508" i="1"/>
  <c r="AB196" i="1"/>
  <c r="AB285" i="1"/>
  <c r="AB78" i="1"/>
  <c r="AB895" i="1"/>
  <c r="AB514" i="1"/>
  <c r="AB466" i="1"/>
  <c r="AB705" i="1"/>
  <c r="AB939" i="1"/>
  <c r="AB537" i="1"/>
  <c r="AB817" i="1"/>
  <c r="AB931" i="1"/>
  <c r="AB280" i="1"/>
  <c r="AB632" i="1"/>
  <c r="AB600" i="1"/>
  <c r="AB964" i="1"/>
  <c r="AB302" i="1"/>
  <c r="AB215" i="1"/>
  <c r="AB491" i="1"/>
  <c r="AB21" i="1"/>
  <c r="AB31" i="1"/>
  <c r="AB983" i="1"/>
  <c r="AB525" i="1"/>
  <c r="AB226" i="1"/>
  <c r="AB942" i="1"/>
  <c r="AB819" i="1"/>
  <c r="AB129" i="1"/>
  <c r="AB772" i="1"/>
  <c r="AB329" i="1"/>
  <c r="AB90" i="1"/>
  <c r="AB667" i="1"/>
  <c r="AB225" i="1"/>
  <c r="AB176" i="1"/>
  <c r="AB816" i="1"/>
  <c r="AB504" i="1"/>
  <c r="AB312" i="1"/>
  <c r="AB675" i="1"/>
  <c r="AB462" i="1"/>
  <c r="AB536" i="1"/>
  <c r="AB573" i="1"/>
  <c r="AB904" i="1"/>
  <c r="AB444" i="1"/>
  <c r="AB849" i="1"/>
  <c r="AB559" i="1"/>
  <c r="AB824" i="1"/>
  <c r="AB677" i="1"/>
  <c r="AB603" i="1"/>
  <c r="AB635" i="1"/>
  <c r="AB574" i="1"/>
  <c r="AB425" i="1"/>
  <c r="AB276" i="1"/>
  <c r="AB530" i="1"/>
  <c r="AB94" i="1"/>
  <c r="AB387" i="1"/>
  <c r="AB674" i="1"/>
  <c r="AB120" i="1"/>
  <c r="AB852" i="1"/>
  <c r="AB714" i="1"/>
  <c r="AB155" i="1"/>
  <c r="AB272" i="1"/>
  <c r="AB823" i="1"/>
  <c r="AB591" i="1"/>
  <c r="AB822" i="1"/>
  <c r="AB306" i="1"/>
  <c r="AB127" i="1"/>
  <c r="AB596" i="1"/>
  <c r="AB792" i="1"/>
  <c r="AB681" i="1"/>
  <c r="AB646" i="1"/>
  <c r="AB936" i="1"/>
  <c r="AB51" i="1"/>
  <c r="AB919" i="1"/>
  <c r="AB318" i="1"/>
  <c r="AB353" i="1"/>
  <c r="AB396" i="1"/>
  <c r="AB230" i="1"/>
  <c r="AB392" i="1"/>
  <c r="AB212" i="1"/>
  <c r="AB587" i="1"/>
  <c r="AB134" i="1"/>
  <c r="AB644" i="1"/>
  <c r="AB184" i="1"/>
  <c r="AB118" i="1"/>
  <c r="AB926" i="1"/>
  <c r="AB383" i="1"/>
  <c r="AB126" i="1"/>
  <c r="AB373" i="1"/>
  <c r="AB953" i="1"/>
  <c r="AB776" i="1"/>
  <c r="AB697" i="1"/>
  <c r="AB271" i="1"/>
  <c r="AB152" i="1"/>
  <c r="AB726" i="1"/>
  <c r="AB213" i="1"/>
  <c r="AB741" i="1"/>
  <c r="AB664" i="1"/>
  <c r="AB355" i="1"/>
  <c r="AB798" i="1"/>
  <c r="AB397" i="1"/>
  <c r="AB684" i="1"/>
  <c r="AB831" i="1"/>
  <c r="AB172" i="1"/>
  <c r="AB732" i="1"/>
  <c r="AB26" i="1"/>
  <c r="AB254" i="1"/>
  <c r="AB602" i="1"/>
  <c r="AB805" i="1"/>
  <c r="AB847" i="1"/>
  <c r="AB160" i="1"/>
  <c r="AB260" i="1"/>
  <c r="AB649" i="1"/>
  <c r="AB142" i="1"/>
  <c r="AB99" i="1"/>
  <c r="AB949" i="1"/>
  <c r="AB560" i="1"/>
  <c r="AB174" i="1"/>
  <c r="AB671" i="1"/>
  <c r="AB795" i="1"/>
  <c r="AB828" i="1"/>
  <c r="AB774" i="1"/>
  <c r="AB494" i="1"/>
  <c r="AB349" i="1"/>
  <c r="AB44" i="1"/>
  <c r="AB545" i="1"/>
  <c r="AB183" i="1"/>
  <c r="AB407" i="1"/>
  <c r="AB23" i="1"/>
  <c r="AB740" i="1"/>
  <c r="AB750" i="1"/>
  <c r="AB435" i="1"/>
  <c r="AB11" i="1"/>
  <c r="AB231" i="1"/>
  <c r="AB873" i="1"/>
  <c r="AB882" i="1"/>
  <c r="AB521" i="1"/>
  <c r="AB773" i="1"/>
  <c r="AB52" i="1"/>
  <c r="AB920" i="1"/>
  <c r="AB499" i="1"/>
  <c r="AB896" i="1"/>
  <c r="AB58" i="1"/>
  <c r="AB914" i="1"/>
  <c r="AB909" i="1"/>
  <c r="AB836" i="1"/>
  <c r="AB147" i="1"/>
  <c r="AB171" i="1"/>
  <c r="AB979" i="1"/>
  <c r="AB316" i="1"/>
  <c r="AB541" i="1"/>
  <c r="AB164" i="1"/>
  <c r="AB110" i="1"/>
  <c r="AB132" i="1"/>
  <c r="AB69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<sst xmlns="http://schemas.openxmlformats.org/spreadsheetml/2006/main" count="13951" uniqueCount="4541">
  <si>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</si>
  <si>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</si>
  <si>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</si>
  <si>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</si>
  <si>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</si>
  <si>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</si>
  <si>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</si>
  <si>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</si>
  <si>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</si>
  <si>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</si>
  <si>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</si>
  <si>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</si>
  <si>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</si>
  <si>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</si>
  <si>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</si>
  <si>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</si>
  <si>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</si>
  <si>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</si>
  <si>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</si>
  <si>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</si>
  <si>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</si>
  <si>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</si>
  <si>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</si>
  <si>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</si>
  <si>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</si>
  <si>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</si>
  <si>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</si>
  <si>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</si>
  <si>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</si>
  <si>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</si>
  <si>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</si>
  <si>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</si>
  <si>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</si>
  <si>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</si>
  <si>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</si>
  <si>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</si>
  <si>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</si>
  <si>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</si>
  <si>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</si>
  <si>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</si>
  <si>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</si>
  <si>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</si>
  <si>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</si>
  <si>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</si>
  <si>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</si>
  <si>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</si>
  <si>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</si>
  <si>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</si>
  <si>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</si>
  <si>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</si>
  <si>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</si>
  <si>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</si>
  <si>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</si>
  <si>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</si>
  <si>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</si>
  <si>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</si>
  <si>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</si>
  <si>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</si>
  <si>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</si>
  <si>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</si>
  <si>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</si>
  <si>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</si>
  <si>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</si>
  <si>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</si>
  <si>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</si>
  <si>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</si>
  <si>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</si>
  <si>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</si>
  <si>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</si>
  <si>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</si>
  <si>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</si>
  <si>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</si>
  <si>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</si>
  <si>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</si>
  <si>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</si>
  <si>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</si>
  <si>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</si>
  <si>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</si>
  <si>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</si>
  <si>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</si>
  <si>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</si>
  <si>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</si>
  <si>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</si>
  <si>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</si>
  <si>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</si>
  <si>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</si>
  <si>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</si>
  <si>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</si>
  <si>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</si>
  <si>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</si>
  <si>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</si>
  <si>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</si>
  <si>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</si>
  <si>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</si>
  <si>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</si>
  <si>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</si>
  <si>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</si>
  <si>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</si>
  <si>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</si>
  <si>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</si>
  <si>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</si>
  <si>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</si>
  <si>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</si>
  <si>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</si>
  <si>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</si>
  <si>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</si>
  <si>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</si>
  <si>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</si>
  <si>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</si>
  <si>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</si>
  <si>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</si>
  <si>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</si>
  <si>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</si>
  <si>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</si>
  <si>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</si>
  <si>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</si>
  <si>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</si>
  <si>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</si>
  <si>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</si>
  <si>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</si>
  <si>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</si>
  <si>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</si>
  <si>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</si>
  <si>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</si>
  <si>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</si>
  <si>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</si>
  <si>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</si>
  <si>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</si>
  <si>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</si>
  <si>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</si>
  <si>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</si>
  <si>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</si>
  <si>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</si>
  <si>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</si>
  <si>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</si>
  <si>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</si>
  <si>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</si>
  <si>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</si>
  <si>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</si>
  <si>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</si>
  <si>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</si>
  <si>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</si>
  <si>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</si>
  <si>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</si>
  <si>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</si>
  <si>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</si>
  <si>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</si>
  <si>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</si>
  <si>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</si>
  <si>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</si>
  <si>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</si>
  <si>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</si>
  <si>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</si>
  <si>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</si>
  <si>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</si>
  <si>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</si>
  <si>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</si>
  <si>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</si>
  <si>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</si>
  <si>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</si>
  <si>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</si>
  <si>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</si>
  <si>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</si>
  <si>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</si>
  <si>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</si>
  <si>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</si>
  <si>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</si>
  <si>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</si>
  <si>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</si>
  <si>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</si>
  <si>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</si>
  <si>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</si>
  <si>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</si>
  <si>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</si>
  <si>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</si>
  <si>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</si>
  <si>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</si>
  <si>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</si>
  <si>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</si>
  <si>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</si>
  <si>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</si>
  <si>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</si>
  <si>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</si>
  <si>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</si>
  <si>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</si>
  <si>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</si>
  <si>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</si>
  <si>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</si>
  <si>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</si>
  <si>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</si>
  <si>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</si>
  <si>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</si>
  <si>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</si>
  <si>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</si>
  <si>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</si>
  <si>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</si>
  <si>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</si>
  <si>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</si>
  <si>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</si>
  <si>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</si>
  <si>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</si>
  <si>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</si>
  <si>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</si>
  <si>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</si>
  <si>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</si>
  <si>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</si>
  <si>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</si>
  <si>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</si>
  <si>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</si>
  <si>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</si>
  <si>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</si>
  <si>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</si>
  <si>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</si>
  <si>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</si>
  <si>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</si>
  <si>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</si>
  <si>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</si>
  <si>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</si>
  <si>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</si>
  <si>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</si>
  <si>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</si>
  <si>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</si>
  <si>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</si>
  <si>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</si>
  <si>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</si>
  <si>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</si>
  <si>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</si>
  <si>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</si>
  <si>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</si>
  <si>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</si>
  <si>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</si>
  <si>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</si>
  <si>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</si>
  <si>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</si>
  <si>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</si>
  <si>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</si>
  <si>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</si>
  <si>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</si>
  <si>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</si>
  <si>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</si>
  <si>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</si>
  <si>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</si>
  <si>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</si>
  <si>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</si>
  <si>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</si>
  <si>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</si>
  <si>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</si>
  <si>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</si>
  <si>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</si>
  <si>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</si>
  <si>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</si>
  <si>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</si>
  <si>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</si>
  <si>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</si>
  <si>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</si>
  <si>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</si>
  <si>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</si>
  <si>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</si>
  <si>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</si>
  <si>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</si>
  <si>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</si>
  <si>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</si>
  <si>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</si>
  <si>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</si>
  <si>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</si>
  <si>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</si>
  <si>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</si>
  <si>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</si>
  <si>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</si>
  <si>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</si>
  <si>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</si>
  <si>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</si>
  <si>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</si>
  <si>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</si>
  <si>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</si>
  <si>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</si>
  <si>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</si>
  <si>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</si>
  <si>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</si>
  <si>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</si>
  <si>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</si>
  <si>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</si>
  <si>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</si>
  <si>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</si>
  <si>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</si>
  <si>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</si>
  <si>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</si>
  <si>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</si>
  <si>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</si>
  <si>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</si>
  <si>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</si>
  <si>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</si>
  <si>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</si>
  <si>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</si>
  <si>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</si>
  <si>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</si>
  <si>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</si>
  <si>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</si>
  <si>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</si>
  <si>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</si>
  <si>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</si>
  <si>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</si>
  <si>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</si>
  <si>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</si>
  <si>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</si>
  <si>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</si>
  <si>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</si>
  <si>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</si>
  <si>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</si>
  <si>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</si>
  <si>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</si>
  <si>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</si>
  <si>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</si>
  <si>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</si>
  <si>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</si>
  <si>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</si>
  <si>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</si>
  <si>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</si>
  <si>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</si>
  <si>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</si>
  <si>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</si>
  <si>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</si>
  <si>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</si>
  <si>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</si>
  <si>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</si>
  <si>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</si>
  <si>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</si>
  <si>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</si>
  <si>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</si>
  <si>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</si>
  <si>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</si>
  <si>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</si>
  <si>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</si>
  <si>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</si>
  <si>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</si>
  <si>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</si>
  <si>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</si>
  <si>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</si>
  <si>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</si>
  <si>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</si>
  <si>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</si>
  <si>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</si>
  <si>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</si>
  <si>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</si>
  <si>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</si>
  <si>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</si>
  <si>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</si>
  <si>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</si>
  <si>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</si>
  <si>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</si>
  <si>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</si>
  <si>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</si>
  <si>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</si>
  <si>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</si>
  <si>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</si>
  <si>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</si>
  <si>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</si>
  <si>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</si>
  <si>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</si>
  <si>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</si>
  <si>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</si>
  <si>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</si>
  <si>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</si>
  <si>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</si>
  <si>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</si>
  <si>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</si>
  <si>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</si>
  <si>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</si>
  <si>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</si>
  <si>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</si>
  <si>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</si>
  <si>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</si>
  <si>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</si>
  <si>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</si>
  <si>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</si>
  <si>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</si>
  <si>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</si>
  <si>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</si>
  <si>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</si>
  <si>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</si>
  <si>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</si>
  <si>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</si>
  <si>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</si>
  <si>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</si>
  <si>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</si>
  <si>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</si>
  <si>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</si>
  <si>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</si>
  <si>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</si>
  <si>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</si>
  <si>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</si>
  <si>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</si>
  <si>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</si>
  <si>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</si>
  <si>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</si>
  <si>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</si>
  <si>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</si>
  <si>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</si>
  <si>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</si>
  <si>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</si>
  <si>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</si>
  <si>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</si>
  <si>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</si>
  <si>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</si>
  <si>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</si>
  <si>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</si>
  <si>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</si>
  <si>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</si>
  <si>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</si>
  <si>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</si>
  <si>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</si>
  <si>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</si>
  <si>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</si>
  <si>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</si>
  <si>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</si>
  <si>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</si>
  <si>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</si>
  <si>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</si>
  <si>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</si>
  <si>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</si>
  <si>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</si>
  <si>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</si>
  <si>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</si>
  <si>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</si>
  <si>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</si>
  <si>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</si>
  <si>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</si>
  <si>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</si>
  <si>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</si>
  <si>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</si>
  <si>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</si>
  <si>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</si>
  <si>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</si>
  <si>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</si>
  <si>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</si>
  <si>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</si>
  <si>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</si>
  <si>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</si>
  <si>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</si>
  <si>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</si>
  <si>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</si>
  <si>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</si>
  <si>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</si>
  <si>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</si>
  <si>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</si>
  <si>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</si>
  <si>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</si>
  <si>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</si>
  <si>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</si>
  <si>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</si>
  <si>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</si>
  <si>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</si>
  <si>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</si>
  <si>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</si>
  <si>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</si>
  <si>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</si>
  <si>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</si>
  <si>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</si>
  <si>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</si>
  <si>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</si>
  <si>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</si>
  <si>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</si>
  <si>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</si>
  <si>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</si>
  <si>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</si>
  <si>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</si>
  <si>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</si>
  <si>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</si>
  <si>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</si>
  <si>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</si>
  <si>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</si>
  <si>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</si>
  <si>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</si>
  <si>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</si>
  <si>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</si>
  <si>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</si>
  <si>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</si>
  <si>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</si>
  <si>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</si>
  <si>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</si>
  <si>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</si>
  <si>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</si>
  <si>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</si>
  <si>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</si>
  <si>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</si>
  <si>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</si>
  <si>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</si>
  <si>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</si>
  <si>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</si>
  <si>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</si>
  <si>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</si>
  <si>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</si>
  <si>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</si>
  <si>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</si>
  <si>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</si>
  <si>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</si>
  <si>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</si>
  <si>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</si>
  <si>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</si>
  <si>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</si>
  <si>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</si>
  <si>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</si>
  <si>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</si>
  <si>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</si>
  <si>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</si>
  <si>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</si>
  <si>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</si>
  <si>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</si>
  <si>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</si>
  <si>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</si>
  <si>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</si>
  <si>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</si>
  <si>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</si>
  <si>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</si>
  <si>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</si>
  <si>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</si>
  <si>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</si>
  <si>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</si>
  <si>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</si>
  <si>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</si>
  <si>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</si>
  <si>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</si>
  <si>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</si>
  <si>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</si>
  <si>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</si>
  <si>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</si>
  <si>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</si>
  <si>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</si>
  <si>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</si>
  <si>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</si>
  <si>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</si>
  <si>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</si>
  <si>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</si>
  <si>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</si>
  <si>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</si>
  <si>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</si>
  <si>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</si>
  <si>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</si>
  <si>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</si>
  <si>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</si>
  <si>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</si>
  <si>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</si>
  <si>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</si>
  <si>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</si>
  <si>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</si>
  <si>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</si>
  <si>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</si>
  <si>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</si>
  <si>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</si>
  <si>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</si>
  <si>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</si>
  <si>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</si>
  <si>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</si>
  <si>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</si>
  <si>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</si>
  <si>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</si>
  <si>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</si>
  <si>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</si>
  <si>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</si>
  <si>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</si>
  <si>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</si>
  <si>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</si>
  <si>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</si>
  <si>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</si>
  <si>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</si>
  <si>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</si>
  <si>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</si>
  <si>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</si>
  <si>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</si>
  <si>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</si>
  <si>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</si>
  <si>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</si>
  <si>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</si>
  <si>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</si>
  <si>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</si>
  <si>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</si>
  <si>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</si>
  <si>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</si>
  <si>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</si>
  <si>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</si>
  <si>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</si>
  <si>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</si>
  <si>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</si>
  <si>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</si>
  <si>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</si>
  <si>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</si>
  <si>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</si>
  <si>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</si>
  <si>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</si>
  <si>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</si>
  <si>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</si>
  <si>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</si>
  <si>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</si>
  <si>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</si>
  <si>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</si>
  <si>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</si>
  <si>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</si>
  <si>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</si>
  <si>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</si>
  <si>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</si>
  <si>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</si>
  <si>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</si>
  <si>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</si>
  <si>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</si>
  <si>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</si>
  <si>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</si>
  <si>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</si>
  <si>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</si>
  <si>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</si>
  <si>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</si>
  <si>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</si>
  <si>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</si>
  <si>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</si>
  <si>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</si>
  <si>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</si>
  <si>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</si>
  <si>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</si>
  <si>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</si>
  <si>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</si>
  <si>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</si>
  <si>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</si>
  <si>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</si>
  <si>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</si>
  <si>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</si>
  <si>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</si>
  <si>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</si>
  <si>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</si>
  <si>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</si>
  <si>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</si>
  <si>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</si>
  <si>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</si>
  <si>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</si>
  <si>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</si>
  <si>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</si>
  <si>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</si>
  <si>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</si>
  <si>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</si>
  <si>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</si>
  <si>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</si>
  <si>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</si>
  <si>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</si>
  <si>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</si>
  <si>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</si>
  <si>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</si>
  <si>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</si>
  <si>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</si>
  <si>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</si>
  <si>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</si>
  <si>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</si>
  <si>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</si>
  <si>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</si>
  <si>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</si>
  <si>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</si>
  <si>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</si>
  <si>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</si>
  <si>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</si>
  <si>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</si>
  <si>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</si>
  <si>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</si>
  <si>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</si>
  <si>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</si>
  <si>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</si>
  <si>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</si>
  <si>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</si>
  <si>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</si>
  <si>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</si>
  <si>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</si>
  <si>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</si>
  <si>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</si>
  <si>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</si>
  <si>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</si>
  <si>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</si>
  <si>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</si>
  <si>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</si>
  <si>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</si>
  <si>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</si>
  <si>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</si>
  <si>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</si>
  <si>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</si>
  <si>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</si>
  <si>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</si>
  <si>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</si>
  <si>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</si>
  <si>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</si>
  <si>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</si>
  <si>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</si>
  <si>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</si>
  <si>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</si>
  <si>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</si>
  <si>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</si>
  <si>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</si>
  <si>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</si>
  <si>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</si>
  <si>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</si>
  <si>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</si>
  <si>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</si>
  <si>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</si>
  <si>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</si>
  <si>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</si>
  <si>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</si>
  <si>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</si>
  <si>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</si>
  <si>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</si>
  <si>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</si>
  <si>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</si>
  <si>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</si>
  <si>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</si>
  <si>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</si>
  <si>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</si>
  <si>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</si>
  <si>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</si>
  <si>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</si>
  <si>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</si>
  <si>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</si>
  <si>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</si>
  <si>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</si>
  <si>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</si>
  <si>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</si>
  <si>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</si>
  <si>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</si>
  <si>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</si>
  <si>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</si>
  <si>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</si>
  <si>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</si>
  <si>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</si>
  <si>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</si>
  <si>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</si>
  <si>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</si>
  <si>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</si>
  <si>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</si>
  <si>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</si>
  <si>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</si>
  <si>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</si>
  <si>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</si>
  <si>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</si>
  <si>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</si>
  <si>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</si>
  <si>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</si>
  <si>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</si>
  <si>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</si>
  <si>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</si>
  <si>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</si>
  <si>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</si>
  <si>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</si>
  <si>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</si>
  <si>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</si>
  <si>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</si>
  <si>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</si>
  <si>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</si>
  <si>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</si>
  <si>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</si>
  <si>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</si>
  <si>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</si>
  <si>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</si>
  <si>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</si>
  <si>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</si>
  <si>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</si>
  <si>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</si>
  <si>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</si>
  <si>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</si>
  <si>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</si>
  <si>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</si>
  <si>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</si>
  <si>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</si>
  <si>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</si>
  <si>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</si>
  <si>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</si>
  <si>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</si>
  <si>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</si>
  <si>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</si>
  <si>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</si>
  <si>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</si>
  <si>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</si>
  <si>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</si>
  <si>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</si>
  <si>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</si>
  <si>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</si>
  <si>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</si>
  <si>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</si>
  <si>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</si>
  <si>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</si>
  <si>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</si>
  <si>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</si>
  <si>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</si>
  <si>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</si>
  <si>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</si>
  <si>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</si>
  <si>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</si>
  <si>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</si>
  <si>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</si>
  <si>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</si>
  <si>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</si>
  <si>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</si>
  <si>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</si>
  <si>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</si>
  <si>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</si>
  <si>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</si>
  <si>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</si>
  <si>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</si>
  <si>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</si>
  <si>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</si>
  <si>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</si>
  <si>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</si>
  <si>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</si>
  <si>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</si>
  <si>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</si>
  <si>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</si>
  <si>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</si>
  <si>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</si>
  <si>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</si>
  <si>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</si>
  <si>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</si>
  <si>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</si>
  <si>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</si>
  <si>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</si>
  <si>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</si>
  <si>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</si>
  <si>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</si>
  <si>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</si>
  <si>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</si>
  <si>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</si>
  <si>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</si>
  <si>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</si>
  <si>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</si>
  <si>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</si>
  <si>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</si>
  <si>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</si>
  <si>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</si>
  <si>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</si>
  <si>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</si>
  <si>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</si>
  <si>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</si>
  <si>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</si>
  <si>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</si>
  <si>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</si>
  <si>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</si>
  <si>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</si>
  <si>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</si>
  <si>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</si>
  <si>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</si>
  <si>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</si>
  <si>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</si>
  <si>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</si>
  <si>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</si>
  <si>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</si>
  <si>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</si>
  <si>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</si>
  <si>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</si>
  <si>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</si>
  <si>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</si>
  <si>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</si>
  <si>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</si>
  <si>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</si>
  <si>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</si>
  <si>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</si>
  <si>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</si>
  <si>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</si>
  <si>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</si>
  <si>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</si>
  <si>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</si>
  <si>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</si>
  <si>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</si>
  <si>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</si>
  <si>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</si>
  <si>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</si>
  <si>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</si>
  <si>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</si>
  <si>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</si>
  <si>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</si>
  <si>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</si>
  <si>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</si>
  <si>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</si>
  <si>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</si>
  <si>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</si>
  <si>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</si>
  <si>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</si>
  <si>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</si>
  <si>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</si>
  <si>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</si>
  <si>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</si>
  <si>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</si>
  <si>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</si>
  <si>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</si>
  <si>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</si>
  <si>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</si>
  <si>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</si>
  <si>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</si>
  <si>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</si>
  <si>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</si>
  <si>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</si>
  <si>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</si>
  <si>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</si>
  <si>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</si>
  <si>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</si>
  <si>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</si>
  <si>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</si>
  <si>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</si>
  <si>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</si>
  <si>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</si>
  <si>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</si>
  <si>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</si>
  <si>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</si>
  <si>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</si>
  <si>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</si>
  <si>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</si>
  <si>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</si>
  <si>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</si>
  <si>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</si>
  <si>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</si>
  <si>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</si>
  <si>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</si>
  <si>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</si>
  <si>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</si>
  <si>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</si>
  <si>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</si>
  <si>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</si>
  <si>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</si>
  <si>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</si>
  <si>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</si>
  <si>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</si>
  <si>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</si>
  <si>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</si>
  <si>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</si>
  <si>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</si>
  <si>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</si>
  <si>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</si>
  <si>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</si>
  <si>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</si>
  <si>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</si>
  <si>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</si>
  <si>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</si>
  <si>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</si>
  <si>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</si>
  <si>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</si>
  <si>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</si>
  <si>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</si>
  <si>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</si>
  <si>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</si>
  <si>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</si>
  <si>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</si>
  <si>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</si>
  <si>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</si>
  <si>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</si>
  <si>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</si>
  <si>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</si>
  <si>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</si>
  <si>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</si>
  <si>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</si>
  <si>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</si>
  <si>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</si>
  <si>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</si>
  <si>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</si>
  <si>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</si>
  <si>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</si>
  <si>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</si>
  <si>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</si>
  <si>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</si>
  <si>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</si>
  <si>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</si>
  <si>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</si>
  <si>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</si>
  <si>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</si>
  <si>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</si>
  <si>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</si>
  <si>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</si>
  <si>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</si>
  <si>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</si>
  <si>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</si>
  <si>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</si>
  <si>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</si>
  <si>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</si>
  <si>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</si>
  <si>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</si>
  <si>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</si>
  <si>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</si>
  <si>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</si>
  <si>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</si>
  <si>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</si>
  <si>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</si>
  <si>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</si>
  <si>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</si>
  <si>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</si>
  <si>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</si>
  <si>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</si>
  <si>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</si>
  <si>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</si>
  <si>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</si>
  <si>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</si>
  <si>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</si>
  <si>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</si>
  <si>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</si>
  <si>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</si>
  <si>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</si>
  <si>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</si>
  <si>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</si>
  <si>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</si>
  <si>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</si>
  <si>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</si>
  <si>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</si>
  <si>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</si>
  <si>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</si>
  <si>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</si>
  <si>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</si>
  <si>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</si>
  <si>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</si>
  <si>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</si>
  <si>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</si>
  <si>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</si>
  <si>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</si>
  <si>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</si>
  <si>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</si>
  <si>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</si>
  <si>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</si>
  <si>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</si>
  <si>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</si>
  <si>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</si>
  <si>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</si>
  <si>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</si>
  <si>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</si>
  <si>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</si>
  <si>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</si>
  <si>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</si>
  <si>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</si>
  <si>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</si>
  <si>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</si>
  <si>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</si>
  <si>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</si>
  <si>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</si>
  <si>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</si>
  <si>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</si>
  <si>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</si>
  <si>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</si>
  <si>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</si>
  <si>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</si>
  <si>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</si>
  <si>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</si>
  <si>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</si>
  <si>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</si>
  <si>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</si>
  <si>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</si>
  <si>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</si>
  <si>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</si>
  <si>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</si>
  <si>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</si>
  <si>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</si>
  <si>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</si>
  <si>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</si>
  <si>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</si>
  <si>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</si>
  <si>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</si>
  <si>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</si>
  <si>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</si>
  <si>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</si>
  <si>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</si>
  <si>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</si>
  <si>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</si>
  <si>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</si>
  <si>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</si>
  <si>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</si>
  <si>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</si>
  <si>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</si>
  <si>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</si>
  <si>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</si>
  <si>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</si>
  <si>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</si>
  <si>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</si>
  <si>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</si>
  <si>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</si>
  <si>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</si>
  <si>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</si>
  <si>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</si>
  <si>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</si>
  <si>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</si>
  <si>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</si>
  <si>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</si>
  <si>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</si>
  <si>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</si>
  <si>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</si>
  <si>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</si>
  <si>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</si>
  <si>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</si>
  <si>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</si>
  <si>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</si>
  <si>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</si>
  <si>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</si>
  <si>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</si>
  <si>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</si>
  <si>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</si>
  <si>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</si>
  <si>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</si>
  <si>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</si>
  <si>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</si>
  <si>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</si>
  <si>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</si>
  <si>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</si>
  <si>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</si>
  <si>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</si>
  <si>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</si>
  <si>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</si>
  <si>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</si>
  <si>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</si>
  <si>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</si>
  <si>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</si>
  <si>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</si>
  <si>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</si>
  <si>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</si>
  <si>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</si>
  <si>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</si>
  <si>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</si>
  <si>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</si>
  <si>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</si>
  <si>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</si>
  <si>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</si>
  <si>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</si>
  <si>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</si>
  <si>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</si>
  <si>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</si>
  <si>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</si>
  <si>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</si>
  <si>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</si>
  <si>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</si>
  <si>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</si>
  <si>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</si>
  <si>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</si>
  <si>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</si>
  <si>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</si>
  <si>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</si>
  <si>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</si>
  <si>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</si>
  <si>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</si>
  <si>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</si>
  <si>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</si>
  <si>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</si>
  <si>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</si>
  <si>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</si>
  <si>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</si>
  <si>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</si>
  <si>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</si>
  <si>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</si>
  <si>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</si>
  <si>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</si>
  <si>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</si>
  <si>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</si>
  <si>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</si>
  <si>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</si>
  <si>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</si>
  <si>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</si>
  <si>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</si>
  <si>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</si>
  <si>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</si>
  <si>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</si>
  <si>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</si>
  <si>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</si>
  <si>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</si>
  <si>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</si>
  <si>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</si>
  <si>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</si>
  <si>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</si>
  <si>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</si>
  <si>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</si>
  <si>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</si>
  <si>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</si>
  <si>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</si>
  <si>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</si>
  <si>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</si>
  <si>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</si>
  <si>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</si>
  <si>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</si>
  <si>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</si>
  <si>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</si>
  <si>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</si>
  <si>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</si>
  <si>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</si>
  <si>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</si>
  <si>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</si>
  <si>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</si>
  <si>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</si>
  <si>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</si>
  <si>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</si>
  <si>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</si>
  <si>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</si>
  <si>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</si>
  <si>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</si>
  <si>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</si>
  <si>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</si>
  <si>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</si>
  <si>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</si>
  <si>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</si>
  <si>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</si>
  <si>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</si>
  <si>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</si>
  <si>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</si>
  <si>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</si>
  <si>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</si>
  <si>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</si>
  <si>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</si>
  <si>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</si>
  <si>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</si>
  <si>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</si>
  <si>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</si>
  <si>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</si>
  <si>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</si>
  <si>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</si>
  <si>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</si>
  <si>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</si>
  <si>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</si>
  <si>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</si>
  <si>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</si>
  <si>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</si>
  <si>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</si>
  <si>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</si>
  <si>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</si>
  <si>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</si>
  <si>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</si>
  <si>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</si>
  <si>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</si>
  <si>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</si>
  <si>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</si>
  <si>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</si>
  <si>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</si>
  <si>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</si>
  <si>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</si>
  <si>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</si>
  <si>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</si>
  <si>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</si>
  <si>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</si>
  <si>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</si>
  <si>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</si>
  <si>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</si>
  <si>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</si>
  <si>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</si>
  <si>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</si>
  <si>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</si>
  <si>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</si>
  <si>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</si>
  <si>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</si>
  <si>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</si>
  <si>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</si>
  <si>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</si>
  <si>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</si>
  <si>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</si>
  <si>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</si>
  <si>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</si>
  <si>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</si>
  <si>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</si>
  <si>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</si>
  <si>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</si>
  <si>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</si>
  <si>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</si>
  <si>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</si>
  <si>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</si>
  <si>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</si>
  <si>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</si>
  <si>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</si>
  <si>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</si>
  <si>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</si>
  <si>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</si>
  <si>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</si>
  <si>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</si>
  <si>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</si>
  <si>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</si>
  <si>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</si>
  <si>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</si>
  <si>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</si>
  <si>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</si>
  <si>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</si>
  <si>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</si>
  <si>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</si>
  <si>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</si>
  <si>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</si>
  <si>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</si>
  <si>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</si>
  <si>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</si>
  <si>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</si>
  <si>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</si>
  <si>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</si>
  <si>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</si>
  <si>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</si>
  <si>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</si>
  <si>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</si>
  <si>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</si>
  <si>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</si>
  <si>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</si>
  <si>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</si>
  <si>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</si>
  <si>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</si>
  <si>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</si>
  <si>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</si>
  <si>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</si>
  <si>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</si>
  <si>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</si>
  <si>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</si>
  <si>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</si>
  <si>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</si>
  <si>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</si>
  <si>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</si>
  <si>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</si>
  <si>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</si>
  <si>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</si>
  <si>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</si>
  <si>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</si>
  <si>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</si>
  <si>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</si>
  <si>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</si>
  <si>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</si>
  <si>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</si>
  <si>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</si>
  <si>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</si>
  <si>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</si>
  <si>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</si>
  <si>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</si>
  <si>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</si>
  <si>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</si>
  <si>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</si>
  <si>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</si>
  <si>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</si>
  <si>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</si>
  <si>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</si>
  <si>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</si>
  <si>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</si>
  <si>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</si>
  <si>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</si>
  <si>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</si>
  <si>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</si>
  <si>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</si>
  <si>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</si>
  <si>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</si>
  <si>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</si>
  <si>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</si>
  <si>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</si>
  <si>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</si>
  <si>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</si>
  <si>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</si>
  <si>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</si>
  <si>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</si>
  <si>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</si>
  <si>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</si>
  <si>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</si>
  <si>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</si>
  <si>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</si>
  <si>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</si>
  <si>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</si>
  <si>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</si>
  <si>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</si>
  <si>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</si>
  <si>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</si>
  <si>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</si>
  <si>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</si>
  <si>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</si>
  <si>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</si>
  <si>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</si>
  <si>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</si>
  <si>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</si>
  <si>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</si>
  <si>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</si>
  <si>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</si>
  <si>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</si>
  <si>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</si>
  <si>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</si>
  <si>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</si>
  <si>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</si>
  <si>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</si>
  <si>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</si>
  <si>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</si>
  <si>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</si>
  <si>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</si>
  <si>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</si>
  <si>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</si>
  <si>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</si>
  <si>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</si>
  <si>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</si>
  <si>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</si>
  <si>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</si>
  <si>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</si>
  <si>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</si>
  <si>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</si>
  <si>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</si>
  <si>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</si>
  <si>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</si>
  <si>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</si>
  <si>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</si>
  <si>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</si>
  <si>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</si>
  <si>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</si>
  <si>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</si>
  <si>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</si>
  <si>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</si>
  <si>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</si>
  <si>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</si>
  <si>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</si>
  <si>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</si>
  <si>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</si>
  <si>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</si>
  <si>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</si>
  <si>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</si>
  <si>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</si>
  <si>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</si>
  <si>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</si>
  <si>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</si>
  <si>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</si>
  <si>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</si>
  <si>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</si>
  <si>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</si>
  <si>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</si>
  <si>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</si>
  <si>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</si>
  <si>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</si>
  <si>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</si>
  <si>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</si>
  <si>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</si>
  <si>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</si>
  <si>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</si>
  <si>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</si>
  <si>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</si>
  <si>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</si>
  <si>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</si>
  <si>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</si>
  <si>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</si>
  <si>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</si>
  <si>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</si>
  <si>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</si>
  <si>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</si>
  <si>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</si>
  <si>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</si>
  <si>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</si>
  <si>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</si>
  <si>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</si>
  <si>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</si>
  <si>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</si>
  <si>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</si>
  <si>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</si>
  <si>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</si>
  <si>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</si>
  <si>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</si>
  <si>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</si>
  <si>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</si>
  <si>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</si>
  <si>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</si>
  <si>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</si>
  <si>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</si>
  <si>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</si>
  <si>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</si>
  <si>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</si>
  <si>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</si>
  <si>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</si>
  <si>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</si>
  <si>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</si>
  <si>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</si>
  <si>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</si>
  <si>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</si>
  <si>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</si>
  <si>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</si>
  <si>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</si>
  <si>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</si>
  <si>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</si>
  <si>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</si>
  <si>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</si>
  <si>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</si>
  <si>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</si>
  <si>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</si>
  <si>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</si>
  <si>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</si>
  <si>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</si>
  <si>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</si>
  <si>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</si>
  <si>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</si>
  <si>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</si>
  <si>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</si>
  <si>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</si>
  <si>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</si>
  <si>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</si>
  <si>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</si>
  <si>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</si>
  <si>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</si>
  <si>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</si>
  <si>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</si>
  <si>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</si>
  <si>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</si>
  <si>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</si>
  <si>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</si>
  <si>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</si>
  <si>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</si>
  <si>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</si>
  <si>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</si>
  <si>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</si>
  <si>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</si>
  <si>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</si>
  <si>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</si>
  <si>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</si>
  <si>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</si>
  <si>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</si>
  <si>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</si>
  <si>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</si>
  <si>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</si>
  <si>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</si>
  <si>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</si>
  <si>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</si>
  <si>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</si>
  <si>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</si>
  <si>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</si>
  <si>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</si>
  <si>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</si>
  <si>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</si>
  <si>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</si>
  <si>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</si>
  <si>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</si>
  <si>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</si>
  <si>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</si>
  <si>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</si>
  <si>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</si>
  <si>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</si>
  <si>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</si>
  <si>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</si>
  <si>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</si>
  <si>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</si>
  <si>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</si>
  <si>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</si>
  <si>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</si>
  <si>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</si>
  <si>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</si>
  <si>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</si>
  <si>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</si>
  <si>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</si>
  <si>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</si>
  <si>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</si>
  <si>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</si>
  <si>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</si>
  <si>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</si>
  <si>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</si>
  <si>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</si>
  <si>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</si>
  <si>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</si>
  <si>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</si>
  <si>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</si>
  <si>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</si>
  <si>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</si>
  <si>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</si>
  <si>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</si>
  <si>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</si>
  <si>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</si>
  <si>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</si>
  <si>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</si>
  <si>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</si>
  <si>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</si>
  <si>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</si>
  <si>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</si>
  <si>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</si>
  <si>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</si>
  <si>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</si>
  <si>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</si>
  <si>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</si>
  <si>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</si>
  <si>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</si>
  <si>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</si>
  <si>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</si>
  <si>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</si>
  <si>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</si>
  <si>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</si>
  <si>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</si>
  <si>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</si>
  <si>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</si>
  <si>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</si>
  <si>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</si>
  <si>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</si>
  <si>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</si>
  <si>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</si>
  <si>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</si>
  <si>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</si>
  <si>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</si>
  <si>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</si>
  <si>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</si>
  <si>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</si>
  <si>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</si>
  <si>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</si>
  <si>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</si>
  <si>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</si>
  <si>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</si>
  <si>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</si>
  <si>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</si>
  <si>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</si>
  <si>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</si>
  <si>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</si>
  <si>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</si>
  <si>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</si>
  <si>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</si>
  <si>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</si>
  <si>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</si>
  <si>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</si>
  <si>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</si>
  <si>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</si>
  <si>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</si>
  <si>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</si>
  <si>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</si>
  <si>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</si>
  <si>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</si>
  <si>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</si>
  <si>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</si>
  <si>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</si>
  <si>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</si>
  <si>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</si>
  <si>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</si>
  <si>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</si>
  <si>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</si>
  <si>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</si>
  <si>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</si>
  <si>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</si>
  <si>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</si>
  <si>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</si>
  <si>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</si>
  <si>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</si>
  <si>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</si>
  <si>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</si>
  <si>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</si>
  <si>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</si>
  <si>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</si>
  <si>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</si>
  <si>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</si>
  <si>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</si>
  <si>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</si>
  <si>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</si>
  <si>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</si>
  <si>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</si>
  <si>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</si>
  <si>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</si>
  <si>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</si>
  <si>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</si>
  <si>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</si>
  <si>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</si>
  <si>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</si>
  <si>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</si>
  <si>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</si>
  <si>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</si>
  <si>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</si>
  <si>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</si>
  <si>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</si>
  <si>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</si>
  <si>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</si>
  <si>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</si>
  <si>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</si>
  <si>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</si>
  <si>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</si>
  <si>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</si>
  <si>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</si>
  <si>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</si>
  <si>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</si>
  <si>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</si>
  <si>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</si>
  <si>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</si>
  <si>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</si>
  <si>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</si>
  <si>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</si>
  <si>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</si>
  <si>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</si>
  <si>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</si>
  <si>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</si>
  <si>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</si>
  <si>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</si>
  <si>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</si>
  <si>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</si>
  <si>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</si>
  <si>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</si>
  <si>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</si>
  <si>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</si>
  <si>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</si>
  <si>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</si>
  <si>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</si>
  <si>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</si>
  <si>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</si>
  <si>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</si>
  <si>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</si>
  <si>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</si>
  <si>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</si>
  <si>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</si>
  <si>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</si>
  <si>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</si>
  <si>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</si>
  <si>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</si>
  <si>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</si>
  <si>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</si>
  <si>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</si>
  <si>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</si>
  <si>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</si>
  <si>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</si>
  <si>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</si>
  <si>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</si>
  <si>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</si>
  <si>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</si>
  <si>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</si>
  <si>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</si>
  <si>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</si>
  <si>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</si>
  <si>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</si>
  <si>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</si>
  <si>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</si>
  <si>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</si>
  <si>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</si>
  <si>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</si>
  <si>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</si>
  <si>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</si>
  <si>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</si>
  <si>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</si>
  <si>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</si>
  <si>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</si>
  <si>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</si>
  <si>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</si>
  <si>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</si>
  <si>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</si>
  <si>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</si>
  <si>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</si>
  <si>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</si>
  <si>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</si>
  <si>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</si>
  <si>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</si>
  <si>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</si>
  <si>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</si>
  <si>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</si>
  <si>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</si>
  <si>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</si>
  <si>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</si>
  <si>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</si>
  <si>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</si>
  <si>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</si>
  <si>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</si>
  <si>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</si>
  <si>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</si>
  <si>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</si>
  <si>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</si>
  <si>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</si>
  <si>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</si>
  <si>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</si>
  <si>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</si>
  <si>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</si>
  <si>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</si>
  <si>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</si>
  <si>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</si>
  <si>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</si>
  <si>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</si>
  <si>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</si>
  <si>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</si>
  <si>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</si>
  <si>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</si>
  <si>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</si>
  <si>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</si>
  <si>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</si>
  <si>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</si>
  <si>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</si>
  <si>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</si>
  <si>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</si>
  <si>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</si>
  <si>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</si>
  <si>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</si>
  <si>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</si>
  <si>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</si>
  <si>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</si>
  <si>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</si>
  <si>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</si>
  <si>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</si>
  <si>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</si>
  <si>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</si>
  <si>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</si>
  <si>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</si>
  <si>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</si>
  <si>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</si>
  <si>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</si>
  <si>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</si>
  <si>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</si>
  <si>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</si>
  <si>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</si>
  <si>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</si>
  <si>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</si>
  <si>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</si>
  <si>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</si>
  <si>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</si>
  <si>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</si>
  <si>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</si>
  <si>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</si>
  <si>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</si>
  <si>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</si>
  <si>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</si>
  <si>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</si>
  <si>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</si>
  <si>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</si>
  <si>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</si>
  <si>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</si>
  <si>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</si>
  <si>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</si>
  <si>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</si>
  <si>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</si>
  <si>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</si>
  <si>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</si>
  <si>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</si>
  <si>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</si>
  <si>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</si>
  <si>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</si>
  <si>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</si>
  <si>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</si>
  <si>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</si>
  <si>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</si>
  <si>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</si>
  <si>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</si>
  <si>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</si>
  <si>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</si>
  <si>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</si>
  <si>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</si>
  <si>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</si>
  <si>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</si>
  <si>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</si>
  <si>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</si>
  <si>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</si>
  <si>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</si>
  <si>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</si>
  <si>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</si>
  <si>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</si>
  <si>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</si>
  <si>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</si>
  <si>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</si>
  <si>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</si>
  <si>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</si>
  <si>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</si>
  <si>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</si>
  <si>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</si>
  <si>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</si>
  <si>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</si>
  <si>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</si>
  <si>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</si>
  <si>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</si>
  <si>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</si>
  <si>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</si>
  <si>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</si>
  <si>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</si>
  <si>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</si>
  <si>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</si>
  <si>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</si>
  <si>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</si>
  <si>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</si>
  <si>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</si>
  <si>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</si>
  <si>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</si>
  <si>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</si>
  <si>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</si>
  <si>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</si>
  <si>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</si>
  <si>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</si>
  <si>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</si>
  <si>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</si>
  <si>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</si>
  <si>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</si>
  <si>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</si>
  <si>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</si>
  <si>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</si>
  <si>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</si>
  <si>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</si>
  <si>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</si>
  <si>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</si>
  <si>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</si>
  <si>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</si>
  <si>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</si>
  <si>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</si>
  <si>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</si>
  <si>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</si>
  <si>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</si>
  <si>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</si>
  <si>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</si>
  <si>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</si>
  <si>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</si>
  <si>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</si>
  <si>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</si>
  <si>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</si>
  <si>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</si>
  <si>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</si>
  <si>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</si>
  <si>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</si>
  <si>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</si>
  <si>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</si>
  <si>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</si>
  <si>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</si>
  <si>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</si>
  <si>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</si>
  <si>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</si>
  <si>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</si>
  <si>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</si>
  <si>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</si>
  <si>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</si>
  <si>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</si>
  <si>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</si>
  <si>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</si>
  <si>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</si>
  <si>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</si>
  <si>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</si>
  <si>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</si>
  <si>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</si>
  <si>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</si>
  <si>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</si>
  <si>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</si>
  <si>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</si>
  <si>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</si>
  <si>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</si>
  <si>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</si>
  <si>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</si>
  <si>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</si>
  <si>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</si>
  <si>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</si>
  <si>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</si>
  <si>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</si>
  <si>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</si>
  <si>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</si>
  <si>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</si>
  <si>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</si>
  <si>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</si>
  <si>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</si>
  <si>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</si>
  <si>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</si>
  <si>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</si>
  <si>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</si>
  <si>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</si>
  <si>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</si>
  <si>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</si>
  <si>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</si>
  <si>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</si>
  <si>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</si>
  <si>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</si>
  <si>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</si>
  <si>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</si>
  <si>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</si>
  <si>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</si>
  <si>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</si>
  <si>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</si>
  <si>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</si>
  <si>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</si>
  <si>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</si>
  <si>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</si>
  <si>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</si>
  <si>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</si>
  <si>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</si>
  <si>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</si>
  <si>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</si>
  <si>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</si>
  <si>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</si>
  <si>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</si>
  <si>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</si>
  <si>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</si>
  <si>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</si>
  <si>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</si>
  <si>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</si>
  <si>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</si>
  <si>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</si>
  <si>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</si>
  <si>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</si>
  <si>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</si>
  <si>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</si>
  <si>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</si>
  <si>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</si>
  <si>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</si>
  <si>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</si>
  <si>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</si>
  <si>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</si>
  <si>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</si>
  <si>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</si>
  <si>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</si>
  <si>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</si>
  <si>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</si>
  <si>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</si>
  <si>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</si>
  <si>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</si>
  <si>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</si>
  <si>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</si>
  <si>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</si>
  <si>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</si>
  <si>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</si>
  <si>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</si>
  <si>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</si>
  <si>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</si>
  <si>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</si>
  <si>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</si>
  <si>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</si>
  <si>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</si>
  <si>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</si>
  <si>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</si>
  <si>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</si>
  <si>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</si>
  <si>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</si>
  <si>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</si>
  <si>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</si>
  <si>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</si>
  <si>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</si>
  <si>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</si>
  <si>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</si>
  <si>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</si>
  <si>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</si>
  <si>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</si>
  <si>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</si>
  <si>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</si>
  <si>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</si>
  <si>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</si>
  <si>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</si>
  <si>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</si>
  <si>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</si>
  <si>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</si>
  <si>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</si>
  <si>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</si>
  <si>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</si>
  <si>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</si>
  <si>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</si>
  <si>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</si>
  <si>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</si>
  <si>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</si>
  <si>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</si>
  <si>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</si>
  <si>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</si>
  <si>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</si>
  <si>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</si>
  <si>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</si>
  <si>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</si>
  <si>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</si>
  <si>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</si>
  <si>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</si>
  <si>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</si>
  <si>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</si>
  <si>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</si>
  <si>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</si>
  <si>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</si>
  <si>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</si>
  <si>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</si>
  <si>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</si>
  <si>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</si>
  <si>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</si>
  <si>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</si>
  <si>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</si>
  <si>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</si>
  <si>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</si>
  <si>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</si>
  <si>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</si>
  <si>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</si>
  <si>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</si>
  <si>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</si>
  <si>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</si>
  <si>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</si>
  <si>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</si>
  <si>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</si>
  <si>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</si>
  <si>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</si>
  <si>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</si>
  <si>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</si>
  <si>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</si>
  <si>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</si>
  <si>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</si>
  <si>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</si>
  <si>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</si>
  <si>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</si>
  <si>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</si>
  <si>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</si>
  <si>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</si>
  <si>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</si>
  <si>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</si>
  <si>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</si>
  <si>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</si>
  <si>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</si>
  <si>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</si>
  <si>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</si>
  <si>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</si>
  <si>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</si>
  <si>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</si>
  <si>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</si>
  <si>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</si>
  <si>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</si>
  <si>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</si>
  <si>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</si>
  <si>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</si>
  <si>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</si>
  <si>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</si>
  <si>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</si>
  <si>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</si>
  <si>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</si>
  <si>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</si>
  <si>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</si>
  <si>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</si>
  <si>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</si>
  <si>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</si>
  <si>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</si>
  <si>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</si>
  <si>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</si>
  <si>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</si>
  <si>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</si>
  <si>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</si>
  <si>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</si>
  <si>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</si>
  <si>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</si>
  <si>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</si>
  <si>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</si>
  <si>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</si>
  <si>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</si>
  <si>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</si>
  <si>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</si>
  <si>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</si>
  <si>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</si>
  <si>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</si>
  <si>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</si>
  <si>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</si>
  <si>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</si>
  <si>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</si>
  <si>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</si>
  <si>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</si>
  <si>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</si>
  <si>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</si>
  <si>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</si>
  <si>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</si>
  <si>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</si>
  <si>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</si>
  <si>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</si>
  <si>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</si>
  <si>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</si>
  <si>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</si>
  <si>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</si>
  <si>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</si>
  <si>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</si>
  <si>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</si>
  <si>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</si>
  <si>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</si>
  <si>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</si>
  <si>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</si>
  <si>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</si>
  <si>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</si>
  <si>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</si>
  <si>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</si>
  <si>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</si>
  <si>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</si>
  <si>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</si>
  <si>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</si>
  <si>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</si>
  <si>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</si>
  <si>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</si>
  <si>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</si>
  <si>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</si>
  <si>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</si>
  <si>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</si>
  <si>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</si>
  <si>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</si>
  <si>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</si>
  <si>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</si>
  <si>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</si>
  <si>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</si>
  <si>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</si>
  <si>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</si>
  <si>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</si>
  <si>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</si>
  <si>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</si>
  <si>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</si>
  <si>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</si>
  <si>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</si>
  <si>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</si>
  <si>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</si>
  <si>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</si>
  <si>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</si>
  <si>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</si>
  <si>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</si>
  <si>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</si>
  <si>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</si>
  <si>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</si>
  <si>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</si>
  <si>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</si>
  <si>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</si>
  <si>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</si>
  <si>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</si>
  <si>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</si>
  <si>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</si>
  <si>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</si>
  <si>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</si>
  <si>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</si>
  <si>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</si>
  <si>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</si>
  <si>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</si>
  <si>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</si>
  <si>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</si>
  <si>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</si>
  <si>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</si>
  <si>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</si>
  <si>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</si>
  <si>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</si>
  <si>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</si>
  <si>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</si>
  <si>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</si>
  <si>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</si>
  <si>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</si>
  <si>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</si>
  <si>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</si>
  <si>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</si>
  <si>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</si>
  <si>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</si>
  <si>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</si>
  <si>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</si>
  <si>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</si>
  <si>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</si>
  <si>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</si>
  <si>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</si>
  <si>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</si>
  <si>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</si>
  <si>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</si>
  <si>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</si>
  <si>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</si>
  <si>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</si>
  <si>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</si>
  <si>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</si>
  <si>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</si>
  <si>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</si>
  <si>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</si>
  <si>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</si>
  <si>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</si>
  <si>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</si>
  <si>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</si>
  <si>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</si>
  <si>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</si>
  <si>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</si>
  <si>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</si>
  <si>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</si>
  <si>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</si>
  <si>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</si>
  <si>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</si>
  <si>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</si>
  <si>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</si>
  <si>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</si>
  <si>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</si>
  <si>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</si>
  <si>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</si>
  <si>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</si>
  <si>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</si>
  <si>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</si>
  <si>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</si>
  <si>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</si>
  <si>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</si>
  <si>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</si>
  <si>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</si>
  <si>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</si>
  <si>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</si>
  <si>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</si>
  <si>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</si>
  <si>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</si>
  <si>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</si>
  <si>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</si>
  <si>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</si>
  <si>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</si>
  <si>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</si>
  <si>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</si>
  <si>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</si>
  <si>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</si>
  <si>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</si>
  <si>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</si>
  <si>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</si>
  <si>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</si>
  <si>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</si>
  <si>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</si>
  <si>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</si>
  <si>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</si>
  <si>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</si>
  <si>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</si>
  <si>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</si>
  <si>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</si>
  <si>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</si>
  <si>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</si>
  <si>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</si>
  <si>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</si>
  <si>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</si>
  <si>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</si>
  <si>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</si>
  <si>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</si>
  <si>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</si>
  <si>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</si>
  <si>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</si>
  <si>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</si>
  <si>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</si>
  <si>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</si>
  <si>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</si>
  <si>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</si>
  <si>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</si>
  <si>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</si>
  <si>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</si>
  <si>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</si>
  <si>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</si>
  <si>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</si>
  <si>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</si>
  <si>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</si>
  <si>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</si>
  <si>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</si>
  <si>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</si>
  <si>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</si>
  <si>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</si>
  <si>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</si>
  <si>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</si>
  <si>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</si>
  <si>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</si>
  <si>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</si>
  <si>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</si>
  <si>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</si>
  <si>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</si>
  <si>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</si>
  <si>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</si>
  <si>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</si>
  <si>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</si>
  <si>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</si>
  <si>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</si>
  <si>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</si>
  <si>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</si>
  <si>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</si>
  <si>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</si>
  <si>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</si>
  <si>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</si>
  <si>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</si>
  <si>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</si>
  <si>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</si>
  <si>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</si>
  <si>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</si>
  <si>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</si>
  <si>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</si>
  <si>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</si>
  <si>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</si>
  <si>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</si>
  <si>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</si>
  <si>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</si>
  <si>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</si>
  <si>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</si>
  <si>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</si>
  <si>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</si>
  <si>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</si>
  <si>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</si>
  <si>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</si>
  <si>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</si>
  <si>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</si>
  <si>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</si>
  <si>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</si>
  <si>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</si>
  <si>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</si>
  <si>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</si>
  <si>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</si>
  <si>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</si>
  <si>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</si>
  <si>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</si>
  <si>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</si>
  <si>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</si>
  <si>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</si>
  <si>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</si>
  <si>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</si>
  <si>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</si>
  <si>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</si>
  <si>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</si>
  <si>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</si>
  <si>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</si>
  <si>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</si>
  <si>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</si>
  <si>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</si>
  <si>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</si>
  <si>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</si>
  <si>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</si>
  <si>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</si>
  <si>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</si>
  <si>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</si>
  <si>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</si>
  <si>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</si>
  <si>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</si>
  <si>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</si>
  <si>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</si>
  <si>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</si>
  <si>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</si>
  <si>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</si>
  <si>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</si>
  <si>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</si>
  <si>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</si>
  <si>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</si>
  <si>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</si>
  <si>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</si>
  <si>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</si>
  <si>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</si>
  <si>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</si>
  <si>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</si>
  <si>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</si>
  <si>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</si>
  <si>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</si>
  <si>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</si>
  <si>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</si>
  <si>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</si>
  <si>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</si>
  <si>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</si>
  <si>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</si>
  <si>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</si>
  <si>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</si>
  <si>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</si>
  <si>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</si>
  <si>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</si>
  <si>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</si>
  <si>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</si>
  <si>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</si>
  <si>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</si>
  <si>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</si>
  <si>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</si>
  <si>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</si>
  <si>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</si>
  <si>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</si>
  <si>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</si>
  <si>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</si>
  <si>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</si>
  <si>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</si>
  <si>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</si>
  <si>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</si>
  <si>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</si>
  <si>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</si>
  <si>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</si>
  <si>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</si>
  <si>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</si>
  <si>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</si>
  <si>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</si>
  <si>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</si>
  <si>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</si>
  <si>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</si>
  <si>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</si>
  <si>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</si>
  <si>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</si>
  <si>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</si>
  <si>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</si>
  <si>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</si>
  <si>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</si>
  <si>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</si>
  <si>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</si>
  <si>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</si>
  <si>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</si>
  <si>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</si>
  <si>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</si>
  <si>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</si>
  <si>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</si>
  <si>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</si>
  <si>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</si>
  <si>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</si>
  <si>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</si>
  <si>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</si>
  <si>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</si>
  <si>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</si>
  <si>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</si>
  <si>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</si>
  <si>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</si>
  <si>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</si>
  <si>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</si>
  <si>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</si>
  <si>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</si>
  <si>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</si>
  <si>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</si>
  <si>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</si>
  <si>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</si>
  <si>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</si>
  <si>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</si>
  <si>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</si>
  <si>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</si>
  <si>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</si>
  <si>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</si>
  <si>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</si>
  <si>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</si>
  <si>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</si>
  <si>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</si>
  <si>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</si>
  <si>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</si>
  <si>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</si>
  <si>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</si>
  <si>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</si>
  <si>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</si>
  <si>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</si>
  <si>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</si>
  <si>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</si>
  <si>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</si>
  <si>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</si>
  <si>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</si>
  <si>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</si>
  <si>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</si>
  <si>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</si>
  <si>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</si>
  <si>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</si>
  <si>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</si>
  <si>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</si>
  <si>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</si>
  <si>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</si>
  <si>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</si>
  <si>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</si>
  <si>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</si>
  <si>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</si>
  <si>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</si>
  <si>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</si>
  <si>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</si>
  <si>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</si>
  <si>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</si>
  <si>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</si>
  <si>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</si>
  <si>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</si>
  <si>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</si>
  <si>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</si>
  <si>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</si>
  <si>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</si>
  <si>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</si>
  <si>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</si>
  <si>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</si>
  <si>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</si>
  <si>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</si>
  <si>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</si>
  <si>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</si>
  <si>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</si>
  <si>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</si>
  <si>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</si>
  <si>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</si>
  <si>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</si>
  <si>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</si>
  <si>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</si>
  <si>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</si>
  <si>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</si>
  <si>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</si>
  <si>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</si>
  <si>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</si>
  <si>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</si>
  <si>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</si>
  <si>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</si>
  <si>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</si>
  <si>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</si>
  <si>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</si>
  <si>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</si>
  <si>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</si>
  <si>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</si>
  <si>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</si>
  <si>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</si>
  <si>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</si>
  <si>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</si>
  <si>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</si>
  <si>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</si>
  <si>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</si>
  <si>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</si>
  <si>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</si>
  <si>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</si>
  <si>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</si>
  <si>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</si>
  <si>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</si>
  <si>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</si>
  <si>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</si>
  <si>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</si>
  <si>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</si>
  <si>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</si>
  <si>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</si>
  <si>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</si>
  <si>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</si>
  <si>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</si>
  <si>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</si>
  <si>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</si>
  <si>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</si>
  <si>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</si>
  <si>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</si>
  <si>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</si>
  <si>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</si>
  <si>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</si>
  <si>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</si>
  <si>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</si>
  <si>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</si>
  <si>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</si>
  <si>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</si>
  <si>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</si>
  <si>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</si>
  <si>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</si>
  <si>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</si>
  <si>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</si>
  <si>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</si>
  <si>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</si>
  <si>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</si>
  <si>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</si>
  <si>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</si>
  <si>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</si>
  <si>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</si>
  <si>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</si>
  <si>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</si>
  <si>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</si>
  <si>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</si>
  <si>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</si>
  <si>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</si>
  <si>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</si>
  <si>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</si>
  <si>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</si>
  <si>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</si>
  <si>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</si>
  <si>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</si>
  <si>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</si>
  <si>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</si>
  <si>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</si>
  <si>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</si>
  <si>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</si>
  <si>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</si>
  <si>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</si>
  <si>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</si>
  <si>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</si>
  <si>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</si>
  <si>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</si>
  <si>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</si>
  <si>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</si>
  <si>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</si>
  <si>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</si>
  <si>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</si>
  <si>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</si>
  <si>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</si>
  <si>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</si>
  <si>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</si>
  <si>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</si>
  <si>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</si>
  <si>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</si>
  <si>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</si>
  <si>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</si>
  <si>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</si>
  <si>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</si>
  <si>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</si>
  <si>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</si>
  <si>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</si>
  <si>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</si>
  <si>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</si>
  <si>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</si>
  <si>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</si>
  <si>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</si>
  <si>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</si>
  <si>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</si>
  <si>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</si>
  <si>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</si>
  <si>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</si>
  <si>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</si>
  <si>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</si>
  <si>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</si>
  <si>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</si>
  <si>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</si>
  <si>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</si>
  <si>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</si>
  <si>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</si>
  <si>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</si>
  <si>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</si>
  <si>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</si>
  <si>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</si>
  <si>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</si>
  <si>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</si>
  <si>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</si>
  <si>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</si>
  <si>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</si>
  <si>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</si>
  <si>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</si>
  <si>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</si>
  <si>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</si>
  <si>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</si>
  <si>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</si>
  <si>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</si>
  <si>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</si>
  <si>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</si>
  <si>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</si>
  <si>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</si>
  <si>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</si>
  <si>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</si>
  <si>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</si>
  <si>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</si>
  <si>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</si>
  <si>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</si>
  <si>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</si>
  <si>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</si>
  <si>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</si>
  <si>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</si>
  <si>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</si>
  <si>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</si>
  <si>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</si>
  <si>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</si>
  <si>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</si>
  <si>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</si>
  <si>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</si>
  <si>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</si>
  <si>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</si>
  <si>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</si>
  <si>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</si>
  <si>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</si>
  <si>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</si>
  <si>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</si>
  <si>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</si>
  <si>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</si>
  <si>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</si>
  <si>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</si>
  <si>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</si>
  <si>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</si>
  <si>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</si>
  <si>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</si>
  <si>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</si>
  <si>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</si>
  <si>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</si>
  <si>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</si>
  <si>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</si>
  <si>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</si>
  <si>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</si>
  <si>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</si>
  <si>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</si>
  <si>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</si>
  <si>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</si>
  <si>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</si>
  <si>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</si>
  <si>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</si>
  <si>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</si>
  <si>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</si>
  <si>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</si>
  <si>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</si>
  <si>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</si>
  <si>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</si>
  <si>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</si>
  <si>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</si>
  <si>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</si>
  <si>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</si>
  <si>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</si>
  <si>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</si>
  <si>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</si>
  <si>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</si>
  <si>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</si>
  <si>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</si>
  <si>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</si>
  <si>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</si>
  <si>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</si>
  <si>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</si>
  <si>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</si>
  <si>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</si>
  <si>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</si>
  <si>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</si>
  <si>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</si>
  <si>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</si>
  <si>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</si>
  <si>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</si>
  <si>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</si>
  <si>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</si>
  <si>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</si>
  <si>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</si>
  <si>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</si>
  <si>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</si>
  <si>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</si>
  <si>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</si>
  <si>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</si>
  <si>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</si>
  <si>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</si>
  <si>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</si>
  <si>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</si>
  <si>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</si>
  <si>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</si>
  <si>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</si>
  <si>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</si>
  <si>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</si>
  <si>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</si>
  <si>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</si>
  <si>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</si>
  <si>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</si>
  <si>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</si>
  <si>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</si>
  <si>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</si>
  <si>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</si>
  <si>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</si>
  <si>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</si>
  <si>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</si>
  <si>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</si>
  <si>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</si>
  <si>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</si>
  <si>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</si>
  <si>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</si>
  <si>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</si>
  <si>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</si>
  <si>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</si>
  <si>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</si>
  <si>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</si>
  <si>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</si>
  <si>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</si>
  <si>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</si>
  <si>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</si>
  <si>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</si>
  <si>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</si>
  <si>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</si>
  <si>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</si>
  <si>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</si>
  <si>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</si>
  <si>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</si>
  <si>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</si>
  <si>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</si>
  <si>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</si>
  <si>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</si>
  <si>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</si>
  <si>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</si>
  <si>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</si>
  <si>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</si>
  <si>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</si>
  <si>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</si>
  <si>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</si>
  <si>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</si>
  <si>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</si>
  <si>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</si>
  <si>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</si>
  <si>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</si>
  <si>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</si>
  <si>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</si>
  <si>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</si>
  <si>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</si>
  <si>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</si>
  <si>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</si>
  <si>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</si>
  <si>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</si>
  <si>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</si>
  <si>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</si>
  <si>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</si>
  <si>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</si>
  <si>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</si>
  <si>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</si>
  <si>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</si>
  <si>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</si>
  <si>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</si>
  <si>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</si>
  <si>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</si>
  <si>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</si>
  <si>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</si>
  <si>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</si>
  <si>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</si>
  <si>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</si>
  <si>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</si>
  <si>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</si>
  <si>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</si>
  <si>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</si>
  <si>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</si>
  <si>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</si>
  <si>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</si>
  <si>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</si>
  <si>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</si>
  <si>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</si>
  <si>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</si>
  <si>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</si>
  <si>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</si>
  <si>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</si>
  <si>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</si>
  <si>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</si>
  <si>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</si>
  <si>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</si>
  <si>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</si>
  <si>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</si>
  <si>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</si>
  <si>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</si>
  <si>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</si>
  <si>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</si>
  <si>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</si>
  <si>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</si>
  <si>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</si>
  <si>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</si>
  <si>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</si>
  <si>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</si>
  <si>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</si>
  <si>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</si>
  <si>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</si>
  <si>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</si>
  <si>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</si>
  <si>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</si>
  <si>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</si>
  <si>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</si>
  <si>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</si>
  <si>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</si>
  <si>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</si>
  <si>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</si>
  <si>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</si>
  <si>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</si>
  <si>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</si>
  <si>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</si>
  <si>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</si>
  <si>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</si>
  <si>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</si>
  <si>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</si>
  <si>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</si>
  <si>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</si>
  <si>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</si>
  <si>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</si>
  <si>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</si>
  <si>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</si>
  <si>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</si>
  <si>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</si>
  <si>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</si>
  <si>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</si>
  <si>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</si>
  <si>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</si>
  <si>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</si>
  <si>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</si>
  <si>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</si>
  <si>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</si>
  <si>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</si>
  <si>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</si>
  <si>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</si>
  <si>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</si>
  <si>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</si>
  <si>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</si>
  <si>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</si>
  <si>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</si>
  <si>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</si>
  <si>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</si>
  <si>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</si>
  <si>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</si>
  <si>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</si>
  <si>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</si>
  <si>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</si>
  <si>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</si>
  <si>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</si>
  <si>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</si>
  <si>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</si>
  <si>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</si>
  <si>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</si>
  <si>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</si>
  <si>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</si>
  <si>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</si>
  <si>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</si>
  <si>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</si>
  <si>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</si>
  <si>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</si>
  <si>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</si>
  <si>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</si>
  <si>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</si>
  <si>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</si>
  <si>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</si>
  <si>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</si>
  <si>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</si>
  <si>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</si>
  <si>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</si>
  <si>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</si>
  <si>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</si>
  <si>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</si>
  <si>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</si>
  <si>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</si>
  <si>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</si>
  <si>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</si>
  <si>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</si>
  <si>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</si>
  <si>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</si>
  <si>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</si>
  <si>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</si>
  <si>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</si>
  <si>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</si>
  <si>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</si>
  <si>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</si>
  <si>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</si>
  <si>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</si>
  <si>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</si>
  <si>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</si>
  <si>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</si>
  <si>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</si>
  <si>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</si>
  <si>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</si>
  <si>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</si>
  <si>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</si>
  <si>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</si>
  <si>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</si>
  <si>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</si>
  <si>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</si>
  <si>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</si>
  <si>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</si>
  <si>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</si>
  <si>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</si>
  <si>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</si>
  <si>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</si>
  <si>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</si>
  <si>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</si>
  <si>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</si>
  <si>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</si>
  <si>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</si>
  <si>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</si>
  <si>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</si>
  <si>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</si>
  <si>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</si>
  <si>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</si>
  <si>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</si>
  <si>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</si>
  <si>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</si>
  <si>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</si>
  <si>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</si>
  <si>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</si>
  <si>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</si>
  <si>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</si>
  <si>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</si>
  <si>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</si>
  <si>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</si>
  <si>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</si>
  <si>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</si>
  <si>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</si>
  <si>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</si>
  <si>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</si>
  <si>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</si>
  <si>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</si>
  <si>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</si>
  <si>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</si>
  <si>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</si>
  <si>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</si>
  <si>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</si>
  <si>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</si>
  <si>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</si>
  <si>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</si>
  <si>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</si>
  <si>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</si>
  <si>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</si>
  <si>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</si>
  <si>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</si>
  <si>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</si>
  <si>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</si>
  <si>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</si>
  <si>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</si>
  <si>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</si>
  <si>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</si>
  <si>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</si>
  <si>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</si>
  <si>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</si>
  <si>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</si>
  <si>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</si>
  <si>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</si>
  <si>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</si>
  <si>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</si>
  <si>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</si>
  <si>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</si>
  <si>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</si>
  <si>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</si>
  <si>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</si>
  <si>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</si>
  <si>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</si>
  <si>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</si>
  <si>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</si>
  <si>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</si>
  <si>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</si>
  <si>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</si>
  <si>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</si>
  <si>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</si>
  <si>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</si>
  <si>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</si>
  <si>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</si>
  <si>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</si>
  <si>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</si>
  <si>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</si>
  <si>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</si>
  <si>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</si>
  <si>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</si>
  <si>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</si>
  <si>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</si>
  <si>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</si>
  <si>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</si>
  <si>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</si>
  <si>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</si>
  <si>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</si>
  <si>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</si>
  <si>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</si>
  <si>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</si>
  <si>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</si>
  <si>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</si>
  <si>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</si>
  <si>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</si>
  <si>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</si>
  <si>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</si>
  <si>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</si>
  <si>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</si>
  <si>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</si>
  <si>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</si>
  <si>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</si>
  <si>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</si>
  <si>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</si>
  <si>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</si>
  <si>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</si>
  <si>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</si>
  <si>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</si>
  <si>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</si>
  <si>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</si>
  <si>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</si>
  <si>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</si>
  <si>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</si>
  <si>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</si>
  <si>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</si>
  <si>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</si>
  <si>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</si>
  <si>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</si>
  <si>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</si>
  <si>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</si>
  <si>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</si>
  <si>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</si>
  <si>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</si>
  <si>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</si>
  <si>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</si>
  <si>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</si>
  <si>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</si>
  <si>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</si>
  <si>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</si>
  <si>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</si>
  <si>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</si>
  <si>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</si>
  <si>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</si>
  <si>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</si>
  <si>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</si>
  <si>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</si>
  <si>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</si>
  <si>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</si>
  <si>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</si>
  <si>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</si>
  <si>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</si>
  <si>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</si>
  <si>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</si>
  <si>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</si>
  <si>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</si>
  <si>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</si>
  <si>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</si>
  <si>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</si>
  <si>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</si>
  <si>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</si>
  <si>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</si>
  <si>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</si>
  <si>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</si>
  <si>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</si>
  <si>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</si>
  <si>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</si>
  <si>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</si>
  <si>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</si>
  <si>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</si>
  <si>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</si>
  <si>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</si>
  <si>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</si>
  <si>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</si>
  <si>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</si>
  <si>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</si>
  <si>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</si>
  <si>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</si>
  <si>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</si>
  <si>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</si>
  <si>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</si>
  <si>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</si>
  <si>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</si>
  <si>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</si>
  <si>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</si>
  <si>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</si>
  <si>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</si>
  <si>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</si>
  <si>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</si>
  <si>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</si>
  <si>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</si>
  <si>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</si>
  <si>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</si>
  <si>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</si>
  <si>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</si>
  <si>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</si>
  <si>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</si>
  <si>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</si>
  <si>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</si>
  <si>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</si>
  <si>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</si>
  <si>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</si>
  <si>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</si>
  <si>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</si>
  <si>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</si>
  <si>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</si>
  <si>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</si>
  <si>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</si>
  <si>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</si>
  <si>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</si>
  <si>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</si>
  <si>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</si>
  <si>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</si>
  <si>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</si>
  <si>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</si>
  <si>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</si>
  <si>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</si>
  <si>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</si>
  <si>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</si>
  <si>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</si>
  <si>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</si>
  <si>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</si>
  <si>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</si>
  <si>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</si>
  <si>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</si>
  <si>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</si>
  <si>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</si>
  <si>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</si>
  <si>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</si>
  <si>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</si>
  <si>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</si>
  <si>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</si>
  <si>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</si>
  <si>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</si>
  <si>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</si>
  <si>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</si>
  <si>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</si>
  <si>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</si>
  <si>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</si>
  <si>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</si>
  <si>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</si>
  <si>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</si>
  <si>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</si>
  <si>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</si>
  <si>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</si>
  <si>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</si>
  <si>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</si>
  <si>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</si>
  <si>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</si>
  <si>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</si>
  <si>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</si>
  <si>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</si>
  <si>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</si>
  <si>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</si>
  <si>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</si>
  <si>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</si>
  <si>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</si>
  <si>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</si>
  <si>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</si>
  <si>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</si>
  <si>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</si>
  <si>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</si>
  <si>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</si>
  <si>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</si>
  <si>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</si>
  <si>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</si>
  <si>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</si>
  <si>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</si>
  <si>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</si>
  <si>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</si>
  <si>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</si>
  <si>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</si>
  <si>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</si>
  <si>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</si>
  <si>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</si>
  <si>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</si>
  <si>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</si>
  <si>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</si>
  <si>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</si>
  <si>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</si>
  <si>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</si>
  <si>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</si>
  <si>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</si>
  <si>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</si>
  <si>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</si>
  <si>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</si>
  <si>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</si>
  <si>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</si>
  <si>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</si>
  <si>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</si>
  <si>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</si>
  <si>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</si>
  <si>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</si>
  <si>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</si>
  <si>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</si>
  <si>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</si>
  <si>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</si>
  <si>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</si>
  <si>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</si>
  <si>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</si>
  <si>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</si>
  <si>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</si>
  <si>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</si>
  <si>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</si>
  <si>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</si>
  <si>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</si>
  <si>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</si>
  <si>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</si>
  <si>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</si>
  <si>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</si>
  <si>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</si>
  <si>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</si>
  <si>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</si>
  <si>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</si>
  <si>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</si>
  <si>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</si>
  <si>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</si>
  <si>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</si>
  <si>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</si>
  <si>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</si>
  <si>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</si>
  <si>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</si>
  <si>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</si>
  <si>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</si>
  <si>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</si>
  <si>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</si>
  <si>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</si>
  <si>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</si>
  <si>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</si>
  <si>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</si>
  <si>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</si>
  <si>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</si>
  <si>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</si>
  <si>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</si>
  <si>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</si>
  <si>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</si>
  <si>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</si>
  <si>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</si>
  <si>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</si>
  <si>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</si>
  <si>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</si>
  <si>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</si>
  <si>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</si>
  <si>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</si>
  <si>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</si>
  <si>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</si>
  <si>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</si>
  <si>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</si>
  <si>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</si>
  <si>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</si>
  <si>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</si>
  <si>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</si>
  <si>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</si>
  <si>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</si>
  <si>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</si>
  <si>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</si>
  <si>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</si>
  <si>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</si>
  <si>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</si>
  <si>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</si>
  <si>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</si>
  <si>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</si>
  <si>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</si>
  <si>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</si>
  <si>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</si>
  <si>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</si>
  <si>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</si>
  <si>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</si>
  <si>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</si>
  <si>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</si>
  <si>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</si>
  <si>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</si>
  <si>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</si>
  <si>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</si>
  <si>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</si>
  <si>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</si>
  <si>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</si>
  <si>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</si>
  <si>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</si>
  <si>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</si>
  <si>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</si>
  <si>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</si>
  <si>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</si>
  <si>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</si>
  <si>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</si>
  <si>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</si>
  <si>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</si>
  <si>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</si>
  <si>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</si>
  <si>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</si>
  <si>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</si>
  <si>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</si>
  <si>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</si>
  <si>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</si>
  <si>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</si>
  <si>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</si>
  <si>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</si>
  <si>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</si>
  <si>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</si>
  <si>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</si>
  <si>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</si>
  <si>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</si>
  <si>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</si>
  <si>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</si>
  <si>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</si>
  <si>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</si>
  <si>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</si>
  <si>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</si>
  <si>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</si>
  <si>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</si>
  <si>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</si>
  <si>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</si>
  <si>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</si>
  <si>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</si>
  <si>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</si>
  <si>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</si>
  <si>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</si>
  <si>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</si>
  <si>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</si>
  <si>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</si>
  <si>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</si>
  <si>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</si>
  <si>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</si>
  <si>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</si>
  <si>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</si>
  <si>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</si>
  <si>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</si>
  <si>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</si>
  <si>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</si>
  <si>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</si>
  <si>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</si>
  <si>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</si>
  <si>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</si>
  <si>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</si>
  <si>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</si>
  <si>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</si>
  <si>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</si>
  <si>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</si>
  <si>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</si>
  <si>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</si>
  <si>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</si>
  <si>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</si>
  <si>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</si>
  <si>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</si>
  <si>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</si>
  <si>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</si>
  <si>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</si>
  <si>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</si>
  <si>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</si>
  <si>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</si>
  <si>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</si>
  <si>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</si>
  <si>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</si>
  <si>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</si>
  <si>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</si>
  <si>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</si>
  <si>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</si>
  <si>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</si>
  <si>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</si>
  <si>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</si>
  <si>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</si>
  <si>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</si>
  <si>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</si>
  <si>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</si>
  <si>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</si>
  <si>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</si>
  <si>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</si>
  <si>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</si>
  <si>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</si>
  <si>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</si>
  <si>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</si>
  <si>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</si>
  <si>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</si>
  <si>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</si>
  <si>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</si>
  <si>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</si>
  <si>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</si>
  <si>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</si>
  <si>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</si>
  <si>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</si>
  <si>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</si>
  <si>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</si>
  <si>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</si>
  <si>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</si>
  <si>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</si>
  <si>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</si>
  <si>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</si>
  <si>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</si>
  <si>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</si>
  <si>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</si>
  <si>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</si>
  <si>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</si>
  <si>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</si>
  <si>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</si>
  <si>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</si>
  <si>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</si>
  <si>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</si>
  <si>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</si>
  <si>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</si>
  <si>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</si>
  <si>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</si>
  <si>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</si>
  <si>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</si>
  <si>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</si>
  <si>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</si>
  <si>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</si>
  <si>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</si>
  <si>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</si>
  <si>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</si>
  <si>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</si>
  <si>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</si>
  <si>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</si>
  <si>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</si>
  <si>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</si>
  <si>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</si>
  <si>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</si>
  <si>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</si>
  <si>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</si>
  <si>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</si>
  <si>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</si>
  <si>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</si>
  <si>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</si>
  <si>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</si>
  <si>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</si>
  <si>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</si>
  <si>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</si>
  <si>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</si>
  <si>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</si>
  <si>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</si>
  <si>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</si>
  <si>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</si>
  <si>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</si>
  <si>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</si>
  <si>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</si>
  <si>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</si>
  <si>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</si>
  <si>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</si>
  <si>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</si>
  <si>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</si>
  <si>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</si>
  <si>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</si>
  <si>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</si>
  <si>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</si>
  <si>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</si>
  <si>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</si>
  <si>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</si>
  <si>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</si>
  <si>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</si>
  <si>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</si>
  <si>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</si>
  <si>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</si>
  <si>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</si>
  <si>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</si>
  <si>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</si>
  <si>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</si>
  <si>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</si>
  <si>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</si>
  <si>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</si>
  <si>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</si>
  <si>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</si>
  <si>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</si>
  <si>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</si>
  <si>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</si>
  <si>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</si>
  <si>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</si>
  <si>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</si>
  <si>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</si>
  <si>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</si>
  <si>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</si>
  <si>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</si>
  <si>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</si>
  <si>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</si>
  <si>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</si>
  <si>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</si>
  <si>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</si>
  <si>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</si>
  <si>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</si>
  <si>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</si>
  <si>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</si>
  <si>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</si>
  <si>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</si>
  <si>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</si>
  <si>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</si>
  <si>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</si>
  <si>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</si>
  <si>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</si>
  <si>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</si>
  <si>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</si>
  <si>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</si>
  <si>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</si>
  <si>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</si>
  <si>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</si>
  <si>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</si>
  <si>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</si>
  <si>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</si>
  <si>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</si>
  <si>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</si>
  <si>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</si>
  <si>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</si>
  <si>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</si>
  <si>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</si>
  <si>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</si>
  <si>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</si>
  <si>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</si>
  <si>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</si>
  <si>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</si>
  <si>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</si>
  <si>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</si>
  <si>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</si>
  <si>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</si>
  <si>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</si>
  <si>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</si>
  <si>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</si>
  <si>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</si>
  <si>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</si>
  <si>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</si>
  <si>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</si>
  <si>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</si>
  <si>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</si>
  <si>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</si>
  <si>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</si>
  <si>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</si>
  <si>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</si>
  <si>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</si>
  <si>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</si>
  <si>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</si>
  <si>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</si>
  <si>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</si>
  <si>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</si>
  <si>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</si>
  <si>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</si>
  <si>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</si>
  <si>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</si>
  <si>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</si>
  <si>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</si>
  <si>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</si>
  <si>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</si>
  <si>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</si>
  <si>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</si>
  <si>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</si>
  <si>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</si>
  <si>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</si>
  <si>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</si>
  <si>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</si>
  <si>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</si>
  <si>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</si>
  <si>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</si>
  <si>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</si>
  <si>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</si>
  <si>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</si>
  <si>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</si>
  <si>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</si>
  <si>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</si>
  <si>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</si>
  <si>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</si>
  <si>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</si>
  <si>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</si>
  <si>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</si>
  <si>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</si>
  <si>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</si>
  <si>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</si>
  <si>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</si>
  <si>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</si>
  <si>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</si>
  <si>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</si>
  <si>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</si>
  <si>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</si>
  <si>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</si>
  <si>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</si>
  <si>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</si>
  <si>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</si>
  <si>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</si>
  <si>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</si>
  <si>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</si>
  <si>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</si>
  <si>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</si>
  <si>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</si>
  <si>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</si>
  <si>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</si>
  <si>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</si>
  <si>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</si>
  <si>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</si>
  <si>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</si>
  <si>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</si>
  <si>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</si>
  <si>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</si>
  <si>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</si>
  <si>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</si>
  <si>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</si>
  <si>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</si>
  <si>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</si>
  <si>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</si>
  <si>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</si>
  <si>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</si>
  <si>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</si>
  <si>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</si>
  <si>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</si>
  <si>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</si>
  <si>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</si>
  <si>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</si>
  <si>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</si>
  <si>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</si>
  <si>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</si>
  <si>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</si>
  <si>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</si>
  <si>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</si>
  <si>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</si>
  <si>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</si>
  <si>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</si>
  <si>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</si>
  <si>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</si>
  <si>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</si>
  <si>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</si>
  <si>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</si>
  <si>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</si>
  <si>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</si>
  <si>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</si>
  <si>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</si>
  <si>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</si>
  <si>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</si>
  <si>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</si>
  <si>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</si>
  <si>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</si>
  <si>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</si>
  <si>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</si>
  <si>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</si>
  <si>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</si>
  <si>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</si>
  <si>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</si>
  <si>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</si>
  <si>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</si>
  <si>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</si>
  <si>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</si>
  <si>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</si>
  <si>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</si>
  <si>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</si>
  <si>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</si>
  <si>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</si>
  <si>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</si>
  <si>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</si>
  <si>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</si>
  <si>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</si>
  <si>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</si>
  <si>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</si>
  <si>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</si>
  <si>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</si>
  <si>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</si>
  <si>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</si>
  <si>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</si>
  <si>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</si>
  <si>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</si>
  <si>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</si>
  <si>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</si>
  <si>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</si>
  <si>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</si>
  <si>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</si>
  <si>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</si>
  <si>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</si>
  <si>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</si>
  <si>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</si>
  <si>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</si>
  <si>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</si>
  <si>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</si>
  <si>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</si>
  <si>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</si>
  <si>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</si>
  <si>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</si>
  <si>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</si>
  <si>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</si>
  <si>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</si>
  <si>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</si>
  <si>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</si>
  <si>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</si>
  <si>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</si>
  <si>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</si>
  <si>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</si>
  <si>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</si>
  <si>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</si>
  <si>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</si>
  <si>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</si>
  <si>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</si>
  <si>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</si>
  <si>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</si>
  <si>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</si>
  <si>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</si>
  <si>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</si>
  <si>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</si>
  <si>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</si>
  <si>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</si>
  <si>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</si>
  <si>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</si>
  <si>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</si>
  <si>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</si>
  <si>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</si>
  <si>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</si>
  <si>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</si>
  <si>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</si>
  <si>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</si>
  <si>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</si>
  <si>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</si>
  <si>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</si>
  <si>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</si>
  <si>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</si>
  <si>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</si>
  <si>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</si>
  <si>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</si>
  <si>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</si>
  <si>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</si>
  <si>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</si>
  <si>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</si>
  <si>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</si>
  <si>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</si>
  <si>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</si>
  <si>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</si>
  <si>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</si>
  <si>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</si>
  <si>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</si>
  <si>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</si>
  <si>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</si>
  <si>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</si>
  <si>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</si>
  <si>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</si>
  <si>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</si>
  <si>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</si>
  <si>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</si>
  <si>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</si>
  <si>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</si>
  <si>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</si>
  <si>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</si>
  <si>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</si>
  <si>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</si>
  <si>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</si>
  <si>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</si>
  <si>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</si>
  <si>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</si>
  <si>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</si>
  <si>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</si>
  <si>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</si>
  <si>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</si>
  <si>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</si>
  <si>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</si>
  <si>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</si>
  <si>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</si>
  <si>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</si>
  <si>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</si>
  <si>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</si>
  <si>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</si>
  <si>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</si>
  <si>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</si>
  <si>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</si>
  <si>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</si>
  <si>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</si>
  <si>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</si>
  <si>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</si>
  <si>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</si>
  <si>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</si>
  <si>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</si>
  <si>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</si>
  <si>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</si>
  <si>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</si>
  <si>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</si>
  <si>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</si>
  <si>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</si>
  <si>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</si>
  <si>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</si>
  <si>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</si>
  <si>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</si>
  <si>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</si>
  <si>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</si>
  <si>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</si>
  <si>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</si>
  <si>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</si>
  <si>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</si>
  <si>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</si>
  <si>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</si>
  <si>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</si>
  <si>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</si>
  <si>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</si>
  <si>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</si>
  <si>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</si>
  <si>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</si>
  <si>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</si>
  <si>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</si>
  <si>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</si>
  <si>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</si>
  <si>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</si>
  <si>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</si>
  <si>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</si>
  <si>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</si>
  <si>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</si>
  <si>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</si>
  <si>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</si>
  <si>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</si>
  <si>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</si>
  <si>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</si>
  <si>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</si>
  <si>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</si>
  <si>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</si>
  <si>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</si>
  <si>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</si>
  <si>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</si>
  <si>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</si>
  <si>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</si>
  <si>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</si>
  <si>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</si>
  <si>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</si>
  <si>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</si>
  <si>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</si>
  <si>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</si>
  <si>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</si>
  <si>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</si>
  <si>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</si>
  <si>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</si>
  <si>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</si>
  <si>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Team Coach</t>
  </si>
  <si>
    <t>Datum in dienst</t>
  </si>
  <si>
    <t>De Rick, Kenneth</t>
  </si>
  <si>
    <t>Stubbe, Jarne</t>
  </si>
  <si>
    <t>Rotty, Christoff</t>
  </si>
  <si>
    <t>Van Der Beken, Bart</t>
  </si>
  <si>
    <t>Vande Velde, Lucie</t>
  </si>
  <si>
    <t>Vanhoe, Els</t>
  </si>
  <si>
    <t>Dewulf, Els</t>
  </si>
  <si>
    <t>Storm, Steven</t>
  </si>
  <si>
    <t>De Clercq, Dominique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</si>
  <si>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</si>
  <si>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</si>
  <si>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</si>
  <si>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</si>
  <si>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</si>
  <si>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</si>
  <si>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</si>
  <si>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</si>
  <si>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Dienstjaren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</si>
  <si>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</si>
  <si>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</si>
  <si>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https://delijn.sharepoint.com/:b:/r/teams/CTM-OTGentStad/Shared%20Documents/General/EAF/CSI(nieuwe%20sharepoint)%202025/11.%20November/Scan_28740_0079_001.pdf?csf=1&amp;web=1&amp;e=MgQLHG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</si>
  <si>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</si>
  <si>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https://delijn.sharepoint.com/:b:/r/teams/CTM-OTGentStad/Shared%20Documents/General/EAF/CSI(nieuwe%20sharepoint)%202025/11.%20November/EAF%205774%20Gent%2028112025%2026695.pdf?csf=1&amp;web=1&amp;e=eV6xgZ</t>
  </si>
  <si>
    <t>OK</t>
  </si>
  <si>
    <t>Kolom1</t>
  </si>
  <si>
    <t>ok</t>
  </si>
  <si>
    <t>Gemiddelde van aantal schades</t>
  </si>
  <si>
    <t>Employee</t>
  </si>
  <si>
    <t>Keita</t>
  </si>
  <si>
    <t>Yassin</t>
  </si>
  <si>
    <t>Blancquaert</t>
  </si>
  <si>
    <t>AL-Haddad</t>
  </si>
  <si>
    <t>Sahbaz</t>
  </si>
  <si>
    <t>Celal</t>
  </si>
  <si>
    <t>jaar</t>
  </si>
  <si>
    <t>leeftijd</t>
  </si>
  <si>
    <t>schades</t>
  </si>
  <si>
    <t xml:space="preserve"> Volledige naam</t>
  </si>
  <si>
    <t>Lust, Dominiek</t>
  </si>
  <si>
    <t>Baskurt, Hasan</t>
  </si>
  <si>
    <t>Baskurt</t>
  </si>
  <si>
    <t>Frans, Gabriella</t>
  </si>
  <si>
    <t>Unver, Ismaïl</t>
  </si>
  <si>
    <t>Gassa, Mustafa</t>
  </si>
  <si>
    <t>Carion, Rojet</t>
  </si>
  <si>
    <t>Sari, Devrim</t>
  </si>
  <si>
    <t>Helleputte, Jens</t>
  </si>
  <si>
    <t>De Clercq, Marc</t>
  </si>
  <si>
    <t>Maelbrancke, Eddy</t>
  </si>
  <si>
    <t>Vanthomme, Geert</t>
  </si>
  <si>
    <t>Steenbrugge, Johan</t>
  </si>
  <si>
    <t>De Roo, Jo</t>
  </si>
  <si>
    <t>Beke, Erik</t>
  </si>
  <si>
    <t>De Fré, Sandra</t>
  </si>
  <si>
    <t>Vervust, Guido</t>
  </si>
  <si>
    <t>De Clercq, Peter</t>
  </si>
  <si>
    <t>Merre, Bart</t>
  </si>
  <si>
    <t>Van Damme, Karin</t>
  </si>
  <si>
    <t>Hoste, Tania</t>
  </si>
  <si>
    <t>Pretel, Philippe</t>
  </si>
  <si>
    <t>Dejonckheere, Inge</t>
  </si>
  <si>
    <t>Binard, Sabine</t>
  </si>
  <si>
    <t>Jouret, Alain</t>
  </si>
  <si>
    <t>Vantilcke, Fabien</t>
  </si>
  <si>
    <t>Boone, Pascal</t>
  </si>
  <si>
    <t>De Meyer, Antoon</t>
  </si>
  <si>
    <t>Busson, Dirk</t>
  </si>
  <si>
    <t>Martens, Dominique</t>
  </si>
  <si>
    <t>Aelterman, Didier</t>
  </si>
  <si>
    <t>Baetslé, Stephen</t>
  </si>
  <si>
    <t>Vinck, Roland</t>
  </si>
  <si>
    <t>Remue, Wim</t>
  </si>
  <si>
    <t>Lucq, Joeri</t>
  </si>
  <si>
    <t>Priem, Sandra</t>
  </si>
  <si>
    <t>Smet, Antoon</t>
  </si>
  <si>
    <t>Middernacht, Andy</t>
  </si>
  <si>
    <t>VandenDaele, Dave</t>
  </si>
  <si>
    <t>De Graeve, Marc</t>
  </si>
  <si>
    <t>Westelinck, Davy</t>
  </si>
  <si>
    <t>Dewispelaere, Danny</t>
  </si>
  <si>
    <t>De Weirdt, Ronny</t>
  </si>
  <si>
    <t>De Meulenaere, Eric</t>
  </si>
  <si>
    <t>Loots, Wim</t>
  </si>
  <si>
    <t>Vandenbogaerde, Tony</t>
  </si>
  <si>
    <t>Eggermont, Wim</t>
  </si>
  <si>
    <t>Lefebvre, Olivier</t>
  </si>
  <si>
    <t>De Kee, Ina</t>
  </si>
  <si>
    <t>Seeuws, Marnic</t>
  </si>
  <si>
    <t>Goethals, Jeffrey</t>
  </si>
  <si>
    <t>De Vrieze, Ludo</t>
  </si>
  <si>
    <t>De Plus, Gunter</t>
  </si>
  <si>
    <t>Baert, Freddy</t>
  </si>
  <si>
    <t>Beeckman, Nico</t>
  </si>
  <si>
    <t>Bolle, Pascal</t>
  </si>
  <si>
    <t>De Cooman, Kurt</t>
  </si>
  <si>
    <t>Van Vliet, Tom</t>
  </si>
  <si>
    <t>De Feyter, David</t>
  </si>
  <si>
    <t>De Smet, Kenneth</t>
  </si>
  <si>
    <t>Van Den Bossche, Martine</t>
  </si>
  <si>
    <t>Van Eenaeme, David</t>
  </si>
  <si>
    <t>Riobello-Olalla, Wesley</t>
  </si>
  <si>
    <t>De Geyter, Claudine</t>
  </si>
  <si>
    <t>Oosterlinck, Jan</t>
  </si>
  <si>
    <t>Eeckhout, Steve</t>
  </si>
  <si>
    <t>Schijvens, Ronny</t>
  </si>
  <si>
    <t>Kirdas, Ramazan</t>
  </si>
  <si>
    <t>De Weirt, Chris</t>
  </si>
  <si>
    <t>Van Kerckhove, Sabine</t>
  </si>
  <si>
    <t>Vervoort, Koen</t>
  </si>
  <si>
    <t>Vandaele, Sofie</t>
  </si>
  <si>
    <t>Vandaele, Thibaut</t>
  </si>
  <si>
    <t>Rodrigue, Vincent</t>
  </si>
  <si>
    <t>De Mulder, Philip</t>
  </si>
  <si>
    <t>De paepe, Hilde</t>
  </si>
  <si>
    <t>Laute, Dirk</t>
  </si>
  <si>
    <t>Ackermans, Christian</t>
  </si>
  <si>
    <t>De Mey, Peter</t>
  </si>
  <si>
    <t>Dejonghe, Katleen</t>
  </si>
  <si>
    <t>Marinx, Kristoff</t>
  </si>
  <si>
    <t>Vandenberghe, Filip</t>
  </si>
  <si>
    <t>Dhondt, Frank</t>
  </si>
  <si>
    <t>Tondeleir, Ron</t>
  </si>
  <si>
    <t>Wulfranck, Dominique</t>
  </si>
  <si>
    <t>Mestdagh, Tony</t>
  </si>
  <si>
    <t>Van Wezemael, Patrick</t>
  </si>
  <si>
    <t>Petereyns, Vanessa</t>
  </si>
  <si>
    <t>Bracke, Peter</t>
  </si>
  <si>
    <t>Rouan, Jeroen</t>
  </si>
  <si>
    <t>Meau, Tania</t>
  </si>
  <si>
    <t>Devriendt, Patrick</t>
  </si>
  <si>
    <t>Vermaete, Cynthia</t>
  </si>
  <si>
    <t>Bouckhout, Ingeborg</t>
  </si>
  <si>
    <t>Vandecasteele, Ruth</t>
  </si>
  <si>
    <t>Toch, Erwin</t>
  </si>
  <si>
    <t>Baert, Rosita</t>
  </si>
  <si>
    <t>Notte, Nancy</t>
  </si>
  <si>
    <t>Van Lauwe, Freddy</t>
  </si>
  <si>
    <t>VandenDaele, Andy</t>
  </si>
  <si>
    <t>Devriese, Luc</t>
  </si>
  <si>
    <t>Lootens, Davy</t>
  </si>
  <si>
    <t>Van Landschoot, Jürgen</t>
  </si>
  <si>
    <t>DeBisschop, Wendy</t>
  </si>
  <si>
    <t>Praet, Reginald</t>
  </si>
  <si>
    <t>Van Imschoot, Marc</t>
  </si>
  <si>
    <t>Van Imschoot</t>
  </si>
  <si>
    <t>Idrisi, Hasana</t>
  </si>
  <si>
    <t>Lega, Claude</t>
  </si>
  <si>
    <t>Vanlerberghe, Rudy</t>
  </si>
  <si>
    <t>Van den Berghe, Kris</t>
  </si>
  <si>
    <t>Van den Berghe</t>
  </si>
  <si>
    <t>Van Wittenberge, Filip</t>
  </si>
  <si>
    <t>David, Kurt</t>
  </si>
  <si>
    <t>Platteau, Lydie</t>
  </si>
  <si>
    <t>De Vos, Günter</t>
  </si>
  <si>
    <t>Azahaf, M'Hamed</t>
  </si>
  <si>
    <t>De Geyter, Dolly</t>
  </si>
  <si>
    <t>Joos, Veronique</t>
  </si>
  <si>
    <t>Fiers, Ben</t>
  </si>
  <si>
    <t>Deschepper, Peter</t>
  </si>
  <si>
    <t>Remmery, David</t>
  </si>
  <si>
    <t>De Clercq, Wendy</t>
  </si>
  <si>
    <t>Aspeslagh, Geert</t>
  </si>
  <si>
    <t>Odaci, Kadir</t>
  </si>
  <si>
    <t>Vanooteghem, Johnny</t>
  </si>
  <si>
    <t>Van Steenbergen, Kris</t>
  </si>
  <si>
    <t>Arampatzis, Stavros</t>
  </si>
  <si>
    <t>Deschrijver, Ivan</t>
  </si>
  <si>
    <t>Akhayad, Ahmed</t>
  </si>
  <si>
    <t>De Boeck, Johannes</t>
  </si>
  <si>
    <t>Willems, Kristine</t>
  </si>
  <si>
    <t>Gevaert, Patrick</t>
  </si>
  <si>
    <t>Vandevyvere, Frank</t>
  </si>
  <si>
    <t>Verlaeckt, Lincey</t>
  </si>
  <si>
    <t>Delamper, Mario</t>
  </si>
  <si>
    <t>Allan, Kenneth</t>
  </si>
  <si>
    <t>Van Grootenbrulle, Kurt</t>
  </si>
  <si>
    <t>Vranken, Kenneth</t>
  </si>
  <si>
    <t>Ghysels, Erik</t>
  </si>
  <si>
    <t>Kizilmese, Emra</t>
  </si>
  <si>
    <t>Pekdemir, Ilkmur</t>
  </si>
  <si>
    <t>Imschoot, Frederik</t>
  </si>
  <si>
    <t>Vonck, Sandra</t>
  </si>
  <si>
    <t>Mestdag, Marius</t>
  </si>
  <si>
    <t>Rivière, Andy</t>
  </si>
  <si>
    <t>Vonck, Bart</t>
  </si>
  <si>
    <t>Van Den Neste, Diederik</t>
  </si>
  <si>
    <t>In, Murat</t>
  </si>
  <si>
    <t>Laforce, Mike</t>
  </si>
  <si>
    <t>De Ridder, Danny</t>
  </si>
  <si>
    <t>Alkanat, Metin</t>
  </si>
  <si>
    <t>Sari, Cemâl</t>
  </si>
  <si>
    <t>De Volder, Marc</t>
  </si>
  <si>
    <t>De Moor, Ronny</t>
  </si>
  <si>
    <t>Props, Jürgen</t>
  </si>
  <si>
    <t>Props</t>
  </si>
  <si>
    <t>Verstichel, Jethro</t>
  </si>
  <si>
    <t>Anjuijn, Vanessa</t>
  </si>
  <si>
    <t>Doolaege, Yasin</t>
  </si>
  <si>
    <t>Beeckman, Alex</t>
  </si>
  <si>
    <t>Kesteloot, Patrick</t>
  </si>
  <si>
    <t>De Cooman, Bart</t>
  </si>
  <si>
    <t>De Craemer, Kris</t>
  </si>
  <si>
    <t>Vanderstraeten, Franky</t>
  </si>
  <si>
    <t>Tafa, Sevdet</t>
  </si>
  <si>
    <t>Sevdet</t>
  </si>
  <si>
    <t>Tafa</t>
  </si>
  <si>
    <t>Van Hulle, Werner</t>
  </si>
  <si>
    <t>Horemans, Jan</t>
  </si>
  <si>
    <t>Dejonghe, Elisa</t>
  </si>
  <si>
    <t>Vanooteghem, Davey</t>
  </si>
  <si>
    <t>Dierick, Steve</t>
  </si>
  <si>
    <t>La Fontaine, Bart</t>
  </si>
  <si>
    <t>Meyvaert, Peter</t>
  </si>
  <si>
    <t>De Boever, Maarten</t>
  </si>
  <si>
    <t>Pluym, Pascal</t>
  </si>
  <si>
    <t>Delahaye, Karina</t>
  </si>
  <si>
    <t>Kirdas, Süleyman</t>
  </si>
  <si>
    <t>Brilyov, Dmitriy</t>
  </si>
  <si>
    <t>Bicici, Abdul Kadir</t>
  </si>
  <si>
    <t>Callebert, Pieter Jan</t>
  </si>
  <si>
    <t>Osseel, Johan</t>
  </si>
  <si>
    <t>Van Renterghem, Véronique</t>
  </si>
  <si>
    <t>Véronique</t>
  </si>
  <si>
    <t>Van Renterghem</t>
  </si>
  <si>
    <t>Oerlemans, Johannes</t>
  </si>
  <si>
    <t>Goossens, Gunther</t>
  </si>
  <si>
    <t>Mestach, Stijn</t>
  </si>
  <si>
    <t>Stijn</t>
  </si>
  <si>
    <t>Mestach</t>
  </si>
  <si>
    <t>Achalhi, Abderrachid</t>
  </si>
  <si>
    <t>Kerman, Riza</t>
  </si>
  <si>
    <t>Unal, Mustafa</t>
  </si>
  <si>
    <t>Maes, Tony</t>
  </si>
  <si>
    <t>Byosière, Christof</t>
  </si>
  <si>
    <t>Adiyil, Attila</t>
  </si>
  <si>
    <t>Baetens, Christine</t>
  </si>
  <si>
    <t>Dellaert, Yves</t>
  </si>
  <si>
    <t>Wyffels, Jean-Pierre</t>
  </si>
  <si>
    <t>D'Haeyere, Bernard</t>
  </si>
  <si>
    <t>Planckaert, Jurgen</t>
  </si>
  <si>
    <t>Luttens, Koen</t>
  </si>
  <si>
    <t>Kaya, Aydin</t>
  </si>
  <si>
    <t>Tayefeh Arbab, Ali</t>
  </si>
  <si>
    <t>Gök, Davut</t>
  </si>
  <si>
    <t>Haelterman, Geert</t>
  </si>
  <si>
    <t>Goethals, Bart</t>
  </si>
  <si>
    <t>Devos, Stefaan</t>
  </si>
  <si>
    <t>Vanrenterghem, Serge</t>
  </si>
  <si>
    <t>Cetinkaya, Veysel</t>
  </si>
  <si>
    <t>Simsek, Abdullah</t>
  </si>
  <si>
    <t>Kayim, Akin</t>
  </si>
  <si>
    <t>Fasseur, Frederic</t>
  </si>
  <si>
    <t>Kazakbiyev, Osman</t>
  </si>
  <si>
    <t>De Wit, Bruno</t>
  </si>
  <si>
    <t>Peers, Mario</t>
  </si>
  <si>
    <t>Stevens, David</t>
  </si>
  <si>
    <t>Stevens</t>
  </si>
  <si>
    <t>Bral, Jessica</t>
  </si>
  <si>
    <t>Hublau, Roland</t>
  </si>
  <si>
    <t>Van Puyenbroeck, Pascale</t>
  </si>
  <si>
    <t>Justé, Steven</t>
  </si>
  <si>
    <t>Wauters, Franky</t>
  </si>
  <si>
    <t>Van Vlem, Danny</t>
  </si>
  <si>
    <t>Gök, Murat</t>
  </si>
  <si>
    <t>Van Semmertier, Pascal</t>
  </si>
  <si>
    <t>Aelterman, Luc</t>
  </si>
  <si>
    <t>Van Cauwenberg, Steven</t>
  </si>
  <si>
    <t>Siderov, Miroslav</t>
  </si>
  <si>
    <t>Bolle, Cynthia</t>
  </si>
  <si>
    <t>Van de Capelle, Geert</t>
  </si>
  <si>
    <t>Engels, Wendy</t>
  </si>
  <si>
    <t>Lippens, Miguel</t>
  </si>
  <si>
    <t>Ong, Geok Hong</t>
  </si>
  <si>
    <t>De Meester, David</t>
  </si>
  <si>
    <t>Bohez, Olivier</t>
  </si>
  <si>
    <t>Toubadie, Mossa</t>
  </si>
  <si>
    <t>Oben, Thibaud</t>
  </si>
  <si>
    <t>Neghli, Farid</t>
  </si>
  <si>
    <t>Meyvaert, Steven</t>
  </si>
  <si>
    <t>De Meester, Johan</t>
  </si>
  <si>
    <t>Petrovic, Damir</t>
  </si>
  <si>
    <t>Criel, Veronique</t>
  </si>
  <si>
    <t>Verbanck, Koen</t>
  </si>
  <si>
    <t>De Schenkel, David</t>
  </si>
  <si>
    <t>Parmentier, Bart</t>
  </si>
  <si>
    <t>Van Lierde, Michel</t>
  </si>
  <si>
    <t>Olenski, Leonard</t>
  </si>
  <si>
    <t>De Baets, Christian</t>
  </si>
  <si>
    <t>De Baets</t>
  </si>
  <si>
    <t>Omari, Said</t>
  </si>
  <si>
    <t>De Muynck, Laurian</t>
  </si>
  <si>
    <t>De Pauw, Kurt</t>
  </si>
  <si>
    <t>Gözüküçük, Ayhan</t>
  </si>
  <si>
    <t>Ayhan</t>
  </si>
  <si>
    <t>Debreuckere, Renzo</t>
  </si>
  <si>
    <t>Dejonckheere, Els</t>
  </si>
  <si>
    <t>El-Mohamed, Mohamed</t>
  </si>
  <si>
    <t>Van Malderghem, Niels</t>
  </si>
  <si>
    <t>Roels, Els</t>
  </si>
  <si>
    <t>Isiklar, Okan</t>
  </si>
  <si>
    <t>Choaïbi, Bilal</t>
  </si>
  <si>
    <t>Gassa, Osmane</t>
  </si>
  <si>
    <t>Lachhab, Mohammed</t>
  </si>
  <si>
    <t>Lachhab</t>
  </si>
  <si>
    <t>Grillaert, Lieven</t>
  </si>
  <si>
    <t>Verwee, Dries</t>
  </si>
  <si>
    <t>Van Turtelboom, Franky</t>
  </si>
  <si>
    <t>Maes, Filip</t>
  </si>
  <si>
    <t>De Weerdt, Samuel</t>
  </si>
  <si>
    <t>De Vuyst, Boyke</t>
  </si>
  <si>
    <t>Priwall, Heike</t>
  </si>
  <si>
    <t>Dullaert, Steven</t>
  </si>
  <si>
    <t>De Keyzer, Jan</t>
  </si>
  <si>
    <t>Celikoz, Musa</t>
  </si>
  <si>
    <t>Özer, Mesut</t>
  </si>
  <si>
    <t>Martens, Geoffrey</t>
  </si>
  <si>
    <t>Huyse, Annicke</t>
  </si>
  <si>
    <t>Deboosere, Kathy</t>
  </si>
  <si>
    <t>Van De Velde, Anneleen</t>
  </si>
  <si>
    <t>Mehman Doust, Farhad</t>
  </si>
  <si>
    <t>Haerens, Tom</t>
  </si>
  <si>
    <t>Simons, Andreas</t>
  </si>
  <si>
    <t>Bracke, Jeroen</t>
  </si>
  <si>
    <t>Verberckmoes, Sebastiaan</t>
  </si>
  <si>
    <t>Vandersmissen, Denis</t>
  </si>
  <si>
    <t>vanden Bulcke, Johan</t>
  </si>
  <si>
    <t>Taser, Fatih</t>
  </si>
  <si>
    <t>Safaipour, Jalal</t>
  </si>
  <si>
    <t>Jalal</t>
  </si>
  <si>
    <t>Safaipour</t>
  </si>
  <si>
    <t>Biesemans, Jasper</t>
  </si>
  <si>
    <t>De Jaeger, Kevin</t>
  </si>
  <si>
    <t>Bonne, Niko</t>
  </si>
  <si>
    <t>De Sutter, Michiel</t>
  </si>
  <si>
    <t>Oueslati, Mohamed Ali</t>
  </si>
  <si>
    <t>Govaerts, Sandro</t>
  </si>
  <si>
    <t>Colaes, Dylan</t>
  </si>
  <si>
    <t>Simsek, Fatih</t>
  </si>
  <si>
    <t>Pille, Pascal</t>
  </si>
  <si>
    <t>Vindevogel, Nick</t>
  </si>
  <si>
    <t>Cetin, Serdar</t>
  </si>
  <si>
    <t>Mertens, Tom</t>
  </si>
  <si>
    <t>Akin, Ridvan</t>
  </si>
  <si>
    <t>Kirsan, Ömer</t>
  </si>
  <si>
    <t>Vaeyens, Midas</t>
  </si>
  <si>
    <t>Grypdonck, Kenneth</t>
  </si>
  <si>
    <t>Weemhof, Maurice</t>
  </si>
  <si>
    <t>Van Achte, Jay</t>
  </si>
  <si>
    <t>Dedapper, Marijke</t>
  </si>
  <si>
    <t>Sonck, Kristof</t>
  </si>
  <si>
    <t>Famelaer, Steve</t>
  </si>
  <si>
    <t>De Wilde, Dimitry</t>
  </si>
  <si>
    <t>Hasni, Helmi</t>
  </si>
  <si>
    <t>Köroglu, Ercan</t>
  </si>
  <si>
    <t>Er, Tolga</t>
  </si>
  <si>
    <t>Vranken, Zulkifly</t>
  </si>
  <si>
    <t>Kelchtermans, Raf</t>
  </si>
  <si>
    <t>Verlinden, Bianca</t>
  </si>
  <si>
    <t>Vandenborre, Patrick</t>
  </si>
  <si>
    <t>Meersman, Herman</t>
  </si>
  <si>
    <t>Cifteoglu, Sedat</t>
  </si>
  <si>
    <t>Benjilali, Abdelhak</t>
  </si>
  <si>
    <t>Vanderstock, Kenny</t>
  </si>
  <si>
    <t>Özer, Özgur</t>
  </si>
  <si>
    <t>Saey, Elias</t>
  </si>
  <si>
    <t>De Bruyne, Sonia</t>
  </si>
  <si>
    <t>Depaepe, Dirk</t>
  </si>
  <si>
    <t>Van Hoe, Ivo</t>
  </si>
  <si>
    <t>Petit, Cynthia</t>
  </si>
  <si>
    <t>Verroeye, Chris</t>
  </si>
  <si>
    <t>Holub, Patrik</t>
  </si>
  <si>
    <t>Dekens, Andy</t>
  </si>
  <si>
    <t>Caufrier, Matthew</t>
  </si>
  <si>
    <t>Van de Velde, Valentijn</t>
  </si>
  <si>
    <t>Verschraegen, Patrick</t>
  </si>
  <si>
    <t>Van Limbergen, Danny</t>
  </si>
  <si>
    <t>Vergucht, Hugo</t>
  </si>
  <si>
    <t>Hoffelinck, Thomas</t>
  </si>
  <si>
    <t>Göktas, Muharrem</t>
  </si>
  <si>
    <t>Hoste, Tom</t>
  </si>
  <si>
    <t>Wieme, Kevin</t>
  </si>
  <si>
    <t>Pelfrene, Toby</t>
  </si>
  <si>
    <t>Ghani, Mozamil</t>
  </si>
  <si>
    <t>Sari, Halil</t>
  </si>
  <si>
    <t>Eid, Mathyn</t>
  </si>
  <si>
    <t>Kerremans, Jürgen</t>
  </si>
  <si>
    <t>Callant, Dieter</t>
  </si>
  <si>
    <t>Goossens, Wesley</t>
  </si>
  <si>
    <t>Wulleput, Illya</t>
  </si>
  <si>
    <t>Fiers, Kenny</t>
  </si>
  <si>
    <t>Agacseven, Mustafa</t>
  </si>
  <si>
    <t>Van Hoe, Youri</t>
  </si>
  <si>
    <t>Momsen, Rory</t>
  </si>
  <si>
    <t>De Henau, Wim</t>
  </si>
  <si>
    <t>Kocabas, Abdülkadir</t>
  </si>
  <si>
    <t>Rotsaert, Dominique</t>
  </si>
  <si>
    <t>Delcourt, Daniel</t>
  </si>
  <si>
    <t>Bastiaen, Eric</t>
  </si>
  <si>
    <t>Coban, Mehmet</t>
  </si>
  <si>
    <t>Akmese, Ahmet</t>
  </si>
  <si>
    <t>De Meyer, Karel</t>
  </si>
  <si>
    <t>Dewulf, Matthias</t>
  </si>
  <si>
    <t>Engels, Sam</t>
  </si>
  <si>
    <t>Limbourg, Heidi</t>
  </si>
  <si>
    <t>Minbari, Ako</t>
  </si>
  <si>
    <t>Riahi, Brahim</t>
  </si>
  <si>
    <t>Vermeir, Davy</t>
  </si>
  <si>
    <t>Vlaminck, Dirk</t>
  </si>
  <si>
    <t>Kaya, Aytekin</t>
  </si>
  <si>
    <t>Roos, Hugo</t>
  </si>
  <si>
    <t>Vandaele, Tom</t>
  </si>
  <si>
    <t>Vonck, Freddy</t>
  </si>
  <si>
    <t>Nguetto, Brisco Romeo</t>
  </si>
  <si>
    <t>Toubadie, Zakaria</t>
  </si>
  <si>
    <t>van Turnhout, Mariëlle</t>
  </si>
  <si>
    <t>Rummens, Maarten</t>
  </si>
  <si>
    <t>Razzaz, Mahmoud</t>
  </si>
  <si>
    <t>Smesman, Glenn</t>
  </si>
  <si>
    <t>Braeckman, Wouter</t>
  </si>
  <si>
    <t>El Mezroui, Zouheir</t>
  </si>
  <si>
    <t>Dolleslagers, Christof</t>
  </si>
  <si>
    <t>Jalili, Yaseeb</t>
  </si>
  <si>
    <t>El Gasmi, Sami</t>
  </si>
  <si>
    <t>Simsek, Huseyin</t>
  </si>
  <si>
    <t>Van Damme, Patrick</t>
  </si>
  <si>
    <t>Boelaert, Frederik</t>
  </si>
  <si>
    <t>De Clercq, Sven</t>
  </si>
  <si>
    <t>Kilinc, Atilay</t>
  </si>
  <si>
    <t>Acosta Salinas, Benigna</t>
  </si>
  <si>
    <t>Van Rentergem, Steve</t>
  </si>
  <si>
    <t>Haenebalcke, Peter</t>
  </si>
  <si>
    <t>Desmadryl, Daniel</t>
  </si>
  <si>
    <t>El Aaddam, Hodayfa</t>
  </si>
  <si>
    <t>De Nys, Elise</t>
  </si>
  <si>
    <t>Opsomer, Gerrit</t>
  </si>
  <si>
    <t>Vandekerckhove, Nico</t>
  </si>
  <si>
    <t>Mohamed Yassin, Abdulhamid</t>
  </si>
  <si>
    <t>Malak, Kemal</t>
  </si>
  <si>
    <t>Abdi Shaiye, Rashid</t>
  </si>
  <si>
    <t>Ahlaloum, Khalid</t>
  </si>
  <si>
    <t>Agil, Birol</t>
  </si>
  <si>
    <t>Callens, Dimitri</t>
  </si>
  <si>
    <t>De Lange, Ruben</t>
  </si>
  <si>
    <t>Van Belleghem, Peggy</t>
  </si>
  <si>
    <t>Van Herreweghe, Branco</t>
  </si>
  <si>
    <t>Sogut, Rauf</t>
  </si>
  <si>
    <t>Babaian, Sammy</t>
  </si>
  <si>
    <t>De Staercke, Sandra</t>
  </si>
  <si>
    <t>Stroobandt, Jonas</t>
  </si>
  <si>
    <t>De Smet, Martine</t>
  </si>
  <si>
    <t>Duyck, Lorenzo</t>
  </si>
  <si>
    <t>Lorenzo</t>
  </si>
  <si>
    <t>De Meulenaere, Kurt</t>
  </si>
  <si>
    <t>Kartal, Kadir</t>
  </si>
  <si>
    <t>Dobbelaere, David</t>
  </si>
  <si>
    <t>Fadel, Husam</t>
  </si>
  <si>
    <t>Cesmeli, Achraf</t>
  </si>
  <si>
    <t>Mc Hugh, Neal</t>
  </si>
  <si>
    <t>Neal</t>
  </si>
  <si>
    <t>Mc Hugh</t>
  </si>
  <si>
    <t>Haché, Philip</t>
  </si>
  <si>
    <t>De Kesel, Milan</t>
  </si>
  <si>
    <t>Flamant, Marc</t>
  </si>
  <si>
    <t>Saritag, Mehmed</t>
  </si>
  <si>
    <t>Dacic, Esmir</t>
  </si>
  <si>
    <t>Bashir, Muhammad Salman</t>
  </si>
  <si>
    <t>Catar, Gökhan</t>
  </si>
  <si>
    <t>Antoniewicz, Stephan</t>
  </si>
  <si>
    <t>Blondeel, Dominique</t>
  </si>
  <si>
    <t>Berth, Bjorn</t>
  </si>
  <si>
    <t>Coulon, Rayan</t>
  </si>
  <si>
    <t>Van Wayenbergh, Yordi</t>
  </si>
  <si>
    <t>Dedeci, Mecit</t>
  </si>
  <si>
    <t>Walleyn, Renaat</t>
  </si>
  <si>
    <t>Demirkazik, Mustafa</t>
  </si>
  <si>
    <t>Oosterlinck, Willy</t>
  </si>
  <si>
    <t>Abdulkader, Sabah</t>
  </si>
  <si>
    <t>De Tandt, Hans</t>
  </si>
  <si>
    <t>Öztürk, Bilgehan</t>
  </si>
  <si>
    <t>Damlakhi, Nawras</t>
  </si>
  <si>
    <t>Smesman, Nico</t>
  </si>
  <si>
    <t>De Groote, Dylan</t>
  </si>
  <si>
    <t>D'hondt, Jurgen</t>
  </si>
  <si>
    <t>D'hondt</t>
  </si>
  <si>
    <t>Van den Meerssche, Steven</t>
  </si>
  <si>
    <t>De Boever, Charlotte</t>
  </si>
  <si>
    <t>De Lange, Frank</t>
  </si>
  <si>
    <t>Demirkaya, Kâzim</t>
  </si>
  <si>
    <t>Gök, Mustafa</t>
  </si>
  <si>
    <t>Sturtewagen, Kenny</t>
  </si>
  <si>
    <t>Van Doorselaere, Alan</t>
  </si>
  <si>
    <t>Vandenberghe, Michael</t>
  </si>
  <si>
    <t>Detaeye, Alexander</t>
  </si>
  <si>
    <t>De Naegel, Bruno</t>
  </si>
  <si>
    <t>Van De Voorde, Cindy</t>
  </si>
  <si>
    <t>Dierinck, Charles</t>
  </si>
  <si>
    <t>Mine, Akin</t>
  </si>
  <si>
    <t>Simsek, Isa</t>
  </si>
  <si>
    <t>Aljorof, Marwan</t>
  </si>
  <si>
    <t>Uenk, Hermina</t>
  </si>
  <si>
    <t>Verschraegen, Katleen</t>
  </si>
  <si>
    <t>Huyghe, Jan</t>
  </si>
  <si>
    <t>Haaze, Sarah</t>
  </si>
  <si>
    <t>Alassad, Ahmad</t>
  </si>
  <si>
    <t>Almohammad, Malek</t>
  </si>
  <si>
    <t>Haaze, Sven</t>
  </si>
  <si>
    <t>Smajla, Samet</t>
  </si>
  <si>
    <t>Stomphorst, Mattanja</t>
  </si>
  <si>
    <t>Asskale, Zouhir</t>
  </si>
  <si>
    <t>Uckuyulu, Muhammet Emin</t>
  </si>
  <si>
    <t>Basgurboga, Selahattin</t>
  </si>
  <si>
    <t>Muys, Aäron</t>
  </si>
  <si>
    <t>Ben Sidhom, Samir</t>
  </si>
  <si>
    <t>Meskens, Anthony</t>
  </si>
  <si>
    <t>Dossche, Caroline</t>
  </si>
  <si>
    <t>Wasen, Jens</t>
  </si>
  <si>
    <t>Sancak, Eyuphan</t>
  </si>
  <si>
    <t>Sedighi, Hamid</t>
  </si>
  <si>
    <t>Asrih, Habib</t>
  </si>
  <si>
    <t>Genbrugge, Kyllian</t>
  </si>
  <si>
    <t>De taeye, Kelly</t>
  </si>
  <si>
    <t>Dalli, Mustafa</t>
  </si>
  <si>
    <t>Salam Housin, Ahmed</t>
  </si>
  <si>
    <t>Landoulsi, Sabeur</t>
  </si>
  <si>
    <t>Burrick, Alex</t>
  </si>
  <si>
    <t>Al Masri, Anas</t>
  </si>
  <si>
    <t>Shinwari, Yasin</t>
  </si>
  <si>
    <t>Abdi Ali, Ali</t>
  </si>
  <si>
    <t>Van Holsbeeck, Jens</t>
  </si>
  <si>
    <t>Weeks Aracena, Jimmy Alexander</t>
  </si>
  <si>
    <t>Bensalah, Mohammed</t>
  </si>
  <si>
    <t>Mihaylov, Plamen</t>
  </si>
  <si>
    <t>Desmet, Patricia</t>
  </si>
  <si>
    <t>Sahin, Orhan</t>
  </si>
  <si>
    <t>De Groote, Cedric</t>
  </si>
  <si>
    <t>Nguende Ngatcheu, Ivan Belerd</t>
  </si>
  <si>
    <t>Vandenhaute, Linus</t>
  </si>
  <si>
    <t>Sayin, Batuhan</t>
  </si>
  <si>
    <t>Kallenbach, Sunny</t>
  </si>
  <si>
    <t>Camacho Encarnacion, Lisandro Javier</t>
  </si>
  <si>
    <t>Lloyd, Glenn</t>
  </si>
  <si>
    <t>Steurbaut, Henri</t>
  </si>
  <si>
    <t>Tacq, Joey</t>
  </si>
  <si>
    <t>Repaj, Ramazan</t>
  </si>
  <si>
    <t>El Khayat, Jamal</t>
  </si>
  <si>
    <t>Nohut, Baki</t>
  </si>
  <si>
    <t>Avci, Muhammet Abdullah</t>
  </si>
  <si>
    <t>Demirkaya, Serkan</t>
  </si>
  <si>
    <t>Dolgiev, Mukhamed</t>
  </si>
  <si>
    <t>Helleputte, William</t>
  </si>
  <si>
    <t>Curukcu, Bayram</t>
  </si>
  <si>
    <t>Jacobs, Elos</t>
  </si>
  <si>
    <t>Costers, Kelly</t>
  </si>
  <si>
    <t>Stanikazi, Roien Sadder</t>
  </si>
  <si>
    <t>Calinalti, Abdil</t>
  </si>
  <si>
    <t>Basha, Izmir</t>
  </si>
  <si>
    <t>Marian, Birsanuc</t>
  </si>
  <si>
    <t>De Wilde, Jordy</t>
  </si>
  <si>
    <t>Momand, Abdullah</t>
  </si>
  <si>
    <t>Staneva, Mariyana</t>
  </si>
  <si>
    <t>Mirazai, Rahmatullah</t>
  </si>
  <si>
    <t>Mattan, Maaren</t>
  </si>
  <si>
    <t>Souda, Mahmoud</t>
  </si>
  <si>
    <t>Bernaerts, Philip</t>
  </si>
  <si>
    <t>De Ridder, Benjamin</t>
  </si>
  <si>
    <t>Karakaya, Oguz</t>
  </si>
  <si>
    <t>Afara, Ammar</t>
  </si>
  <si>
    <t>Sögüt, Can</t>
  </si>
  <si>
    <t>Vanlerberghe, Sandra</t>
  </si>
  <si>
    <t>Cardon, Sharon</t>
  </si>
  <si>
    <t>Moerman, Tjimmy</t>
  </si>
  <si>
    <t>De Waegeneer, Michael</t>
  </si>
  <si>
    <t>Shahriyari, Khalil</t>
  </si>
  <si>
    <t>VandenDaele, Arne</t>
  </si>
  <si>
    <t>Van Iterson, Sharon</t>
  </si>
  <si>
    <t>Troch, Jorick</t>
  </si>
  <si>
    <t>Taibi, Yassine</t>
  </si>
  <si>
    <t>Ates, Firat</t>
  </si>
  <si>
    <t>Khder, Aram</t>
  </si>
  <si>
    <t>Kuru, Cetin</t>
  </si>
  <si>
    <t>Salimova, Eydzhan</t>
  </si>
  <si>
    <t>Sherifi, Gani</t>
  </si>
  <si>
    <t>Prové, Michaël</t>
  </si>
  <si>
    <t>Ennakaba, Khaoula</t>
  </si>
  <si>
    <t>Dekeuckelaere, Eric</t>
  </si>
  <si>
    <t>De Roo, Paul</t>
  </si>
  <si>
    <t>Fakash, Mahmoud</t>
  </si>
  <si>
    <t>Van Damme, Glenn</t>
  </si>
  <si>
    <t>Lopez Hernandez, Herber Felix</t>
  </si>
  <si>
    <t>Hashimi, Ali Mir</t>
  </si>
  <si>
    <t>De Souza, Marcos Eduardo</t>
  </si>
  <si>
    <t>Talibi, Bilal</t>
  </si>
  <si>
    <t>Talibi</t>
  </si>
  <si>
    <t>Mekdad, Ali</t>
  </si>
  <si>
    <t>Noppe, Lode</t>
  </si>
  <si>
    <t>Hiloui, Mahmoud</t>
  </si>
  <si>
    <t>Kurti, Domeniko</t>
  </si>
  <si>
    <t>Bytebier, Jason</t>
  </si>
  <si>
    <t>Van Damme, Gilyann</t>
  </si>
  <si>
    <t>Gözüküçük, Ugur</t>
  </si>
  <si>
    <t>Ivanov, Ivan</t>
  </si>
  <si>
    <t>De Vijlder, Wim</t>
  </si>
  <si>
    <t>Neissi, Sadegh</t>
  </si>
  <si>
    <t>Yagoub, Abdelali</t>
  </si>
  <si>
    <t>Hyuseinov, Berdan</t>
  </si>
  <si>
    <t>Hasnaoui, Nejmeddine</t>
  </si>
  <si>
    <t>Cisse, Sayon</t>
  </si>
  <si>
    <t>Sogut, Cagri</t>
  </si>
  <si>
    <t>Natad, Younes</t>
  </si>
  <si>
    <t>Rocabado Hinojosa, Lukas</t>
  </si>
  <si>
    <t>Ardic, Atilla</t>
  </si>
  <si>
    <t>Yavas, Talha</t>
  </si>
  <si>
    <t>De Keyser, Dorien</t>
  </si>
  <si>
    <t>Shah, Sekandar</t>
  </si>
  <si>
    <t>De smet, Dirk</t>
  </si>
  <si>
    <t>Hoeckman, Jeroen</t>
  </si>
  <si>
    <t>De Witte, Bart</t>
  </si>
  <si>
    <t>Van Holsbeeck, Yana</t>
  </si>
  <si>
    <t>Abulehia, Oday</t>
  </si>
  <si>
    <t>Frise, Jordi</t>
  </si>
  <si>
    <t>Van Huffel, Tim</t>
  </si>
  <si>
    <t>Inci, Ramazan</t>
  </si>
  <si>
    <t>De Pauw, Tony</t>
  </si>
  <si>
    <t>Hillaert, Thimo</t>
  </si>
  <si>
    <t>Özdemir, Osman</t>
  </si>
  <si>
    <t>Smets, Avery</t>
  </si>
  <si>
    <t>Calinalti, Bekir</t>
  </si>
  <si>
    <t>Timmerman, Bjorn</t>
  </si>
  <si>
    <t>Naessens, Yves</t>
  </si>
  <si>
    <t>Bachiri, Ousama</t>
  </si>
  <si>
    <t>Van Eeckhaut, Rudi</t>
  </si>
  <si>
    <t>Hasan, Salem</t>
  </si>
  <si>
    <t>Zjarmi, Hylgis</t>
  </si>
  <si>
    <t>Van de Winckel, Kelly</t>
  </si>
  <si>
    <t>Ghani, Fazal</t>
  </si>
  <si>
    <t>Nolf, Philippe</t>
  </si>
  <si>
    <t>Diels, Nick</t>
  </si>
  <si>
    <t>Kasmi, Abdesamad</t>
  </si>
  <si>
    <t>Palit, Ramazan</t>
  </si>
  <si>
    <t>Goossens, Yannick</t>
  </si>
  <si>
    <t>Karanfil, Ibrahim</t>
  </si>
  <si>
    <t>Dobbeleire, Bruno</t>
  </si>
  <si>
    <t>Van der Bauwhede, Ben</t>
  </si>
  <si>
    <t>De Rammelaere, Bjorn</t>
  </si>
  <si>
    <t>Babai, Saber</t>
  </si>
  <si>
    <t>Tuncer, Hamza</t>
  </si>
  <si>
    <t>Vervaecke, Wim</t>
  </si>
  <si>
    <t>Van Loo, Mike</t>
  </si>
  <si>
    <t>Bogaert, Kevin</t>
  </si>
  <si>
    <t>Crop, Alexander</t>
  </si>
  <si>
    <t>Safi, Amrullah</t>
  </si>
  <si>
    <t>El Gana, Karim</t>
  </si>
  <si>
    <t>Ahmad, Othman</t>
  </si>
  <si>
    <t>De Bruycker, Dylan</t>
  </si>
  <si>
    <t>Verniers, Mike</t>
  </si>
  <si>
    <t>Rahoens, Christ</t>
  </si>
  <si>
    <t>Coppens, Lauwrence</t>
  </si>
  <si>
    <t>Gys, Shayya</t>
  </si>
  <si>
    <t>Cichonski, Kamil</t>
  </si>
  <si>
    <t>Orozco Camacho, Ronald Reynaldo</t>
  </si>
  <si>
    <t>Aissati, Ridouan</t>
  </si>
  <si>
    <t>Rombaut, Timo</t>
  </si>
  <si>
    <t>Akbulut, Samed</t>
  </si>
  <si>
    <t>Özer, Metehan</t>
  </si>
  <si>
    <t>Bontinck, Stephan</t>
  </si>
  <si>
    <t>Sular, Abdullah</t>
  </si>
  <si>
    <t>Ahmed, Abdul</t>
  </si>
  <si>
    <t>Güler, Ender</t>
  </si>
  <si>
    <t>Camgöz, Furkan</t>
  </si>
  <si>
    <t>Keita, Yassin</t>
  </si>
  <si>
    <t>Blancquaert, Peter</t>
  </si>
  <si>
    <t>AL-Haddad, Rashid</t>
  </si>
  <si>
    <t>Sahbaz, Celal</t>
  </si>
  <si>
    <t>Hassine, Zied</t>
  </si>
  <si>
    <t>Zied</t>
  </si>
  <si>
    <t>Hassine</t>
  </si>
  <si>
    <t>Gemiddelde van schades</t>
  </si>
  <si>
    <t>https://delijn.sharepoint.com/:b:/r/teams/CTM-OTGentStad/Shared%20Documents/General/EAF/CSI(nieuwe%20sharepoint)%202025/12.%20December/EAF%205221%20Dampoort%20Gent%2001122025%20-%2032245.pdf?csf=1&amp;web=1&amp;e=XIqsWL</t>
  </si>
  <si>
    <t xml:space="preserve"> https://delijn.sharepoint.com/:b:/r/teams/CTM-OTGentStad/Shared%20Documents/General/EAF/CSI(nieuwe%20sharepoint)%202025/11.%20November/EAF%205052%20Gent%2028112025%2036336.pdf?csf=1&amp;web=1&amp;e=UrUPa2</t>
  </si>
  <si>
    <t xml:space="preserve"> https://delijn.sharepoint.com/:b:/r/teams/CTM-OTGentStad/Shared%20Documents/General/EAF/CSI(nieuwe%20sharepoint)%202025/11.%20November/EAF%205229%20Gent%2027112025%2036627.pdf?csf=1&amp;web=1&amp;e=umJyuC</t>
  </si>
  <si>
    <t>12124 Van Vliet Tom</t>
  </si>
  <si>
    <t>25486 Goethals Bart</t>
  </si>
  <si>
    <t>29478 Priwall Heike</t>
  </si>
  <si>
    <t>36336 Haenebalcke Peter</t>
  </si>
  <si>
    <t xml:space="preserve"> https://delijn.sharepoint.com/:b:/r/teams/CTM-OTGentStad/Shared%20Documents/General/EAF/CSI(nieuwe%20sharepoint)%202025/11.%20November/EAF%206369%20Gent%2029112025%20-%2012124.pdf?csf=1&amp;web=1&amp;e=2dzu9F</t>
  </si>
  <si>
    <t>Speurder</t>
  </si>
  <si>
    <t xml:space="preserve"> https://delijn.sharepoint.com/:b:/r/teams/CTM-OTGentStad/Shared%20Documents/General/EAF/CSI(nieuwe%20sharepoint)%202025/12.%20December/EAF%206320%20Gent%2003122025%2016280.pdf?csf=1&amp;web=1&amp;e=QEqXPX</t>
  </si>
  <si>
    <t>Vijfwindgatenstraat</t>
  </si>
  <si>
    <t xml:space="preserve"> https://delijn.sharepoint.com/:b:/r/teams/CTM-OTGentStad/Shared%20Documents/General/EAF/CSI(nieuwe%20sharepoint)%202025/11.%20November/EAF%206359%20Gent%2022112025%2039184.pdf?csf=1&amp;web=1&amp;e=hfckkl</t>
  </si>
  <si>
    <t xml:space="preserve"> https://delijn.sharepoint.com/:b:/r/teams/CTM-OTGentStad/Shared%20Documents/General/EAF/CSI(nieuwe%20sharepoint)%202025/12.%20December/EAF%205039%20Brugsepoort%20Gent%2003122025%20-%2015320.pdf?csf=1&amp;web=1&amp;e=a8NNas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</si>
</sst>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  <xf numFmtId="164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  <xf numFmtId="0" fontId="0" fillId="0" borderId="0" xfId="0" applyNumberFormat="1"/>
    <xf numFmtId="0" fontId="0" fillId="5" borderId="0" xfId="0" applyNumberFormat="1" applyFill="1" applyAlignment="1">
      <alignment horizontal="center"/>
    </xf>
  </cellXfs>
  <cellStyles count="2">
    <cellStyle name="Hyperlink" xfId="1" builtinId="8"/>
    <cellStyle name="Standaard" xfId="0" builtinId="0"/>
  </cellStyles>
  <dxfs count="45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numFmt numFmtId="2" formatCode="0.00"/>
    </dxf>
    <dxf>
      <numFmt numFmtId="2" formatCode="0.00"/>
    </dxf>
    <dxf>
      <numFmt numFmtId="1" formatCode="0"/>
    </dxf>
    <dxf>
      <numFmt numFmtId="19" formatCode="d/mm/yyyy"/>
    </dxf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19" formatCode="d/mm/yyyy"/>
    </dxf>
    <dxf>
      <numFmt numFmtId="2" formatCode="0.00"/>
    </dxf>
    <dxf>
      <numFmt numFmtId="0" formatCode="General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Relationship Id="rId22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voortschrijd!Draaitabel1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voortschrijd'!$J$2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voortschrijd'!$I$3:$I$39</c:f>
              <c:strCache>
                <c:ptCount val="36"/>
                <c:pt idx="0">
                  <c:v>0,00</c:v>
                </c:pt>
                <c:pt idx="1">
                  <c:v>1,00</c:v>
                </c:pt>
                <c:pt idx="2">
                  <c:v>2,00</c:v>
                </c:pt>
                <c:pt idx="3">
                  <c:v>3,00</c:v>
                </c:pt>
                <c:pt idx="4">
                  <c:v>4,00</c:v>
                </c:pt>
                <c:pt idx="5">
                  <c:v>5,00</c:v>
                </c:pt>
                <c:pt idx="6">
                  <c:v>6,00</c:v>
                </c:pt>
                <c:pt idx="7">
                  <c:v>7,00</c:v>
                </c:pt>
                <c:pt idx="8">
                  <c:v>8,00</c:v>
                </c:pt>
                <c:pt idx="9">
                  <c:v>9,00</c:v>
                </c:pt>
                <c:pt idx="10">
                  <c:v>10,00</c:v>
                </c:pt>
                <c:pt idx="11">
                  <c:v>11,00</c:v>
                </c:pt>
                <c:pt idx="12">
                  <c:v>12,00</c:v>
                </c:pt>
                <c:pt idx="13">
                  <c:v>13,00</c:v>
                </c:pt>
                <c:pt idx="14">
                  <c:v>14,00</c:v>
                </c:pt>
                <c:pt idx="15">
                  <c:v>15,00</c:v>
                </c:pt>
                <c:pt idx="16">
                  <c:v>16,00</c:v>
                </c:pt>
                <c:pt idx="17">
                  <c:v>17,00</c:v>
                </c:pt>
                <c:pt idx="18">
                  <c:v>18,00</c:v>
                </c:pt>
                <c:pt idx="19">
                  <c:v>19,00</c:v>
                </c:pt>
                <c:pt idx="20">
                  <c:v>20,00</c:v>
                </c:pt>
                <c:pt idx="21">
                  <c:v>21,00</c:v>
                </c:pt>
                <c:pt idx="22">
                  <c:v>22,00</c:v>
                </c:pt>
                <c:pt idx="23">
                  <c:v>23,00</c:v>
                </c:pt>
                <c:pt idx="24">
                  <c:v>24,00</c:v>
                </c:pt>
                <c:pt idx="25">
                  <c:v>25,00</c:v>
                </c:pt>
                <c:pt idx="26">
                  <c:v>26,00</c:v>
                </c:pt>
                <c:pt idx="27">
                  <c:v>27,00</c:v>
                </c:pt>
                <c:pt idx="28">
                  <c:v>28,00</c:v>
                </c:pt>
                <c:pt idx="29">
                  <c:v>29,00</c:v>
                </c:pt>
                <c:pt idx="30">
                  <c:v>30,00</c:v>
                </c:pt>
                <c:pt idx="31">
                  <c:v>32,00</c:v>
                </c:pt>
                <c:pt idx="32">
                  <c:v>33,00</c:v>
                </c:pt>
                <c:pt idx="33">
                  <c:v>34,00</c:v>
                </c:pt>
                <c:pt idx="34">
                  <c:v>36,00</c:v>
                </c:pt>
                <c:pt idx="35">
                  <c:v>37,00</c:v>
                </c:pt>
              </c:strCache>
            </c:strRef>
          </c:cat>
          <c:val>
            <c:numRef>
              <c:f>'schades-dienstjaar voortschrijd'!$J$3:$J$39</c:f>
              <c:numCache>
                <c:formatCode>0.0</c:formatCode>
                <c:ptCount val="36"/>
                <c:pt idx="0">
                  <c:v>1.7714285714285714</c:v>
                </c:pt>
                <c:pt idx="1">
                  <c:v>1.9272727272727272</c:v>
                </c:pt>
                <c:pt idx="2">
                  <c:v>1.2653061224489797</c:v>
                </c:pt>
                <c:pt idx="3">
                  <c:v>0.9</c:v>
                </c:pt>
                <c:pt idx="4">
                  <c:v>1.5217391304347827</c:v>
                </c:pt>
                <c:pt idx="5">
                  <c:v>0.95833333333333337</c:v>
                </c:pt>
                <c:pt idx="6">
                  <c:v>0.84615384615384615</c:v>
                </c:pt>
                <c:pt idx="7">
                  <c:v>1.2857142857142858</c:v>
                </c:pt>
                <c:pt idx="8">
                  <c:v>0.92307692307692313</c:v>
                </c:pt>
                <c:pt idx="9">
                  <c:v>0.88888888888888884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0.83333333333333337</c:v>
                </c:pt>
                <c:pt idx="14">
                  <c:v>0.8</c:v>
                </c:pt>
                <c:pt idx="15">
                  <c:v>1.8</c:v>
                </c:pt>
                <c:pt idx="16">
                  <c:v>0.83333333333333337</c:v>
                </c:pt>
                <c:pt idx="17">
                  <c:v>0.81818181818181823</c:v>
                </c:pt>
                <c:pt idx="18">
                  <c:v>0.83333333333333337</c:v>
                </c:pt>
                <c:pt idx="19">
                  <c:v>1.125</c:v>
                </c:pt>
                <c:pt idx="20">
                  <c:v>1.25</c:v>
                </c:pt>
                <c:pt idx="21">
                  <c:v>2</c:v>
                </c:pt>
                <c:pt idx="22">
                  <c:v>0.66666666666666663</c:v>
                </c:pt>
                <c:pt idx="23">
                  <c:v>0.625</c:v>
                </c:pt>
                <c:pt idx="24">
                  <c:v>0.6</c:v>
                </c:pt>
                <c:pt idx="25">
                  <c:v>1</c:v>
                </c:pt>
                <c:pt idx="26">
                  <c:v>1</c:v>
                </c:pt>
                <c:pt idx="27">
                  <c:v>0.33333333333333331</c:v>
                </c:pt>
                <c:pt idx="28">
                  <c:v>0.75</c:v>
                </c:pt>
                <c:pt idx="29">
                  <c:v>0.4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0.5</c:v>
                </c:pt>
                <c:pt idx="34">
                  <c:v>1</c:v>
                </c:pt>
                <c:pt idx="35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4-420D-8C85-F34C75915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164896"/>
        <c:axId val="1222165856"/>
      </c:lineChart>
      <c:catAx>
        <c:axId val="122216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5856"/>
        <c:crosses val="autoZero"/>
        <c:auto val="1"/>
        <c:lblAlgn val="ctr"/>
        <c:lblOffset val="100"/>
        <c:noMultiLvlLbl val="0"/>
      </c:catAx>
      <c:valAx>
        <c:axId val="12221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macro.xlsm]schades-leeftijd!Draaitabel1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'schades-leeftijd'!$J$4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'schades-leeftijd'!$I$5:$I$55</c:f>
              <c:strCache>
                <c:ptCount val="50"/>
                <c:pt idx="0">
                  <c:v>19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69</c:v>
                </c:pt>
                <c:pt idx="48">
                  <c:v>72</c:v>
                </c:pt>
                <c:pt idx="49">
                  <c:v>75</c:v>
                </c:pt>
              </c:strCache>
            </c:strRef>
          </c:cat>
          <c:val>
            <c:numRef>
              <c:f>'schades-leeftijd'!$J$5:$J$55</c:f>
              <c:numCache>
                <c:formatCode>0.00</c:formatCode>
                <c:ptCount val="50"/>
                <c:pt idx="0">
                  <c:v>0.5</c:v>
                </c:pt>
                <c:pt idx="1">
                  <c:v>1</c:v>
                </c:pt>
                <c:pt idx="2">
                  <c:v>2.2857142857142856</c:v>
                </c:pt>
                <c:pt idx="3">
                  <c:v>0.5</c:v>
                </c:pt>
                <c:pt idx="4">
                  <c:v>0.83333333333333337</c:v>
                </c:pt>
                <c:pt idx="5">
                  <c:v>2.2857142857142856</c:v>
                </c:pt>
                <c:pt idx="6">
                  <c:v>1.8823529411764706</c:v>
                </c:pt>
                <c:pt idx="7">
                  <c:v>1.8461538461538463</c:v>
                </c:pt>
                <c:pt idx="8">
                  <c:v>2.2000000000000002</c:v>
                </c:pt>
                <c:pt idx="9">
                  <c:v>1.1111111111111112</c:v>
                </c:pt>
                <c:pt idx="10">
                  <c:v>2.4615384615384617</c:v>
                </c:pt>
                <c:pt idx="11">
                  <c:v>2.1666666666666665</c:v>
                </c:pt>
                <c:pt idx="12">
                  <c:v>1.6875</c:v>
                </c:pt>
                <c:pt idx="13">
                  <c:v>2.1111111111111112</c:v>
                </c:pt>
                <c:pt idx="14">
                  <c:v>1.6666666666666667</c:v>
                </c:pt>
                <c:pt idx="15">
                  <c:v>1.6666666666666667</c:v>
                </c:pt>
                <c:pt idx="16">
                  <c:v>1</c:v>
                </c:pt>
                <c:pt idx="17">
                  <c:v>2</c:v>
                </c:pt>
                <c:pt idx="18">
                  <c:v>1.7</c:v>
                </c:pt>
                <c:pt idx="19">
                  <c:v>1.2307692307692308</c:v>
                </c:pt>
                <c:pt idx="20">
                  <c:v>1.8571428571428572</c:v>
                </c:pt>
                <c:pt idx="21">
                  <c:v>1.7058823529411764</c:v>
                </c:pt>
                <c:pt idx="22">
                  <c:v>1.9473684210526316</c:v>
                </c:pt>
                <c:pt idx="23">
                  <c:v>2</c:v>
                </c:pt>
                <c:pt idx="24">
                  <c:v>0.63636363636363635</c:v>
                </c:pt>
                <c:pt idx="25">
                  <c:v>0.84615384615384615</c:v>
                </c:pt>
                <c:pt idx="26">
                  <c:v>1.7857142857142858</c:v>
                </c:pt>
                <c:pt idx="27">
                  <c:v>1.9166666666666667</c:v>
                </c:pt>
                <c:pt idx="28">
                  <c:v>1.65</c:v>
                </c:pt>
                <c:pt idx="29">
                  <c:v>0.95454545454545459</c:v>
                </c:pt>
                <c:pt idx="30">
                  <c:v>1.5454545454545454</c:v>
                </c:pt>
                <c:pt idx="31">
                  <c:v>1.2941176470588236</c:v>
                </c:pt>
                <c:pt idx="32">
                  <c:v>1.4666666666666666</c:v>
                </c:pt>
                <c:pt idx="33">
                  <c:v>0.83333333333333337</c:v>
                </c:pt>
                <c:pt idx="34">
                  <c:v>1.5714285714285714</c:v>
                </c:pt>
                <c:pt idx="35">
                  <c:v>0.58823529411764708</c:v>
                </c:pt>
                <c:pt idx="36">
                  <c:v>1.1666666666666667</c:v>
                </c:pt>
                <c:pt idx="37">
                  <c:v>1.4</c:v>
                </c:pt>
                <c:pt idx="38">
                  <c:v>0.5625</c:v>
                </c:pt>
                <c:pt idx="39">
                  <c:v>1.9090909090909092</c:v>
                </c:pt>
                <c:pt idx="40">
                  <c:v>1.3181818181818181</c:v>
                </c:pt>
                <c:pt idx="41">
                  <c:v>1.2</c:v>
                </c:pt>
                <c:pt idx="42">
                  <c:v>1.5</c:v>
                </c:pt>
                <c:pt idx="43">
                  <c:v>0.9</c:v>
                </c:pt>
                <c:pt idx="44">
                  <c:v>0.7142857142857143</c:v>
                </c:pt>
                <c:pt idx="45">
                  <c:v>1</c:v>
                </c:pt>
                <c:pt idx="46">
                  <c:v>1</c:v>
                </c:pt>
                <c:pt idx="47">
                  <c:v>0.33333333333333331</c:v>
                </c:pt>
                <c:pt idx="48">
                  <c:v>1</c:v>
                </c:pt>
                <c:pt idx="4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02-421B-B428-83E485708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449440"/>
        <c:axId val="1335450880"/>
      </c:lineChart>
      <c:catAx>
        <c:axId val="133544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50880"/>
        <c:crosses val="autoZero"/>
        <c:auto val="1"/>
        <c:lblAlgn val="ctr"/>
        <c:lblOffset val="100"/>
        <c:noMultiLvlLbl val="0"/>
      </c:catAx>
      <c:valAx>
        <c:axId val="133545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4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compleet!Draaitabel1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compleet'!$K$3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compleet'!$J$4:$J$42</c:f>
              <c:strCach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44</c:v>
                </c:pt>
              </c:strCache>
            </c:strRef>
          </c:cat>
          <c:val>
            <c:numRef>
              <c:f>'schades-dienstjaar compleet'!$K$4:$K$42</c:f>
              <c:numCache>
                <c:formatCode>0.00</c:formatCode>
                <c:ptCount val="38"/>
                <c:pt idx="0">
                  <c:v>1.0163934426229508</c:v>
                </c:pt>
                <c:pt idx="1">
                  <c:v>2.2028985507246377</c:v>
                </c:pt>
                <c:pt idx="2">
                  <c:v>2.7272727272727271</c:v>
                </c:pt>
                <c:pt idx="3">
                  <c:v>1.8421052631578947</c:v>
                </c:pt>
                <c:pt idx="4">
                  <c:v>1.9393939393939394</c:v>
                </c:pt>
                <c:pt idx="5">
                  <c:v>1.2571428571428571</c:v>
                </c:pt>
                <c:pt idx="6">
                  <c:v>1.6</c:v>
                </c:pt>
                <c:pt idx="7">
                  <c:v>2.2222222222222223</c:v>
                </c:pt>
                <c:pt idx="8">
                  <c:v>1.25</c:v>
                </c:pt>
                <c:pt idx="9">
                  <c:v>1.7272727272727273</c:v>
                </c:pt>
                <c:pt idx="10">
                  <c:v>0.92307692307692313</c:v>
                </c:pt>
                <c:pt idx="11">
                  <c:v>1.1875</c:v>
                </c:pt>
                <c:pt idx="12">
                  <c:v>0.14285714285714285</c:v>
                </c:pt>
                <c:pt idx="13">
                  <c:v>1.1111111111111112</c:v>
                </c:pt>
                <c:pt idx="14">
                  <c:v>1.0833333333333333</c:v>
                </c:pt>
                <c:pt idx="15">
                  <c:v>1.4285714285714286</c:v>
                </c:pt>
                <c:pt idx="16">
                  <c:v>0.66666666666666663</c:v>
                </c:pt>
                <c:pt idx="17">
                  <c:v>0.75</c:v>
                </c:pt>
                <c:pt idx="18">
                  <c:v>0.75862068965517238</c:v>
                </c:pt>
                <c:pt idx="19">
                  <c:v>1.375</c:v>
                </c:pt>
                <c:pt idx="20">
                  <c:v>0.7</c:v>
                </c:pt>
                <c:pt idx="21">
                  <c:v>1.5</c:v>
                </c:pt>
                <c:pt idx="22">
                  <c:v>0.76923076923076927</c:v>
                </c:pt>
                <c:pt idx="23">
                  <c:v>1.1818181818181819</c:v>
                </c:pt>
                <c:pt idx="24">
                  <c:v>0.55555555555555558</c:v>
                </c:pt>
                <c:pt idx="25">
                  <c:v>1.8571428571428572</c:v>
                </c:pt>
                <c:pt idx="26">
                  <c:v>1.5</c:v>
                </c:pt>
                <c:pt idx="27">
                  <c:v>0.6</c:v>
                </c:pt>
                <c:pt idx="28">
                  <c:v>0.8</c:v>
                </c:pt>
                <c:pt idx="29">
                  <c:v>1.125</c:v>
                </c:pt>
                <c:pt idx="30">
                  <c:v>0.33333333333333331</c:v>
                </c:pt>
                <c:pt idx="31">
                  <c:v>0.5</c:v>
                </c:pt>
                <c:pt idx="32">
                  <c:v>0.66666666666666663</c:v>
                </c:pt>
                <c:pt idx="33">
                  <c:v>0.75</c:v>
                </c:pt>
                <c:pt idx="34">
                  <c:v>0</c:v>
                </c:pt>
                <c:pt idx="35">
                  <c:v>0.66666666666666663</c:v>
                </c:pt>
                <c:pt idx="36">
                  <c:v>4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00-4116-B88D-B39CEFD43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79200"/>
        <c:axId val="1518575840"/>
      </c:lineChart>
      <c:catAx>
        <c:axId val="151857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5840"/>
        <c:crosses val="autoZero"/>
        <c:auto val="1"/>
        <c:lblAlgn val="ctr"/>
        <c:lblOffset val="100"/>
        <c:noMultiLvlLbl val="0"/>
      </c:catAx>
      <c:valAx>
        <c:axId val="151857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9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923925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313265</xdr:colOff>
      <xdr:row>3</xdr:row>
      <xdr:rowOff>12699</xdr:rowOff>
    </xdr:from>
    <xdr:to>
      <xdr:col>32</xdr:col>
      <xdr:colOff>313266</xdr:colOff>
      <xdr:row>39</xdr:row>
      <xdr:rowOff>8467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7365AAFC-D72A-085C-D559-0B66AAF56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144780</xdr:colOff>
      <xdr:row>2</xdr:row>
      <xdr:rowOff>114300</xdr:rowOff>
    </xdr:from>
    <xdr:to>
      <xdr:col>26</xdr:col>
      <xdr:colOff>327660</xdr:colOff>
      <xdr:row>38</xdr:row>
      <xdr:rowOff>57150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E9CDEEDF-4298-B2E1-AB5C-8A28E6B2C6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114300</xdr:colOff>
      <xdr:row>2</xdr:row>
      <xdr:rowOff>45720</xdr:rowOff>
    </xdr:from>
    <xdr:to>
      <xdr:col>29</xdr:col>
      <xdr:colOff>304800</xdr:colOff>
      <xdr:row>42</xdr:row>
      <xdr:rowOff>38100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27180FA2-FCCD-CE3C-0908-4DA63B8269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4.497508101849" createdVersion="8" refreshedVersion="8" minRefreshableVersion="3" recordCount="991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41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25486 Goethals Bart"/>
        <s v="36336 Haenebalcke Peter"/>
        <m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2-02T00:00:00" count="506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3T00:00:00"/>
        <d v="2025-11-24T00:00:00"/>
        <d v="2025-11-25T00:00:00"/>
        <d v="2025-11-27T00:00:00"/>
        <d v="2025-11-29T00:00:00"/>
        <d v="2025-11-28T00:00:00"/>
        <d v="2025-12-01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Groene valei"/>
        <s v="Brugsepoortstraat"/>
        <s v="zuiderlaan"/>
        <s v="krijtestraat"/>
        <s v="braemkasteelstraat"/>
        <s v="guislainbrug"/>
        <s v="Spaarstraat"/>
        <s v="over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actief" numFmtId="0">
      <sharedItems containsBlank="1"/>
    </cacheField>
    <cacheField name="totaal" numFmtId="0">
      <sharedItems containsSemiMixedTypes="0" containsString="0" containsNumber="1" containsInteger="1" minValue="0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2-02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/12/2025"/>
        </groupItems>
      </fieldGroup>
    </cacheField>
    <cacheField name="Kwartalen (Datum)" numFmtId="0" databaseField="0">
      <fieldGroup base="19">
        <rangePr groupBy="quarters" startDate="2024-01-05T00:00:00" endDate="2025-12-02T00:00:00"/>
        <groupItems count="6">
          <s v="&lt;5/01/2024"/>
          <s v="Kwrt1"/>
          <s v="Kwrt2"/>
          <s v="Kwrt3"/>
          <s v="Kwrt4"/>
          <s v="&gt;2/12/2025"/>
        </groupItems>
      </fieldGroup>
    </cacheField>
    <cacheField name="Jaren (Datum)" numFmtId="0" databaseField="0">
      <fieldGroup base="19">
        <rangePr groupBy="years" startDate="2024-01-05T00:00:00" endDate="2025-12-02T00:00:00"/>
        <groupItems count="4">
          <s v="&lt;5/01/2024"/>
          <s v="2024"/>
          <s v="2025"/>
          <s v="&gt;2/12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381102083331" createdVersion="8" refreshedVersion="8" minRefreshableVersion="3" recordCount="402" xr:uid="{195F1E1E-BCDB-46CC-8520-B93C8D59F5B8}">
  <cacheSource type="worksheet">
    <worksheetSource name="Table1"/>
  </cacheSource>
  <cacheFields count="10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9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4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4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4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464151157408" createdVersion="8" refreshedVersion="8" minRefreshableVersion="3" recordCount="592" xr:uid="{37F2AA25-10C8-44FD-A033-553368FE2F9C}">
  <cacheSource type="worksheet">
    <worksheetSource name="Tabel5"/>
  </cacheSource>
  <cacheFields count="7">
    <cacheField name="Employee" numFmtId="0">
      <sharedItems containsSemiMixedTypes="0" containsString="0" containsNumber="1" containsInteger="1" minValue="3926" maxValue="42558"/>
    </cacheField>
    <cacheField name="Last Name" numFmtId="0">
      <sharedItems/>
    </cacheField>
    <cacheField name="First Name" numFmtId="0">
      <sharedItems/>
    </cacheField>
    <cacheField name="Birth Date" numFmtId="14">
      <sharedItems containsSemiMixedTypes="0" containsNonDate="0" containsDate="1" containsString="0" minDate="1950-03-23T00:00:00" maxDate="2006-05-04T00:00:00"/>
    </cacheField>
    <cacheField name="jaar" numFmtId="0">
      <sharedItems containsSemiMixedTypes="0" containsString="0" containsNumber="1" containsInteger="1" minValue="1950" maxValue="2006"/>
    </cacheField>
    <cacheField name="leeftijd" numFmtId="0">
      <sharedItems containsSemiMixedTypes="0" containsString="0" containsNumber="1" containsInteger="1" minValue="19" maxValue="75" count="50">
        <n v="59"/>
        <n v="56"/>
        <n v="49"/>
        <n v="51"/>
        <n v="60"/>
        <n v="52"/>
        <n v="62"/>
        <n v="47"/>
        <n v="55"/>
        <n v="61"/>
        <n v="50"/>
        <n v="48"/>
        <n v="46"/>
        <n v="53"/>
        <n v="44"/>
        <n v="45"/>
        <n v="57"/>
        <n v="54"/>
        <n v="58"/>
        <n v="64"/>
        <n v="42"/>
        <n v="63"/>
        <n v="65"/>
        <n v="41"/>
        <n v="43"/>
        <n v="40"/>
        <n v="39"/>
        <n v="37"/>
        <n v="38"/>
        <n v="36"/>
        <n v="35"/>
        <n v="66"/>
        <n v="33"/>
        <n v="32"/>
        <n v="30"/>
        <n v="31"/>
        <n v="34"/>
        <n v="29"/>
        <n v="26"/>
        <n v="72"/>
        <n v="75"/>
        <n v="28"/>
        <n v="27"/>
        <n v="25"/>
        <n v="24"/>
        <n v="23"/>
        <n v="21"/>
        <n v="22"/>
        <n v="69"/>
        <n v="19"/>
      </sharedItems>
    </cacheField>
    <cacheField name="schades" numFmtId="0">
      <sharedItems containsSemiMixedTypes="0" containsString="0" containsNumber="1" containsInteger="1" minValue="0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47266446759" createdVersion="8" refreshedVersion="8" minRefreshableVersion="3" recordCount="614" xr:uid="{4B173561-61D9-4993-B36D-821F01BB1DD8}">
  <cacheSource type="worksheet">
    <worksheetSource name="Tabel6"/>
  </cacheSource>
  <cacheFields count="11">
    <cacheField name=" Volledige naam" numFmtId="49">
      <sharedItems/>
    </cacheField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3926" maxValue="42567"/>
    </cacheField>
    <cacheField name="Team Coach" numFmtId="49">
      <sharedItems/>
    </cacheField>
    <cacheField name="Datum in dienst" numFmtId="14">
      <sharedItems containsSemiMixedTypes="0" containsNonDate="0" containsDate="1" containsString="0" minDate="1981-10-26T01:00:00" maxDate="2025-11-19T01:00:00" count="406">
        <d v="1981-10-26T01:00:00"/>
        <d v="1988-03-21T01:00:00"/>
        <d v="1988-12-12T01:00:00"/>
        <d v="1989-05-16T02:00:00"/>
        <d v="1989-10-16T02:00:00"/>
        <d v="1990-02-20T01:00:00"/>
        <d v="1990-03-19T01:00:00"/>
        <d v="1990-08-13T02:00:00"/>
        <d v="1991-02-18T01:00:00"/>
        <d v="1991-03-11T01:00:00"/>
        <d v="1991-11-04T01:00:00"/>
        <d v="1992-01-06T01:00:00"/>
        <d v="1992-04-13T02:00:00"/>
        <d v="1992-05-18T02:00:00"/>
        <d v="1992-08-03T02:00:00"/>
        <d v="1992-09-01T02:00:00"/>
        <d v="1992-09-21T02:00:00"/>
        <d v="1993-02-08T01:00:00"/>
        <d v="1993-04-19T02:00:00"/>
        <d v="1995-05-15T02:00:00"/>
        <d v="1995-08-21T02:00:00"/>
        <d v="1996-01-01T01:00:00"/>
        <d v="1996-04-22T02:00:00"/>
        <d v="1996-06-03T02:00:00"/>
        <d v="1996-08-26T02:00:00"/>
        <d v="1996-09-30T02:00:00"/>
        <d v="1996-11-25T01:00:00"/>
        <d v="1997-08-25T02:00:00"/>
        <d v="1997-02-17T01:00:00"/>
        <d v="1997-03-24T01:00:00"/>
        <d v="1997-10-20T02:00:00"/>
        <d v="1998-01-01T01:00:00"/>
        <d v="1998-04-06T02:00:00"/>
        <d v="1998-06-02T02:00:00"/>
        <d v="1998-10-12T02:00:00"/>
        <d v="1999-03-08T01:00:00"/>
        <d v="1999-04-12T02:00:00"/>
        <d v="1999-05-31T02:00:00"/>
        <d v="1999-06-21T02:00:00"/>
        <d v="1999-08-16T02:00:00"/>
        <d v="2000-01-17T01:00:00"/>
        <d v="2000-03-27T02:00:00"/>
        <d v="2000-05-08T02:00:00"/>
        <d v="2000-06-13T02:00:00"/>
        <d v="2000-08-21T02:00:00"/>
        <d v="2000-10-16T02:00:00"/>
        <d v="2000-11-23T01:00:00"/>
        <d v="2001-02-01T01:00:00"/>
        <d v="2001-02-26T01:00:00"/>
        <d v="2001-04-17T02:00:00"/>
        <d v="2001-05-07T02:00:00"/>
        <d v="2001-06-05T02:00:00"/>
        <d v="2001-10-29T01:00:00"/>
        <d v="2001-11-19T01:00:00"/>
        <d v="2002-01-28T01:00:00"/>
        <d v="2002-03-18T01:00:00"/>
        <d v="2002-05-21T02:00:00"/>
        <d v="2002-06-17T02:00:00"/>
        <d v="2002-09-02T02:00:00"/>
        <d v="2002-10-14T02:00:00"/>
        <d v="2002-11-04T01:00:00"/>
        <d v="2002-11-25T01:00:00"/>
        <d v="2003-01-13T01:00:00"/>
        <d v="2003-04-07T02:00:00"/>
        <d v="2003-04-28T02:00:00"/>
        <d v="2003-05-26T02:00:00"/>
        <d v="2003-06-16T02:00:00"/>
        <d v="2003-07-28T02:00:00"/>
        <d v="2003-09-22T02:00:00"/>
        <d v="2004-01-05T01:00:00"/>
        <d v="2004-02-02T01:00:00"/>
        <d v="2004-04-26T02:00:00"/>
        <d v="2004-05-17T02:00:00"/>
        <d v="2004-08-23T02:00:00"/>
        <d v="2005-02-03T01:00:00"/>
        <d v="2005-02-07T01:00:00"/>
        <d v="2005-02-21T01:00:00"/>
        <d v="2005-04-04T02:00:00"/>
        <d v="2005-04-18T02:00:00"/>
        <d v="2005-05-09T02:00:00"/>
        <d v="2005-08-29T02:00:00"/>
        <d v="2006-02-06T01:00:00"/>
        <d v="2006-02-27T01:00:00"/>
        <d v="2006-03-13T01:00:00"/>
        <d v="2006-04-03T02:00:00"/>
        <d v="2006-04-24T02:00:00"/>
        <d v="2006-05-15T02:00:00"/>
        <d v="2006-07-10T02:00:00"/>
        <d v="2006-07-31T02:00:00"/>
        <d v="2006-08-07T02:00:00"/>
        <d v="2006-08-28T02:00:00"/>
        <d v="2006-09-11T02:00:00"/>
        <d v="2006-10-02T02:00:00"/>
        <d v="2006-10-16T02:00:00"/>
        <d v="2007-02-19T01:00:00"/>
        <d v="2007-03-05T01:00:00"/>
        <d v="2007-03-19T01:00:00"/>
        <d v="2007-04-02T02:00:00"/>
        <d v="2007-04-16T02:00:00"/>
        <d v="2007-05-02T02:00:00"/>
        <d v="2007-05-21T02:00:00"/>
        <d v="2007-07-09T02:00:00"/>
        <d v="2007-07-23T02:00:00"/>
        <d v="2007-08-06T02:00:00"/>
        <d v="2007-08-20T02:00:00"/>
        <d v="2007-10-01T02:00:00"/>
        <d v="2007-10-15T02:00:00"/>
        <d v="2007-11-05T01:00:00"/>
        <d v="2007-11-19T01:00:00"/>
        <d v="2008-01-07T01:00:00"/>
        <d v="2007-12-17T01:00:00"/>
        <d v="2008-01-21T01:00:00"/>
        <d v="2008-02-18T01:00:00"/>
        <d v="2008-03-03T01:00:00"/>
        <d v="2008-03-17T01:00:00"/>
        <d v="2008-03-31T02:00:00"/>
        <d v="2008-04-14T02:00:00"/>
        <d v="2008-05-05T02:00:00"/>
        <d v="2008-05-19T02:00:00"/>
        <d v="2008-06-02T02:00:00"/>
        <d v="2008-06-16T02:00:00"/>
        <d v="2008-07-14T02:00:00"/>
        <d v="2008-08-04T02:00:00"/>
        <d v="2008-08-18T02:00:00"/>
        <d v="2008-09-15T02:00:00"/>
        <d v="2009-01-01T01:00:00"/>
        <d v="2009-01-26T01:00:00"/>
        <d v="2009-03-09T01:00:00"/>
        <d v="2009-03-23T01:00:00"/>
        <d v="2009-04-20T02:00:00"/>
        <d v="2009-05-04T02:00:00"/>
        <d v="2009-05-25T02:00:00"/>
        <d v="2009-06-08T02:00:00"/>
        <d v="2009-06-15T02:00:00"/>
        <d v="2009-07-06T02:00:00"/>
        <d v="2009-08-10T02:00:00"/>
        <d v="2009-08-24T02:00:00"/>
        <d v="2010-06-21T02:00:00"/>
        <d v="2010-07-26T02:00:00"/>
        <d v="2010-10-04T02:00:00"/>
        <d v="2010-10-18T02:00:00"/>
        <d v="2010-11-15T01:00:00"/>
        <d v="2010-12-13T01:00:00"/>
        <d v="2011-01-24T01:00:00"/>
        <d v="2011-01-31T01:00:00"/>
        <d v="2011-02-28T01:00:00"/>
        <d v="2011-03-21T01:00:00"/>
        <d v="2011-04-04T02:00:00"/>
        <d v="2011-04-25T02:00:00"/>
        <d v="2011-05-16T02:00:00"/>
        <d v="2011-06-06T02:00:00"/>
        <d v="2011-07-04T02:00:00"/>
        <d v="2011-07-25T02:00:00"/>
        <d v="2011-08-16T02:00:00"/>
        <d v="2011-09-26T02:00:00"/>
        <d v="2011-10-10T02:00:00"/>
        <d v="2011-11-14T01:00:00"/>
        <d v="2012-08-20T02:00:00"/>
        <d v="2012-02-13T01:00:00"/>
        <d v="2012-03-05T01:00:00"/>
        <d v="2012-07-23T02:00:00"/>
        <d v="2012-09-24T02:00:00"/>
        <d v="2012-10-22T02:00:00"/>
        <d v="2012-11-05T01:00:00"/>
        <d v="2012-12-10T01:00:00"/>
        <d v="2013-02-08T01:00:00"/>
        <d v="2013-04-08T02:00:00"/>
        <d v="2013-05-27T02:00:00"/>
        <d v="2013-11-01T01:00:00"/>
        <d v="2013-12-09T01:00:00"/>
        <d v="2014-01-20T01:00:00"/>
        <d v="2014-02-10T01:00:00"/>
        <d v="2014-03-03T01:00:00"/>
        <d v="2014-03-10T01:00:00"/>
        <d v="2014-03-24T01:00:00"/>
        <d v="2014-04-14T02:00:00"/>
        <d v="2014-04-22T02:00:00"/>
        <d v="2014-05-12T02:00:00"/>
        <d v="2014-07-07T02:00:00"/>
        <d v="2014-08-04T02:00:00"/>
        <d v="2014-09-22T02:00:00"/>
        <d v="2014-11-03T01:00:00"/>
        <d v="2014-12-08T01:00:00"/>
        <d v="2015-01-19T01:00:00"/>
        <d v="2015-02-16T01:00:00"/>
        <d v="2015-03-30T02:00:00"/>
        <d v="2015-04-13T02:00:00"/>
        <d v="2015-04-27T02:00:00"/>
        <d v="2015-07-13T02:00:00"/>
        <d v="2015-09-21T02:00:00"/>
        <d v="2015-10-05T02:00:00"/>
        <d v="2015-10-19T02:00:00"/>
        <d v="2016-02-29T01:00:00"/>
        <d v="2016-06-13T02:00:00"/>
        <d v="2016-06-27T02:00:00"/>
        <d v="2016-07-02T02:00:00"/>
        <d v="2016-07-11T02:00:00"/>
        <d v="2016-08-22T02:00:00"/>
        <d v="2016-09-05T02:00:00"/>
        <d v="2016-09-30T02:00:00"/>
        <d v="2016-10-03T02:00:00"/>
        <d v="2016-10-31T01:00:00"/>
        <d v="2017-01-09T01:00:00"/>
        <d v="2017-01-16T01:00:00"/>
        <d v="2017-01-23T01:00:00"/>
        <d v="2017-04-03T02:00:00"/>
        <d v="2017-04-18T02:00:00"/>
        <d v="2017-05-08T02:00:00"/>
        <d v="2017-05-22T02:00:00"/>
        <d v="2017-06-06T02:00:00"/>
        <d v="2017-07-03T02:00:00"/>
        <d v="2017-07-17T02:00:00"/>
        <d v="2017-09-11T02:00:00"/>
        <d v="2017-09-25T02:00:00"/>
        <d v="2017-11-06T01:00:00"/>
        <d v="2017-10-23T02:00:00"/>
        <d v="2017-12-04T01:00:00"/>
        <d v="2018-01-08T01:00:00"/>
        <d v="2018-02-19T01:00:00"/>
        <d v="2018-03-05T01:00:00"/>
        <d v="2018-03-19T01:00:00"/>
        <d v="2018-04-03T02:00:00"/>
        <d v="2018-07-23T02:00:00"/>
        <d v="2018-08-06T02:00:00"/>
        <d v="2018-12-10T01:00:00"/>
        <d v="2019-01-07T01:00:00"/>
        <d v="2019-01-21T01:00:00"/>
        <d v="2019-02-18T01:00:00"/>
        <d v="2019-03-04T01:00:00"/>
        <d v="2019-03-18T01:00:00"/>
        <d v="2019-04-01T02:00:00"/>
        <d v="2019-05-20T02:00:00"/>
        <d v="2019-06-11T02:00:00"/>
        <d v="2019-06-24T02:00:00"/>
        <d v="2019-07-23T02:00:00"/>
        <d v="2019-09-16T02:00:00"/>
        <d v="2019-09-02T02:00:00"/>
        <d v="2019-08-20T02:00:00"/>
        <d v="2019-10-14T02:00:00"/>
        <d v="2019-11-12T01:00:00"/>
        <d v="2020-01-20T01:00:00"/>
        <d v="2020-03-16T01:00:00"/>
        <d v="2020-03-02T01:00:00"/>
        <d v="2020-02-03T01:00:00"/>
        <d v="2020-02-17T01:00:00"/>
        <d v="2020-03-01T01:00:00"/>
        <d v="2020-04-23T02:00:00"/>
        <d v="2020-05-18T02:00:00"/>
        <d v="2020-05-29T02:00:00"/>
        <d v="2020-06-02T02:00:00"/>
        <d v="2020-06-29T02:00:00"/>
        <d v="2020-09-07T02:00:00"/>
        <d v="2020-06-15T02:00:00"/>
        <d v="2020-07-13T02:00:00"/>
        <d v="2020-06-11T02:00:00"/>
        <d v="2020-07-27T02:00:00"/>
        <d v="2020-08-24T02:00:00"/>
        <d v="2020-08-27T02:00:00"/>
        <d v="2020-09-01T02:00:00"/>
        <d v="2020-10-19T02:00:00"/>
        <d v="2020-11-16T01:00:00"/>
        <d v="2021-06-01T02:00:00"/>
        <d v="2021-01-11T01:00:00"/>
        <d v="2021-01-18T01:00:00"/>
        <d v="2021-03-01T01:00:00"/>
        <d v="2021-03-29T02:00:00"/>
        <d v="2021-04-12T02:00:00"/>
        <d v="2021-03-15T01:00:00"/>
        <d v="2021-05-20T02:00:00"/>
        <d v="2021-05-17T02:00:00"/>
        <d v="2021-04-19T02:00:00"/>
        <d v="2021-04-26T02:00:00"/>
        <d v="2021-05-31T02:00:00"/>
        <d v="2021-07-12T02:00:00"/>
        <d v="2021-05-24T02:00:00"/>
        <d v="2021-06-28T02:00:00"/>
        <d v="2021-07-07T02:00:00"/>
        <d v="2021-08-09T02:00:00"/>
        <d v="2021-08-23T02:00:00"/>
        <d v="2021-10-04T02:00:00"/>
        <d v="2021-10-11T02:00:00"/>
        <d v="2021-09-01T02:00:00"/>
        <d v="2022-09-14T02:00:00"/>
        <d v="2022-07-19T02:00:00"/>
        <d v="2022-05-06T02:00:00"/>
        <d v="2022-01-24T01:00:00"/>
        <d v="2022-02-07T01:00:00"/>
        <d v="2022-01-10T01:00:00"/>
        <d v="2022-03-21T01:00:00"/>
        <d v="2022-04-13T02:00:00"/>
        <d v="2022-02-21T01:00:00"/>
        <d v="2022-05-23T02:00:00"/>
        <d v="2022-04-04T02:00:00"/>
        <d v="2022-05-19T02:00:00"/>
        <d v="2022-04-19T02:00:00"/>
        <d v="2022-05-02T02:00:00"/>
        <d v="2022-08-01T02:00:00"/>
        <d v="2022-06-07T02:00:00"/>
        <d v="2022-06-27T02:00:00"/>
        <d v="2022-07-11T02:00:00"/>
        <d v="2022-08-17T02:00:00"/>
        <d v="2022-08-22T02:00:00"/>
        <d v="2022-09-05T02:00:00"/>
        <d v="2022-09-19T02:00:00"/>
        <d v="2022-10-03T02:00:00"/>
        <d v="2022-09-01T02:00:00"/>
        <d v="2022-11-28T01:00:00"/>
        <d v="2023-02-13T01:00:00"/>
        <d v="2023-09-12T02:00:00"/>
        <d v="2023-08-01T02:00:00"/>
        <d v="2023-02-14T01:00:00"/>
        <d v="2023-08-31T02:00:00"/>
        <d v="2023-01-16T01:00:00"/>
        <d v="2023-01-30T01:00:00"/>
        <d v="2023-02-27T01:00:00"/>
        <d v="2023-04-19T02:00:00"/>
        <d v="2023-03-13T01:00:00"/>
        <d v="2023-03-27T02:00:00"/>
        <d v="2023-04-11T02:00:00"/>
        <d v="2023-05-16T02:00:00"/>
        <d v="2023-06-13T02:00:00"/>
        <d v="2023-04-24T02:00:00"/>
        <d v="2023-05-15T02:00:00"/>
        <d v="2023-05-30T02:00:00"/>
        <d v="2023-08-28T02:00:00"/>
        <d v="2023-06-26T02:00:00"/>
        <d v="2023-06-20T02:00:00"/>
        <d v="2023-09-04T02:00:00"/>
        <d v="2023-07-17T02:00:00"/>
        <d v="2023-09-25T02:00:00"/>
        <d v="2023-11-06T01:00:00"/>
        <d v="2023-10-09T02:00:00"/>
        <d v="2023-10-23T02:00:00"/>
        <d v="2023-11-20T01:00:00"/>
        <d v="2023-12-04T01:00:00"/>
        <d v="2024-02-19T01:00:00"/>
        <d v="2024-06-17T02:00:00"/>
        <d v="2024-03-21T01:00:00"/>
        <d v="2024-05-13T02:00:00"/>
        <d v="2023-12-26T01:00:00"/>
        <d v="2024-01-22T01:00:00"/>
        <d v="2024-01-02T01:00:00"/>
        <d v="2024-01-24T01:00:00"/>
        <d v="2024-01-16T01:00:00"/>
        <d v="2024-01-08T01:00:00"/>
        <d v="2024-01-30T01:00:00"/>
        <d v="2024-03-13T01:00:00"/>
        <d v="2024-02-13T01:00:00"/>
        <d v="2024-02-23T01:00:00"/>
        <d v="2024-03-27T01:00:00"/>
        <d v="2024-02-27T01:00:00"/>
        <d v="2024-04-12T02:00:00"/>
        <d v="2024-04-22T02:00:00"/>
        <d v="2024-04-26T02:00:00"/>
        <d v="2024-07-05T02:00:00"/>
        <d v="2024-07-08T02:00:00"/>
        <d v="2024-04-25T02:00:00"/>
        <d v="2024-05-30T02:00:00"/>
        <d v="2024-05-15T02:00:00"/>
        <d v="2024-05-07T02:00:00"/>
        <d v="2024-06-21T02:00:00"/>
        <d v="2024-06-07T02:00:00"/>
        <d v="2024-06-13T02:00:00"/>
        <d v="2024-09-09T02:00:00"/>
        <d v="2024-06-27T02:00:00"/>
        <d v="2024-07-11T02:00:00"/>
        <d v="2024-07-25T02:00:00"/>
        <d v="2024-09-03T02:00:00"/>
        <d v="2024-08-26T02:00:00"/>
        <d v="2024-09-24T02:00:00"/>
        <d v="2024-10-09T02:00:00"/>
        <d v="2024-10-23T02:00:00"/>
        <d v="2024-11-07T01:00:00"/>
        <d v="2024-11-22T01:00:00"/>
        <d v="2024-11-20T01:00:00"/>
        <d v="2025-09-03T02:00:00"/>
        <d v="2025-08-04T02:00:00"/>
        <d v="2025-08-14T02:00:00"/>
        <d v="2025-11-18T01:00:00"/>
        <d v="2025-08-27T02:00:00"/>
        <d v="2025-01-06T01:00:00"/>
        <d v="2025-01-16T01:00:00"/>
        <d v="2025-02-04T01:00:00"/>
        <d v="2025-01-20T01:00:00"/>
        <d v="2025-03-19T01:00:00"/>
        <d v="2025-03-04T01:00:00"/>
        <d v="2025-04-02T02:00:00"/>
        <d v="2025-04-23T02:00:00"/>
        <d v="2025-05-06T02:00:00"/>
        <d v="2025-04-16T02:00:00"/>
        <d v="2025-05-21T02:00:00"/>
        <d v="2025-06-06T02:00:00"/>
        <d v="2025-06-23T02:00:00"/>
        <d v="2025-07-07T02:00:00"/>
        <d v="2025-07-02T02:00:00"/>
        <d v="2025-07-16T02:00:00"/>
        <d v="2025-07-15T02:00:00"/>
        <d v="2025-07-22T02:00:00"/>
        <d v="2025-07-30T02:00:00"/>
        <d v="2025-08-20T02:00:00"/>
        <d v="2025-08-05T02:00:00"/>
        <d v="2025-08-01T02:00:00"/>
        <d v="2025-09-18T02:00:00"/>
        <d v="2025-10-02T02:00:00"/>
        <d v="2025-09-30T02:00:00"/>
        <d v="2025-11-19T01:00:00"/>
      </sharedItems>
      <fieldGroup par="10"/>
    </cacheField>
    <cacheField name="Dienstjaren" numFmtId="1">
      <sharedItems containsSemiMixedTypes="0" containsString="0" containsNumber="1" containsInteger="1" minValue="0" maxValue="44" count="38">
        <n v="44"/>
        <n v="37"/>
        <n v="36"/>
        <n v="35"/>
        <n v="34"/>
        <n v="33"/>
        <n v="32"/>
        <n v="30"/>
        <n v="29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0"/>
      </sharedItems>
    </cacheField>
    <cacheField name="schades" numFmtId="0">
      <sharedItems containsSemiMixedTypes="0" containsString="0" containsNumber="1" containsInteger="1" minValue="0" maxValue="10"/>
    </cacheField>
    <cacheField name="Maanden (Datum in dienst)" numFmtId="0" databaseField="0">
      <fieldGroup base="5">
        <rangePr groupBy="months" startDate="1981-10-26T01:00:00" endDate="2025-11-19T01:00:00"/>
        <groupItems count="14">
          <s v="&lt;26/10/1981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9/11/2025"/>
        </groupItems>
      </fieldGroup>
    </cacheField>
    <cacheField name="Kwartalen (Datum in dienst)" numFmtId="0" databaseField="0">
      <fieldGroup base="5">
        <rangePr groupBy="quarters" startDate="1981-10-26T01:00:00" endDate="2025-11-19T01:00:00"/>
        <groupItems count="6">
          <s v="&lt;26/10/1981"/>
          <s v="Kwrt1"/>
          <s v="Kwrt2"/>
          <s v="Kwrt3"/>
          <s v="Kwrt4"/>
          <s v="&gt;19/11/2025"/>
        </groupItems>
      </fieldGroup>
    </cacheField>
    <cacheField name="Jaren (Datum in dienst)" numFmtId="0" databaseField="0">
      <fieldGroup base="5">
        <rangePr groupBy="years" startDate="1981-10-26T01:00:00" endDate="2025-11-19T01:00:00"/>
        <groupItems count="47">
          <s v="&lt;26/10/1981"/>
          <s v="1981"/>
          <s v="1982"/>
          <s v="1983"/>
          <s v="1984"/>
          <s v="1985"/>
          <s v="1986"/>
          <s v="1987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9/11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1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5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1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1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1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5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1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4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1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4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1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3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1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4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1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1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1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1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1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1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4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1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1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2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1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5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2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1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1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3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3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3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57"/>
    <n v="5768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3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8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9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60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1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2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3"/>
    <n v="104023"/>
    <s v="ja"/>
    <n v="5"/>
  </r>
  <r>
    <n v="36627"/>
    <x v="19"/>
    <s v="Dobbelaere"/>
    <s v="David"/>
    <x v="2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5"/>
  </r>
  <r>
    <n v="12124"/>
    <x v="97"/>
    <s v="Van Vliet"/>
    <s v="Tom"/>
    <x v="8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6366%20Gent%2023112025.pdf?csf=1&amp;web=1&amp;e=cvlkvp"/>
    <m/>
    <m/>
    <x v="5"/>
    <x v="131"/>
    <n v="6366"/>
    <s v="Neen"/>
    <n v="4"/>
  </r>
  <r>
    <n v="41482"/>
    <x v="329"/>
    <s v="Özdemir"/>
    <s v="Osman"/>
    <x v="4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934%20Gent%2025112025%2042307.pdf?csf=1&amp;web=1&amp;e=YmWolc"/>
    <m/>
    <m/>
    <x v="3"/>
    <x v="264"/>
    <n v="5934"/>
    <s v="ja"/>
    <n v="3"/>
  </r>
  <r>
    <n v="25486"/>
    <x v="414"/>
    <s v="Goethals"/>
    <s v="Bart"/>
    <x v="5"/>
    <x v="0"/>
    <m/>
    <m/>
    <m/>
    <m/>
    <m/>
    <m/>
    <m/>
    <m/>
    <m/>
    <m/>
    <m/>
    <m/>
    <n v="0"/>
    <x v="501"/>
    <s v="https://delijn.sharepoint.com/:b:/r/teams/CTM-OTGentStad/Shared%20Documents/General/EAF/CSI(nieuwe%20sharepoint)%202025/11.%20November/EAF%205927%20Gent%2027112025%2025486.pdf?csf=1&amp;web=1&amp;e=TuRPNT"/>
    <m/>
    <m/>
    <x v="3"/>
    <x v="124"/>
    <n v="5927"/>
    <s v="ja"/>
    <n v="1"/>
  </r>
  <r>
    <n v="29478"/>
    <x v="152"/>
    <s v="Priwall"/>
    <s v="Heike"/>
    <x v="2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Scan_29076_1659_001.pdf?csf=1&amp;web=1&amp;e=JArvTg"/>
    <m/>
    <m/>
    <x v="3"/>
    <x v="32"/>
    <n v="550310"/>
    <s v="ja"/>
    <n v="3"/>
  </r>
  <r>
    <n v="36635"/>
    <x v="48"/>
    <s v="Fadel"/>
    <s v="Husam"/>
    <x v="1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Scan_28740_1651_001.pdf?csf=1&amp;web=1&amp;e=K9k3hG"/>
    <m/>
    <m/>
    <x v="3"/>
    <x v="35"/>
    <n v="5770"/>
    <s v="ja"/>
    <n v="4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Scan_28740_0079_001.pdf?csf=1&amp;web=1&amp;e=MgQLHG"/>
    <m/>
    <m/>
    <x v="4"/>
    <x v="92"/>
    <n v="5042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502"/>
    <s v=" https://delijn.sharepoint.com/:b:/r/teams/CTM-OTGentStad/Shared%20Documents/General/EAF/CSI(nieuwe%20sharepoint)%202025/11.%20November/EAF%205911%20Gent%2029112025%2042002.pdf?csf=1&amp;web=1&amp;e=Wul8Hf"/>
    <m/>
    <m/>
    <x v="3"/>
    <x v="32"/>
    <n v="5911"/>
    <s v="ja"/>
    <n v="3"/>
  </r>
  <r>
    <n v="26695"/>
    <x v="338"/>
    <s v="Lippens"/>
    <s v="Miguel"/>
    <x v="5"/>
    <x v="0"/>
    <m/>
    <m/>
    <m/>
    <m/>
    <m/>
    <m/>
    <m/>
    <m/>
    <m/>
    <m/>
    <m/>
    <m/>
    <n v="0"/>
    <x v="503"/>
    <s v=" https://delijn.sharepoint.com/:b:/r/teams/CTM-OTGentStad/Shared%20Documents/General/EAF/CSI(nieuwe%20sharepoint)%202025/11.%20November/EAF%205774%20Gent%2028112025%2026695.pdf?csf=1&amp;web=1&amp;e=eV6xgZ"/>
    <m/>
    <m/>
    <x v="3"/>
    <x v="67"/>
    <n v="5774"/>
    <s v="ja"/>
    <n v="2"/>
  </r>
  <r>
    <n v="32245"/>
    <x v="312"/>
    <s v="Verlinden"/>
    <s v="Bianca"/>
    <x v="3"/>
    <x v="0"/>
    <m/>
    <m/>
    <m/>
    <m/>
    <m/>
    <m/>
    <m/>
    <m/>
    <m/>
    <m/>
    <m/>
    <m/>
    <n v="0"/>
    <x v="504"/>
    <s v="https://delijn.sharepoint.com/:b:/r/teams/CTM-OTGentStad/Shared%20Documents/General/EAF/CSI(nieuwe%20sharepoint)%202025/12.%20December/EAF%205221%20Dampoort%20Gent%2001122025%20-%2032245.pdf?csf=1&amp;web=1&amp;e=XIqsWL"/>
    <m/>
    <m/>
    <x v="4"/>
    <x v="26"/>
    <n v="5221"/>
    <s v="Neen"/>
    <n v="2"/>
  </r>
  <r>
    <n v="36336"/>
    <x v="415"/>
    <s v="Haenebalcke"/>
    <s v="Peter"/>
    <x v="6"/>
    <x v="0"/>
    <m/>
    <m/>
    <m/>
    <m/>
    <m/>
    <m/>
    <m/>
    <m/>
    <m/>
    <m/>
    <m/>
    <m/>
    <n v="0"/>
    <x v="503"/>
    <s v=" https://delijn.sharepoint.com/:b:/r/teams/CTM-OTGentStad/Shared%20Documents/General/EAF/CSI(nieuwe%20sharepoint)%202025/11.%20November/EAF%205052%20Gent%2028112025%2036336.pdf?csf=1&amp;web=1&amp;e=UrUPa2"/>
    <m/>
    <m/>
    <x v="4"/>
    <x v="2"/>
    <n v="5052"/>
    <s v="ja"/>
    <n v="1"/>
  </r>
  <r>
    <n v="36627"/>
    <x v="19"/>
    <s v="Dobbelaere"/>
    <s v="David"/>
    <x v="2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EAF%205229%20Gent%2027112025%2036627.pdf?csf=1&amp;web=1&amp;e=umJyuC"/>
    <m/>
    <m/>
    <x v="4"/>
    <x v="11"/>
    <n v="5229"/>
    <s v="Neen"/>
    <n v="5"/>
  </r>
  <r>
    <m/>
    <x v="43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21"/>
  </r>
  <r>
    <m/>
    <x v="43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21"/>
  </r>
  <r>
    <m/>
    <x v="43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21"/>
  </r>
  <r>
    <m/>
    <x v="416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Rotty, Christoff"/>
    <x v="0"/>
    <x v="0"/>
    <n v="9"/>
  </r>
  <r>
    <s v="Dorien"/>
    <s v="De Keyser"/>
    <n v="41092"/>
    <s v="De Clercq, Dominique"/>
    <x v="1"/>
    <x v="0"/>
    <n v="7"/>
  </r>
  <r>
    <s v="Abdullah"/>
    <s v="Sular"/>
    <n v="42252"/>
    <s v="Rotty, Christoff"/>
    <x v="2"/>
    <x v="1"/>
    <n v="5"/>
  </r>
  <r>
    <s v="Sadegh"/>
    <s v="Neissi"/>
    <n v="40856"/>
    <s v="De Rick, Kenneth"/>
    <x v="3"/>
    <x v="0"/>
    <n v="5"/>
  </r>
  <r>
    <s v="Jeroen"/>
    <s v="Hoeckman"/>
    <n v="41162"/>
    <s v="De Clercq, Dominique"/>
    <x v="4"/>
    <x v="0"/>
    <n v="5"/>
  </r>
  <r>
    <s v="Frank"/>
    <s v="Vandevyvere"/>
    <n v="19917"/>
    <s v="Van Der Beken, Bart"/>
    <x v="5"/>
    <x v="2"/>
    <n v="5"/>
  </r>
  <r>
    <s v="Freddy"/>
    <s v="Van Lauwe"/>
    <n v="16895"/>
    <s v="Van Der Beken, Bart"/>
    <x v="6"/>
    <x v="3"/>
    <n v="5"/>
  </r>
  <r>
    <s v="Thimo"/>
    <s v="Hillaert"/>
    <n v="41384"/>
    <s v="Rotty, Christoff"/>
    <x v="7"/>
    <x v="1"/>
    <n v="4"/>
  </r>
  <r>
    <s v="Nejmeddine"/>
    <s v="Hasnaoui"/>
    <n v="40938"/>
    <s v="De Clercq, Dominique"/>
    <x v="8"/>
    <x v="0"/>
    <n v="4"/>
  </r>
  <r>
    <s v="Lukas"/>
    <s v="Rocabado Hinojosa"/>
    <n v="41032"/>
    <s v="Vanhoe, Els"/>
    <x v="9"/>
    <x v="0"/>
    <n v="4"/>
  </r>
  <r>
    <s v="Gilyann"/>
    <s v="Van Damme"/>
    <n v="40652"/>
    <s v="Vanhoe, Els"/>
    <x v="10"/>
    <x v="0"/>
    <n v="6"/>
  </r>
  <r>
    <s v="Jens"/>
    <s v="Helleputte"/>
    <n v="42307"/>
    <s v="Rotty, Christoff"/>
    <x v="2"/>
    <x v="1"/>
    <n v="3"/>
  </r>
  <r>
    <s v="Yana"/>
    <s v="Van Holsbeeck"/>
    <n v="41246"/>
    <s v="De Clercq, Dominique"/>
    <x v="11"/>
    <x v="1"/>
    <n v="3"/>
  </r>
  <r>
    <s v="Osman"/>
    <s v="Özdemir"/>
    <n v="41482"/>
    <s v="Van Der Beken, Bart"/>
    <x v="12"/>
    <x v="1"/>
    <n v="3"/>
  </r>
  <r>
    <s v="Avery"/>
    <s v="Smets"/>
    <n v="41520"/>
    <s v="Rotty, Christoff"/>
    <x v="13"/>
    <x v="1"/>
    <n v="3"/>
  </r>
  <r>
    <s v="Ousama"/>
    <s v="Bachiri"/>
    <n v="41619"/>
    <s v="Van Der Beken, Bart"/>
    <x v="14"/>
    <x v="1"/>
    <n v="3"/>
  </r>
  <r>
    <s v="Bruno"/>
    <s v="Dobbeleire"/>
    <n v="41874"/>
    <s v="De Clercq, Dominique"/>
    <x v="15"/>
    <x v="1"/>
    <n v="3"/>
  </r>
  <r>
    <s v="Kamil"/>
    <s v="Cichonski"/>
    <n v="42146"/>
    <s v="Storm, Steven"/>
    <x v="16"/>
    <x v="1"/>
    <n v="3"/>
  </r>
  <r>
    <s v="Cetin"/>
    <s v="Kuru"/>
    <n v="40362"/>
    <s v="De Rick, Kenneth"/>
    <x v="17"/>
    <x v="0"/>
    <n v="3"/>
  </r>
  <r>
    <s v="Sayon"/>
    <s v="Cisse"/>
    <n v="40939"/>
    <s v="De Rick, Kenneth"/>
    <x v="8"/>
    <x v="0"/>
    <n v="3"/>
  </r>
  <r>
    <s v="Firat"/>
    <s v="Ates"/>
    <n v="40278"/>
    <s v="Rotty, Christoff"/>
    <x v="18"/>
    <x v="0"/>
    <n v="3"/>
  </r>
  <r>
    <s v="Sandra"/>
    <s v="Vanlerberghe"/>
    <n v="40110"/>
    <s v="Rotty, Christoff"/>
    <x v="0"/>
    <x v="0"/>
    <n v="3"/>
  </r>
  <r>
    <s v="Caroline"/>
    <s v="Dossche"/>
    <n v="38807"/>
    <s v="Rotty, Christoff"/>
    <x v="19"/>
    <x v="4"/>
    <n v="3"/>
  </r>
  <r>
    <s v="Sunny"/>
    <s v="Kallenbach"/>
    <n v="39651"/>
    <s v="De Rick, Kenneth"/>
    <x v="20"/>
    <x v="4"/>
    <n v="3"/>
  </r>
  <r>
    <s v="Henri"/>
    <s v="Steurbaut"/>
    <n v="39673"/>
    <s v="Vanhoe, Els"/>
    <x v="21"/>
    <x v="4"/>
    <n v="3"/>
  </r>
  <r>
    <s v="Glenn"/>
    <s v="Lloyd"/>
    <n v="39660"/>
    <s v="Van Der Beken, Bart"/>
    <x v="22"/>
    <x v="4"/>
    <n v="3"/>
  </r>
  <r>
    <s v="Steven"/>
    <s v="Van den Meerssche"/>
    <n v="37662"/>
    <s v="Van Der Beken, Bart"/>
    <x v="23"/>
    <x v="5"/>
    <n v="4"/>
  </r>
  <r>
    <s v="Abdulhamid"/>
    <s v="Mohamed Yassin"/>
    <n v="36426"/>
    <s v="Van Der Beken, Bart"/>
    <x v="24"/>
    <x v="6"/>
    <n v="3"/>
  </r>
  <r>
    <s v="Achraf"/>
    <s v="Cesmeli"/>
    <n v="36663"/>
    <s v="De Clercq, Dominique"/>
    <x v="25"/>
    <x v="6"/>
    <n v="3"/>
  </r>
  <r>
    <s v="Rashid"/>
    <s v="Abdi Shaiye"/>
    <n v="36428"/>
    <s v="Vande Velde, Lucie"/>
    <x v="26"/>
    <x v="6"/>
    <n v="3"/>
  </r>
  <r>
    <s v="Jonas"/>
    <s v="Stroobandt"/>
    <n v="36569"/>
    <s v="Vanhoe, Els"/>
    <x v="27"/>
    <x v="6"/>
    <n v="3"/>
  </r>
  <r>
    <s v="Yaseeb"/>
    <s v="Jalili"/>
    <n v="35645"/>
    <s v="Storm, Steven"/>
    <x v="28"/>
    <x v="7"/>
    <n v="3"/>
  </r>
  <r>
    <s v="Annicke"/>
    <s v="Huyse"/>
    <n v="29746"/>
    <s v="Van Der Beken, Bart"/>
    <x v="29"/>
    <x v="8"/>
    <n v="3"/>
  </r>
  <r>
    <s v="Mohamed"/>
    <s v="El-Mohamed"/>
    <n v="28737"/>
    <s v="Vande Velde, Lucie"/>
    <x v="30"/>
    <x v="9"/>
    <n v="3"/>
  </r>
  <r>
    <s v="Stefaan"/>
    <s v="Devos"/>
    <n v="25487"/>
    <s v="Storm, Steven"/>
    <x v="31"/>
    <x v="10"/>
    <n v="3"/>
  </r>
  <r>
    <s v="Kris"/>
    <s v="De Craemer"/>
    <n v="21509"/>
    <s v="De Clercq, Dominique"/>
    <x v="32"/>
    <x v="11"/>
    <n v="3"/>
  </r>
  <r>
    <s v="Filip"/>
    <s v="Van Wittenberge"/>
    <n v="18051"/>
    <s v="Rotty, Christoff"/>
    <x v="33"/>
    <x v="12"/>
    <n v="3"/>
  </r>
  <r>
    <s v="Eddy"/>
    <s v="Maelbrancke"/>
    <n v="4419"/>
    <s v="Vande Velde, Lucie"/>
    <x v="34"/>
    <x v="13"/>
    <n v="4"/>
  </r>
  <r>
    <s v="Yves"/>
    <s v="Naessens"/>
    <n v="41588"/>
    <s v="De Rick, Kenneth"/>
    <x v="35"/>
    <x v="1"/>
    <n v="2"/>
  </r>
  <r>
    <s v="Ibrahim"/>
    <s v="Karanfil"/>
    <n v="41871"/>
    <s v="De Clercq, Dominique"/>
    <x v="36"/>
    <x v="1"/>
    <n v="2"/>
  </r>
  <r>
    <s v="Wim"/>
    <s v="Vervaecke"/>
    <n v="41948"/>
    <s v="Dewulf, Els"/>
    <x v="37"/>
    <x v="1"/>
    <n v="2"/>
  </r>
  <r>
    <s v="Kevin"/>
    <s v="Bogaert"/>
    <n v="42002"/>
    <s v="Vanhoe, Els"/>
    <x v="15"/>
    <x v="1"/>
    <n v="3"/>
  </r>
  <r>
    <s v="Shayya"/>
    <s v="Gys"/>
    <n v="42145"/>
    <s v="Storm, Steven"/>
    <x v="16"/>
    <x v="1"/>
    <n v="2"/>
  </r>
  <r>
    <s v="Ivo"/>
    <s v="Van Hoe"/>
    <n v="33085"/>
    <s v="De Rick, Kenneth"/>
    <x v="38"/>
    <x v="0"/>
    <n v="2"/>
  </r>
  <r>
    <s v="William"/>
    <s v="Helleputte"/>
    <n v="39850"/>
    <s v="De Clercq, Dominique"/>
    <x v="39"/>
    <x v="4"/>
    <n v="2"/>
  </r>
  <r>
    <s v="Bayram"/>
    <s v="Curukcu"/>
    <n v="39856"/>
    <s v="De Rick, Kenneth"/>
    <x v="39"/>
    <x v="4"/>
    <n v="2"/>
  </r>
  <r>
    <s v="Ammar"/>
    <s v="Afara"/>
    <n v="40055"/>
    <s v="Vanhoe, Els"/>
    <x v="40"/>
    <x v="0"/>
    <n v="2"/>
  </r>
  <r>
    <s v="Mahmoud"/>
    <s v="Hiloui"/>
    <n v="40591"/>
    <s v="De Clercq, Dominique"/>
    <x v="41"/>
    <x v="0"/>
    <n v="2"/>
  </r>
  <r>
    <s v="Jason"/>
    <s v="Bytebier"/>
    <n v="40645"/>
    <s v="Dewulf, Els"/>
    <x v="42"/>
    <x v="0"/>
    <n v="2"/>
  </r>
  <r>
    <s v="Younes"/>
    <s v="Natad"/>
    <n v="41012"/>
    <s v="Vanhoe, Els"/>
    <x v="1"/>
    <x v="0"/>
    <n v="2"/>
  </r>
  <r>
    <s v="Atilla"/>
    <s v="Ardic"/>
    <n v="41064"/>
    <s v="De Clercq, Dominique"/>
    <x v="43"/>
    <x v="0"/>
    <n v="2"/>
  </r>
  <r>
    <s v="Talha"/>
    <s v="Yavas"/>
    <n v="41091"/>
    <s v="De Clercq, Dominique"/>
    <x v="4"/>
    <x v="0"/>
    <n v="2"/>
  </r>
  <r>
    <s v="Bart"/>
    <s v="De Witte"/>
    <n v="41230"/>
    <s v="De Clercq, Dominique"/>
    <x v="4"/>
    <x v="0"/>
    <n v="2"/>
  </r>
  <r>
    <s v="Can"/>
    <s v="Sögüt"/>
    <n v="40058"/>
    <s v="Rotty, Christoff"/>
    <x v="40"/>
    <x v="0"/>
    <n v="2"/>
  </r>
  <r>
    <s v="Yassine"/>
    <s v="Taibi"/>
    <n v="40266"/>
    <s v="Rotty, Christoff"/>
    <x v="17"/>
    <x v="0"/>
    <n v="2"/>
  </r>
  <r>
    <s v="Michaël"/>
    <s v="Prové"/>
    <n v="40403"/>
    <s v="De Clercq, Dominique"/>
    <x v="44"/>
    <x v="0"/>
    <n v="2"/>
  </r>
  <r>
    <s v="Patricia"/>
    <s v="Desmet"/>
    <n v="39529"/>
    <s v="Rotty, Christoff"/>
    <x v="45"/>
    <x v="0"/>
    <n v="3"/>
  </r>
  <r>
    <s v="Sharon"/>
    <s v="Cardon"/>
    <n v="40134"/>
    <s v="De Clercq, Dominique"/>
    <x v="46"/>
    <x v="0"/>
    <n v="2"/>
  </r>
  <r>
    <s v="Ali Mir"/>
    <s v="Hashimi"/>
    <n v="40478"/>
    <s v="Van Der Beken, Bart"/>
    <x v="47"/>
    <x v="0"/>
    <n v="2"/>
  </r>
  <r>
    <s v="Abdelali"/>
    <s v="Yagoub"/>
    <n v="40859"/>
    <s v="Vanhoe, Els"/>
    <x v="42"/>
    <x v="0"/>
    <n v="2"/>
  </r>
  <r>
    <s v="Ugur"/>
    <s v="Gözüküçük"/>
    <n v="40744"/>
    <s v="Van Der Beken, Bart"/>
    <x v="48"/>
    <x v="0"/>
    <n v="4"/>
  </r>
  <r>
    <s v="Mariyana"/>
    <s v="Staneva"/>
    <n v="39929"/>
    <s v="Rotty, Christoff"/>
    <x v="49"/>
    <x v="0"/>
    <n v="2"/>
  </r>
  <r>
    <s v="Anthony"/>
    <s v="Meskens"/>
    <n v="38740"/>
    <s v="Rotty, Christoff"/>
    <x v="19"/>
    <x v="4"/>
    <n v="2"/>
  </r>
  <r>
    <s v="Mattanja"/>
    <s v="Stomphorst"/>
    <n v="38633"/>
    <s v="Dewulf, Els"/>
    <x v="50"/>
    <x v="4"/>
    <n v="2"/>
  </r>
  <r>
    <s v="Kyllian"/>
    <s v="Genbrugge"/>
    <n v="39014"/>
    <s v="Van Der Beken, Bart"/>
    <x v="51"/>
    <x v="4"/>
    <n v="2"/>
  </r>
  <r>
    <s v="Katleen"/>
    <s v="Verschraegen"/>
    <n v="38475"/>
    <s v="Dewulf, Els"/>
    <x v="52"/>
    <x v="4"/>
    <n v="2"/>
  </r>
  <r>
    <s v="Muhammet Emin"/>
    <s v="Uckuyulu"/>
    <n v="38648"/>
    <s v="Vande Velde, Lucie"/>
    <x v="19"/>
    <x v="4"/>
    <n v="2"/>
  </r>
  <r>
    <s v="Jimmy Alexander"/>
    <s v="Weeks Aracena"/>
    <n v="39358"/>
    <s v="Rotty, Christoff"/>
    <x v="53"/>
    <x v="4"/>
    <n v="2"/>
  </r>
  <r>
    <s v="Linus"/>
    <s v="Vandenhaute"/>
    <n v="39581"/>
    <s v="Dewulf, Els"/>
    <x v="54"/>
    <x v="4"/>
    <n v="2"/>
  </r>
  <r>
    <s v="Orhan"/>
    <s v="Sahin"/>
    <n v="39532"/>
    <s v="Rotty, Christoff"/>
    <x v="20"/>
    <x v="4"/>
    <n v="2"/>
  </r>
  <r>
    <s v="Hamid"/>
    <s v="Sedighi"/>
    <n v="38938"/>
    <s v="Vande Velde, Lucie"/>
    <x v="55"/>
    <x v="4"/>
    <n v="5"/>
  </r>
  <r>
    <s v="Muhammet Abdullah"/>
    <s v="Avci"/>
    <n v="39779"/>
    <s v="Van Der Beken, Bart"/>
    <x v="56"/>
    <x v="4"/>
    <n v="2"/>
  </r>
  <r>
    <s v="Esmir"/>
    <s v="Dacic"/>
    <n v="37132"/>
    <s v="De Clercq, Dominique"/>
    <x v="57"/>
    <x v="5"/>
    <n v="2"/>
  </r>
  <r>
    <s v="Renaat"/>
    <s v="Walleyn"/>
    <n v="37345"/>
    <s v="Vande Velde, Lucie"/>
    <x v="58"/>
    <x v="5"/>
    <n v="2"/>
  </r>
  <r>
    <s v="Sabah"/>
    <s v="Abdulkader"/>
    <n v="37509"/>
    <s v="Van Der Beken, Bart"/>
    <x v="59"/>
    <x v="5"/>
    <n v="2"/>
  </r>
  <r>
    <s v="Willy"/>
    <s v="Oosterlinck"/>
    <n v="37496"/>
    <s v="De Clercq, Dominique"/>
    <x v="60"/>
    <x v="5"/>
    <n v="2"/>
  </r>
  <r>
    <s v="Bilgehan"/>
    <s v="Öztürk"/>
    <n v="37543"/>
    <s v="De Rick, Kenneth"/>
    <x v="61"/>
    <x v="5"/>
    <n v="2"/>
  </r>
  <r>
    <s v="Steve"/>
    <s v="Van Rentergem"/>
    <n v="36289"/>
    <s v="Vanhoe, Els"/>
    <x v="62"/>
    <x v="6"/>
    <n v="2"/>
  </r>
  <r>
    <s v="Birol"/>
    <s v="Agil"/>
    <n v="36438"/>
    <s v="Van Der Beken, Bart"/>
    <x v="63"/>
    <x v="6"/>
    <n v="2"/>
  </r>
  <r>
    <s v="Branco"/>
    <s v="Van Herreweghe"/>
    <n v="36512"/>
    <s v="Storm, Steven"/>
    <x v="64"/>
    <x v="6"/>
    <n v="2"/>
  </r>
  <r>
    <s v="Husam"/>
    <s v="Fadel"/>
    <n v="36635"/>
    <s v="De Rick, Kenneth"/>
    <x v="65"/>
    <x v="6"/>
    <n v="2"/>
  </r>
  <r>
    <s v="David"/>
    <s v="Dobbelaere"/>
    <n v="36627"/>
    <s v="Dewulf, Els"/>
    <x v="66"/>
    <x v="6"/>
    <n v="3"/>
  </r>
  <r>
    <s v="Kadir"/>
    <s v="Kartal"/>
    <n v="36626"/>
    <s v="Dewulf, Els"/>
    <x v="67"/>
    <x v="6"/>
    <n v="2"/>
  </r>
  <r>
    <s v="Ako"/>
    <s v="Minbari"/>
    <n v="35397"/>
    <s v="Vande Velde, Lucie"/>
    <x v="68"/>
    <x v="7"/>
    <n v="2"/>
  </r>
  <r>
    <s v="Zakaria"/>
    <s v="Toubadie"/>
    <n v="35491"/>
    <s v="Vanhoe, Els"/>
    <x v="69"/>
    <x v="7"/>
    <n v="2"/>
  </r>
  <r>
    <s v="Frederik"/>
    <s v="Boelaert"/>
    <n v="36021"/>
    <s v="Vande Velde, Lucie"/>
    <x v="70"/>
    <x v="7"/>
    <n v="3"/>
  </r>
  <r>
    <s v="Glenn"/>
    <s v="Smesman"/>
    <n v="35588"/>
    <s v="Vande Velde, Lucie"/>
    <x v="71"/>
    <x v="7"/>
    <n v="2"/>
  </r>
  <r>
    <s v="Özgur"/>
    <s v="Özer"/>
    <n v="32611"/>
    <s v="De Rick, Kenneth"/>
    <x v="72"/>
    <x v="14"/>
    <n v="2"/>
  </r>
  <r>
    <s v="Elias"/>
    <s v="Saey"/>
    <n v="32620"/>
    <s v="Vanhoe, Els"/>
    <x v="73"/>
    <x v="14"/>
    <n v="2"/>
  </r>
  <r>
    <s v="Helmi"/>
    <s v="Hasni"/>
    <n v="32002"/>
    <s v="Storm, Steven"/>
    <x v="74"/>
    <x v="15"/>
    <n v="2"/>
  </r>
  <r>
    <s v="Fatih"/>
    <s v="Simsek"/>
    <n v="31360"/>
    <s v="De Clercq, Dominique"/>
    <x v="75"/>
    <x v="15"/>
    <n v="2"/>
  </r>
  <r>
    <s v="Maurice"/>
    <s v="Weemhof"/>
    <n v="31668"/>
    <s v="De Clercq, Dominique"/>
    <x v="76"/>
    <x v="15"/>
    <n v="2"/>
  </r>
  <r>
    <s v="Michiel"/>
    <s v="De Sutter"/>
    <n v="31118"/>
    <s v="Dewulf, Els"/>
    <x v="77"/>
    <x v="16"/>
    <n v="2"/>
  </r>
  <r>
    <s v="Fatih"/>
    <s v="Taser"/>
    <n v="30967"/>
    <s v="De Clercq, Dominique"/>
    <x v="78"/>
    <x v="16"/>
    <n v="2"/>
  </r>
  <r>
    <s v="Osmane"/>
    <s v="Gassa"/>
    <n v="28910"/>
    <s v="Van Der Beken, Bart"/>
    <x v="79"/>
    <x v="9"/>
    <n v="2"/>
  </r>
  <r>
    <s v="Steven"/>
    <s v="Meyvaert"/>
    <n v="27209"/>
    <s v="Dewulf, Els"/>
    <x v="80"/>
    <x v="17"/>
    <n v="2"/>
  </r>
  <r>
    <s v="Mossa"/>
    <s v="Toubadie"/>
    <n v="26960"/>
    <s v="Vanhoe, Els"/>
    <x v="81"/>
    <x v="18"/>
    <n v="2"/>
  </r>
  <r>
    <s v="Serge"/>
    <s v="Vanrenterghem"/>
    <n v="25679"/>
    <s v="Rotty, Christoff"/>
    <x v="82"/>
    <x v="10"/>
    <n v="2"/>
  </r>
  <r>
    <s v="Abdullah"/>
    <s v="Simsek"/>
    <n v="25733"/>
    <s v="Vanhoe, Els"/>
    <x v="83"/>
    <x v="10"/>
    <n v="2"/>
  </r>
  <r>
    <s v="Bernard"/>
    <s v="D'Haeyere"/>
    <n v="23918"/>
    <s v="Vanhoe, Els"/>
    <x v="84"/>
    <x v="19"/>
    <n v="2"/>
  </r>
  <r>
    <s v="Jethro"/>
    <s v="Verstichel"/>
    <n v="21424"/>
    <s v="Dewulf, Els"/>
    <x v="85"/>
    <x v="11"/>
    <n v="2"/>
  </r>
  <r>
    <s v="Marius"/>
    <s v="Mestdag"/>
    <n v="20653"/>
    <s v="Van Der Beken, Bart"/>
    <x v="86"/>
    <x v="11"/>
    <n v="2"/>
  </r>
  <r>
    <s v="Kadir"/>
    <s v="Odaci"/>
    <n v="19249"/>
    <s v="Vande Velde, Lucie"/>
    <x v="87"/>
    <x v="2"/>
    <n v="2"/>
  </r>
  <r>
    <s v="Frank"/>
    <s v="Dhondt"/>
    <n v="15412"/>
    <s v="Van Der Beken, Bart"/>
    <x v="88"/>
    <x v="20"/>
    <n v="2"/>
  </r>
  <r>
    <s v="Martine"/>
    <s v="Van Den Bossche"/>
    <n v="12684"/>
    <s v="Vanhoe, Els"/>
    <x v="89"/>
    <x v="21"/>
    <n v="2"/>
  </r>
  <r>
    <s v="Freddy"/>
    <s v="Baert"/>
    <n v="11236"/>
    <s v="Van Der Beken, Bart"/>
    <x v="90"/>
    <x v="22"/>
    <n v="2"/>
  </r>
  <r>
    <s v="Abdullah"/>
    <s v="Momand"/>
    <n v="39928"/>
    <s v="Van Der Beken, Bart"/>
    <x v="91"/>
    <x v="1"/>
    <n v="1"/>
  </r>
  <r>
    <s v="Tim"/>
    <s v="Van Huffel"/>
    <n v="41348"/>
    <s v="Rotty, Christoff"/>
    <x v="92"/>
    <x v="1"/>
    <n v="1"/>
  </r>
  <r>
    <s v="Tony"/>
    <s v="De Pauw"/>
    <n v="41383"/>
    <s v="Vanhoe, Els"/>
    <x v="11"/>
    <x v="1"/>
    <n v="1"/>
  </r>
  <r>
    <s v="Salem"/>
    <s v="Hasan"/>
    <n v="41671"/>
    <s v="Van Der Beken, Bart"/>
    <x v="93"/>
    <x v="1"/>
    <n v="1"/>
  </r>
  <r>
    <s v="Kelly"/>
    <s v="Van de Winckel"/>
    <n v="41690"/>
    <s v="Dewulf, Els"/>
    <x v="93"/>
    <x v="1"/>
    <n v="1"/>
  </r>
  <r>
    <s v="Fazal"/>
    <s v="Ghani"/>
    <n v="41710"/>
    <s v="Vanhoe, Els"/>
    <x v="12"/>
    <x v="1"/>
    <n v="1"/>
  </r>
  <r>
    <s v="Philippe"/>
    <s v="Nolf"/>
    <n v="41721"/>
    <s v="De Rick, Kenneth"/>
    <x v="35"/>
    <x v="1"/>
    <n v="1"/>
  </r>
  <r>
    <s v="Nick"/>
    <s v="Diels"/>
    <n v="41786"/>
    <s v="Rotty, Christoff"/>
    <x v="94"/>
    <x v="1"/>
    <n v="1"/>
  </r>
  <r>
    <s v="Ramazan"/>
    <s v="Palit"/>
    <n v="41859"/>
    <s v="Stubbe, Jarne"/>
    <x v="93"/>
    <x v="1"/>
    <n v="1"/>
  </r>
  <r>
    <s v="Yannick"/>
    <s v="Goossens"/>
    <n v="41870"/>
    <s v="Storm, Steven"/>
    <x v="36"/>
    <x v="1"/>
    <n v="1"/>
  </r>
  <r>
    <s v="Bjorn"/>
    <s v="De Rammelaere"/>
    <n v="41888"/>
    <s v="De Rick, Kenneth"/>
    <x v="37"/>
    <x v="1"/>
    <n v="1"/>
  </r>
  <r>
    <s v="Saber"/>
    <s v="Babai"/>
    <n v="41918"/>
    <s v="Rotty, Christoff"/>
    <x v="37"/>
    <x v="1"/>
    <n v="1"/>
  </r>
  <r>
    <s v="Alexander"/>
    <s v="Crop"/>
    <n v="42015"/>
    <s v="Vanhoe, Els"/>
    <x v="37"/>
    <x v="1"/>
    <n v="1"/>
  </r>
  <r>
    <s v="Karim"/>
    <s v="El Gana"/>
    <n v="42044"/>
    <s v="De Clercq, Dominique"/>
    <x v="95"/>
    <x v="1"/>
    <n v="1"/>
  </r>
  <r>
    <s v="Othman"/>
    <s v="Ahmad"/>
    <n v="42082"/>
    <s v="De Clercq, Dominique"/>
    <x v="96"/>
    <x v="1"/>
    <n v="1"/>
  </r>
  <r>
    <s v="Dylan"/>
    <s v="De Bruycker"/>
    <n v="42120"/>
    <s v="De Rick, Kenneth"/>
    <x v="97"/>
    <x v="1"/>
    <n v="1"/>
  </r>
  <r>
    <s v="Christ"/>
    <s v="Rahoens"/>
    <n v="42143"/>
    <s v="Van Der Beken, Bart"/>
    <x v="98"/>
    <x v="1"/>
    <n v="1"/>
  </r>
  <r>
    <s v="Metehan"/>
    <s v="Özer"/>
    <n v="42218"/>
    <s v="Dewulf, Els"/>
    <x v="2"/>
    <x v="1"/>
    <n v="1"/>
  </r>
  <r>
    <s v="Stephan"/>
    <s v="Bontinck"/>
    <n v="42249"/>
    <s v="De Rick, Kenneth"/>
    <x v="2"/>
    <x v="1"/>
    <n v="1"/>
  </r>
  <r>
    <s v="Ender"/>
    <s v="Güler"/>
    <n v="42277"/>
    <s v="De Clercq, Dominique"/>
    <x v="99"/>
    <x v="1"/>
    <n v="1"/>
  </r>
  <r>
    <s v="Furkan"/>
    <s v="Camgöz"/>
    <n v="42336"/>
    <s v="Vande Velde, Lucie"/>
    <x v="99"/>
    <x v="1"/>
    <n v="1"/>
  </r>
  <r>
    <s v="Geoffrey"/>
    <s v="Martens"/>
    <n v="29674"/>
    <s v="De Clercq, Dominique"/>
    <x v="100"/>
    <x v="0"/>
    <n v="1"/>
  </r>
  <r>
    <s v="Mukhamed"/>
    <s v="Dolgiev"/>
    <n v="39831"/>
    <s v="Dewulf, Els"/>
    <x v="39"/>
    <x v="4"/>
    <n v="1"/>
  </r>
  <r>
    <s v="Izmir"/>
    <s v="Basha"/>
    <n v="39901"/>
    <s v="Rotty, Christoff"/>
    <x v="101"/>
    <x v="0"/>
    <n v="1"/>
  </r>
  <r>
    <s v="Eydzhan"/>
    <s v="Salimova"/>
    <n v="40393"/>
    <s v="De Clercq, Dominique"/>
    <x v="102"/>
    <x v="0"/>
    <n v="1"/>
  </r>
  <r>
    <s v="Mahmoud"/>
    <s v="Fakash"/>
    <n v="40443"/>
    <s v="Van Der Beken, Bart"/>
    <x v="102"/>
    <x v="0"/>
    <n v="1"/>
  </r>
  <r>
    <s v="Glenn"/>
    <s v="Van Damme"/>
    <n v="40444"/>
    <s v="Dewulf, Els"/>
    <x v="102"/>
    <x v="0"/>
    <n v="1"/>
  </r>
  <r>
    <s v="Ivan"/>
    <s v="Ivanov"/>
    <n v="40745"/>
    <s v="Van Der Beken, Bart"/>
    <x v="103"/>
    <x v="0"/>
    <n v="1"/>
  </r>
  <r>
    <s v="Cagri"/>
    <s v="Sogut"/>
    <n v="41007"/>
    <s v="Stubbe, Jarne"/>
    <x v="9"/>
    <x v="0"/>
    <n v="1"/>
  </r>
  <r>
    <s v="Sekandar"/>
    <s v="Shah"/>
    <n v="41101"/>
    <s v="De Clercq, Dominique"/>
    <x v="104"/>
    <x v="0"/>
    <n v="1"/>
  </r>
  <r>
    <s v="Dirk"/>
    <s v="De smet"/>
    <n v="41137"/>
    <s v="De Clercq, Dominique"/>
    <x v="105"/>
    <x v="0"/>
    <n v="1"/>
  </r>
  <r>
    <s v="Serkan"/>
    <s v="Demirkaya"/>
    <n v="39829"/>
    <s v="Vande Velde, Lucie"/>
    <x v="39"/>
    <x v="4"/>
    <n v="1"/>
  </r>
  <r>
    <s v="Elos"/>
    <s v="Jacobs"/>
    <n v="39858"/>
    <s v="Dewulf, Els"/>
    <x v="39"/>
    <x v="4"/>
    <n v="1"/>
  </r>
  <r>
    <s v="Jordy"/>
    <s v="De Wilde"/>
    <n v="39927"/>
    <s v="Rotty, Christoff"/>
    <x v="101"/>
    <x v="0"/>
    <n v="1"/>
  </r>
  <r>
    <s v="Philip"/>
    <s v="Bernaerts"/>
    <n v="40005"/>
    <s v="Rotty, Christoff"/>
    <x v="101"/>
    <x v="0"/>
    <n v="2"/>
  </r>
  <r>
    <s v="Oguz"/>
    <s v="Karakaya"/>
    <n v="40036"/>
    <s v="De Clercq, Dominique"/>
    <x v="46"/>
    <x v="0"/>
    <n v="1"/>
  </r>
  <r>
    <s v="Oday"/>
    <s v="Abulehia"/>
    <n v="41296"/>
    <s v="Rotty, Christoff"/>
    <x v="104"/>
    <x v="0"/>
    <n v="2"/>
  </r>
  <r>
    <s v="Malek"/>
    <s v="Almohammad"/>
    <n v="38555"/>
    <s v="Vanhoe, Els"/>
    <x v="106"/>
    <x v="4"/>
    <n v="1"/>
  </r>
  <r>
    <s v="Samet"/>
    <s v="Smajla"/>
    <n v="38580"/>
    <s v="Dewulf, Els"/>
    <x v="107"/>
    <x v="4"/>
    <n v="1"/>
  </r>
  <r>
    <s v="Samir"/>
    <s v="Ben Sidhom"/>
    <n v="38731"/>
    <s v="Rotty, Christoff"/>
    <x v="108"/>
    <x v="4"/>
    <n v="1"/>
  </r>
  <r>
    <s v="Jens"/>
    <s v="Van Holsbeeck"/>
    <n v="39267"/>
    <s v="Rotty, Christoff"/>
    <x v="109"/>
    <x v="4"/>
    <n v="1"/>
  </r>
  <r>
    <s v="Joey"/>
    <s v="Tacq"/>
    <n v="39677"/>
    <s v="De Rick, Kenneth"/>
    <x v="22"/>
    <x v="4"/>
    <n v="1"/>
  </r>
  <r>
    <s v="Christof"/>
    <s v="Byosière"/>
    <n v="23700"/>
    <s v="De Clercq, Dominique"/>
    <x v="110"/>
    <x v="4"/>
    <n v="1"/>
  </r>
  <r>
    <s v="Mohammed"/>
    <s v="Bensalah"/>
    <n v="39379"/>
    <s v="Rotty, Christoff"/>
    <x v="54"/>
    <x v="4"/>
    <n v="1"/>
  </r>
  <r>
    <s v="Cedric"/>
    <s v="De Groote"/>
    <n v="39558"/>
    <s v="Storm, Steven"/>
    <x v="20"/>
    <x v="4"/>
    <n v="1"/>
  </r>
  <r>
    <s v="Lisandro Javier"/>
    <s v="Camacho Encarnacion"/>
    <n v="39654"/>
    <s v="De Rick, Kenneth"/>
    <x v="22"/>
    <x v="4"/>
    <n v="1"/>
  </r>
  <r>
    <s v="Baki"/>
    <s v="Nohut"/>
    <n v="39728"/>
    <s v="Vande Velde, Lucie"/>
    <x v="56"/>
    <x v="4"/>
    <n v="1"/>
  </r>
  <r>
    <s v="Devrim"/>
    <s v="Sari"/>
    <n v="38481"/>
    <s v="De Rick, Kenneth"/>
    <x v="50"/>
    <x v="4"/>
    <n v="1"/>
  </r>
  <r>
    <s v="Zouhir"/>
    <s v="Asskale"/>
    <n v="38634"/>
    <s v="Van Der Beken, Bart"/>
    <x v="111"/>
    <x v="4"/>
    <n v="1"/>
  </r>
  <r>
    <s v="Selahattin"/>
    <s v="Basgurboga"/>
    <n v="38688"/>
    <s v="Dewulf, Els"/>
    <x v="19"/>
    <x v="4"/>
    <n v="1"/>
  </r>
  <r>
    <s v="Eyuphan"/>
    <s v="Sancak"/>
    <n v="38931"/>
    <s v="Van Der Beken, Bart"/>
    <x v="112"/>
    <x v="4"/>
    <n v="1"/>
  </r>
  <r>
    <s v="Plamen"/>
    <s v="Mihaylov"/>
    <n v="39528"/>
    <s v="Rotty, Christoff"/>
    <x v="21"/>
    <x v="4"/>
    <n v="1"/>
  </r>
  <r>
    <s v="Ramazan"/>
    <s v="Repaj"/>
    <n v="39712"/>
    <s v="Van Der Beken, Bart"/>
    <x v="21"/>
    <x v="4"/>
    <n v="1"/>
  </r>
  <r>
    <s v="Mathyn"/>
    <s v="Eid"/>
    <n v="34325"/>
    <s v="Storm, Steven"/>
    <x v="113"/>
    <x v="4"/>
    <n v="1"/>
  </r>
  <r>
    <s v="Jan"/>
    <s v="Huyghe"/>
    <n v="38529"/>
    <s v="Dewulf, Els"/>
    <x v="114"/>
    <x v="4"/>
    <n v="1"/>
  </r>
  <r>
    <s v="Jens"/>
    <s v="Wasen"/>
    <n v="38808"/>
    <s v="Dewulf, Els"/>
    <x v="115"/>
    <x v="4"/>
    <n v="1"/>
  </r>
  <r>
    <s v="Gökhan"/>
    <s v="Catar"/>
    <n v="37208"/>
    <s v="De Rick, Kenneth"/>
    <x v="116"/>
    <x v="5"/>
    <n v="1"/>
  </r>
  <r>
    <s v="Dominique"/>
    <s v="Blondeel"/>
    <n v="37222"/>
    <s v="Vande Velde, Lucie"/>
    <x v="57"/>
    <x v="5"/>
    <n v="1"/>
  </r>
  <r>
    <s v="Frank"/>
    <s v="De Lange"/>
    <n v="37744"/>
    <s v="De Clercq, Dominique"/>
    <x v="117"/>
    <x v="5"/>
    <n v="1"/>
  </r>
  <r>
    <s v="Michael"/>
    <s v="Vandenberghe"/>
    <n v="37908"/>
    <s v="Storm, Steven"/>
    <x v="118"/>
    <x v="5"/>
    <n v="1"/>
  </r>
  <r>
    <s v="Isa"/>
    <s v="Simsek"/>
    <n v="38035"/>
    <s v="Van Der Beken, Bart"/>
    <x v="119"/>
    <x v="5"/>
    <n v="1"/>
  </r>
  <r>
    <s v="Muhammad Salman"/>
    <s v="Bashir"/>
    <n v="37179"/>
    <s v="Van Der Beken, Bart"/>
    <x v="120"/>
    <x v="5"/>
    <n v="1"/>
  </r>
  <r>
    <s v="Rayan"/>
    <s v="Coulon"/>
    <n v="37254"/>
    <s v="De Rick, Kenneth"/>
    <x v="121"/>
    <x v="5"/>
    <n v="1"/>
  </r>
  <r>
    <s v="Alexander"/>
    <s v="Detaeye"/>
    <n v="37936"/>
    <s v="Storm, Steven"/>
    <x v="119"/>
    <x v="5"/>
    <n v="1"/>
  </r>
  <r>
    <s v="Kenny"/>
    <s v="Sturtewagen"/>
    <n v="37809"/>
    <s v="Storm, Steven"/>
    <x v="122"/>
    <x v="5"/>
    <n v="1"/>
  </r>
  <r>
    <s v="Bruno"/>
    <s v="De Naegel"/>
    <n v="37950"/>
    <s v="De Clercq, Dominique"/>
    <x v="122"/>
    <x v="5"/>
    <n v="1"/>
  </r>
  <r>
    <s v="Mustafa"/>
    <s v="Demirkazik"/>
    <n v="37439"/>
    <s v="De Rick, Kenneth"/>
    <x v="58"/>
    <x v="5"/>
    <n v="1"/>
  </r>
  <r>
    <s v="Hans"/>
    <s v="De Tandt"/>
    <n v="37542"/>
    <s v="Van Der Beken, Bart"/>
    <x v="61"/>
    <x v="5"/>
    <n v="1"/>
  </r>
  <r>
    <s v="Sven"/>
    <s v="De Clercq"/>
    <n v="36154"/>
    <s v="Vande Velde, Lucie"/>
    <x v="123"/>
    <x v="6"/>
    <n v="1"/>
  </r>
  <r>
    <s v="Ruben"/>
    <s v="De Lange"/>
    <n v="36505"/>
    <s v="De Rick, Kenneth"/>
    <x v="64"/>
    <x v="6"/>
    <n v="1"/>
  </r>
  <r>
    <s v="Martine"/>
    <s v="De Smet"/>
    <n v="36577"/>
    <s v="Dewulf, Els"/>
    <x v="67"/>
    <x v="6"/>
    <n v="1"/>
  </r>
  <r>
    <s v="Philip"/>
    <s v="Haché"/>
    <n v="36820"/>
    <s v="Storm, Steven"/>
    <x v="124"/>
    <x v="6"/>
    <n v="1"/>
  </r>
  <r>
    <s v="Ismaïl"/>
    <s v="Unver"/>
    <n v="30321"/>
    <s v="De Rick, Kenneth"/>
    <x v="125"/>
    <x v="6"/>
    <n v="1"/>
  </r>
  <r>
    <s v="Elise"/>
    <s v="De Nys"/>
    <n v="36358"/>
    <s v="Dewulf, Els"/>
    <x v="126"/>
    <x v="6"/>
    <n v="2"/>
  </r>
  <r>
    <s v="Sandra"/>
    <s v="De Staercke"/>
    <n v="36559"/>
    <s v="De Rick, Kenneth"/>
    <x v="27"/>
    <x v="6"/>
    <n v="1"/>
  </r>
  <r>
    <s v="Kurt"/>
    <s v="De Meulenaere"/>
    <n v="36624"/>
    <s v="De Clercq, Dominique"/>
    <x v="127"/>
    <x v="6"/>
    <n v="1"/>
  </r>
  <r>
    <s v="Mehmet"/>
    <s v="Coban"/>
    <n v="35216"/>
    <s v="Vande Velde, Lucie"/>
    <x v="128"/>
    <x v="7"/>
    <n v="1"/>
  </r>
  <r>
    <s v="Brisco Romeo"/>
    <s v="Nguetto"/>
    <n v="35490"/>
    <s v="Storm, Steven"/>
    <x v="69"/>
    <x v="7"/>
    <n v="1"/>
  </r>
  <r>
    <s v="Mahmoud"/>
    <s v="Razzaz"/>
    <n v="35495"/>
    <s v="De Rick, Kenneth"/>
    <x v="69"/>
    <x v="7"/>
    <n v="1"/>
  </r>
  <r>
    <s v="Zouheir"/>
    <s v="El Mezroui"/>
    <n v="35619"/>
    <s v="Storm, Steven"/>
    <x v="129"/>
    <x v="7"/>
    <n v="1"/>
  </r>
  <r>
    <s v="Karel"/>
    <s v="De Meyer"/>
    <n v="35246"/>
    <s v="Vanhoe, Els"/>
    <x v="130"/>
    <x v="7"/>
    <n v="1"/>
  </r>
  <r>
    <s v="Sam"/>
    <s v="Engels"/>
    <n v="35379"/>
    <s v="Vanhoe, Els"/>
    <x v="131"/>
    <x v="7"/>
    <n v="2"/>
  </r>
  <r>
    <s v="Heidi"/>
    <s v="Limbourg"/>
    <n v="35395"/>
    <s v="Storm, Steven"/>
    <x v="132"/>
    <x v="7"/>
    <n v="1"/>
  </r>
  <r>
    <s v="Dirk"/>
    <s v="Vlaminck"/>
    <n v="35430"/>
    <s v="Vanhoe, Els"/>
    <x v="133"/>
    <x v="7"/>
    <n v="1"/>
  </r>
  <r>
    <s v="Hugo"/>
    <s v="Roos"/>
    <n v="35450"/>
    <s v="Dewulf, Els"/>
    <x v="134"/>
    <x v="7"/>
    <n v="1"/>
  </r>
  <r>
    <s v="Tom"/>
    <s v="Vandaele"/>
    <n v="35463"/>
    <s v="De Clercq, Dominique"/>
    <x v="69"/>
    <x v="7"/>
    <n v="1"/>
  </r>
  <r>
    <s v="Patrick"/>
    <s v="Verschraegen"/>
    <n v="33640"/>
    <s v="Storm, Steven"/>
    <x v="135"/>
    <x v="23"/>
    <n v="1"/>
  </r>
  <r>
    <s v="Tom"/>
    <s v="Hoste"/>
    <n v="34019"/>
    <s v="Rotty, Christoff"/>
    <x v="136"/>
    <x v="23"/>
    <n v="1"/>
  </r>
  <r>
    <s v="Patrik"/>
    <s v="Holub"/>
    <n v="33488"/>
    <s v="Vanhoe, Els"/>
    <x v="137"/>
    <x v="23"/>
    <n v="1"/>
  </r>
  <r>
    <s v="Toby"/>
    <s v="Pelfrene"/>
    <n v="34198"/>
    <s v="Vanhoe, Els"/>
    <x v="138"/>
    <x v="23"/>
    <n v="1"/>
  </r>
  <r>
    <s v="Cynthia"/>
    <s v="Petit"/>
    <n v="33400"/>
    <s v="Rotty, Christoff"/>
    <x v="139"/>
    <x v="23"/>
    <n v="2"/>
  </r>
  <r>
    <s v="Dieter"/>
    <s v="Callant"/>
    <n v="34351"/>
    <s v="Vanhoe, Els"/>
    <x v="140"/>
    <x v="23"/>
    <n v="1"/>
  </r>
  <r>
    <s v="Muharrem"/>
    <s v="Göktas"/>
    <n v="33986"/>
    <s v="De Rick, Kenneth"/>
    <x v="141"/>
    <x v="23"/>
    <n v="1"/>
  </r>
  <r>
    <s v="Jürgen"/>
    <s v="Kerremans"/>
    <n v="34328"/>
    <s v="De Rick, Kenneth"/>
    <x v="140"/>
    <x v="23"/>
    <n v="1"/>
  </r>
  <r>
    <s v="Illya"/>
    <s v="Wulleput"/>
    <n v="34445"/>
    <s v="De Clercq, Dominique"/>
    <x v="142"/>
    <x v="23"/>
    <n v="1"/>
  </r>
  <r>
    <s v="Bianca"/>
    <s v="Verlinden"/>
    <n v="32245"/>
    <s v="Vanhoe, Els"/>
    <x v="143"/>
    <x v="15"/>
    <n v="2"/>
  </r>
  <r>
    <s v="Abdelhak"/>
    <s v="Benjilali"/>
    <n v="32528"/>
    <s v="Storm, Steven"/>
    <x v="144"/>
    <x v="14"/>
    <n v="1"/>
  </r>
  <r>
    <s v="Herman"/>
    <s v="Meersman"/>
    <n v="32387"/>
    <s v="Storm, Steven"/>
    <x v="145"/>
    <x v="14"/>
    <n v="2"/>
  </r>
  <r>
    <s v="Sonia"/>
    <s v="De Bruyne"/>
    <n v="32951"/>
    <s v="Vande Velde, Lucie"/>
    <x v="146"/>
    <x v="14"/>
    <n v="1"/>
  </r>
  <r>
    <s v="Ömer"/>
    <s v="Kirsan"/>
    <n v="31634"/>
    <s v="Vanhoe, Els"/>
    <x v="147"/>
    <x v="15"/>
    <n v="1"/>
  </r>
  <r>
    <s v="Steve"/>
    <s v="Famelaer"/>
    <n v="31776"/>
    <s v="De Clercq, Dominique"/>
    <x v="148"/>
    <x v="15"/>
    <n v="1"/>
  </r>
  <r>
    <s v="Ercan"/>
    <s v="Köroglu"/>
    <n v="32091"/>
    <s v="De Rick, Kenneth"/>
    <x v="149"/>
    <x v="15"/>
    <n v="1"/>
  </r>
  <r>
    <s v="Tom"/>
    <s v="Mertens"/>
    <n v="31600"/>
    <s v="Dewulf, Els"/>
    <x v="150"/>
    <x v="15"/>
    <n v="1"/>
  </r>
  <r>
    <s v="Mohamed Ali"/>
    <s v="Oueslati"/>
    <n v="31150"/>
    <s v="De Rick, Kenneth"/>
    <x v="151"/>
    <x v="16"/>
    <n v="1"/>
  </r>
  <r>
    <s v="Mustafa"/>
    <s v="Gassa"/>
    <n v="30623"/>
    <s v="De Rick, Kenneth"/>
    <x v="152"/>
    <x v="16"/>
    <n v="1"/>
  </r>
  <r>
    <s v="Sandro"/>
    <s v="Govaerts"/>
    <n v="31165"/>
    <s v="Vande Velde, Lucie"/>
    <x v="153"/>
    <x v="16"/>
    <n v="1"/>
  </r>
  <r>
    <s v="Dylan"/>
    <s v="Colaes"/>
    <n v="31231"/>
    <s v="Vanhoe, Els"/>
    <x v="154"/>
    <x v="16"/>
    <n v="1"/>
  </r>
  <r>
    <s v="Mesut"/>
    <s v="Özer"/>
    <n v="29646"/>
    <s v="De Clercq, Dominique"/>
    <x v="155"/>
    <x v="8"/>
    <n v="1"/>
  </r>
  <r>
    <s v="Jeroen"/>
    <s v="Bracke"/>
    <n v="30271"/>
    <s v="Dewulf, Els"/>
    <x v="156"/>
    <x v="8"/>
    <n v="1"/>
  </r>
  <r>
    <s v="Tom"/>
    <s v="Haerens"/>
    <n v="30119"/>
    <s v="De Clercq, Dominique"/>
    <x v="157"/>
    <x v="8"/>
    <n v="1"/>
  </r>
  <r>
    <s v="Andreas"/>
    <s v="Simons"/>
    <n v="30121"/>
    <s v="Rotty, Christoff"/>
    <x v="157"/>
    <x v="8"/>
    <n v="1"/>
  </r>
  <r>
    <s v="Filip"/>
    <s v="Maes"/>
    <n v="29271"/>
    <s v="Dewulf, Els"/>
    <x v="158"/>
    <x v="9"/>
    <n v="1"/>
  </r>
  <r>
    <s v="Heike"/>
    <s v="Priwall"/>
    <n v="29478"/>
    <s v="Dewulf, Els"/>
    <x v="159"/>
    <x v="9"/>
    <n v="1"/>
  </r>
  <r>
    <s v="Leonard"/>
    <s v="Olenski"/>
    <n v="27865"/>
    <s v="Dewulf, Els"/>
    <x v="160"/>
    <x v="24"/>
    <n v="1"/>
  </r>
  <r>
    <s v="Veronique"/>
    <s v="Criel"/>
    <n v="27672"/>
    <s v="Storm, Steven"/>
    <x v="161"/>
    <x v="17"/>
    <n v="1"/>
  </r>
  <r>
    <s v="Koen"/>
    <s v="Verbanck"/>
    <n v="27673"/>
    <s v="Rotty, Christoff"/>
    <x v="161"/>
    <x v="17"/>
    <n v="1"/>
  </r>
  <r>
    <s v="Thibaud"/>
    <s v="Oben"/>
    <n v="27153"/>
    <s v="Rotty, Christoff"/>
    <x v="162"/>
    <x v="17"/>
    <n v="1"/>
  </r>
  <r>
    <s v="Osman"/>
    <s v="Kazakbiyev"/>
    <n v="25873"/>
    <s v="Vanhoe, Els"/>
    <x v="163"/>
    <x v="18"/>
    <n v="1"/>
  </r>
  <r>
    <s v="Franky"/>
    <s v="Wauters"/>
    <n v="26199"/>
    <s v="Vanhoe, Els"/>
    <x v="164"/>
    <x v="18"/>
    <n v="1"/>
  </r>
  <r>
    <s v="Cynthia"/>
    <s v="Bolle"/>
    <n v="26524"/>
    <s v="Vanhoe, Els"/>
    <x v="165"/>
    <x v="18"/>
    <n v="1"/>
  </r>
  <r>
    <s v="Wendy"/>
    <s v="Engels"/>
    <n v="26639"/>
    <s v="De Rick, Kenneth"/>
    <x v="166"/>
    <x v="18"/>
    <n v="1"/>
  </r>
  <r>
    <s v="Miguel"/>
    <s v="Lippens"/>
    <n v="26695"/>
    <s v="Rotty, Christoff"/>
    <x v="167"/>
    <x v="18"/>
    <n v="2"/>
  </r>
  <r>
    <s v="David"/>
    <s v="De Meester"/>
    <n v="26847"/>
    <s v="Van Der Beken, Bart"/>
    <x v="168"/>
    <x v="18"/>
    <n v="2"/>
  </r>
  <r>
    <s v="Pascal"/>
    <s v="Van Semmertier"/>
    <n v="26331"/>
    <s v="Van Der Beken, Bart"/>
    <x v="169"/>
    <x v="18"/>
    <n v="1"/>
  </r>
  <r>
    <s v="Roland"/>
    <s v="Hublau"/>
    <n v="26137"/>
    <s v="Storm, Steven"/>
    <x v="170"/>
    <x v="18"/>
    <n v="1"/>
  </r>
  <r>
    <s v="Bart"/>
    <s v="Goethals"/>
    <n v="25486"/>
    <s v="Rotty, Christoff"/>
    <x v="31"/>
    <x v="10"/>
    <n v="1"/>
  </r>
  <r>
    <s v="Akin"/>
    <s v="Kayim"/>
    <n v="25829"/>
    <s v="Storm, Steven"/>
    <x v="171"/>
    <x v="10"/>
    <n v="1"/>
  </r>
  <r>
    <s v="Koen"/>
    <s v="Luttens"/>
    <n v="24155"/>
    <s v="Vanhoe, Els"/>
    <x v="172"/>
    <x v="19"/>
    <n v="1"/>
  </r>
  <r>
    <s v="Ali"/>
    <s v="Tayefeh Arbab"/>
    <n v="24367"/>
    <s v="Van Der Beken, Bart"/>
    <x v="173"/>
    <x v="19"/>
    <n v="2"/>
  </r>
  <r>
    <s v="Peter"/>
    <s v="Meyvaert"/>
    <n v="22052"/>
    <s v="Dewulf, Els"/>
    <x v="174"/>
    <x v="25"/>
    <n v="1"/>
  </r>
  <r>
    <s v="Pascal"/>
    <s v="Pluym"/>
    <n v="22202"/>
    <s v="Storm, Steven"/>
    <x v="175"/>
    <x v="25"/>
    <n v="1"/>
  </r>
  <r>
    <s v="Abdul Kadir"/>
    <s v="Bicici"/>
    <n v="22416"/>
    <s v="Rotty, Christoff"/>
    <x v="176"/>
    <x v="25"/>
    <n v="1"/>
  </r>
  <r>
    <s v="Gunther"/>
    <s v="Goossens"/>
    <n v="22877"/>
    <s v="Dewulf, Els"/>
    <x v="177"/>
    <x v="25"/>
    <n v="1"/>
  </r>
  <r>
    <s v="Franky"/>
    <s v="Vanderstraeten"/>
    <n v="21581"/>
    <s v="Vande Velde, Lucie"/>
    <x v="178"/>
    <x v="25"/>
    <n v="1"/>
  </r>
  <r>
    <s v="Steve"/>
    <s v="Dierick"/>
    <n v="21892"/>
    <s v="Storm, Steven"/>
    <x v="179"/>
    <x v="25"/>
    <n v="1"/>
  </r>
  <r>
    <s v="Karina"/>
    <s v="Delahaye"/>
    <n v="22240"/>
    <s v="Dewulf, Els"/>
    <x v="180"/>
    <x v="25"/>
    <n v="1"/>
  </r>
  <r>
    <s v="Süleyman"/>
    <s v="Kirdas"/>
    <n v="22244"/>
    <s v="Rotty, Christoff"/>
    <x v="180"/>
    <x v="25"/>
    <n v="1"/>
  </r>
  <r>
    <s v="Emra"/>
    <s v="Kizilmese"/>
    <n v="20542"/>
    <s v="Dewulf, Els"/>
    <x v="181"/>
    <x v="11"/>
    <n v="1"/>
  </r>
  <r>
    <s v="Ilkmur"/>
    <s v="Pekdemir"/>
    <n v="20543"/>
    <s v="De Rick, Kenneth"/>
    <x v="181"/>
    <x v="11"/>
    <n v="1"/>
  </r>
  <r>
    <s v="Bart"/>
    <s v="Vonck"/>
    <n v="20656"/>
    <s v="Vanhoe, Els"/>
    <x v="86"/>
    <x v="11"/>
    <n v="1"/>
  </r>
  <r>
    <s v="Kris"/>
    <s v="Van Steenbergen"/>
    <n v="19520"/>
    <s v="Dewulf, Els"/>
    <x v="182"/>
    <x v="2"/>
    <n v="1"/>
  </r>
  <r>
    <s v="Dolly"/>
    <s v="De Geyter"/>
    <n v="18987"/>
    <s v="Storm, Steven"/>
    <x v="183"/>
    <x v="2"/>
    <n v="1"/>
  </r>
  <r>
    <s v="Claude"/>
    <s v="Lega"/>
    <n v="17951"/>
    <s v="Van Der Beken, Bart"/>
    <x v="184"/>
    <x v="12"/>
    <n v="1"/>
  </r>
  <r>
    <s v="Erwin"/>
    <s v="Toch"/>
    <n v="16545"/>
    <s v="Van Der Beken, Bart"/>
    <x v="185"/>
    <x v="3"/>
    <n v="1"/>
  </r>
  <r>
    <s v="Andy"/>
    <s v="VandenDaele"/>
    <n v="16897"/>
    <s v="Storm, Steven"/>
    <x v="6"/>
    <x v="3"/>
    <n v="2"/>
  </r>
  <r>
    <s v="Reginald"/>
    <s v="Praet"/>
    <n v="17566"/>
    <s v="Van Der Beken, Bart"/>
    <x v="186"/>
    <x v="3"/>
    <n v="1"/>
  </r>
  <r>
    <s v="Patrick"/>
    <s v="Devriendt"/>
    <n v="16275"/>
    <s v="Dewulf, Els"/>
    <x v="187"/>
    <x v="20"/>
    <n v="1"/>
  </r>
  <r>
    <s v="Vincent"/>
    <s v="Rodrigue"/>
    <n v="14625"/>
    <s v="Vande Velde, Lucie"/>
    <x v="188"/>
    <x v="26"/>
    <n v="1"/>
  </r>
  <r>
    <s v="Peter"/>
    <s v="De Mey"/>
    <n v="15219"/>
    <s v="Van Der Beken, Bart"/>
    <x v="189"/>
    <x v="26"/>
    <n v="1"/>
  </r>
  <r>
    <s v="Katleen"/>
    <s v="Dejonghe"/>
    <n v="15220"/>
    <s v="De Clercq, Dominique"/>
    <x v="189"/>
    <x v="26"/>
    <n v="1"/>
  </r>
  <r>
    <s v="Dirk"/>
    <s v="Laute"/>
    <n v="15088"/>
    <s v="Vanhoe, Els"/>
    <x v="190"/>
    <x v="26"/>
    <n v="1"/>
  </r>
  <r>
    <s v="Kristoff"/>
    <s v="Marinx"/>
    <n v="15282"/>
    <s v="De Rick, Kenneth"/>
    <x v="191"/>
    <x v="26"/>
    <n v="1"/>
  </r>
  <r>
    <s v="Jan"/>
    <s v="Oosterlinck"/>
    <n v="13089"/>
    <s v="Rotty, Christoff"/>
    <x v="192"/>
    <x v="27"/>
    <n v="1"/>
  </r>
  <r>
    <s v="Ramazan"/>
    <s v="Kirdas"/>
    <n v="13398"/>
    <s v="De Clercq, Dominique"/>
    <x v="193"/>
    <x v="27"/>
    <n v="1"/>
  </r>
  <r>
    <s v="Koen"/>
    <s v="Vervoort"/>
    <n v="14072"/>
    <s v="Vande Velde, Lucie"/>
    <x v="194"/>
    <x v="27"/>
    <n v="1"/>
  </r>
  <r>
    <s v="Kurt"/>
    <s v="De Cooman"/>
    <n v="12024"/>
    <s v="Vande Velde, Lucie"/>
    <x v="195"/>
    <x v="21"/>
    <n v="1"/>
  </r>
  <r>
    <s v="Kenneth"/>
    <s v="De Smet"/>
    <n v="12514"/>
    <s v="Vande Velde, Lucie"/>
    <x v="196"/>
    <x v="21"/>
    <n v="1"/>
  </r>
  <r>
    <s v="David"/>
    <s v="Van Eenaeme"/>
    <n v="12819"/>
    <s v="Van Der Beken, Bart"/>
    <x v="197"/>
    <x v="21"/>
    <n v="1"/>
  </r>
  <r>
    <s v="Tom"/>
    <s v="Van Vliet"/>
    <n v="12124"/>
    <s v="Storm, Steven"/>
    <x v="198"/>
    <x v="21"/>
    <n v="2"/>
  </r>
  <r>
    <s v="Marnic"/>
    <s v="Seeuws"/>
    <n v="11021"/>
    <s v="Storm, Steven"/>
    <x v="199"/>
    <x v="22"/>
    <n v="1"/>
  </r>
  <r>
    <s v="Jeffrey"/>
    <s v="Goethals"/>
    <n v="11023"/>
    <s v="Vanhoe, Els"/>
    <x v="199"/>
    <x v="22"/>
    <n v="1"/>
  </r>
  <r>
    <s v="Ludo"/>
    <s v="De Vrieze"/>
    <n v="11120"/>
    <s v="Vande Velde, Lucie"/>
    <x v="200"/>
    <x v="22"/>
    <n v="1"/>
  </r>
  <r>
    <s v="Gunter"/>
    <s v="De Plus"/>
    <n v="11213"/>
    <s v="Van Der Beken, Bart"/>
    <x v="201"/>
    <x v="22"/>
    <n v="1"/>
  </r>
  <r>
    <s v="Ina"/>
    <s v="De Kee"/>
    <n v="10782"/>
    <s v="De Rick, Kenneth"/>
    <x v="202"/>
    <x v="28"/>
    <n v="1"/>
  </r>
  <r>
    <s v="Davy"/>
    <s v="Westelinck"/>
    <n v="9062"/>
    <s v="De Rick, Kenneth"/>
    <x v="203"/>
    <x v="29"/>
    <n v="1"/>
  </r>
  <r>
    <s v="Ronny"/>
    <s v="De Weirdt"/>
    <n v="9158"/>
    <s v="Storm, Steven"/>
    <x v="204"/>
    <x v="29"/>
    <n v="1"/>
  </r>
  <r>
    <s v="Eric"/>
    <s v="De Meulenaere"/>
    <n v="9824"/>
    <s v="Storm, Steven"/>
    <x v="205"/>
    <x v="29"/>
    <n v="1"/>
  </r>
  <r>
    <s v="Marc"/>
    <s v="De Graeve"/>
    <n v="8918"/>
    <s v="De Rick, Kenneth"/>
    <x v="206"/>
    <x v="30"/>
    <n v="1"/>
  </r>
  <r>
    <s v="Antoon"/>
    <s v="Smet"/>
    <n v="8394"/>
    <s v="Vande Velde, Lucie"/>
    <x v="207"/>
    <x v="30"/>
    <n v="1"/>
  </r>
  <r>
    <s v="Didier"/>
    <s v="Aelterman"/>
    <n v="7746"/>
    <s v="Rotty, Christoff"/>
    <x v="208"/>
    <x v="31"/>
    <n v="1"/>
  </r>
  <r>
    <s v="Antoon"/>
    <s v="De Meyer"/>
    <n v="6229"/>
    <s v="Vanhoe, Els"/>
    <x v="209"/>
    <x v="32"/>
    <n v="1"/>
  </r>
  <r>
    <s v="Tania"/>
    <s v="Hoste"/>
    <n v="5559"/>
    <s v="Storm, Steven"/>
    <x v="210"/>
    <x v="33"/>
    <n v="1"/>
  </r>
  <r>
    <s v="Johan"/>
    <s v="Steenbrugge"/>
    <n v="4608"/>
    <s v="Vande Velde, Lucie"/>
    <x v="211"/>
    <x v="34"/>
    <n v="1"/>
  </r>
  <r>
    <s v="Jo"/>
    <s v="De Roo"/>
    <n v="4720"/>
    <s v="Vanhoe, Els"/>
    <x v="212"/>
    <x v="34"/>
    <n v="1"/>
  </r>
  <r>
    <s v="Roien Sadder"/>
    <s v="Stanikazi"/>
    <n v="39889"/>
    <s v="Storm, Steven"/>
    <x v="213"/>
    <x v="0"/>
    <n v="0"/>
  </r>
  <r>
    <s v="Abdil"/>
    <s v="Calinalti"/>
    <n v="39899"/>
    <s v="Rotty, Christoff"/>
    <x v="214"/>
    <x v="0"/>
    <n v="0"/>
  </r>
  <r>
    <s v="Birsanuc"/>
    <s v="Marian"/>
    <n v="39907"/>
    <s v="De Rick, Kenneth"/>
    <x v="49"/>
    <x v="0"/>
    <n v="0"/>
  </r>
  <r>
    <s v="Benjamin"/>
    <s v="De Ridder"/>
    <n v="40006"/>
    <s v="Rotty, Christoff"/>
    <x v="101"/>
    <x v="0"/>
    <n v="0"/>
  </r>
  <r>
    <s v="Aram"/>
    <s v="Khder"/>
    <n v="40294"/>
    <s v="Rotty, Christoff"/>
    <x v="215"/>
    <x v="0"/>
    <n v="1"/>
  </r>
  <r>
    <s v="Khaoula"/>
    <s v="Ennakaba"/>
    <n v="40414"/>
    <s v="Storm, Steven"/>
    <x v="102"/>
    <x v="0"/>
    <n v="1"/>
  </r>
  <r>
    <s v="Marcos Eduardo"/>
    <s v="De Souza"/>
    <n v="40486"/>
    <s v="Rotty, Christoff"/>
    <x v="216"/>
    <x v="0"/>
    <n v="0"/>
  </r>
  <r>
    <s v="Domeniko"/>
    <s v="Kurti"/>
    <n v="40608"/>
    <s v="Vande Velde, Lucie"/>
    <x v="217"/>
    <x v="0"/>
    <n v="0"/>
  </r>
  <r>
    <s v="Wim"/>
    <s v="De Vijlder"/>
    <n v="40761"/>
    <s v="De Rick, Kenneth"/>
    <x v="103"/>
    <x v="0"/>
    <n v="0"/>
  </r>
  <r>
    <s v="Andy"/>
    <s v="Dekens"/>
    <n v="33551"/>
    <s v="Vanhoe, Els"/>
    <x v="218"/>
    <x v="0"/>
    <n v="0"/>
  </r>
  <r>
    <s v="Rahmatullah"/>
    <s v="Mirazai"/>
    <n v="39930"/>
    <s v="Rotty, Christoff"/>
    <x v="101"/>
    <x v="0"/>
    <n v="0"/>
  </r>
  <r>
    <s v="Khalil"/>
    <s v="Shahriyari"/>
    <n v="40200"/>
    <s v="De Clercq, Dominique"/>
    <x v="219"/>
    <x v="0"/>
    <n v="0"/>
  </r>
  <r>
    <s v="Sharon"/>
    <s v="Van Iterson"/>
    <n v="40222"/>
    <s v="De Clercq, Dominique"/>
    <x v="220"/>
    <x v="0"/>
    <n v="0"/>
  </r>
  <r>
    <s v="Ali"/>
    <s v="Mekdad"/>
    <n v="40521"/>
    <s v="Vande Velde, Lucie"/>
    <x v="221"/>
    <x v="0"/>
    <n v="0"/>
  </r>
  <r>
    <s v="Kelly"/>
    <s v="Costers"/>
    <n v="39859"/>
    <s v="Van Der Beken, Bart"/>
    <x v="39"/>
    <x v="4"/>
    <n v="1"/>
  </r>
  <r>
    <s v="Ahmad"/>
    <s v="Alassad"/>
    <n v="38551"/>
    <s v="Van Der Beken, Bart"/>
    <x v="50"/>
    <x v="4"/>
    <n v="0"/>
  </r>
  <r>
    <s v="Sven"/>
    <s v="Haaze"/>
    <n v="38579"/>
    <s v="Dewulf, Els"/>
    <x v="222"/>
    <x v="4"/>
    <n v="0"/>
  </r>
  <r>
    <s v="Sabeur"/>
    <s v="Landoulsi"/>
    <n v="39145"/>
    <s v="Rotty, Christoff"/>
    <x v="223"/>
    <x v="4"/>
    <n v="0"/>
  </r>
  <r>
    <s v="Batuhan"/>
    <s v="Sayin"/>
    <n v="39610"/>
    <s v="Van Der Beken, Bart"/>
    <x v="20"/>
    <x v="4"/>
    <n v="0"/>
  </r>
  <r>
    <s v="Farid"/>
    <s v="Neghli"/>
    <n v="27186"/>
    <s v="Rotty, Christoff"/>
    <x v="224"/>
    <x v="4"/>
    <n v="0"/>
  </r>
  <r>
    <s v="Kelly"/>
    <s v="De taeye"/>
    <n v="39019"/>
    <s v="Vande Velde, Lucie"/>
    <x v="55"/>
    <x v="4"/>
    <n v="0"/>
  </r>
  <r>
    <s v="Yasin"/>
    <s v="Shinwari"/>
    <n v="39184"/>
    <s v="Rotty, Christoff"/>
    <x v="225"/>
    <x v="4"/>
    <n v="0"/>
  </r>
  <r>
    <s v="Habib"/>
    <s v="Asrih"/>
    <n v="39013"/>
    <s v="Dewulf, Els"/>
    <x v="51"/>
    <x v="4"/>
    <n v="0"/>
  </r>
  <r>
    <s v="Alex"/>
    <s v="Burrick"/>
    <n v="39146"/>
    <s v="Dewulf, Els"/>
    <x v="115"/>
    <x v="4"/>
    <n v="0"/>
  </r>
  <r>
    <s v="Anas"/>
    <s v="Al Masri"/>
    <n v="39183"/>
    <s v="Rotty, Christoff"/>
    <x v="226"/>
    <x v="4"/>
    <n v="0"/>
  </r>
  <r>
    <s v="Stephan"/>
    <s v="Antoniewicz"/>
    <n v="37216"/>
    <s v="De Rick, Kenneth"/>
    <x v="227"/>
    <x v="5"/>
    <n v="0"/>
  </r>
  <r>
    <s v="Mecit"/>
    <s v="Dedeci"/>
    <n v="37313"/>
    <s v="Van Der Beken, Bart"/>
    <x v="228"/>
    <x v="5"/>
    <n v="0"/>
  </r>
  <r>
    <s v="Nawras"/>
    <s v="Damlakhi"/>
    <n v="37564"/>
    <s v="Vanhoe, Els"/>
    <x v="61"/>
    <x v="5"/>
    <n v="0"/>
  </r>
  <r>
    <s v="Charlotte"/>
    <s v="De Boever"/>
    <n v="37683"/>
    <s v="Storm, Steven"/>
    <x v="229"/>
    <x v="5"/>
    <n v="0"/>
  </r>
  <r>
    <s v="Kâzim"/>
    <s v="Demirkaya"/>
    <n v="37794"/>
    <s v="Storm, Steven"/>
    <x v="230"/>
    <x v="5"/>
    <n v="1"/>
  </r>
  <r>
    <s v="Mustafa"/>
    <s v="Gök"/>
    <n v="37808"/>
    <s v="Vanhoe, Els"/>
    <x v="231"/>
    <x v="5"/>
    <n v="0"/>
  </r>
  <r>
    <s v="Cindy"/>
    <s v="Van De Voorde"/>
    <n v="37951"/>
    <s v="Vande Velde, Lucie"/>
    <x v="119"/>
    <x v="5"/>
    <n v="0"/>
  </r>
  <r>
    <s v="Akin"/>
    <s v="Mine"/>
    <n v="38013"/>
    <s v="Vande Velde, Lucie"/>
    <x v="119"/>
    <x v="5"/>
    <n v="0"/>
  </r>
  <r>
    <s v="Benigna"/>
    <s v="Acosta Salinas"/>
    <n v="36275"/>
    <s v="De Clercq, Dominique"/>
    <x v="232"/>
    <x v="5"/>
    <n v="0"/>
  </r>
  <r>
    <s v="Mehmed"/>
    <s v="Saritag"/>
    <n v="37131"/>
    <s v="De Rick, Kenneth"/>
    <x v="121"/>
    <x v="5"/>
    <n v="0"/>
  </r>
  <r>
    <s v="Dylan"/>
    <s v="De Groote"/>
    <n v="37609"/>
    <s v="De Rick, Kenneth"/>
    <x v="228"/>
    <x v="5"/>
    <n v="0"/>
  </r>
  <r>
    <s v="Yordi"/>
    <s v="Van Wayenbergh"/>
    <n v="37261"/>
    <s v="De Clercq, Dominique"/>
    <x v="57"/>
    <x v="5"/>
    <n v="0"/>
  </r>
  <r>
    <s v="Atilay"/>
    <s v="Kilinc"/>
    <n v="36228"/>
    <s v="Vanhoe, Els"/>
    <x v="233"/>
    <x v="6"/>
    <n v="0"/>
  </r>
  <r>
    <s v="Daniel"/>
    <s v="Desmadryl"/>
    <n v="36337"/>
    <s v="De Rick, Kenneth"/>
    <x v="62"/>
    <x v="6"/>
    <n v="0"/>
  </r>
  <r>
    <s v="Khalid"/>
    <s v="Ahlaloum"/>
    <n v="36429"/>
    <s v="De Rick, Kenneth"/>
    <x v="26"/>
    <x v="6"/>
    <n v="0"/>
  </r>
  <r>
    <s v="Dimitri"/>
    <s v="Callens"/>
    <n v="36503"/>
    <s v="Rotty, Christoff"/>
    <x v="64"/>
    <x v="6"/>
    <n v="0"/>
  </r>
  <r>
    <s v="Rauf"/>
    <s v="Sogut"/>
    <n v="36513"/>
    <s v="De Rick, Kenneth"/>
    <x v="64"/>
    <x v="6"/>
    <n v="1"/>
  </r>
  <r>
    <s v="Youri"/>
    <s v="Van Hoe"/>
    <n v="35006"/>
    <s v="De Rick, Kenneth"/>
    <x v="130"/>
    <x v="7"/>
    <n v="0"/>
  </r>
  <r>
    <s v="Dominique"/>
    <s v="Rotsaert"/>
    <n v="35107"/>
    <s v="Van Der Beken, Bart"/>
    <x v="234"/>
    <x v="7"/>
    <n v="0"/>
  </r>
  <r>
    <s v="Daniel"/>
    <s v="Delcourt"/>
    <n v="35120"/>
    <s v="Dewulf, Els"/>
    <x v="235"/>
    <x v="7"/>
    <n v="0"/>
  </r>
  <r>
    <s v="Eric"/>
    <s v="Bastiaen"/>
    <n v="35187"/>
    <s v="Vande Velde, Lucie"/>
    <x v="236"/>
    <x v="7"/>
    <n v="0"/>
  </r>
  <r>
    <s v="Aytekin"/>
    <s v="Kaya"/>
    <n v="35434"/>
    <s v="De Clercq, Dominique"/>
    <x v="237"/>
    <x v="7"/>
    <n v="0"/>
  </r>
  <r>
    <s v="Mariëlle"/>
    <s v="van Turnhout"/>
    <n v="35493"/>
    <s v="Vande Velde, Lucie"/>
    <x v="71"/>
    <x v="7"/>
    <n v="0"/>
  </r>
  <r>
    <s v="Wouter"/>
    <s v="Braeckman"/>
    <n v="35598"/>
    <s v="De Clercq, Dominique"/>
    <x v="71"/>
    <x v="7"/>
    <n v="0"/>
  </r>
  <r>
    <s v="Sami"/>
    <s v="El Gasmi"/>
    <n v="35709"/>
    <s v="Vanhoe, Els"/>
    <x v="238"/>
    <x v="7"/>
    <n v="0"/>
  </r>
  <r>
    <s v="Abdülkadir"/>
    <s v="Kocabas"/>
    <n v="35055"/>
    <s v="Vanhoe, Els"/>
    <x v="234"/>
    <x v="7"/>
    <n v="0"/>
  </r>
  <r>
    <s v="Wesley"/>
    <s v="Goossens"/>
    <n v="34385"/>
    <s v="Stubbe, Jarne"/>
    <x v="239"/>
    <x v="23"/>
    <n v="0"/>
  </r>
  <r>
    <s v="Chris"/>
    <s v="Verroeye"/>
    <n v="33450"/>
    <s v="De Rick, Kenneth"/>
    <x v="240"/>
    <x v="23"/>
    <n v="1"/>
  </r>
  <r>
    <s v="Kevin"/>
    <s v="Wieme"/>
    <n v="34044"/>
    <s v="Rotty, Christoff"/>
    <x v="241"/>
    <x v="23"/>
    <n v="0"/>
  </r>
  <r>
    <s v="Mozamil"/>
    <s v="Ghani"/>
    <n v="34286"/>
    <s v="Storm, Steven"/>
    <x v="242"/>
    <x v="23"/>
    <n v="0"/>
  </r>
  <r>
    <s v="Patrick"/>
    <s v="Vandenborre"/>
    <n v="32369"/>
    <s v="Vanhoe, Els"/>
    <x v="145"/>
    <x v="14"/>
    <n v="0"/>
  </r>
  <r>
    <s v="Kenny"/>
    <s v="Vanderstock"/>
    <n v="32542"/>
    <s v="De Clercq, Dominique"/>
    <x v="243"/>
    <x v="14"/>
    <n v="1"/>
  </r>
  <r>
    <s v="Jay"/>
    <s v="Van Achte"/>
    <n v="31689"/>
    <s v="Storm, Steven"/>
    <x v="244"/>
    <x v="15"/>
    <n v="0"/>
  </r>
  <r>
    <s v="Zulkifly"/>
    <s v="Vranken"/>
    <n v="32168"/>
    <s v="De Rick, Kenneth"/>
    <x v="245"/>
    <x v="15"/>
    <n v="0"/>
  </r>
  <r>
    <s v="Midas"/>
    <s v="Vaeyens"/>
    <n v="31635"/>
    <s v="Vanhoe, Els"/>
    <x v="147"/>
    <x v="15"/>
    <n v="0"/>
  </r>
  <r>
    <s v="Marijke"/>
    <s v="Dedapper"/>
    <n v="31731"/>
    <s v="Vanhoe, Els"/>
    <x v="246"/>
    <x v="15"/>
    <n v="0"/>
  </r>
  <r>
    <s v="Kristof"/>
    <s v="Sonck"/>
    <n v="31733"/>
    <s v="De Clercq, Dominique"/>
    <x v="246"/>
    <x v="15"/>
    <n v="0"/>
  </r>
  <r>
    <s v="Johan"/>
    <s v="vanden Bulcke"/>
    <n v="30901"/>
    <s v="Dewulf, Els"/>
    <x v="247"/>
    <x v="16"/>
    <n v="0"/>
  </r>
  <r>
    <s v="Kevin"/>
    <s v="De Jaeger"/>
    <n v="31092"/>
    <s v="Vande Velde, Lucie"/>
    <x v="248"/>
    <x v="16"/>
    <n v="0"/>
  </r>
  <r>
    <s v="Niko"/>
    <s v="Bonne"/>
    <n v="31111"/>
    <s v="Vanhoe, Els"/>
    <x v="248"/>
    <x v="16"/>
    <n v="0"/>
  </r>
  <r>
    <s v="Jan"/>
    <s v="De Keyzer"/>
    <n v="29540"/>
    <s v="Vande Velde, Lucie"/>
    <x v="249"/>
    <x v="8"/>
    <n v="0"/>
  </r>
  <r>
    <s v="Farhad"/>
    <s v="Mehman Doust"/>
    <n v="29821"/>
    <s v="De Clercq, Dominique"/>
    <x v="250"/>
    <x v="8"/>
    <n v="0"/>
  </r>
  <r>
    <s v="Els"/>
    <s v="Dejonckheere"/>
    <n v="28717"/>
    <s v="Vande Velde, Lucie"/>
    <x v="251"/>
    <x v="9"/>
    <n v="0"/>
  </r>
  <r>
    <s v="Niels"/>
    <s v="Van Malderghem"/>
    <n v="28794"/>
    <s v="Vande Velde, Lucie"/>
    <x v="252"/>
    <x v="9"/>
    <n v="0"/>
  </r>
  <r>
    <s v="Okan"/>
    <s v="Isiklar"/>
    <n v="28830"/>
    <s v="Rotty, Christoff"/>
    <x v="253"/>
    <x v="9"/>
    <n v="0"/>
  </r>
  <r>
    <s v="Boyke"/>
    <s v="De Vuyst"/>
    <n v="29477"/>
    <s v="Vande Velde, Lucie"/>
    <x v="159"/>
    <x v="9"/>
    <n v="1"/>
  </r>
  <r>
    <s v="Dries"/>
    <s v="Verwee"/>
    <n v="29179"/>
    <s v="Dewulf, Els"/>
    <x v="254"/>
    <x v="9"/>
    <n v="1"/>
  </r>
  <r>
    <s v="Damir"/>
    <s v="Petrovic"/>
    <n v="27635"/>
    <s v="De Rick, Kenneth"/>
    <x v="255"/>
    <x v="17"/>
    <n v="0"/>
  </r>
  <r>
    <s v="Bart"/>
    <s v="Parmentier"/>
    <n v="27713"/>
    <s v="Dewulf, Els"/>
    <x v="256"/>
    <x v="17"/>
    <n v="0"/>
  </r>
  <r>
    <s v="Bruno"/>
    <s v="De Wit"/>
    <n v="25993"/>
    <s v="Rotty, Christoff"/>
    <x v="257"/>
    <x v="18"/>
    <n v="0"/>
  </r>
  <r>
    <s v="Mario"/>
    <s v="Peers"/>
    <n v="25994"/>
    <s v="Dewulf, Els"/>
    <x v="257"/>
    <x v="18"/>
    <n v="0"/>
  </r>
  <r>
    <s v="Jessica"/>
    <s v="Bral"/>
    <n v="26102"/>
    <s v="Dewulf, Els"/>
    <x v="258"/>
    <x v="18"/>
    <n v="0"/>
  </r>
  <r>
    <s v="Murat"/>
    <s v="Gök"/>
    <n v="26266"/>
    <s v="Vanhoe, Els"/>
    <x v="259"/>
    <x v="18"/>
    <n v="0"/>
  </r>
  <r>
    <s v="Steven"/>
    <s v="Van Cauwenberg"/>
    <n v="26384"/>
    <s v="Dewulf, Els"/>
    <x v="260"/>
    <x v="18"/>
    <n v="0"/>
  </r>
  <r>
    <s v="Steven"/>
    <s v="Justé"/>
    <n v="26198"/>
    <s v="De Rick, Kenneth"/>
    <x v="164"/>
    <x v="18"/>
    <n v="0"/>
  </r>
  <r>
    <s v="Attila"/>
    <s v="Adiyil"/>
    <n v="23790"/>
    <s v="De Clercq, Dominique"/>
    <x v="261"/>
    <x v="19"/>
    <n v="0"/>
  </r>
  <r>
    <s v="Jean-Pierre"/>
    <s v="Wyffels"/>
    <n v="23880"/>
    <s v="De Clercq, Dominique"/>
    <x v="262"/>
    <x v="19"/>
    <n v="0"/>
  </r>
  <r>
    <s v="Davut"/>
    <s v="Gök"/>
    <n v="24472"/>
    <s v="De Clercq, Dominique"/>
    <x v="263"/>
    <x v="19"/>
    <n v="0"/>
  </r>
  <r>
    <s v="Elisa"/>
    <s v="Dejonghe"/>
    <n v="21809"/>
    <s v="Dewulf, Els"/>
    <x v="264"/>
    <x v="25"/>
    <n v="0"/>
  </r>
  <r>
    <s v="Pieter Jan"/>
    <s v="Callebert"/>
    <n v="22625"/>
    <s v="Van Der Beken, Bart"/>
    <x v="265"/>
    <x v="25"/>
    <n v="0"/>
  </r>
  <r>
    <s v="Johan"/>
    <s v="Osseel"/>
    <n v="22767"/>
    <s v="De Clercq, Dominique"/>
    <x v="266"/>
    <x v="25"/>
    <n v="1"/>
  </r>
  <r>
    <s v="Lincey"/>
    <s v="Verlaeckt"/>
    <n v="20375"/>
    <s v="De Clercq, Dominique"/>
    <x v="267"/>
    <x v="11"/>
    <n v="0"/>
  </r>
  <r>
    <s v="Kenneth"/>
    <s v="Allan"/>
    <n v="20400"/>
    <s v="De Clercq, Dominique"/>
    <x v="268"/>
    <x v="11"/>
    <n v="0"/>
  </r>
  <r>
    <s v="Danny"/>
    <s v="De Ridder"/>
    <n v="21124"/>
    <s v="Rotty, Christoff"/>
    <x v="269"/>
    <x v="11"/>
    <n v="0"/>
  </r>
  <r>
    <s v="Marc"/>
    <s v="De Volder"/>
    <n v="21382"/>
    <s v="Dewulf, Els"/>
    <x v="270"/>
    <x v="11"/>
    <n v="0"/>
  </r>
  <r>
    <s v="Kenneth"/>
    <s v="Vranken"/>
    <n v="20404"/>
    <s v="Rotty, Christoff"/>
    <x v="268"/>
    <x v="11"/>
    <n v="0"/>
  </r>
  <r>
    <s v="Mike"/>
    <s v="Laforce"/>
    <n v="21121"/>
    <s v="De Rick, Kenneth"/>
    <x v="269"/>
    <x v="11"/>
    <n v="0"/>
  </r>
  <r>
    <s v="Peter"/>
    <s v="Deschepper"/>
    <n v="19087"/>
    <s v="Vanhoe, Els"/>
    <x v="271"/>
    <x v="2"/>
    <n v="0"/>
  </r>
  <r>
    <s v="David"/>
    <s v="Remmery"/>
    <n v="19088"/>
    <s v="De Rick, Kenneth"/>
    <x v="271"/>
    <x v="2"/>
    <n v="0"/>
  </r>
  <r>
    <s v="Geert"/>
    <s v="Aspeslagh"/>
    <n v="19219"/>
    <s v="Vande Velde, Lucie"/>
    <x v="272"/>
    <x v="2"/>
    <n v="0"/>
  </r>
  <r>
    <s v="Patrick"/>
    <s v="Gevaert"/>
    <n v="19848"/>
    <s v="Storm, Steven"/>
    <x v="273"/>
    <x v="2"/>
    <n v="0"/>
  </r>
  <r>
    <s v="Günter"/>
    <s v="De Vos"/>
    <n v="18173"/>
    <s v="De Rick, Kenneth"/>
    <x v="274"/>
    <x v="12"/>
    <n v="1"/>
  </r>
  <r>
    <s v="Hasana"/>
    <s v="Idrisi"/>
    <n v="17931"/>
    <s v="Dewulf, Els"/>
    <x v="275"/>
    <x v="12"/>
    <n v="0"/>
  </r>
  <r>
    <s v="Wendy"/>
    <s v="DeBisschop"/>
    <n v="17555"/>
    <s v="Van Der Beken, Bart"/>
    <x v="186"/>
    <x v="3"/>
    <n v="1"/>
  </r>
  <r>
    <s v="Rosita"/>
    <s v="Baert"/>
    <n v="16546"/>
    <s v="Rotty, Christoff"/>
    <x v="185"/>
    <x v="3"/>
    <n v="2"/>
  </r>
  <r>
    <s v="Tony"/>
    <s v="Mestdagh"/>
    <n v="15676"/>
    <s v="Vande Velde, Lucie"/>
    <x v="276"/>
    <x v="20"/>
    <n v="0"/>
  </r>
  <r>
    <s v="Vanessa"/>
    <s v="Petereyns"/>
    <n v="15852"/>
    <s v="De Rick, Kenneth"/>
    <x v="277"/>
    <x v="20"/>
    <n v="0"/>
  </r>
  <r>
    <s v="Ruth"/>
    <s v="Vandecasteele"/>
    <n v="16282"/>
    <s v="De Rick, Kenneth"/>
    <x v="187"/>
    <x v="20"/>
    <n v="0"/>
  </r>
  <r>
    <s v="Dominique"/>
    <s v="Wulfranck"/>
    <n v="15628"/>
    <s v="De Rick, Kenneth"/>
    <x v="278"/>
    <x v="20"/>
    <n v="1"/>
  </r>
  <r>
    <s v="Filip"/>
    <s v="Vandenberghe"/>
    <n v="15320"/>
    <s v="Vanhoe, Els"/>
    <x v="279"/>
    <x v="26"/>
    <n v="0"/>
  </r>
  <r>
    <s v="Sofie"/>
    <s v="Vandaele"/>
    <n v="14261"/>
    <s v="Vanhoe, Els"/>
    <x v="280"/>
    <x v="26"/>
    <n v="0"/>
  </r>
  <r>
    <s v="Philip"/>
    <s v="De Mulder"/>
    <n v="14665"/>
    <s v="Van Der Beken, Bart"/>
    <x v="281"/>
    <x v="26"/>
    <n v="0"/>
  </r>
  <r>
    <s v="Claudine"/>
    <s v="De Geyter"/>
    <n v="13088"/>
    <s v="De Clercq, Dominique"/>
    <x v="192"/>
    <x v="27"/>
    <n v="0"/>
  </r>
  <r>
    <s v="Ronny"/>
    <s v="Schijvens"/>
    <n v="13345"/>
    <s v="De Rick, Kenneth"/>
    <x v="282"/>
    <x v="27"/>
    <n v="0"/>
  </r>
  <r>
    <s v="Pascal"/>
    <s v="Bolle"/>
    <n v="11866"/>
    <s v="Vande Velde, Lucie"/>
    <x v="283"/>
    <x v="21"/>
    <n v="0"/>
  </r>
  <r>
    <s v="David"/>
    <s v="De Feyter"/>
    <n v="12173"/>
    <s v="Vanhoe, Els"/>
    <x v="284"/>
    <x v="21"/>
    <n v="0"/>
  </r>
  <r>
    <s v="Nico"/>
    <s v="Beeckman"/>
    <n v="11508"/>
    <s v="Vande Velde, Lucie"/>
    <x v="285"/>
    <x v="22"/>
    <n v="0"/>
  </r>
  <r>
    <s v="Tony"/>
    <s v="Vandenbogaerde"/>
    <n v="10150"/>
    <s v="Storm, Steven"/>
    <x v="286"/>
    <x v="28"/>
    <n v="0"/>
  </r>
  <r>
    <s v="Wim"/>
    <s v="Eggermont"/>
    <n v="10324"/>
    <s v="Van Der Beken, Bart"/>
    <x v="287"/>
    <x v="28"/>
    <n v="0"/>
  </r>
  <r>
    <s v="Danny"/>
    <s v="Dewispelaere"/>
    <n v="9065"/>
    <s v="Vanhoe, Els"/>
    <x v="203"/>
    <x v="29"/>
    <n v="0"/>
  </r>
  <r>
    <s v="Joeri"/>
    <s v="Lucq"/>
    <n v="8391"/>
    <s v="Vanhoe, Els"/>
    <x v="207"/>
    <x v="30"/>
    <n v="0"/>
  </r>
  <r>
    <s v="Andy"/>
    <s v="Middernacht"/>
    <n v="8708"/>
    <s v="Vande Velde, Lucie"/>
    <x v="288"/>
    <x v="30"/>
    <n v="0"/>
  </r>
  <r>
    <s v="Roland"/>
    <s v="Vinck"/>
    <n v="8016"/>
    <s v="De Clercq, Dominique"/>
    <x v="289"/>
    <x v="30"/>
    <n v="0"/>
  </r>
  <r>
    <s v="Philippe"/>
    <s v="Pretel"/>
    <n v="5599"/>
    <s v="Storm, Steven"/>
    <x v="290"/>
    <x v="35"/>
    <n v="0"/>
  </r>
  <r>
    <s v="Sabine"/>
    <s v="Binard"/>
    <n v="5813"/>
    <s v="Vande Velde, Lucie"/>
    <x v="291"/>
    <x v="35"/>
    <n v="0"/>
  </r>
  <r>
    <s v="Inge"/>
    <s v="Dejonckheere"/>
    <n v="5718"/>
    <s v="De Rick, Kenneth"/>
    <x v="292"/>
    <x v="35"/>
    <n v="0"/>
  </r>
  <r>
    <s v="Bart"/>
    <s v="Merre"/>
    <n v="5063"/>
    <s v="Vande Velde, Lucie"/>
    <x v="293"/>
    <x v="33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2">
  <r>
    <n v="10150"/>
    <s v="Vandenbogaerde"/>
    <s v="Tony"/>
    <d v="1966-05-29T00:00:00"/>
    <n v="1966"/>
    <x v="0"/>
    <n v="1"/>
  </r>
  <r>
    <n v="10324"/>
    <s v="Eggermont"/>
    <s v="Wim"/>
    <d v="1969-03-06T00:00:00"/>
    <n v="1969"/>
    <x v="1"/>
    <n v="1"/>
  </r>
  <r>
    <n v="10326"/>
    <s v="Lefebvre"/>
    <s v="Olivier"/>
    <d v="1976-10-05T00:00:00"/>
    <n v="1976"/>
    <x v="2"/>
    <n v="0"/>
  </r>
  <r>
    <n v="10782"/>
    <s v="De Kee"/>
    <s v="Ina"/>
    <d v="1974-12-21T00:00:00"/>
    <n v="1974"/>
    <x v="3"/>
    <n v="1"/>
  </r>
  <r>
    <n v="11021"/>
    <s v="Seeuws"/>
    <s v="Marnic"/>
    <d v="1965-09-01T00:00:00"/>
    <n v="1965"/>
    <x v="4"/>
    <n v="1"/>
  </r>
  <r>
    <n v="11023"/>
    <s v="Goethals"/>
    <s v="Jeffrey"/>
    <d v="1974-10-14T00:00:00"/>
    <n v="1974"/>
    <x v="3"/>
    <n v="1"/>
  </r>
  <r>
    <n v="11120"/>
    <s v="De Vrieze"/>
    <s v="Ludo"/>
    <d v="1966-03-21T00:00:00"/>
    <n v="1966"/>
    <x v="0"/>
    <n v="1"/>
  </r>
  <r>
    <n v="11213"/>
    <s v="De Plus"/>
    <s v="Gunter"/>
    <d v="1973-12-21T00:00:00"/>
    <n v="1973"/>
    <x v="5"/>
    <n v="1"/>
  </r>
  <r>
    <n v="11236"/>
    <s v="Baert"/>
    <s v="Freddy"/>
    <d v="1963-09-29T00:00:00"/>
    <n v="1963"/>
    <x v="6"/>
    <n v="4"/>
  </r>
  <r>
    <n v="11508"/>
    <s v="Beeckman"/>
    <s v="Nico"/>
    <d v="1976-08-19T00:00:00"/>
    <n v="1976"/>
    <x v="2"/>
    <n v="1"/>
  </r>
  <r>
    <n v="11866"/>
    <s v="Bolle"/>
    <s v="Pascal"/>
    <d v="1969-09-21T00:00:00"/>
    <n v="1969"/>
    <x v="1"/>
    <n v="1"/>
  </r>
  <r>
    <n v="12024"/>
    <s v="De Cooman"/>
    <s v="Kurt"/>
    <d v="1965-04-21T00:00:00"/>
    <n v="1965"/>
    <x v="4"/>
    <n v="1"/>
  </r>
  <r>
    <n v="12124"/>
    <s v="Van Vliet"/>
    <s v="Tom"/>
    <d v="1978-10-17T00:00:00"/>
    <n v="1978"/>
    <x v="7"/>
    <n v="5"/>
  </r>
  <r>
    <n v="12173"/>
    <s v="De Feyter"/>
    <s v="David"/>
    <d v="1970-09-28T00:00:00"/>
    <n v="1970"/>
    <x v="8"/>
    <n v="1"/>
  </r>
  <r>
    <n v="12514"/>
    <s v="De Smet"/>
    <s v="Kenneth"/>
    <d v="1978-09-12T00:00:00"/>
    <n v="1978"/>
    <x v="7"/>
    <n v="1"/>
  </r>
  <r>
    <n v="12684"/>
    <s v="Van Den Bossche"/>
    <s v="Martine"/>
    <d v="1964-04-13T00:00:00"/>
    <n v="1964"/>
    <x v="9"/>
    <n v="3"/>
  </r>
  <r>
    <n v="12819"/>
    <s v="Van Eenaeme"/>
    <s v="David"/>
    <d v="1975-05-26T00:00:00"/>
    <n v="1975"/>
    <x v="10"/>
    <n v="1"/>
  </r>
  <r>
    <n v="13017"/>
    <s v="Riobello-Olalla"/>
    <s v="Wesley"/>
    <d v="1977-06-18T00:00:00"/>
    <n v="1977"/>
    <x v="11"/>
    <n v="0"/>
  </r>
  <r>
    <n v="13088"/>
    <s v="De Geyter"/>
    <s v="Claudine"/>
    <d v="1969-12-11T00:00:00"/>
    <n v="1969"/>
    <x v="1"/>
    <n v="1"/>
  </r>
  <r>
    <n v="13089"/>
    <s v="Oosterlinck"/>
    <s v="Jan"/>
    <d v="1979-06-02T00:00:00"/>
    <n v="1979"/>
    <x v="12"/>
    <n v="1"/>
  </r>
  <r>
    <n v="13257"/>
    <s v="Eeckhout"/>
    <s v="Steve"/>
    <d v="1972-12-03T00:00:00"/>
    <n v="1972"/>
    <x v="13"/>
    <n v="0"/>
  </r>
  <r>
    <n v="13345"/>
    <s v="Schijvens"/>
    <s v="Ronny"/>
    <d v="1970-09-18T00:00:00"/>
    <n v="1970"/>
    <x v="8"/>
    <n v="1"/>
  </r>
  <r>
    <n v="13398"/>
    <s v="Kirdas"/>
    <s v="Ramazan"/>
    <d v="1977-09-03T00:00:00"/>
    <n v="1977"/>
    <x v="11"/>
    <n v="1"/>
  </r>
  <r>
    <n v="14021"/>
    <s v="De Weirt"/>
    <s v="Chris"/>
    <d v="1981-02-09T00:00:00"/>
    <n v="1981"/>
    <x v="14"/>
    <n v="0"/>
  </r>
  <r>
    <n v="14070"/>
    <s v="Van Kerckhove"/>
    <s v="Sabine"/>
    <d v="1973-06-24T00:00:00"/>
    <n v="1973"/>
    <x v="5"/>
    <n v="0"/>
  </r>
  <r>
    <n v="14072"/>
    <s v="Vervoort"/>
    <s v="Koen"/>
    <d v="1978-01-16T00:00:00"/>
    <n v="1978"/>
    <x v="7"/>
    <n v="1"/>
  </r>
  <r>
    <n v="14261"/>
    <s v="Vandaele"/>
    <s v="Sofie"/>
    <d v="1972-06-16T00:00:00"/>
    <n v="1972"/>
    <x v="13"/>
    <n v="2"/>
  </r>
  <r>
    <n v="14425"/>
    <s v="Vandaele"/>
    <s v="Thibaut"/>
    <d v="1976-04-01T00:00:00"/>
    <n v="1976"/>
    <x v="2"/>
    <n v="0"/>
  </r>
  <r>
    <n v="14625"/>
    <s v="Rodrigue"/>
    <s v="Vincent"/>
    <d v="1964-09-01T00:00:00"/>
    <n v="1964"/>
    <x v="9"/>
    <n v="1"/>
  </r>
  <r>
    <n v="14665"/>
    <s v="De Mulder"/>
    <s v="Philip"/>
    <d v="1980-09-26T00:00:00"/>
    <n v="1980"/>
    <x v="15"/>
    <n v="2"/>
  </r>
  <r>
    <n v="14667"/>
    <s v="De paepe"/>
    <s v="Hilde"/>
    <d v="1972-12-15T00:00:00"/>
    <n v="1972"/>
    <x v="13"/>
    <n v="0"/>
  </r>
  <r>
    <n v="15088"/>
    <s v="Laute"/>
    <s v="Dirk"/>
    <d v="1966-07-12T00:00:00"/>
    <n v="1966"/>
    <x v="0"/>
    <n v="2"/>
  </r>
  <r>
    <n v="15218"/>
    <s v="Ackermans"/>
    <s v="Christian"/>
    <d v="1968-12-20T00:00:00"/>
    <n v="1968"/>
    <x v="16"/>
    <n v="0"/>
  </r>
  <r>
    <n v="15219"/>
    <s v="De Mey"/>
    <s v="Peter"/>
    <d v="1981-01-21T00:00:00"/>
    <n v="1981"/>
    <x v="14"/>
    <n v="1"/>
  </r>
  <r>
    <n v="15220"/>
    <s v="Dejonghe"/>
    <s v="Katleen"/>
    <d v="1971-08-26T00:00:00"/>
    <n v="1971"/>
    <x v="17"/>
    <n v="1"/>
  </r>
  <r>
    <n v="15282"/>
    <s v="Marinx"/>
    <s v="Kristoff"/>
    <d v="1973-10-15T00:00:00"/>
    <n v="1973"/>
    <x v="5"/>
    <n v="2"/>
  </r>
  <r>
    <n v="15320"/>
    <s v="Vandenberghe"/>
    <s v="Filip"/>
    <d v="1977-01-04T00:00:00"/>
    <n v="1977"/>
    <x v="11"/>
    <n v="2"/>
  </r>
  <r>
    <n v="15412"/>
    <s v="Dhondt"/>
    <s v="Frank"/>
    <d v="1967-01-04T00:00:00"/>
    <n v="1967"/>
    <x v="18"/>
    <n v="2"/>
  </r>
  <r>
    <n v="15626"/>
    <s v="Tondeleir"/>
    <s v="Ron"/>
    <d v="1981-11-27T00:00:00"/>
    <n v="1981"/>
    <x v="14"/>
    <n v="0"/>
  </r>
  <r>
    <n v="15628"/>
    <s v="Wulfranck"/>
    <s v="Dominique"/>
    <d v="1971-08-21T00:00:00"/>
    <n v="1971"/>
    <x v="17"/>
    <n v="3"/>
  </r>
  <r>
    <n v="15676"/>
    <s v="Mestdagh"/>
    <s v="Tony"/>
    <d v="1977-08-01T00:00:00"/>
    <n v="1977"/>
    <x v="11"/>
    <n v="1"/>
  </r>
  <r>
    <n v="15726"/>
    <s v="Van Wezemael"/>
    <s v="Patrick"/>
    <d v="1980-07-03T00:00:00"/>
    <n v="1980"/>
    <x v="15"/>
    <n v="0"/>
  </r>
  <r>
    <n v="15852"/>
    <s v="Petereyns"/>
    <s v="Vanessa"/>
    <d v="1981-12-28T00:00:00"/>
    <n v="1981"/>
    <x v="14"/>
    <n v="1"/>
  </r>
  <r>
    <n v="16094"/>
    <s v="Bracke"/>
    <s v="Peter"/>
    <d v="1968-02-27T00:00:00"/>
    <n v="1968"/>
    <x v="16"/>
    <n v="0"/>
  </r>
  <r>
    <n v="16095"/>
    <s v="Rouan"/>
    <s v="Jeroen"/>
    <d v="1974-09-18T00:00:00"/>
    <n v="1974"/>
    <x v="3"/>
    <n v="0"/>
  </r>
  <r>
    <n v="16098"/>
    <s v="Meau"/>
    <s v="Tania"/>
    <d v="1961-11-12T00:00:00"/>
    <n v="1961"/>
    <x v="19"/>
    <n v="0"/>
  </r>
  <r>
    <n v="16275"/>
    <s v="Devriendt"/>
    <s v="Patrick"/>
    <d v="1970-11-08T00:00:00"/>
    <n v="1970"/>
    <x v="8"/>
    <n v="1"/>
  </r>
  <r>
    <n v="16279"/>
    <s v="Vermaete"/>
    <s v="Cynthia"/>
    <d v="1977-07-25T00:00:00"/>
    <n v="1977"/>
    <x v="11"/>
    <n v="0"/>
  </r>
  <r>
    <n v="16280"/>
    <s v="Bouckhout"/>
    <s v="Ingeborg"/>
    <d v="1976-03-23T00:00:00"/>
    <n v="1976"/>
    <x v="2"/>
    <n v="1"/>
  </r>
  <r>
    <n v="16282"/>
    <s v="Vandecasteele"/>
    <s v="Ruth"/>
    <d v="1971-07-23T00:00:00"/>
    <n v="1971"/>
    <x v="17"/>
    <n v="1"/>
  </r>
  <r>
    <n v="16545"/>
    <s v="Toch"/>
    <s v="Erwin"/>
    <d v="1968-01-11T00:00:00"/>
    <n v="1968"/>
    <x v="16"/>
    <n v="2"/>
  </r>
  <r>
    <n v="16546"/>
    <s v="Baert"/>
    <s v="Rosita"/>
    <d v="1966-05-26T00:00:00"/>
    <n v="1966"/>
    <x v="0"/>
    <n v="2"/>
  </r>
  <r>
    <n v="16623"/>
    <s v="Notte"/>
    <s v="Nancy"/>
    <d v="1969-06-09T00:00:00"/>
    <n v="1969"/>
    <x v="1"/>
    <n v="0"/>
  </r>
  <r>
    <n v="16895"/>
    <s v="Van Lauwe"/>
    <s v="Freddy"/>
    <d v="1966-03-28T00:00:00"/>
    <n v="1966"/>
    <x v="0"/>
    <n v="6"/>
  </r>
  <r>
    <n v="16897"/>
    <s v="VandenDaele"/>
    <s v="Andy"/>
    <d v="1983-03-20T00:00:00"/>
    <n v="1983"/>
    <x v="20"/>
    <n v="2"/>
  </r>
  <r>
    <n v="16899"/>
    <s v="Devriese"/>
    <s v="Luc"/>
    <d v="1963-02-15T00:00:00"/>
    <n v="1963"/>
    <x v="6"/>
    <n v="0"/>
  </r>
  <r>
    <n v="16970"/>
    <s v="Lootens"/>
    <s v="Davy"/>
    <d v="1981-03-01T00:00:00"/>
    <n v="1981"/>
    <x v="14"/>
    <n v="0"/>
  </r>
  <r>
    <n v="16971"/>
    <s v="Van Landschoot"/>
    <s v="Jürgen"/>
    <d v="1971-03-19T00:00:00"/>
    <n v="1971"/>
    <x v="17"/>
    <n v="0"/>
  </r>
  <r>
    <n v="17555"/>
    <s v="DeBisschop"/>
    <s v="Wendy"/>
    <d v="1980-03-28T00:00:00"/>
    <n v="1980"/>
    <x v="15"/>
    <n v="1"/>
  </r>
  <r>
    <n v="17566"/>
    <s v="Praet"/>
    <s v="Reginald"/>
    <d v="1962-08-31T00:00:00"/>
    <n v="1962"/>
    <x v="21"/>
    <n v="2"/>
  </r>
  <r>
    <n v="17931"/>
    <s v="Idrisi"/>
    <s v="Hasana"/>
    <d v="1968-08-05T00:00:00"/>
    <n v="1968"/>
    <x v="16"/>
    <n v="2"/>
  </r>
  <r>
    <n v="17951"/>
    <s v="Lega"/>
    <s v="Claude"/>
    <d v="1960-12-17T00:00:00"/>
    <n v="1960"/>
    <x v="22"/>
    <n v="1"/>
  </r>
  <r>
    <n v="17954"/>
    <s v="Vanlerberghe"/>
    <s v="Rudy"/>
    <d v="1967-08-10T00:00:00"/>
    <n v="1967"/>
    <x v="18"/>
    <n v="0"/>
  </r>
  <r>
    <n v="18051"/>
    <s v="Van Wittenberge"/>
    <s v="Filip"/>
    <d v="1965-11-12T00:00:00"/>
    <n v="1965"/>
    <x v="4"/>
    <n v="3"/>
  </r>
  <r>
    <n v="18139"/>
    <s v="David"/>
    <s v="Kurt"/>
    <d v="1967-04-13T00:00:00"/>
    <n v="1967"/>
    <x v="18"/>
    <n v="0"/>
  </r>
  <r>
    <n v="18141"/>
    <s v="Platteau"/>
    <s v="Lydie"/>
    <d v="1967-05-04T00:00:00"/>
    <n v="1967"/>
    <x v="18"/>
    <n v="0"/>
  </r>
  <r>
    <n v="18173"/>
    <s v="De Vos"/>
    <s v="Günter"/>
    <d v="1979-09-29T00:00:00"/>
    <n v="1979"/>
    <x v="12"/>
    <n v="1"/>
  </r>
  <r>
    <n v="18624"/>
    <s v="Azahaf"/>
    <s v="M'Hamed"/>
    <d v="1962-08-26T00:00:00"/>
    <n v="1962"/>
    <x v="21"/>
    <n v="0"/>
  </r>
  <r>
    <n v="19016"/>
    <s v="Joos"/>
    <s v="Veronique"/>
    <d v="1969-12-01T00:00:00"/>
    <n v="1969"/>
    <x v="1"/>
    <n v="0"/>
  </r>
  <r>
    <n v="19086"/>
    <s v="Fiers"/>
    <s v="Ben"/>
    <d v="1980-10-19T00:00:00"/>
    <n v="1980"/>
    <x v="15"/>
    <n v="0"/>
  </r>
  <r>
    <n v="19087"/>
    <s v="Deschepper"/>
    <s v="Peter"/>
    <d v="1980-11-22T00:00:00"/>
    <n v="1980"/>
    <x v="15"/>
    <n v="1"/>
  </r>
  <r>
    <n v="19088"/>
    <s v="Remmery"/>
    <s v="David"/>
    <d v="1975-01-28T00:00:00"/>
    <n v="1975"/>
    <x v="10"/>
    <n v="1"/>
  </r>
  <r>
    <n v="19127"/>
    <s v="De Clercq"/>
    <s v="Wendy"/>
    <d v="1973-08-24T00:00:00"/>
    <n v="1973"/>
    <x v="5"/>
    <n v="0"/>
  </r>
  <r>
    <n v="19219"/>
    <s v="Aspeslagh"/>
    <s v="Geert"/>
    <d v="1965-02-20T00:00:00"/>
    <n v="1965"/>
    <x v="4"/>
    <n v="1"/>
  </r>
  <r>
    <n v="19249"/>
    <s v="Odaci"/>
    <s v="Kadir"/>
    <d v="1984-05-07T00:00:00"/>
    <n v="1984"/>
    <x v="23"/>
    <n v="4"/>
  </r>
  <r>
    <n v="19251"/>
    <s v="Vanooteghem"/>
    <s v="Johnny"/>
    <d v="1966-06-03T00:00:00"/>
    <n v="1966"/>
    <x v="0"/>
    <n v="0"/>
  </r>
  <r>
    <n v="19520"/>
    <s v="Van Steenbergen"/>
    <s v="Kris"/>
    <d v="1981-05-15T00:00:00"/>
    <n v="1981"/>
    <x v="14"/>
    <n v="1"/>
  </r>
  <r>
    <n v="19675"/>
    <s v="Arampatzis"/>
    <s v="Stavros"/>
    <d v="1968-06-11T00:00:00"/>
    <n v="1968"/>
    <x v="16"/>
    <n v="0"/>
  </r>
  <r>
    <n v="19676"/>
    <s v="Deschrijver"/>
    <s v="Ivan"/>
    <d v="1983-12-10T00:00:00"/>
    <n v="1983"/>
    <x v="20"/>
    <n v="0"/>
  </r>
  <r>
    <n v="19691"/>
    <s v="Akhayad"/>
    <s v="Ahmed"/>
    <d v="1965-08-20T00:00:00"/>
    <n v="1965"/>
    <x v="4"/>
    <n v="0"/>
  </r>
  <r>
    <n v="19766"/>
    <s v="De Boeck"/>
    <s v="Johannes"/>
    <d v="1962-01-03T00:00:00"/>
    <n v="1962"/>
    <x v="21"/>
    <n v="0"/>
  </r>
  <r>
    <n v="19810"/>
    <s v="Willems"/>
    <s v="Kristine"/>
    <d v="1971-04-28T00:00:00"/>
    <n v="1971"/>
    <x v="17"/>
    <n v="0"/>
  </r>
  <r>
    <n v="19848"/>
    <s v="Gevaert"/>
    <s v="Patrick"/>
    <d v="1961-10-19T00:00:00"/>
    <n v="1961"/>
    <x v="19"/>
    <n v="1"/>
  </r>
  <r>
    <n v="19917"/>
    <s v="Vandevyvere"/>
    <s v="Frank"/>
    <d v="1966-01-28T00:00:00"/>
    <n v="1966"/>
    <x v="0"/>
    <n v="10"/>
  </r>
  <r>
    <n v="20375"/>
    <s v="Verlaeckt"/>
    <s v="Lincey"/>
    <d v="1974-12-28T00:00:00"/>
    <n v="1974"/>
    <x v="3"/>
    <n v="1"/>
  </r>
  <r>
    <n v="20376"/>
    <s v="Delamper"/>
    <s v="Mario"/>
    <d v="1973-08-16T00:00:00"/>
    <n v="1973"/>
    <x v="5"/>
    <n v="0"/>
  </r>
  <r>
    <n v="20400"/>
    <s v="Allan"/>
    <s v="Kenneth"/>
    <d v="1965-02-06T00:00:00"/>
    <n v="1965"/>
    <x v="4"/>
    <n v="1"/>
  </r>
  <r>
    <n v="20402"/>
    <s v="Van Grootenbrulle"/>
    <s v="Kurt"/>
    <d v="1965-05-27T00:00:00"/>
    <n v="1965"/>
    <x v="4"/>
    <n v="0"/>
  </r>
  <r>
    <n v="20404"/>
    <s v="Vranken"/>
    <s v="Kenneth"/>
    <d v="1971-11-10T00:00:00"/>
    <n v="1971"/>
    <x v="17"/>
    <n v="2"/>
  </r>
  <r>
    <n v="20476"/>
    <s v="Ghysels"/>
    <s v="Erik"/>
    <d v="1982-07-21T00:00:00"/>
    <n v="1982"/>
    <x v="24"/>
    <n v="0"/>
  </r>
  <r>
    <n v="20542"/>
    <s v="Kizilmese"/>
    <s v="Emra"/>
    <d v="1985-06-17T00:00:00"/>
    <n v="1985"/>
    <x v="25"/>
    <n v="1"/>
  </r>
  <r>
    <n v="20543"/>
    <s v="Pekdemir"/>
    <s v="Ilkmur"/>
    <d v="1967-11-12T00:00:00"/>
    <n v="1967"/>
    <x v="18"/>
    <n v="1"/>
  </r>
  <r>
    <n v="20610"/>
    <s v="Imschoot"/>
    <s v="Frederik"/>
    <d v="1974-05-27T00:00:00"/>
    <n v="1974"/>
    <x v="3"/>
    <n v="0"/>
  </r>
  <r>
    <n v="20612"/>
    <s v="Vonck"/>
    <s v="Sandra"/>
    <d v="1971-06-13T00:00:00"/>
    <n v="1971"/>
    <x v="17"/>
    <n v="0"/>
  </r>
  <r>
    <n v="20653"/>
    <s v="Mestdag"/>
    <s v="Marius"/>
    <d v="1981-12-03T00:00:00"/>
    <n v="1981"/>
    <x v="14"/>
    <n v="3"/>
  </r>
  <r>
    <n v="20655"/>
    <s v="Rivière"/>
    <s v="Andy"/>
    <d v="1982-05-11T00:00:00"/>
    <n v="1982"/>
    <x v="24"/>
    <n v="0"/>
  </r>
  <r>
    <n v="20656"/>
    <s v="Vonck"/>
    <s v="Bart"/>
    <d v="1969-02-22T00:00:00"/>
    <n v="1969"/>
    <x v="1"/>
    <n v="1"/>
  </r>
  <r>
    <n v="20705"/>
    <s v="Van Den Neste"/>
    <s v="Diederik"/>
    <d v="1985-12-13T00:00:00"/>
    <n v="1985"/>
    <x v="25"/>
    <n v="0"/>
  </r>
  <r>
    <n v="20954"/>
    <s v="In"/>
    <s v="Murat"/>
    <d v="1978-08-03T00:00:00"/>
    <n v="1978"/>
    <x v="7"/>
    <n v="0"/>
  </r>
  <r>
    <n v="21121"/>
    <s v="Laforce"/>
    <s v="Mike"/>
    <d v="1983-09-12T00:00:00"/>
    <n v="1983"/>
    <x v="20"/>
    <n v="2"/>
  </r>
  <r>
    <n v="21124"/>
    <s v="De Ridder"/>
    <s v="Danny"/>
    <d v="1977-04-18T00:00:00"/>
    <n v="1977"/>
    <x v="11"/>
    <n v="1"/>
  </r>
  <r>
    <n v="21160"/>
    <s v="Alkanat"/>
    <s v="Metin"/>
    <d v="1967-06-07T00:00:00"/>
    <n v="1967"/>
    <x v="18"/>
    <n v="0"/>
  </r>
  <r>
    <n v="21249"/>
    <s v="Sari"/>
    <s v="Cemâl"/>
    <d v="1983-12-05T00:00:00"/>
    <n v="1983"/>
    <x v="20"/>
    <n v="0"/>
  </r>
  <r>
    <n v="21382"/>
    <s v="De Volder"/>
    <s v="Marc"/>
    <d v="1976-01-09T00:00:00"/>
    <n v="1976"/>
    <x v="2"/>
    <n v="1"/>
  </r>
  <r>
    <n v="21383"/>
    <s v="De Moor"/>
    <s v="Ronny"/>
    <d v="1972-10-18T00:00:00"/>
    <n v="1972"/>
    <x v="13"/>
    <n v="0"/>
  </r>
  <r>
    <n v="21424"/>
    <s v="Verstichel"/>
    <s v="Jethro"/>
    <d v="1975-01-13T00:00:00"/>
    <n v="1975"/>
    <x v="10"/>
    <n v="2"/>
  </r>
  <r>
    <n v="21428"/>
    <s v="Anjuijn"/>
    <s v="Vanessa"/>
    <d v="1970-04-13T00:00:00"/>
    <n v="1970"/>
    <x v="8"/>
    <n v="0"/>
  </r>
  <r>
    <n v="21429"/>
    <s v="Doolaege"/>
    <s v="Yasin"/>
    <d v="1986-08-08T00:00:00"/>
    <n v="1986"/>
    <x v="26"/>
    <n v="0"/>
  </r>
  <r>
    <n v="21466"/>
    <s v="Beeckman"/>
    <s v="Alex"/>
    <d v="1969-06-04T00:00:00"/>
    <n v="1969"/>
    <x v="1"/>
    <n v="0"/>
  </r>
  <r>
    <n v="21506"/>
    <s v="Kesteloot"/>
    <s v="Patrick"/>
    <d v="1962-11-19T00:00:00"/>
    <n v="1962"/>
    <x v="21"/>
    <n v="0"/>
  </r>
  <r>
    <n v="21507"/>
    <s v="De Cooman"/>
    <s v="Bart"/>
    <d v="1981-12-18T00:00:00"/>
    <n v="1981"/>
    <x v="14"/>
    <n v="0"/>
  </r>
  <r>
    <n v="21509"/>
    <s v="De Craemer"/>
    <s v="Kris"/>
    <d v="1982-08-27T00:00:00"/>
    <n v="1982"/>
    <x v="24"/>
    <n v="6"/>
  </r>
  <r>
    <n v="21581"/>
    <s v="Vanderstraeten"/>
    <s v="Franky"/>
    <d v="1971-06-16T00:00:00"/>
    <n v="1971"/>
    <x v="17"/>
    <n v="2"/>
  </r>
  <r>
    <n v="21662"/>
    <s v="Van Hulle"/>
    <s v="Werner"/>
    <d v="1962-04-25T00:00:00"/>
    <n v="1962"/>
    <x v="21"/>
    <n v="0"/>
  </r>
  <r>
    <n v="21738"/>
    <s v="Horemans"/>
    <s v="Jan"/>
    <d v="1984-07-25T00:00:00"/>
    <n v="1984"/>
    <x v="23"/>
    <n v="0"/>
  </r>
  <r>
    <n v="21809"/>
    <s v="Dejonghe"/>
    <s v="Elisa"/>
    <d v="1981-09-01T00:00:00"/>
    <n v="1981"/>
    <x v="14"/>
    <n v="1"/>
  </r>
  <r>
    <n v="21845"/>
    <s v="Vanooteghem"/>
    <s v="Davey"/>
    <d v="1979-04-23T00:00:00"/>
    <n v="1979"/>
    <x v="12"/>
    <n v="0"/>
  </r>
  <r>
    <n v="21892"/>
    <s v="Dierick"/>
    <s v="Steve"/>
    <d v="1980-09-06T00:00:00"/>
    <n v="1980"/>
    <x v="15"/>
    <n v="2"/>
  </r>
  <r>
    <n v="22042"/>
    <s v="La Fontaine"/>
    <s v="Bart"/>
    <d v="1986-05-30T00:00:00"/>
    <n v="1986"/>
    <x v="26"/>
    <n v="0"/>
  </r>
  <r>
    <n v="22052"/>
    <s v="Meyvaert"/>
    <s v="Peter"/>
    <d v="1964-01-11T00:00:00"/>
    <n v="1964"/>
    <x v="9"/>
    <n v="1"/>
  </r>
  <r>
    <n v="22143"/>
    <s v="De Boever"/>
    <s v="Maarten"/>
    <d v="1980-12-31T00:00:00"/>
    <n v="1980"/>
    <x v="15"/>
    <n v="0"/>
  </r>
  <r>
    <n v="22202"/>
    <s v="Pluym"/>
    <s v="Pascal"/>
    <d v="1976-11-04T00:00:00"/>
    <n v="1976"/>
    <x v="2"/>
    <n v="1"/>
  </r>
  <r>
    <n v="22240"/>
    <s v="Delahaye"/>
    <s v="Karina"/>
    <d v="1971-10-29T00:00:00"/>
    <n v="1971"/>
    <x v="17"/>
    <n v="2"/>
  </r>
  <r>
    <n v="22244"/>
    <s v="Kirdas"/>
    <s v="Süleyman"/>
    <d v="1976-03-05T00:00:00"/>
    <n v="1976"/>
    <x v="2"/>
    <n v="2"/>
  </r>
  <r>
    <n v="22296"/>
    <s v="Brilyov"/>
    <s v="Dmitriy"/>
    <d v="1980-10-23T00:00:00"/>
    <n v="1980"/>
    <x v="15"/>
    <n v="0"/>
  </r>
  <r>
    <n v="22416"/>
    <s v="Bicici"/>
    <s v="Abdul Kadir"/>
    <d v="1986-10-11T00:00:00"/>
    <n v="1986"/>
    <x v="26"/>
    <n v="1"/>
  </r>
  <r>
    <n v="22625"/>
    <s v="Callebert"/>
    <s v="Pieter Jan"/>
    <d v="1976-11-06T00:00:00"/>
    <n v="1976"/>
    <x v="2"/>
    <n v="1"/>
  </r>
  <r>
    <n v="22767"/>
    <s v="Osseel"/>
    <s v="Johan"/>
    <d v="1983-08-04T00:00:00"/>
    <n v="1983"/>
    <x v="20"/>
    <n v="1"/>
  </r>
  <r>
    <n v="22877"/>
    <s v="Goossens"/>
    <s v="Gunther"/>
    <d v="1970-07-28T00:00:00"/>
    <n v="1970"/>
    <x v="8"/>
    <n v="1"/>
  </r>
  <r>
    <n v="23326"/>
    <s v="Achalhi"/>
    <s v="Abderrachid"/>
    <d v="1977-01-01T00:00:00"/>
    <n v="1977"/>
    <x v="11"/>
    <n v="0"/>
  </r>
  <r>
    <n v="23481"/>
    <s v="Kerman"/>
    <s v="Riza"/>
    <d v="1981-12-03T00:00:00"/>
    <n v="1981"/>
    <x v="14"/>
    <n v="0"/>
  </r>
  <r>
    <n v="23543"/>
    <s v="Unal"/>
    <s v="Mustafa"/>
    <d v="1984-01-25T00:00:00"/>
    <n v="1984"/>
    <x v="23"/>
    <n v="0"/>
  </r>
  <r>
    <n v="23545"/>
    <s v="Maes"/>
    <s v="Tony"/>
    <d v="1968-01-22T00:00:00"/>
    <n v="1968"/>
    <x v="16"/>
    <n v="0"/>
  </r>
  <r>
    <n v="23700"/>
    <s v="Byosière"/>
    <s v="Christof"/>
    <d v="1977-08-20T00:00:00"/>
    <n v="1977"/>
    <x v="11"/>
    <n v="2"/>
  </r>
  <r>
    <n v="23790"/>
    <s v="Adiyil"/>
    <s v="Attila"/>
    <d v="1972-08-17T00:00:00"/>
    <n v="1972"/>
    <x v="13"/>
    <n v="1"/>
  </r>
  <r>
    <n v="23791"/>
    <s v="Baetens"/>
    <s v="Christine"/>
    <d v="1966-09-23T00:00:00"/>
    <n v="1966"/>
    <x v="0"/>
    <n v="0"/>
  </r>
  <r>
    <n v="23818"/>
    <s v="Dellaert"/>
    <s v="Yves"/>
    <d v="1971-08-28T00:00:00"/>
    <n v="1971"/>
    <x v="17"/>
    <n v="0"/>
  </r>
  <r>
    <n v="23880"/>
    <s v="Wyffels"/>
    <s v="Jean-Pierre"/>
    <d v="1966-08-09T00:00:00"/>
    <n v="1966"/>
    <x v="0"/>
    <n v="1"/>
  </r>
  <r>
    <n v="23918"/>
    <s v="D'Haeyere"/>
    <s v="Bernard"/>
    <d v="1971-03-13T00:00:00"/>
    <n v="1971"/>
    <x v="17"/>
    <n v="3"/>
  </r>
  <r>
    <n v="23924"/>
    <s v="Planckaert"/>
    <s v="Jurgen"/>
    <d v="1972-09-30T00:00:00"/>
    <n v="1972"/>
    <x v="13"/>
    <n v="0"/>
  </r>
  <r>
    <n v="24155"/>
    <s v="Luttens"/>
    <s v="Koen"/>
    <d v="1973-03-05T00:00:00"/>
    <n v="1973"/>
    <x v="5"/>
    <n v="1"/>
  </r>
  <r>
    <n v="24156"/>
    <s v="Kaya"/>
    <s v="Aydin"/>
    <d v="1988-04-08T00:00:00"/>
    <n v="1988"/>
    <x v="27"/>
    <n v="0"/>
  </r>
  <r>
    <n v="24367"/>
    <s v="Tayefeh Arbab"/>
    <s v="Ali"/>
    <d v="1973-10-11T00:00:00"/>
    <n v="1973"/>
    <x v="5"/>
    <n v="3"/>
  </r>
  <r>
    <n v="24472"/>
    <s v="Gök"/>
    <s v="Davut"/>
    <d v="1984-03-21T00:00:00"/>
    <n v="1984"/>
    <x v="23"/>
    <n v="1"/>
  </r>
  <r>
    <n v="25234"/>
    <s v="Haelterman"/>
    <s v="Geert"/>
    <d v="1965-07-08T00:00:00"/>
    <n v="1965"/>
    <x v="4"/>
    <n v="0"/>
  </r>
  <r>
    <n v="25486"/>
    <s v="Goethals"/>
    <s v="Bart"/>
    <d v="1971-01-09T00:00:00"/>
    <n v="1971"/>
    <x v="17"/>
    <n v="1"/>
  </r>
  <r>
    <n v="25487"/>
    <s v="Devos"/>
    <s v="Stefaan"/>
    <d v="1966-09-16T00:00:00"/>
    <n v="1966"/>
    <x v="0"/>
    <n v="4"/>
  </r>
  <r>
    <n v="25679"/>
    <s v="Vanrenterghem"/>
    <s v="Serge"/>
    <d v="1966-09-30T00:00:00"/>
    <n v="1966"/>
    <x v="0"/>
    <n v="2"/>
  </r>
  <r>
    <n v="25680"/>
    <s v="Cetinkaya"/>
    <s v="Veysel"/>
    <d v="1981-07-08T00:00:00"/>
    <n v="1981"/>
    <x v="14"/>
    <n v="0"/>
  </r>
  <r>
    <n v="25733"/>
    <s v="Simsek"/>
    <s v="Abdullah"/>
    <d v="1983-06-13T00:00:00"/>
    <n v="1983"/>
    <x v="20"/>
    <n v="2"/>
  </r>
  <r>
    <n v="25829"/>
    <s v="Kayim"/>
    <s v="Akin"/>
    <d v="1976-12-26T00:00:00"/>
    <n v="1976"/>
    <x v="2"/>
    <n v="1"/>
  </r>
  <r>
    <n v="25871"/>
    <s v="Fasseur"/>
    <s v="Frederic"/>
    <d v="1981-06-14T00:00:00"/>
    <n v="1981"/>
    <x v="14"/>
    <n v="0"/>
  </r>
  <r>
    <n v="25873"/>
    <s v="Kazakbiyev"/>
    <s v="Osman"/>
    <d v="1979-12-13T00:00:00"/>
    <n v="1979"/>
    <x v="12"/>
    <n v="1"/>
  </r>
  <r>
    <n v="25993"/>
    <s v="De Wit"/>
    <s v="Bruno"/>
    <d v="1974-12-01T00:00:00"/>
    <n v="1974"/>
    <x v="3"/>
    <n v="1"/>
  </r>
  <r>
    <n v="25994"/>
    <s v="Peers"/>
    <s v="Mario"/>
    <d v="1975-01-24T00:00:00"/>
    <n v="1975"/>
    <x v="10"/>
    <n v="1"/>
  </r>
  <r>
    <n v="26102"/>
    <s v="Bral"/>
    <s v="Jessica"/>
    <d v="1986-06-03T00:00:00"/>
    <n v="1986"/>
    <x v="26"/>
    <n v="1"/>
  </r>
  <r>
    <n v="26137"/>
    <s v="Hublau"/>
    <s v="Roland"/>
    <d v="1962-10-20T00:00:00"/>
    <n v="1962"/>
    <x v="21"/>
    <n v="4"/>
  </r>
  <r>
    <n v="26197"/>
    <s v="Van Puyenbroeck"/>
    <s v="Pascale"/>
    <d v="1970-09-04T00:00:00"/>
    <n v="1970"/>
    <x v="8"/>
    <n v="0"/>
  </r>
  <r>
    <n v="26198"/>
    <s v="Justé"/>
    <s v="Steven"/>
    <d v="1977-03-15T00:00:00"/>
    <n v="1977"/>
    <x v="11"/>
    <n v="3"/>
  </r>
  <r>
    <n v="26199"/>
    <s v="Wauters"/>
    <s v="Franky"/>
    <d v="1965-01-07T00:00:00"/>
    <n v="1965"/>
    <x v="4"/>
    <n v="1"/>
  </r>
  <r>
    <n v="26265"/>
    <s v="Van Vlem"/>
    <s v="Danny"/>
    <d v="1966-08-22T00:00:00"/>
    <n v="1966"/>
    <x v="0"/>
    <n v="0"/>
  </r>
  <r>
    <n v="26266"/>
    <s v="Gök"/>
    <s v="Murat"/>
    <d v="1986-10-21T00:00:00"/>
    <n v="1986"/>
    <x v="26"/>
    <n v="1"/>
  </r>
  <r>
    <n v="26331"/>
    <s v="Van Semmertier"/>
    <s v="Pascal"/>
    <d v="1965-04-05T00:00:00"/>
    <n v="1965"/>
    <x v="4"/>
    <n v="3"/>
  </r>
  <r>
    <n v="26334"/>
    <s v="Aelterman"/>
    <s v="Luc"/>
    <d v="1963-10-29T00:00:00"/>
    <n v="1963"/>
    <x v="6"/>
    <n v="0"/>
  </r>
  <r>
    <n v="26384"/>
    <s v="Van Cauwenberg"/>
    <s v="Steven"/>
    <d v="1976-10-12T00:00:00"/>
    <n v="1976"/>
    <x v="2"/>
    <n v="1"/>
  </r>
  <r>
    <n v="26521"/>
    <s v="Siderov"/>
    <s v="Miroslav"/>
    <d v="1987-10-23T00:00:00"/>
    <n v="1987"/>
    <x v="28"/>
    <n v="0"/>
  </r>
  <r>
    <n v="26524"/>
    <s v="Bolle"/>
    <s v="Cynthia"/>
    <d v="1989-02-09T00:00:00"/>
    <n v="1989"/>
    <x v="29"/>
    <n v="1"/>
  </r>
  <r>
    <n v="26638"/>
    <s v="Van de Capelle"/>
    <s v="Geert"/>
    <d v="1973-12-03T00:00:00"/>
    <n v="1973"/>
    <x v="5"/>
    <n v="0"/>
  </r>
  <r>
    <n v="26639"/>
    <s v="Engels"/>
    <s v="Wendy"/>
    <d v="1973-06-16T00:00:00"/>
    <n v="1973"/>
    <x v="5"/>
    <n v="1"/>
  </r>
  <r>
    <n v="26695"/>
    <s v="Lippens"/>
    <s v="Miguel"/>
    <d v="1984-12-19T00:00:00"/>
    <n v="1984"/>
    <x v="23"/>
    <n v="2"/>
  </r>
  <r>
    <n v="26792"/>
    <s v="Ong"/>
    <s v="Geok Hong"/>
    <d v="1965-10-19T00:00:00"/>
    <n v="1965"/>
    <x v="4"/>
    <n v="0"/>
  </r>
  <r>
    <n v="26847"/>
    <s v="De Meester"/>
    <s v="David"/>
    <d v="1969-04-22T00:00:00"/>
    <n v="1969"/>
    <x v="1"/>
    <n v="2"/>
  </r>
  <r>
    <n v="26959"/>
    <s v="Bohez"/>
    <s v="Olivier"/>
    <d v="1969-05-23T00:00:00"/>
    <n v="1969"/>
    <x v="1"/>
    <n v="0"/>
  </r>
  <r>
    <n v="26960"/>
    <s v="Toubadie"/>
    <s v="Mossa"/>
    <d v="1990-04-07T00:00:00"/>
    <n v="1990"/>
    <x v="30"/>
    <n v="3"/>
  </r>
  <r>
    <n v="27153"/>
    <s v="Oben"/>
    <s v="Thibaud"/>
    <d v="1989-12-11T00:00:00"/>
    <n v="1989"/>
    <x v="29"/>
    <n v="3"/>
  </r>
  <r>
    <n v="27186"/>
    <s v="Neghli"/>
    <s v="Farid"/>
    <d v="1974-10-12T00:00:00"/>
    <n v="1974"/>
    <x v="3"/>
    <n v="2"/>
  </r>
  <r>
    <n v="27209"/>
    <s v="Meyvaert"/>
    <s v="Steven"/>
    <d v="1963-02-23T00:00:00"/>
    <n v="1963"/>
    <x v="6"/>
    <n v="3"/>
  </r>
  <r>
    <n v="27577"/>
    <s v="De Meester"/>
    <s v="Johan"/>
    <d v="1970-03-19T00:00:00"/>
    <n v="1970"/>
    <x v="8"/>
    <n v="0"/>
  </r>
  <r>
    <n v="27607"/>
    <s v="Frans"/>
    <s v="Gabriella"/>
    <d v="1981-10-28T00:00:00"/>
    <n v="1981"/>
    <x v="14"/>
    <n v="0"/>
  </r>
  <r>
    <n v="27635"/>
    <s v="Petrovic"/>
    <s v="Damir"/>
    <d v="1987-05-07T00:00:00"/>
    <n v="1987"/>
    <x v="28"/>
    <n v="1"/>
  </r>
  <r>
    <n v="27672"/>
    <s v="Criel"/>
    <s v="Veronique"/>
    <d v="1987-04-10T00:00:00"/>
    <n v="1987"/>
    <x v="28"/>
    <n v="1"/>
  </r>
  <r>
    <n v="27673"/>
    <s v="Verbanck"/>
    <s v="Koen"/>
    <d v="1974-12-02T00:00:00"/>
    <n v="1974"/>
    <x v="3"/>
    <n v="1"/>
  </r>
  <r>
    <n v="27711"/>
    <s v="De Schenkel"/>
    <s v="David"/>
    <d v="1974-12-29T00:00:00"/>
    <n v="1974"/>
    <x v="3"/>
    <n v="0"/>
  </r>
  <r>
    <n v="27713"/>
    <s v="Parmentier"/>
    <s v="Bart"/>
    <d v="1969-09-28T00:00:00"/>
    <n v="1969"/>
    <x v="1"/>
    <n v="1"/>
  </r>
  <r>
    <n v="27786"/>
    <s v="Van Lierde"/>
    <s v="Michel"/>
    <d v="1967-10-12T00:00:00"/>
    <n v="1967"/>
    <x v="18"/>
    <n v="0"/>
  </r>
  <r>
    <n v="27865"/>
    <s v="Olenski"/>
    <s v="Leonard"/>
    <d v="1970-03-21T00:00:00"/>
    <n v="1970"/>
    <x v="8"/>
    <n v="1"/>
  </r>
  <r>
    <n v="28071"/>
    <s v="Omari"/>
    <s v="Said"/>
    <d v="1983-03-24T00:00:00"/>
    <n v="1983"/>
    <x v="20"/>
    <n v="0"/>
  </r>
  <r>
    <n v="28072"/>
    <s v="De Muynck"/>
    <s v="Laurian"/>
    <d v="1970-01-17T00:00:00"/>
    <n v="1970"/>
    <x v="8"/>
    <n v="0"/>
  </r>
  <r>
    <n v="28165"/>
    <s v="De Pauw"/>
    <s v="Kurt"/>
    <d v="1970-03-13T00:00:00"/>
    <n v="1970"/>
    <x v="8"/>
    <n v="0"/>
  </r>
  <r>
    <n v="28690"/>
    <s v="Debreuckere"/>
    <s v="Renzo"/>
    <d v="1977-09-17T00:00:00"/>
    <n v="1977"/>
    <x v="11"/>
    <n v="0"/>
  </r>
  <r>
    <n v="28717"/>
    <s v="Dejonckheere"/>
    <s v="Els"/>
    <d v="1974-07-19T00:00:00"/>
    <n v="1974"/>
    <x v="3"/>
    <n v="1"/>
  </r>
  <r>
    <n v="28737"/>
    <s v="El-Mohamed"/>
    <s v="Mohamed"/>
    <d v="1975-09-05T00:00:00"/>
    <n v="1975"/>
    <x v="10"/>
    <n v="3"/>
  </r>
  <r>
    <n v="28794"/>
    <s v="Van Malderghem"/>
    <s v="Niels"/>
    <d v="1987-02-01T00:00:00"/>
    <n v="1987"/>
    <x v="28"/>
    <n v="1"/>
  </r>
  <r>
    <n v="28821"/>
    <s v="Roels"/>
    <s v="Els"/>
    <d v="1976-08-02T00:00:00"/>
    <n v="1976"/>
    <x v="2"/>
    <n v="0"/>
  </r>
  <r>
    <n v="28830"/>
    <s v="Isiklar"/>
    <s v="Okan"/>
    <d v="1980-09-30T00:00:00"/>
    <n v="1980"/>
    <x v="15"/>
    <n v="1"/>
  </r>
  <r>
    <n v="28835"/>
    <s v="Choaïbi"/>
    <s v="Bilal"/>
    <d v="1990-07-13T00:00:00"/>
    <n v="1990"/>
    <x v="30"/>
    <n v="0"/>
  </r>
  <r>
    <n v="28910"/>
    <s v="Gassa"/>
    <s v="Osmane"/>
    <d v="1982-03-24T00:00:00"/>
    <n v="1982"/>
    <x v="24"/>
    <n v="2"/>
  </r>
  <r>
    <n v="28995"/>
    <s v="Grillaert"/>
    <s v="Lieven"/>
    <d v="1962-03-01T00:00:00"/>
    <n v="1962"/>
    <x v="21"/>
    <n v="0"/>
  </r>
  <r>
    <n v="29179"/>
    <s v="Verwee"/>
    <s v="Dries"/>
    <d v="1987-10-09T00:00:00"/>
    <n v="1987"/>
    <x v="28"/>
    <n v="6"/>
  </r>
  <r>
    <n v="29181"/>
    <s v="Van Turtelboom"/>
    <s v="Franky"/>
    <d v="1969-07-07T00:00:00"/>
    <n v="1969"/>
    <x v="1"/>
    <n v="0"/>
  </r>
  <r>
    <n v="29271"/>
    <s v="Maes"/>
    <s v="Filip"/>
    <d v="1979-05-30T00:00:00"/>
    <n v="1979"/>
    <x v="12"/>
    <n v="1"/>
  </r>
  <r>
    <n v="29370"/>
    <s v="De Weerdt"/>
    <s v="Samuel"/>
    <d v="1981-03-30T00:00:00"/>
    <n v="1981"/>
    <x v="14"/>
    <n v="0"/>
  </r>
  <r>
    <n v="29477"/>
    <s v="De Vuyst"/>
    <s v="Boyke"/>
    <d v="1984-10-13T00:00:00"/>
    <n v="1984"/>
    <x v="23"/>
    <n v="1"/>
  </r>
  <r>
    <n v="29478"/>
    <s v="Priwall"/>
    <s v="Heike"/>
    <d v="1959-12-09T00:00:00"/>
    <n v="1959"/>
    <x v="31"/>
    <n v="3"/>
  </r>
  <r>
    <n v="29539"/>
    <s v="Dullaert"/>
    <s v="Steven"/>
    <d v="1988-05-17T00:00:00"/>
    <n v="1988"/>
    <x v="27"/>
    <n v="0"/>
  </r>
  <r>
    <n v="29540"/>
    <s v="De Keyzer"/>
    <s v="Jan"/>
    <d v="1978-02-11T00:00:00"/>
    <n v="1978"/>
    <x v="7"/>
    <n v="1"/>
  </r>
  <r>
    <n v="29591"/>
    <s v="Celikoz"/>
    <s v="Musa"/>
    <d v="1992-02-09T00:00:00"/>
    <n v="1992"/>
    <x v="32"/>
    <n v="0"/>
  </r>
  <r>
    <n v="29646"/>
    <s v="Özer"/>
    <s v="Mesut"/>
    <d v="1982-12-04T00:00:00"/>
    <n v="1982"/>
    <x v="24"/>
    <n v="1"/>
  </r>
  <r>
    <n v="29674"/>
    <s v="Martens"/>
    <s v="Geoffrey"/>
    <d v="1992-09-21T00:00:00"/>
    <n v="1992"/>
    <x v="32"/>
    <n v="1"/>
  </r>
  <r>
    <n v="29746"/>
    <s v="Huyse"/>
    <s v="Annicke"/>
    <d v="1977-12-17T00:00:00"/>
    <n v="1977"/>
    <x v="11"/>
    <n v="3"/>
  </r>
  <r>
    <n v="29778"/>
    <s v="Deboosere"/>
    <s v="Kathy"/>
    <d v="1966-10-24T00:00:00"/>
    <n v="1966"/>
    <x v="0"/>
    <n v="0"/>
  </r>
  <r>
    <n v="29818"/>
    <s v="Van De Velde"/>
    <s v="Anneleen"/>
    <d v="1987-12-22T00:00:00"/>
    <n v="1987"/>
    <x v="28"/>
    <n v="0"/>
  </r>
  <r>
    <n v="29821"/>
    <s v="Mehman Doust"/>
    <s v="Farhad"/>
    <d v="1967-05-25T00:00:00"/>
    <n v="1967"/>
    <x v="18"/>
    <n v="1"/>
  </r>
  <r>
    <n v="30119"/>
    <s v="Haerens"/>
    <s v="Tom"/>
    <d v="1965-09-23T00:00:00"/>
    <n v="1965"/>
    <x v="4"/>
    <n v="2"/>
  </r>
  <r>
    <n v="30121"/>
    <s v="Simons"/>
    <s v="Andreas"/>
    <d v="1961-05-09T00:00:00"/>
    <n v="1961"/>
    <x v="19"/>
    <n v="3"/>
  </r>
  <r>
    <n v="30271"/>
    <s v="Bracke"/>
    <s v="Jeroen"/>
    <d v="1987-02-28T00:00:00"/>
    <n v="1987"/>
    <x v="28"/>
    <n v="1"/>
  </r>
  <r>
    <n v="30292"/>
    <s v="Verberckmoes"/>
    <s v="Sebastiaan"/>
    <d v="1985-01-18T00:00:00"/>
    <n v="1985"/>
    <x v="25"/>
    <n v="0"/>
  </r>
  <r>
    <n v="30321"/>
    <s v="Unver"/>
    <s v="Ismaïl"/>
    <d v="1993-08-23T00:00:00"/>
    <n v="1993"/>
    <x v="33"/>
    <n v="2"/>
  </r>
  <r>
    <n v="30323"/>
    <s v="Vandersmissen"/>
    <s v="Denis"/>
    <d v="1976-08-04T00:00:00"/>
    <n v="1976"/>
    <x v="2"/>
    <n v="0"/>
  </r>
  <r>
    <n v="30623"/>
    <s v="Gassa"/>
    <s v="Mustafa"/>
    <d v="1970-02-14T00:00:00"/>
    <n v="1970"/>
    <x v="8"/>
    <n v="2"/>
  </r>
  <r>
    <n v="30901"/>
    <s v="vanden Bulcke"/>
    <s v="Johan"/>
    <d v="1970-04-21T00:00:00"/>
    <n v="1970"/>
    <x v="8"/>
    <n v="2"/>
  </r>
  <r>
    <n v="30967"/>
    <s v="Taser"/>
    <s v="Fatih"/>
    <d v="1980-07-06T00:00:00"/>
    <n v="1980"/>
    <x v="15"/>
    <n v="3"/>
  </r>
  <r>
    <n v="30999"/>
    <s v="Biesemans"/>
    <s v="Jasper"/>
    <d v="1989-12-02T00:00:00"/>
    <n v="1989"/>
    <x v="29"/>
    <n v="0"/>
  </r>
  <r>
    <n v="31092"/>
    <s v="De Jaeger"/>
    <s v="Kevin"/>
    <d v="1993-06-29T00:00:00"/>
    <n v="1993"/>
    <x v="33"/>
    <n v="2"/>
  </r>
  <r>
    <n v="31111"/>
    <s v="Bonne"/>
    <s v="Niko"/>
    <d v="1979-04-17T00:00:00"/>
    <n v="1979"/>
    <x v="12"/>
    <n v="2"/>
  </r>
  <r>
    <n v="31118"/>
    <s v="De Sutter"/>
    <s v="Michiel"/>
    <d v="1982-08-27T00:00:00"/>
    <n v="1982"/>
    <x v="24"/>
    <n v="2"/>
  </r>
  <r>
    <n v="31150"/>
    <s v="Oueslati"/>
    <s v="Mohamed Ali"/>
    <d v="1977-04-11T00:00:00"/>
    <n v="1977"/>
    <x v="11"/>
    <n v="1"/>
  </r>
  <r>
    <n v="31165"/>
    <s v="Govaerts"/>
    <s v="Sandro"/>
    <d v="1974-04-26T00:00:00"/>
    <n v="1974"/>
    <x v="3"/>
    <n v="2"/>
  </r>
  <r>
    <n v="31231"/>
    <s v="Colaes"/>
    <s v="Dylan"/>
    <d v="1995-02-17T00:00:00"/>
    <n v="1995"/>
    <x v="34"/>
    <n v="3"/>
  </r>
  <r>
    <n v="31360"/>
    <s v="Simsek"/>
    <s v="Fatih"/>
    <d v="1993-09-15T00:00:00"/>
    <n v="1993"/>
    <x v="33"/>
    <n v="3"/>
  </r>
  <r>
    <n v="31361"/>
    <s v="Pille"/>
    <s v="Pascal"/>
    <d v="1978-07-24T00:00:00"/>
    <n v="1978"/>
    <x v="7"/>
    <n v="0"/>
  </r>
  <r>
    <n v="31404"/>
    <s v="Vindevogel"/>
    <s v="Nick"/>
    <d v="1977-04-19T00:00:00"/>
    <n v="1977"/>
    <x v="11"/>
    <n v="0"/>
  </r>
  <r>
    <n v="31550"/>
    <s v="Cetin"/>
    <s v="Serdar"/>
    <d v="1993-12-29T00:00:00"/>
    <n v="1993"/>
    <x v="33"/>
    <n v="0"/>
  </r>
  <r>
    <n v="31600"/>
    <s v="Mertens"/>
    <s v="Tom"/>
    <d v="1988-11-17T00:00:00"/>
    <n v="1988"/>
    <x v="27"/>
    <n v="2"/>
  </r>
  <r>
    <n v="31601"/>
    <s v="Akin"/>
    <s v="Ridvan"/>
    <d v="1990-04-16T00:00:00"/>
    <n v="1990"/>
    <x v="30"/>
    <n v="0"/>
  </r>
  <r>
    <n v="31634"/>
    <s v="Kirsan"/>
    <s v="Ömer"/>
    <d v="1994-05-29T00:00:00"/>
    <n v="1994"/>
    <x v="35"/>
    <n v="1"/>
  </r>
  <r>
    <n v="31635"/>
    <s v="Vaeyens"/>
    <s v="Midas"/>
    <d v="1993-09-07T00:00:00"/>
    <n v="1993"/>
    <x v="33"/>
    <n v="2"/>
  </r>
  <r>
    <n v="31659"/>
    <s v="Grypdonck"/>
    <s v="Kenneth"/>
    <d v="1989-06-18T00:00:00"/>
    <n v="1989"/>
    <x v="29"/>
    <n v="0"/>
  </r>
  <r>
    <n v="31668"/>
    <s v="Weemhof"/>
    <s v="Maurice"/>
    <d v="1968-12-09T00:00:00"/>
    <n v="1968"/>
    <x v="16"/>
    <n v="5"/>
  </r>
  <r>
    <n v="31689"/>
    <s v="Van Achte"/>
    <s v="Jay"/>
    <d v="1991-04-26T00:00:00"/>
    <n v="1991"/>
    <x v="36"/>
    <n v="1"/>
  </r>
  <r>
    <n v="31731"/>
    <s v="Dedapper"/>
    <s v="Marijke"/>
    <d v="1977-06-14T00:00:00"/>
    <n v="1977"/>
    <x v="11"/>
    <n v="2"/>
  </r>
  <r>
    <n v="31733"/>
    <s v="Sonck"/>
    <s v="Kristof"/>
    <d v="1983-09-23T00:00:00"/>
    <n v="1983"/>
    <x v="20"/>
    <n v="2"/>
  </r>
  <r>
    <n v="31776"/>
    <s v="Famelaer"/>
    <s v="Steve"/>
    <d v="1983-03-01T00:00:00"/>
    <n v="1983"/>
    <x v="20"/>
    <n v="1"/>
  </r>
  <r>
    <n v="31891"/>
    <s v="De Wilde"/>
    <s v="Dimitry"/>
    <d v="1973-01-21T00:00:00"/>
    <n v="1973"/>
    <x v="5"/>
    <n v="0"/>
  </r>
  <r>
    <n v="32002"/>
    <s v="Hasni"/>
    <s v="Helmi"/>
    <d v="1971-07-16T00:00:00"/>
    <n v="1971"/>
    <x v="17"/>
    <n v="2"/>
  </r>
  <r>
    <n v="32091"/>
    <s v="Köroglu"/>
    <s v="Ercan"/>
    <d v="1980-02-06T00:00:00"/>
    <n v="1980"/>
    <x v="15"/>
    <n v="1"/>
  </r>
  <r>
    <n v="32092"/>
    <s v="Er"/>
    <s v="Tolga"/>
    <d v="1996-09-17T00:00:00"/>
    <n v="1996"/>
    <x v="37"/>
    <n v="0"/>
  </r>
  <r>
    <n v="32168"/>
    <s v="Vranken"/>
    <s v="Zulkifly"/>
    <d v="1977-08-11T00:00:00"/>
    <n v="1977"/>
    <x v="11"/>
    <n v="1"/>
  </r>
  <r>
    <n v="32169"/>
    <s v="Kelchtermans"/>
    <s v="Raf"/>
    <d v="1969-12-17T00:00:00"/>
    <n v="1969"/>
    <x v="1"/>
    <n v="0"/>
  </r>
  <r>
    <n v="32245"/>
    <s v="Verlinden"/>
    <s v="Bianca"/>
    <d v="1977-03-22T00:00:00"/>
    <n v="1977"/>
    <x v="11"/>
    <n v="2"/>
  </r>
  <r>
    <n v="32369"/>
    <s v="Vandenborre"/>
    <s v="Patrick"/>
    <d v="1969-11-20T00:00:00"/>
    <n v="1969"/>
    <x v="1"/>
    <n v="1"/>
  </r>
  <r>
    <n v="32387"/>
    <s v="Meersman"/>
    <s v="Herman"/>
    <d v="1965-02-19T00:00:00"/>
    <n v="1965"/>
    <x v="4"/>
    <n v="4"/>
  </r>
  <r>
    <n v="32458"/>
    <s v="Cifteoglu"/>
    <s v="Sedat"/>
    <d v="1966-11-29T00:00:00"/>
    <n v="1966"/>
    <x v="0"/>
    <n v="0"/>
  </r>
  <r>
    <n v="32528"/>
    <s v="Benjilali"/>
    <s v="Abdelhak"/>
    <d v="1984-08-20T00:00:00"/>
    <n v="1984"/>
    <x v="23"/>
    <n v="2"/>
  </r>
  <r>
    <n v="32542"/>
    <s v="Vanderstock"/>
    <s v="Kenny"/>
    <d v="1985-07-11T00:00:00"/>
    <n v="1985"/>
    <x v="25"/>
    <n v="2"/>
  </r>
  <r>
    <n v="32611"/>
    <s v="Özer"/>
    <s v="Özgur"/>
    <d v="1984-07-10T00:00:00"/>
    <n v="1984"/>
    <x v="23"/>
    <n v="2"/>
  </r>
  <r>
    <n v="32620"/>
    <s v="Saey"/>
    <s v="Elias"/>
    <d v="1996-10-09T00:00:00"/>
    <n v="1996"/>
    <x v="37"/>
    <n v="3"/>
  </r>
  <r>
    <n v="32951"/>
    <s v="De Bruyne"/>
    <s v="Sonia"/>
    <d v="1971-09-15T00:00:00"/>
    <n v="1971"/>
    <x v="17"/>
    <n v="6"/>
  </r>
  <r>
    <n v="33049"/>
    <s v="Depaepe"/>
    <s v="Dirk"/>
    <d v="1968-03-23T00:00:00"/>
    <n v="1968"/>
    <x v="16"/>
    <n v="0"/>
  </r>
  <r>
    <n v="33085"/>
    <s v="Van Hoe"/>
    <s v="Ivo"/>
    <d v="1990-07-23T00:00:00"/>
    <n v="1990"/>
    <x v="30"/>
    <n v="2"/>
  </r>
  <r>
    <n v="33400"/>
    <s v="Petit"/>
    <s v="Cynthia"/>
    <d v="1994-09-14T00:00:00"/>
    <n v="1994"/>
    <x v="35"/>
    <n v="3"/>
  </r>
  <r>
    <n v="33450"/>
    <s v="Verroeye"/>
    <s v="Chris"/>
    <d v="1971-10-10T00:00:00"/>
    <n v="1971"/>
    <x v="17"/>
    <n v="2"/>
  </r>
  <r>
    <n v="33488"/>
    <s v="Holub"/>
    <s v="Patrik"/>
    <d v="1993-08-01T00:00:00"/>
    <n v="1993"/>
    <x v="33"/>
    <n v="2"/>
  </r>
  <r>
    <n v="33551"/>
    <s v="Dekens"/>
    <s v="Andy"/>
    <d v="1985-12-15T00:00:00"/>
    <n v="1985"/>
    <x v="25"/>
    <n v="2"/>
  </r>
  <r>
    <n v="33600"/>
    <s v="Caufrier"/>
    <s v="Matthew"/>
    <d v="1984-07-04T00:00:00"/>
    <n v="1984"/>
    <x v="23"/>
    <n v="0"/>
  </r>
  <r>
    <n v="33639"/>
    <s v="Van de Velde"/>
    <s v="Valentijn"/>
    <d v="1965-03-12T00:00:00"/>
    <n v="1965"/>
    <x v="4"/>
    <n v="0"/>
  </r>
  <r>
    <n v="33640"/>
    <s v="Verschraegen"/>
    <s v="Patrick"/>
    <d v="1968-09-13T00:00:00"/>
    <n v="1968"/>
    <x v="16"/>
    <n v="1"/>
  </r>
  <r>
    <n v="33698"/>
    <s v="Van Limbergen"/>
    <s v="Danny"/>
    <d v="1984-09-12T00:00:00"/>
    <n v="1984"/>
    <x v="23"/>
    <n v="0"/>
  </r>
  <r>
    <n v="33757"/>
    <s v="Vergucht"/>
    <s v="Hugo"/>
    <d v="1967-02-04T00:00:00"/>
    <n v="1967"/>
    <x v="18"/>
    <n v="0"/>
  </r>
  <r>
    <n v="33982"/>
    <s v="Hoffelinck"/>
    <s v="Thomas"/>
    <d v="1982-03-07T00:00:00"/>
    <n v="1982"/>
    <x v="24"/>
    <n v="0"/>
  </r>
  <r>
    <n v="33986"/>
    <s v="Göktas"/>
    <s v="Muharrem"/>
    <d v="1985-04-12T00:00:00"/>
    <n v="1985"/>
    <x v="25"/>
    <n v="4"/>
  </r>
  <r>
    <n v="34019"/>
    <s v="Hoste"/>
    <s v="Tom"/>
    <d v="1985-11-08T00:00:00"/>
    <n v="1985"/>
    <x v="25"/>
    <n v="1"/>
  </r>
  <r>
    <n v="34044"/>
    <s v="Wieme"/>
    <s v="Kevin"/>
    <d v="1995-09-27T00:00:00"/>
    <n v="1995"/>
    <x v="34"/>
    <n v="2"/>
  </r>
  <r>
    <n v="34198"/>
    <s v="Pelfrene"/>
    <s v="Toby"/>
    <d v="1993-09-24T00:00:00"/>
    <n v="1993"/>
    <x v="33"/>
    <n v="2"/>
  </r>
  <r>
    <n v="34286"/>
    <s v="Ghani"/>
    <s v="Mozamil"/>
    <d v="1985-05-25T00:00:00"/>
    <n v="1985"/>
    <x v="25"/>
    <n v="2"/>
  </r>
  <r>
    <n v="34312"/>
    <s v="Sari"/>
    <s v="Halil"/>
    <d v="1993-04-30T00:00:00"/>
    <n v="1993"/>
    <x v="33"/>
    <n v="0"/>
  </r>
  <r>
    <n v="34325"/>
    <s v="Eid"/>
    <s v="Mathyn"/>
    <d v="1984-05-14T00:00:00"/>
    <n v="1984"/>
    <x v="23"/>
    <n v="5"/>
  </r>
  <r>
    <n v="34328"/>
    <s v="Kerremans"/>
    <s v="Jürgen"/>
    <d v="1975-11-09T00:00:00"/>
    <n v="1975"/>
    <x v="10"/>
    <n v="4"/>
  </r>
  <r>
    <n v="34351"/>
    <s v="Callant"/>
    <s v="Dieter"/>
    <d v="1983-04-05T00:00:00"/>
    <n v="1983"/>
    <x v="20"/>
    <n v="3"/>
  </r>
  <r>
    <n v="34445"/>
    <s v="Wulleput"/>
    <s v="Illya"/>
    <d v="1994-11-25T00:00:00"/>
    <n v="1994"/>
    <x v="35"/>
    <n v="5"/>
  </r>
  <r>
    <n v="34664"/>
    <s v="Fiers"/>
    <s v="Kenny"/>
    <d v="1993-11-10T00:00:00"/>
    <n v="1993"/>
    <x v="33"/>
    <n v="0"/>
  </r>
  <r>
    <n v="35005"/>
    <s v="Agacseven"/>
    <s v="Mustafa"/>
    <d v="1984-12-04T00:00:00"/>
    <n v="1984"/>
    <x v="23"/>
    <n v="0"/>
  </r>
  <r>
    <n v="35006"/>
    <s v="Van Hoe"/>
    <s v="Youri"/>
    <d v="1983-10-25T00:00:00"/>
    <n v="1983"/>
    <x v="20"/>
    <n v="1"/>
  </r>
  <r>
    <n v="35026"/>
    <s v="Momsen"/>
    <s v="Rory"/>
    <d v="1988-07-03T00:00:00"/>
    <n v="1988"/>
    <x v="27"/>
    <n v="0"/>
  </r>
  <r>
    <n v="35030"/>
    <s v="De Henau"/>
    <s v="Wim"/>
    <d v="1970-08-05T00:00:00"/>
    <n v="1970"/>
    <x v="8"/>
    <n v="0"/>
  </r>
  <r>
    <n v="35055"/>
    <s v="Kocabas"/>
    <s v="Abdülkadir"/>
    <d v="1999-04-23T00:00:00"/>
    <n v="1999"/>
    <x v="38"/>
    <n v="2"/>
  </r>
  <r>
    <n v="35107"/>
    <s v="Rotsaert"/>
    <s v="Dominique"/>
    <d v="1971-10-21T00:00:00"/>
    <n v="1971"/>
    <x v="17"/>
    <n v="1"/>
  </r>
  <r>
    <n v="35120"/>
    <s v="Delcourt"/>
    <s v="Daniel"/>
    <d v="1989-03-15T00:00:00"/>
    <n v="1989"/>
    <x v="29"/>
    <n v="1"/>
  </r>
  <r>
    <n v="35187"/>
    <s v="Bastiaen"/>
    <s v="Eric"/>
    <d v="1953-05-21T00:00:00"/>
    <n v="1953"/>
    <x v="39"/>
    <n v="1"/>
  </r>
  <r>
    <n v="35216"/>
    <s v="Coban"/>
    <s v="Mehmet"/>
    <d v="1999-10-26T00:00:00"/>
    <n v="1999"/>
    <x v="38"/>
    <n v="1"/>
  </r>
  <r>
    <n v="35220"/>
    <s v="Akmese"/>
    <s v="Ahmet"/>
    <d v="1989-02-04T00:00:00"/>
    <n v="1989"/>
    <x v="29"/>
    <n v="0"/>
  </r>
  <r>
    <n v="35246"/>
    <s v="De Meyer"/>
    <s v="Karel"/>
    <d v="1971-01-05T00:00:00"/>
    <n v="1971"/>
    <x v="17"/>
    <n v="2"/>
  </r>
  <r>
    <n v="35334"/>
    <s v="Dewulf"/>
    <s v="Matthias"/>
    <d v="1991-12-06T00:00:00"/>
    <n v="1991"/>
    <x v="36"/>
    <n v="0"/>
  </r>
  <r>
    <n v="35379"/>
    <s v="Engels"/>
    <s v="Sam"/>
    <d v="1976-07-21T00:00:00"/>
    <n v="1976"/>
    <x v="2"/>
    <n v="2"/>
  </r>
  <r>
    <n v="35395"/>
    <s v="Limbourg"/>
    <s v="Heidi"/>
    <d v="1976-10-05T00:00:00"/>
    <n v="1976"/>
    <x v="2"/>
    <n v="2"/>
  </r>
  <r>
    <n v="35397"/>
    <s v="Minbari"/>
    <s v="Ako"/>
    <d v="1983-07-16T00:00:00"/>
    <n v="1983"/>
    <x v="20"/>
    <n v="2"/>
  </r>
  <r>
    <n v="35414"/>
    <s v="Riahi"/>
    <s v="Brahim"/>
    <d v="1985-01-20T00:00:00"/>
    <n v="1985"/>
    <x v="25"/>
    <n v="0"/>
  </r>
  <r>
    <n v="35419"/>
    <s v="Vermeir"/>
    <s v="Davy"/>
    <d v="1979-04-20T00:00:00"/>
    <n v="1979"/>
    <x v="12"/>
    <n v="0"/>
  </r>
  <r>
    <n v="35430"/>
    <s v="Vlaminck"/>
    <s v="Dirk"/>
    <d v="1962-07-02T00:00:00"/>
    <n v="1962"/>
    <x v="21"/>
    <n v="2"/>
  </r>
  <r>
    <n v="35434"/>
    <s v="Kaya"/>
    <s v="Aytekin"/>
    <d v="1979-10-27T00:00:00"/>
    <n v="1979"/>
    <x v="12"/>
    <n v="1"/>
  </r>
  <r>
    <n v="35450"/>
    <s v="Roos"/>
    <s v="Hugo"/>
    <d v="1983-05-22T00:00:00"/>
    <n v="1983"/>
    <x v="20"/>
    <n v="4"/>
  </r>
  <r>
    <n v="35463"/>
    <s v="Vandaele"/>
    <s v="Tom"/>
    <d v="1984-11-20T00:00:00"/>
    <n v="1984"/>
    <x v="23"/>
    <n v="4"/>
  </r>
  <r>
    <n v="35471"/>
    <s v="Vonck"/>
    <s v="Freddy"/>
    <d v="1950-03-23T00:00:00"/>
    <n v="1950"/>
    <x v="40"/>
    <n v="0"/>
  </r>
  <r>
    <n v="35490"/>
    <s v="Nguetto"/>
    <s v="Brisco Romeo"/>
    <d v="1996-03-15T00:00:00"/>
    <n v="1996"/>
    <x v="37"/>
    <n v="1"/>
  </r>
  <r>
    <n v="35491"/>
    <s v="Toubadie"/>
    <s v="Zakaria"/>
    <d v="1997-04-05T00:00:00"/>
    <n v="1997"/>
    <x v="41"/>
    <n v="2"/>
  </r>
  <r>
    <n v="35493"/>
    <s v="van Turnhout"/>
    <s v="Mariëlle"/>
    <d v="1976-09-04T00:00:00"/>
    <n v="1976"/>
    <x v="2"/>
    <n v="1"/>
  </r>
  <r>
    <n v="35494"/>
    <s v="Rummens"/>
    <s v="Maarten"/>
    <d v="1980-10-15T00:00:00"/>
    <n v="1980"/>
    <x v="15"/>
    <n v="0"/>
  </r>
  <r>
    <n v="35495"/>
    <s v="Razzaz"/>
    <s v="Mahmoud"/>
    <d v="1993-06-01T00:00:00"/>
    <n v="1993"/>
    <x v="33"/>
    <n v="1"/>
  </r>
  <r>
    <n v="35588"/>
    <s v="Smesman"/>
    <s v="Glenn"/>
    <d v="1992-10-02T00:00:00"/>
    <n v="1992"/>
    <x v="32"/>
    <n v="3"/>
  </r>
  <r>
    <n v="35598"/>
    <s v="Braeckman"/>
    <s v="Wouter"/>
    <d v="1966-08-09T00:00:00"/>
    <n v="1966"/>
    <x v="0"/>
    <n v="1"/>
  </r>
  <r>
    <n v="35619"/>
    <s v="El Mezroui"/>
    <s v="Zouheir"/>
    <d v="1976-05-27T00:00:00"/>
    <n v="1976"/>
    <x v="2"/>
    <n v="1"/>
  </r>
  <r>
    <n v="35623"/>
    <s v="Dolleslagers"/>
    <s v="Christof"/>
    <d v="1979-05-31T00:00:00"/>
    <n v="1979"/>
    <x v="12"/>
    <n v="0"/>
  </r>
  <r>
    <n v="35645"/>
    <s v="Jalili"/>
    <s v="Yaseeb"/>
    <d v="1986-07-18T00:00:00"/>
    <n v="1986"/>
    <x v="26"/>
    <n v="4"/>
  </r>
  <r>
    <n v="35709"/>
    <s v="El Gasmi"/>
    <s v="Sami"/>
    <d v="1966-10-20T00:00:00"/>
    <n v="1966"/>
    <x v="0"/>
    <n v="1"/>
  </r>
  <r>
    <n v="35761"/>
    <s v="Simsek"/>
    <s v="Huseyin"/>
    <d v="1992-09-09T00:00:00"/>
    <n v="1992"/>
    <x v="32"/>
    <n v="0"/>
  </r>
  <r>
    <n v="35862"/>
    <s v="Van Damme"/>
    <s v="Patrick"/>
    <d v="1964-11-29T00:00:00"/>
    <n v="1964"/>
    <x v="9"/>
    <n v="0"/>
  </r>
  <r>
    <n v="36021"/>
    <s v="Boelaert"/>
    <s v="Frederik"/>
    <d v="1990-10-22T00:00:00"/>
    <n v="1990"/>
    <x v="30"/>
    <n v="3"/>
  </r>
  <r>
    <n v="36154"/>
    <s v="De Clercq"/>
    <s v="Sven"/>
    <d v="1997-05-28T00:00:00"/>
    <n v="1997"/>
    <x v="41"/>
    <n v="1"/>
  </r>
  <r>
    <n v="36228"/>
    <s v="Kilinc"/>
    <s v="Atilay"/>
    <d v="1998-11-10T00:00:00"/>
    <n v="1998"/>
    <x v="42"/>
    <n v="1"/>
  </r>
  <r>
    <n v="36275"/>
    <s v="Acosta Salinas"/>
    <s v="Benigna"/>
    <d v="1976-03-20T00:00:00"/>
    <n v="1976"/>
    <x v="2"/>
    <n v="2"/>
  </r>
  <r>
    <n v="36289"/>
    <s v="Van Rentergem"/>
    <s v="Steve"/>
    <d v="1977-03-28T00:00:00"/>
    <n v="1977"/>
    <x v="11"/>
    <n v="3"/>
  </r>
  <r>
    <n v="36336"/>
    <s v="Haenebalcke"/>
    <s v="Peter"/>
    <d v="1981-04-30T00:00:00"/>
    <n v="1981"/>
    <x v="14"/>
    <n v="1"/>
  </r>
  <r>
    <n v="36337"/>
    <s v="Desmadryl"/>
    <s v="Daniel"/>
    <d v="1966-07-16T00:00:00"/>
    <n v="1966"/>
    <x v="0"/>
    <n v="1"/>
  </r>
  <r>
    <n v="36354"/>
    <s v="El Aaddam"/>
    <s v="Hodayfa"/>
    <d v="1997-11-06T00:00:00"/>
    <n v="1997"/>
    <x v="41"/>
    <n v="0"/>
  </r>
  <r>
    <n v="36358"/>
    <s v="De Nys"/>
    <s v="Elise"/>
    <d v="1999-03-17T00:00:00"/>
    <n v="1999"/>
    <x v="38"/>
    <n v="2"/>
  </r>
  <r>
    <n v="36378"/>
    <s v="Opsomer"/>
    <s v="Gerrit"/>
    <d v="1961-10-12T00:00:00"/>
    <n v="1961"/>
    <x v="19"/>
    <n v="0"/>
  </r>
  <r>
    <n v="36425"/>
    <s v="Vandekerckhove"/>
    <s v="Nico"/>
    <d v="1976-03-14T00:00:00"/>
    <n v="1976"/>
    <x v="2"/>
    <n v="0"/>
  </r>
  <r>
    <n v="36426"/>
    <s v="Mohamed Yassin"/>
    <s v="Abdulhamid"/>
    <d v="1989-07-14T00:00:00"/>
    <n v="1989"/>
    <x v="29"/>
    <n v="3"/>
  </r>
  <r>
    <n v="36427"/>
    <s v="Malak"/>
    <s v="Kemal"/>
    <d v="1999-03-27T00:00:00"/>
    <n v="1999"/>
    <x v="38"/>
    <n v="0"/>
  </r>
  <r>
    <n v="36428"/>
    <s v="Abdi Shaiye"/>
    <s v="Rashid"/>
    <d v="1991-09-29T00:00:00"/>
    <n v="1991"/>
    <x v="36"/>
    <n v="5"/>
  </r>
  <r>
    <n v="36429"/>
    <s v="Ahlaloum"/>
    <s v="Khalid"/>
    <d v="1986-12-02T00:00:00"/>
    <n v="1986"/>
    <x v="26"/>
    <n v="1"/>
  </r>
  <r>
    <n v="36438"/>
    <s v="Agil"/>
    <s v="Birol"/>
    <d v="1972-02-19T00:00:00"/>
    <n v="1972"/>
    <x v="13"/>
    <n v="3"/>
  </r>
  <r>
    <n v="36503"/>
    <s v="Callens"/>
    <s v="Dimitri"/>
    <d v="1982-03-25T00:00:00"/>
    <n v="1982"/>
    <x v="24"/>
    <n v="1"/>
  </r>
  <r>
    <n v="36505"/>
    <s v="De Lange"/>
    <s v="Ruben"/>
    <d v="1998-01-11T00:00:00"/>
    <n v="1998"/>
    <x v="42"/>
    <n v="1"/>
  </r>
  <r>
    <n v="36507"/>
    <s v="Van Belleghem"/>
    <s v="Peggy"/>
    <d v="1968-11-29T00:00:00"/>
    <n v="1968"/>
    <x v="16"/>
    <n v="0"/>
  </r>
  <r>
    <n v="36512"/>
    <s v="Van Herreweghe"/>
    <s v="Branco"/>
    <d v="1999-08-31T00:00:00"/>
    <n v="1999"/>
    <x v="38"/>
    <n v="3"/>
  </r>
  <r>
    <n v="36513"/>
    <s v="Sogut"/>
    <s v="Rauf"/>
    <d v="1996-12-23T00:00:00"/>
    <n v="1996"/>
    <x v="37"/>
    <n v="1"/>
  </r>
  <r>
    <n v="36543"/>
    <s v="Babaian"/>
    <s v="Sammy"/>
    <d v="1996-10-13T00:00:00"/>
    <n v="1996"/>
    <x v="37"/>
    <n v="0"/>
  </r>
  <r>
    <n v="36559"/>
    <s v="De Staercke"/>
    <s v="Sandra"/>
    <d v="1974-05-27T00:00:00"/>
    <n v="1974"/>
    <x v="3"/>
    <n v="2"/>
  </r>
  <r>
    <n v="36577"/>
    <s v="De Smet"/>
    <s v="Martine"/>
    <d v="1974-04-14T00:00:00"/>
    <n v="1974"/>
    <x v="3"/>
    <n v="1"/>
  </r>
  <r>
    <n v="36624"/>
    <s v="De Meulenaere"/>
    <s v="Kurt"/>
    <d v="1966-05-28T00:00:00"/>
    <n v="1966"/>
    <x v="0"/>
    <n v="3"/>
  </r>
  <r>
    <n v="36625"/>
    <s v="Carion"/>
    <s v="Rojet"/>
    <d v="1983-01-13T00:00:00"/>
    <n v="1983"/>
    <x v="20"/>
    <n v="0"/>
  </r>
  <r>
    <n v="36626"/>
    <s v="Kartal"/>
    <s v="Kadir"/>
    <d v="1997-02-04T00:00:00"/>
    <n v="1997"/>
    <x v="41"/>
    <n v="10"/>
  </r>
  <r>
    <n v="36627"/>
    <s v="Dobbelaere"/>
    <s v="David"/>
    <d v="1977-03-29T00:00:00"/>
    <n v="1977"/>
    <x v="11"/>
    <n v="5"/>
  </r>
  <r>
    <n v="36635"/>
    <s v="Fadel"/>
    <s v="Husam"/>
    <d v="1993-04-28T00:00:00"/>
    <n v="1993"/>
    <x v="33"/>
    <n v="4"/>
  </r>
  <r>
    <n v="36663"/>
    <s v="Cesmeli"/>
    <s v="Achraf"/>
    <d v="1998-08-24T00:00:00"/>
    <n v="1998"/>
    <x v="42"/>
    <n v="3"/>
  </r>
  <r>
    <n v="36820"/>
    <s v="Haché"/>
    <s v="Philip"/>
    <d v="1961-01-14T00:00:00"/>
    <n v="1961"/>
    <x v="19"/>
    <n v="1"/>
  </r>
  <r>
    <n v="36838"/>
    <s v="De Kesel"/>
    <s v="Milan"/>
    <d v="1999-11-24T00:00:00"/>
    <n v="1999"/>
    <x v="38"/>
    <n v="0"/>
  </r>
  <r>
    <n v="36845"/>
    <s v="Flamant"/>
    <s v="Marc"/>
    <d v="1959-02-14T00:00:00"/>
    <n v="1959"/>
    <x v="31"/>
    <n v="0"/>
  </r>
  <r>
    <n v="37131"/>
    <s v="Saritag"/>
    <s v="Mehmed"/>
    <d v="1979-09-19T00:00:00"/>
    <n v="1979"/>
    <x v="12"/>
    <n v="2"/>
  </r>
  <r>
    <n v="37132"/>
    <s v="Dacic"/>
    <s v="Esmir"/>
    <d v="1995-02-16T00:00:00"/>
    <n v="1995"/>
    <x v="34"/>
    <n v="2"/>
  </r>
  <r>
    <n v="37179"/>
    <s v="Bashir"/>
    <s v="Muhammad Salman"/>
    <d v="1995-11-26T00:00:00"/>
    <n v="1995"/>
    <x v="34"/>
    <n v="2"/>
  </r>
  <r>
    <n v="37208"/>
    <s v="Catar"/>
    <s v="Gökhan"/>
    <d v="1991-09-23T00:00:00"/>
    <n v="1991"/>
    <x v="36"/>
    <n v="1"/>
  </r>
  <r>
    <n v="37216"/>
    <s v="Antoniewicz"/>
    <s v="Stephan"/>
    <d v="1972-11-15T00:00:00"/>
    <n v="1972"/>
    <x v="13"/>
    <n v="1"/>
  </r>
  <r>
    <n v="37222"/>
    <s v="Blondeel"/>
    <s v="Dominique"/>
    <d v="1988-05-20T00:00:00"/>
    <n v="1988"/>
    <x v="27"/>
    <n v="1"/>
  </r>
  <r>
    <n v="37226"/>
    <s v="Berth"/>
    <s v="Bjorn"/>
    <d v="1991-06-08T00:00:00"/>
    <n v="1991"/>
    <x v="36"/>
    <n v="0"/>
  </r>
  <r>
    <n v="37254"/>
    <s v="Coulon"/>
    <s v="Rayan"/>
    <d v="2000-07-22T00:00:00"/>
    <n v="2000"/>
    <x v="43"/>
    <n v="2"/>
  </r>
  <r>
    <n v="37261"/>
    <s v="Van Wayenbergh"/>
    <s v="Yordi"/>
    <d v="1998-03-18T00:00:00"/>
    <n v="1998"/>
    <x v="42"/>
    <n v="4"/>
  </r>
  <r>
    <n v="37313"/>
    <s v="Dedeci"/>
    <s v="Mecit"/>
    <d v="1975-08-12T00:00:00"/>
    <n v="1975"/>
    <x v="10"/>
    <n v="1"/>
  </r>
  <r>
    <n v="37345"/>
    <s v="Walleyn"/>
    <s v="Renaat"/>
    <d v="1998-04-06T00:00:00"/>
    <n v="1998"/>
    <x v="42"/>
    <n v="3"/>
  </r>
  <r>
    <n v="37439"/>
    <s v="Demirkazik"/>
    <s v="Mustafa"/>
    <d v="1998-01-15T00:00:00"/>
    <n v="1998"/>
    <x v="42"/>
    <n v="4"/>
  </r>
  <r>
    <n v="37496"/>
    <s v="Oosterlinck"/>
    <s v="Willy"/>
    <d v="1968-02-09T00:00:00"/>
    <n v="1968"/>
    <x v="16"/>
    <n v="4"/>
  </r>
  <r>
    <n v="37509"/>
    <s v="Abdulkader"/>
    <s v="Sabah"/>
    <d v="1988-05-21T00:00:00"/>
    <n v="1988"/>
    <x v="27"/>
    <n v="3"/>
  </r>
  <r>
    <n v="37542"/>
    <s v="De Tandt"/>
    <s v="Hans"/>
    <d v="1968-06-11T00:00:00"/>
    <n v="1968"/>
    <x v="16"/>
    <n v="5"/>
  </r>
  <r>
    <n v="37543"/>
    <s v="Öztürk"/>
    <s v="Bilgehan"/>
    <d v="1969-01-09T00:00:00"/>
    <n v="1969"/>
    <x v="1"/>
    <n v="6"/>
  </r>
  <r>
    <n v="37564"/>
    <s v="Damlakhi"/>
    <s v="Nawras"/>
    <d v="2001-11-05T00:00:00"/>
    <n v="2001"/>
    <x v="44"/>
    <n v="1"/>
  </r>
  <r>
    <n v="37600"/>
    <s v="Smesman"/>
    <s v="Nico"/>
    <d v="1981-04-29T00:00:00"/>
    <n v="1981"/>
    <x v="14"/>
    <n v="0"/>
  </r>
  <r>
    <n v="37609"/>
    <s v="De Groote"/>
    <s v="Dylan"/>
    <d v="1994-03-13T00:00:00"/>
    <n v="1994"/>
    <x v="35"/>
    <n v="2"/>
  </r>
  <r>
    <n v="37662"/>
    <s v="Van den Meerssche"/>
    <s v="Steven"/>
    <d v="1985-06-17T00:00:00"/>
    <n v="1985"/>
    <x v="25"/>
    <n v="8"/>
  </r>
  <r>
    <n v="37683"/>
    <s v="De Boever"/>
    <s v="Charlotte"/>
    <d v="1998-03-09T00:00:00"/>
    <n v="1998"/>
    <x v="42"/>
    <n v="1"/>
  </r>
  <r>
    <n v="37744"/>
    <s v="De Lange"/>
    <s v="Frank"/>
    <d v="1967-04-14T00:00:00"/>
    <n v="1967"/>
    <x v="18"/>
    <n v="1"/>
  </r>
  <r>
    <n v="37794"/>
    <s v="Demirkaya"/>
    <s v="Kâzim"/>
    <d v="1990-11-25T00:00:00"/>
    <n v="1990"/>
    <x v="30"/>
    <n v="1"/>
  </r>
  <r>
    <n v="37808"/>
    <s v="Gök"/>
    <s v="Mustafa"/>
    <d v="1981-12-26T00:00:00"/>
    <n v="1981"/>
    <x v="14"/>
    <n v="1"/>
  </r>
  <r>
    <n v="37809"/>
    <s v="Sturtewagen"/>
    <s v="Kenny"/>
    <d v="1983-04-27T00:00:00"/>
    <n v="1983"/>
    <x v="20"/>
    <n v="3"/>
  </r>
  <r>
    <n v="37907"/>
    <s v="Van Doorselaere"/>
    <s v="Alan"/>
    <d v="1999-11-29T00:00:00"/>
    <n v="1999"/>
    <x v="38"/>
    <n v="0"/>
  </r>
  <r>
    <n v="37908"/>
    <s v="Vandenberghe"/>
    <s v="Michael"/>
    <d v="1990-11-08T00:00:00"/>
    <n v="1990"/>
    <x v="30"/>
    <n v="1"/>
  </r>
  <r>
    <n v="37936"/>
    <s v="Detaeye"/>
    <s v="Alexander"/>
    <d v="1995-07-09T00:00:00"/>
    <n v="1995"/>
    <x v="34"/>
    <n v="2"/>
  </r>
  <r>
    <n v="37950"/>
    <s v="De Naegel"/>
    <s v="Bruno"/>
    <d v="1973-07-13T00:00:00"/>
    <n v="1973"/>
    <x v="5"/>
    <n v="3"/>
  </r>
  <r>
    <n v="37951"/>
    <s v="Van De Voorde"/>
    <s v="Cindy"/>
    <d v="1976-07-20T00:00:00"/>
    <n v="1976"/>
    <x v="2"/>
    <n v="1"/>
  </r>
  <r>
    <n v="37999"/>
    <s v="Dierinck"/>
    <s v="Charles"/>
    <d v="1961-07-25T00:00:00"/>
    <n v="1961"/>
    <x v="19"/>
    <n v="0"/>
  </r>
  <r>
    <n v="38013"/>
    <s v="Mine"/>
    <s v="Akin"/>
    <d v="1989-09-20T00:00:00"/>
    <n v="1989"/>
    <x v="29"/>
    <n v="1"/>
  </r>
  <r>
    <n v="38035"/>
    <s v="Simsek"/>
    <s v="Isa"/>
    <d v="1999-07-11T00:00:00"/>
    <n v="1999"/>
    <x v="38"/>
    <n v="1"/>
  </r>
  <r>
    <n v="38047"/>
    <s v="Aljorof"/>
    <s v="Marwan"/>
    <d v="1975-07-25T00:00:00"/>
    <n v="1975"/>
    <x v="10"/>
    <n v="0"/>
  </r>
  <r>
    <n v="38205"/>
    <s v="Uenk"/>
    <s v="Hermina"/>
    <d v="1973-03-08T00:00:00"/>
    <n v="1973"/>
    <x v="5"/>
    <n v="0"/>
  </r>
  <r>
    <n v="38475"/>
    <s v="Verschraegen"/>
    <s v="Katleen"/>
    <d v="1974-06-17T00:00:00"/>
    <n v="1974"/>
    <x v="3"/>
    <n v="4"/>
  </r>
  <r>
    <n v="38481"/>
    <s v="Sari"/>
    <s v="Devrim"/>
    <d v="2000-07-25T00:00:00"/>
    <n v="2000"/>
    <x v="43"/>
    <n v="3"/>
  </r>
  <r>
    <n v="38529"/>
    <s v="Huyghe"/>
    <s v="Jan"/>
    <d v="1982-10-21T00:00:00"/>
    <n v="1982"/>
    <x v="24"/>
    <n v="5"/>
  </r>
  <r>
    <n v="38550"/>
    <s v="Haaze"/>
    <s v="Sarah"/>
    <d v="1981-03-02T00:00:00"/>
    <n v="1981"/>
    <x v="14"/>
    <n v="0"/>
  </r>
  <r>
    <n v="38551"/>
    <s v="Alassad"/>
    <s v="Ahmad"/>
    <d v="1981-01-07T00:00:00"/>
    <n v="1981"/>
    <x v="14"/>
    <n v="1"/>
  </r>
  <r>
    <n v="38555"/>
    <s v="Almohammad"/>
    <s v="Malek"/>
    <d v="1986-01-25T00:00:00"/>
    <n v="1986"/>
    <x v="26"/>
    <n v="1"/>
  </r>
  <r>
    <n v="38579"/>
    <s v="Haaze"/>
    <s v="Sven"/>
    <d v="1968-07-09T00:00:00"/>
    <n v="1968"/>
    <x v="16"/>
    <n v="1"/>
  </r>
  <r>
    <n v="38580"/>
    <s v="Smajla"/>
    <s v="Samet"/>
    <d v="1999-09-21T00:00:00"/>
    <n v="1999"/>
    <x v="38"/>
    <n v="1"/>
  </r>
  <r>
    <n v="38633"/>
    <s v="Stomphorst"/>
    <s v="Mattanja"/>
    <d v="1987-11-24T00:00:00"/>
    <n v="1987"/>
    <x v="28"/>
    <n v="3"/>
  </r>
  <r>
    <n v="38634"/>
    <s v="Asskale"/>
    <s v="Zouhir"/>
    <d v="1978-02-15T00:00:00"/>
    <n v="1978"/>
    <x v="7"/>
    <n v="3"/>
  </r>
  <r>
    <n v="38648"/>
    <s v="Uckuyulu"/>
    <s v="Muhammet Emin"/>
    <d v="1995-04-06T00:00:00"/>
    <n v="1995"/>
    <x v="34"/>
    <n v="4"/>
  </r>
  <r>
    <n v="38688"/>
    <s v="Basgurboga"/>
    <s v="Selahattin"/>
    <d v="1995-02-19T00:00:00"/>
    <n v="1995"/>
    <x v="34"/>
    <n v="3"/>
  </r>
  <r>
    <n v="38691"/>
    <s v="Muys"/>
    <s v="Aäron"/>
    <d v="2002-01-25T00:00:00"/>
    <n v="2002"/>
    <x v="45"/>
    <n v="0"/>
  </r>
  <r>
    <n v="38731"/>
    <s v="Ben Sidhom"/>
    <s v="Samir"/>
    <d v="1965-05-04T00:00:00"/>
    <n v="1965"/>
    <x v="4"/>
    <n v="1"/>
  </r>
  <r>
    <n v="38740"/>
    <s v="Meskens"/>
    <s v="Anthony"/>
    <d v="1991-05-02T00:00:00"/>
    <n v="1991"/>
    <x v="36"/>
    <n v="2"/>
  </r>
  <r>
    <n v="38807"/>
    <s v="Dossche"/>
    <s v="Caroline"/>
    <d v="1966-01-23T00:00:00"/>
    <n v="1966"/>
    <x v="0"/>
    <n v="4"/>
  </r>
  <r>
    <n v="38808"/>
    <s v="Wasen"/>
    <s v="Jens"/>
    <d v="1984-02-06T00:00:00"/>
    <n v="1984"/>
    <x v="23"/>
    <n v="5"/>
  </r>
  <r>
    <n v="38931"/>
    <s v="Sancak"/>
    <s v="Eyuphan"/>
    <d v="1999-10-05T00:00:00"/>
    <n v="1999"/>
    <x v="38"/>
    <n v="4"/>
  </r>
  <r>
    <n v="38938"/>
    <s v="Sedighi"/>
    <s v="Hamid"/>
    <d v="1991-04-23T00:00:00"/>
    <n v="1991"/>
    <x v="36"/>
    <n v="7"/>
  </r>
  <r>
    <n v="39013"/>
    <s v="Asrih"/>
    <s v="Habib"/>
    <d v="1976-06-26T00:00:00"/>
    <n v="1976"/>
    <x v="2"/>
    <n v="3"/>
  </r>
  <r>
    <n v="39014"/>
    <s v="Genbrugge"/>
    <s v="Kyllian"/>
    <d v="2000-08-19T00:00:00"/>
    <n v="2000"/>
    <x v="43"/>
    <n v="3"/>
  </r>
  <r>
    <n v="39019"/>
    <s v="De taeye"/>
    <s v="Kelly"/>
    <d v="1984-08-19T00:00:00"/>
    <n v="1984"/>
    <x v="23"/>
    <n v="2"/>
  </r>
  <r>
    <n v="39101"/>
    <s v="Dalli"/>
    <s v="Mustafa"/>
    <d v="1981-06-26T00:00:00"/>
    <n v="1981"/>
    <x v="14"/>
    <n v="0"/>
  </r>
  <r>
    <n v="39106"/>
    <s v="Salam Housin"/>
    <s v="Ahmed"/>
    <d v="2001-04-14T00:00:00"/>
    <n v="2001"/>
    <x v="44"/>
    <n v="0"/>
  </r>
  <r>
    <n v="39145"/>
    <s v="Landoulsi"/>
    <s v="Sabeur"/>
    <d v="1975-02-21T00:00:00"/>
    <n v="1975"/>
    <x v="10"/>
    <n v="1"/>
  </r>
  <r>
    <n v="39146"/>
    <s v="Burrick"/>
    <s v="Alex"/>
    <d v="1978-07-03T00:00:00"/>
    <n v="1978"/>
    <x v="7"/>
    <n v="3"/>
  </r>
  <r>
    <n v="39183"/>
    <s v="Al Masri"/>
    <s v="Anas"/>
    <d v="1988-01-06T00:00:00"/>
    <n v="1988"/>
    <x v="27"/>
    <n v="4"/>
  </r>
  <r>
    <n v="39184"/>
    <s v="Shinwari"/>
    <s v="Yasin"/>
    <d v="1992-11-30T00:00:00"/>
    <n v="1992"/>
    <x v="32"/>
    <n v="3"/>
  </r>
  <r>
    <n v="39251"/>
    <s v="Abdi Ali"/>
    <s v="Ali"/>
    <d v="2000-10-23T00:00:00"/>
    <n v="2000"/>
    <x v="43"/>
    <n v="0"/>
  </r>
  <r>
    <n v="3926"/>
    <s v="De Clercq"/>
    <s v="Marc"/>
    <d v="1959-04-08T00:00:00"/>
    <n v="1959"/>
    <x v="31"/>
    <n v="0"/>
  </r>
  <r>
    <n v="39267"/>
    <s v="Van Holsbeeck"/>
    <s v="Jens"/>
    <d v="1998-11-05T00:00:00"/>
    <n v="1998"/>
    <x v="42"/>
    <n v="1"/>
  </r>
  <r>
    <n v="39358"/>
    <s v="Weeks Aracena"/>
    <s v="Jimmy Alexander"/>
    <d v="1979-12-06T00:00:00"/>
    <n v="1979"/>
    <x v="12"/>
    <n v="5"/>
  </r>
  <r>
    <n v="39379"/>
    <s v="Bensalah"/>
    <s v="Mohammed"/>
    <d v="1986-12-29T00:00:00"/>
    <n v="1986"/>
    <x v="26"/>
    <n v="2"/>
  </r>
  <r>
    <n v="39528"/>
    <s v="Mihaylov"/>
    <s v="Plamen"/>
    <d v="1988-08-03T00:00:00"/>
    <n v="1988"/>
    <x v="27"/>
    <n v="4"/>
  </r>
  <r>
    <n v="39529"/>
    <s v="Desmet"/>
    <s v="Patricia"/>
    <d v="1965-02-13T00:00:00"/>
    <n v="1965"/>
    <x v="4"/>
    <n v="4"/>
  </r>
  <r>
    <n v="39532"/>
    <s v="Sahin"/>
    <s v="Orhan"/>
    <d v="2000-04-16T00:00:00"/>
    <n v="2000"/>
    <x v="43"/>
    <n v="6"/>
  </r>
  <r>
    <n v="39558"/>
    <s v="De Groote"/>
    <s v="Cedric"/>
    <d v="1986-04-17T00:00:00"/>
    <n v="1986"/>
    <x v="26"/>
    <n v="2"/>
  </r>
  <r>
    <n v="39575"/>
    <s v="Nguende Ngatcheu"/>
    <s v="Ivan Belerd"/>
    <d v="1998-06-19T00:00:00"/>
    <n v="1998"/>
    <x v="42"/>
    <n v="0"/>
  </r>
  <r>
    <n v="39581"/>
    <s v="Vandenhaute"/>
    <s v="Linus"/>
    <d v="1999-11-17T00:00:00"/>
    <n v="1999"/>
    <x v="38"/>
    <n v="5"/>
  </r>
  <r>
    <n v="39610"/>
    <s v="Sayin"/>
    <s v="Batuhan"/>
    <d v="1997-07-04T00:00:00"/>
    <n v="1997"/>
    <x v="41"/>
    <n v="1"/>
  </r>
  <r>
    <n v="39651"/>
    <s v="Kallenbach"/>
    <s v="Sunny"/>
    <d v="1988-06-27T00:00:00"/>
    <n v="1988"/>
    <x v="27"/>
    <n v="4"/>
  </r>
  <r>
    <n v="39654"/>
    <s v="Camacho Encarnacion"/>
    <s v="Lisandro Javier"/>
    <d v="1997-05-05T00:00:00"/>
    <n v="1997"/>
    <x v="41"/>
    <n v="2"/>
  </r>
  <r>
    <n v="39660"/>
    <s v="Lloyd"/>
    <s v="Glenn"/>
    <d v="1988-08-13T00:00:00"/>
    <n v="1988"/>
    <x v="27"/>
    <n v="6"/>
  </r>
  <r>
    <n v="39673"/>
    <s v="Steurbaut"/>
    <s v="Henri"/>
    <d v="1969-07-07T00:00:00"/>
    <n v="1969"/>
    <x v="1"/>
    <n v="5"/>
  </r>
  <r>
    <n v="39677"/>
    <s v="Tacq"/>
    <s v="Joey"/>
    <d v="1999-03-03T00:00:00"/>
    <n v="1999"/>
    <x v="38"/>
    <n v="1"/>
  </r>
  <r>
    <n v="39712"/>
    <s v="Repaj"/>
    <s v="Ramazan"/>
    <d v="1997-01-31T00:00:00"/>
    <n v="1997"/>
    <x v="41"/>
    <n v="4"/>
  </r>
  <r>
    <n v="39715"/>
    <s v="El Khayat"/>
    <s v="Jamal"/>
    <d v="1981-01-01T00:00:00"/>
    <n v="1981"/>
    <x v="14"/>
    <n v="0"/>
  </r>
  <r>
    <n v="39728"/>
    <s v="Nohut"/>
    <s v="Baki"/>
    <d v="1999-07-06T00:00:00"/>
    <n v="1999"/>
    <x v="38"/>
    <n v="2"/>
  </r>
  <r>
    <n v="39779"/>
    <s v="Avci"/>
    <s v="Muhammet Abdullah"/>
    <d v="1992-09-08T00:00:00"/>
    <n v="1992"/>
    <x v="32"/>
    <n v="7"/>
  </r>
  <r>
    <n v="39829"/>
    <s v="Demirkaya"/>
    <s v="Serkan"/>
    <d v="1988-06-27T00:00:00"/>
    <n v="1988"/>
    <x v="27"/>
    <n v="2"/>
  </r>
  <r>
    <n v="39831"/>
    <s v="Dolgiev"/>
    <s v="Mukhamed"/>
    <d v="1996-04-03T00:00:00"/>
    <n v="1996"/>
    <x v="37"/>
    <n v="1"/>
  </r>
  <r>
    <n v="39850"/>
    <s v="Helleputte"/>
    <s v="William"/>
    <d v="1972-07-08T00:00:00"/>
    <n v="1972"/>
    <x v="13"/>
    <n v="2"/>
  </r>
  <r>
    <n v="39856"/>
    <s v="Curukcu"/>
    <s v="Bayram"/>
    <d v="1992-04-04T00:00:00"/>
    <n v="1992"/>
    <x v="32"/>
    <n v="2"/>
  </r>
  <r>
    <n v="39858"/>
    <s v="Jacobs"/>
    <s v="Elos"/>
    <d v="2000-06-09T00:00:00"/>
    <n v="2000"/>
    <x v="43"/>
    <n v="2"/>
  </r>
  <r>
    <n v="39859"/>
    <s v="Costers"/>
    <s v="Kelly"/>
    <d v="1981-11-16T00:00:00"/>
    <n v="1981"/>
    <x v="14"/>
    <n v="4"/>
  </r>
  <r>
    <n v="39889"/>
    <s v="Stanikazi"/>
    <s v="Roien Sadder"/>
    <d v="1977-07-01T00:00:00"/>
    <n v="1977"/>
    <x v="11"/>
    <n v="1"/>
  </r>
  <r>
    <n v="39899"/>
    <s v="Calinalti"/>
    <s v="Abdil"/>
    <d v="1962-05-30T00:00:00"/>
    <n v="1962"/>
    <x v="21"/>
    <n v="1"/>
  </r>
  <r>
    <n v="39901"/>
    <s v="Basha"/>
    <s v="Izmir"/>
    <d v="1995-01-28T00:00:00"/>
    <n v="1995"/>
    <x v="34"/>
    <n v="1"/>
  </r>
  <r>
    <n v="39907"/>
    <s v="Marian"/>
    <s v="Birsanuc"/>
    <d v="1982-01-31T00:00:00"/>
    <n v="1982"/>
    <x v="24"/>
    <n v="1"/>
  </r>
  <r>
    <n v="39927"/>
    <s v="De Wilde"/>
    <s v="Jordy"/>
    <d v="1993-07-11T00:00:00"/>
    <n v="1993"/>
    <x v="33"/>
    <n v="2"/>
  </r>
  <r>
    <n v="39928"/>
    <s v="Momand"/>
    <s v="Abdullah"/>
    <d v="1998-01-01T00:00:00"/>
    <n v="1998"/>
    <x v="42"/>
    <n v="1"/>
  </r>
  <r>
    <n v="39929"/>
    <s v="Staneva"/>
    <s v="Mariyana"/>
    <d v="1983-08-25T00:00:00"/>
    <n v="1983"/>
    <x v="20"/>
    <n v="9"/>
  </r>
  <r>
    <n v="39930"/>
    <s v="Mirazai"/>
    <s v="Rahmatullah"/>
    <d v="1992-01-01T00:00:00"/>
    <n v="1992"/>
    <x v="32"/>
    <n v="2"/>
  </r>
  <r>
    <n v="39985"/>
    <s v="Mattan"/>
    <s v="Maaren"/>
    <d v="1997-08-28T00:00:00"/>
    <n v="1997"/>
    <x v="41"/>
    <n v="0"/>
  </r>
  <r>
    <n v="39988"/>
    <s v="Souda"/>
    <s v="Mahmoud"/>
    <d v="1983-06-01T00:00:00"/>
    <n v="1983"/>
    <x v="20"/>
    <n v="0"/>
  </r>
  <r>
    <n v="40005"/>
    <s v="Bernaerts"/>
    <s v="Philip"/>
    <d v="1991-05-07T00:00:00"/>
    <n v="1991"/>
    <x v="36"/>
    <n v="2"/>
  </r>
  <r>
    <n v="40006"/>
    <s v="De Ridder"/>
    <s v="Benjamin"/>
    <d v="2004-11-23T00:00:00"/>
    <n v="2004"/>
    <x v="46"/>
    <n v="1"/>
  </r>
  <r>
    <n v="40036"/>
    <s v="Karakaya"/>
    <s v="Oguz"/>
    <d v="1978-08-21T00:00:00"/>
    <n v="1978"/>
    <x v="7"/>
    <n v="2"/>
  </r>
  <r>
    <n v="40055"/>
    <s v="Afara"/>
    <s v="Ammar"/>
    <d v="1995-02-16T00:00:00"/>
    <n v="1995"/>
    <x v="34"/>
    <n v="2"/>
  </r>
  <r>
    <n v="40058"/>
    <s v="Sögüt"/>
    <s v="Can"/>
    <d v="2003-01-15T00:00:00"/>
    <n v="2003"/>
    <x v="47"/>
    <n v="3"/>
  </r>
  <r>
    <n v="40110"/>
    <s v="Vanlerberghe"/>
    <s v="Sandra"/>
    <d v="1973-07-24T00:00:00"/>
    <n v="1973"/>
    <x v="5"/>
    <n v="7"/>
  </r>
  <r>
    <n v="40134"/>
    <s v="Cardon"/>
    <s v="Sharon"/>
    <d v="1995-08-06T00:00:00"/>
    <n v="1995"/>
    <x v="34"/>
    <n v="4"/>
  </r>
  <r>
    <n v="40138"/>
    <s v="Moerman"/>
    <s v="Tjimmy"/>
    <d v="2003-04-15T00:00:00"/>
    <n v="2003"/>
    <x v="47"/>
    <n v="10"/>
  </r>
  <r>
    <n v="40143"/>
    <s v="De Waegeneer"/>
    <s v="Michael"/>
    <d v="1991-04-05T00:00:00"/>
    <n v="1991"/>
    <x v="36"/>
    <n v="0"/>
  </r>
  <r>
    <n v="40200"/>
    <s v="Shahriyari"/>
    <s v="Khalil"/>
    <d v="1993-01-01T00:00:00"/>
    <n v="1993"/>
    <x v="33"/>
    <n v="2"/>
  </r>
  <r>
    <n v="40201"/>
    <s v="VandenDaele"/>
    <s v="Arne"/>
    <d v="2003-09-15T00:00:00"/>
    <n v="2003"/>
    <x v="47"/>
    <n v="0"/>
  </r>
  <r>
    <n v="40222"/>
    <s v="Van Iterson"/>
    <s v="Sharon"/>
    <d v="1998-06-09T00:00:00"/>
    <n v="1998"/>
    <x v="42"/>
    <n v="2"/>
  </r>
  <r>
    <n v="40264"/>
    <s v="Troch"/>
    <s v="Jorick"/>
    <d v="1989-10-12T00:00:00"/>
    <n v="1989"/>
    <x v="29"/>
    <n v="0"/>
  </r>
  <r>
    <n v="40266"/>
    <s v="Taibi"/>
    <s v="Yassine"/>
    <d v="1998-07-13T00:00:00"/>
    <n v="1998"/>
    <x v="42"/>
    <n v="3"/>
  </r>
  <r>
    <n v="40278"/>
    <s v="Ates"/>
    <s v="Firat"/>
    <d v="1983-02-06T00:00:00"/>
    <n v="1983"/>
    <x v="20"/>
    <n v="4"/>
  </r>
  <r>
    <n v="40294"/>
    <s v="Khder"/>
    <s v="Aram"/>
    <d v="1992-01-01T00:00:00"/>
    <n v="1992"/>
    <x v="32"/>
    <n v="1"/>
  </r>
  <r>
    <n v="40362"/>
    <s v="Kuru"/>
    <s v="Cetin"/>
    <d v="1978-05-03T00:00:00"/>
    <n v="1978"/>
    <x v="7"/>
    <n v="3"/>
  </r>
  <r>
    <n v="40393"/>
    <s v="Salimova"/>
    <s v="Eydzhan"/>
    <d v="1997-12-08T00:00:00"/>
    <n v="1997"/>
    <x v="41"/>
    <n v="1"/>
  </r>
  <r>
    <n v="40400"/>
    <s v="Sherifi"/>
    <s v="Gani"/>
    <d v="1970-03-19T00:00:00"/>
    <n v="1970"/>
    <x v="8"/>
    <n v="0"/>
  </r>
  <r>
    <n v="40403"/>
    <s v="Prové"/>
    <s v="Michaël"/>
    <d v="1979-02-12T00:00:00"/>
    <n v="1979"/>
    <x v="12"/>
    <n v="3"/>
  </r>
  <r>
    <n v="40414"/>
    <s v="Ennakaba"/>
    <s v="Khaoula"/>
    <d v="2002-02-13T00:00:00"/>
    <n v="2002"/>
    <x v="45"/>
    <n v="1"/>
  </r>
  <r>
    <n v="40421"/>
    <s v="Dekeuckelaere"/>
    <s v="Eric"/>
    <d v="1956-03-22T00:00:00"/>
    <n v="1956"/>
    <x v="48"/>
    <n v="0"/>
  </r>
  <r>
    <n v="40422"/>
    <s v="De Roo"/>
    <s v="Paul"/>
    <d v="1956-09-18T00:00:00"/>
    <n v="1956"/>
    <x v="48"/>
    <n v="0"/>
  </r>
  <r>
    <n v="40443"/>
    <s v="Fakash"/>
    <s v="Mahmoud"/>
    <d v="2003-01-03T00:00:00"/>
    <n v="2003"/>
    <x v="47"/>
    <n v="1"/>
  </r>
  <r>
    <n v="40444"/>
    <s v="Van Damme"/>
    <s v="Glenn"/>
    <d v="1993-03-06T00:00:00"/>
    <n v="1993"/>
    <x v="33"/>
    <n v="1"/>
  </r>
  <r>
    <n v="40469"/>
    <s v="Lopez Hernandez"/>
    <s v="Herber Felix"/>
    <d v="1980-12-18T00:00:00"/>
    <n v="1980"/>
    <x v="15"/>
    <n v="0"/>
  </r>
  <r>
    <n v="40478"/>
    <s v="Hashimi"/>
    <s v="Ali Mir"/>
    <d v="2000-01-22T00:00:00"/>
    <n v="2000"/>
    <x v="43"/>
    <n v="4"/>
  </r>
  <r>
    <n v="40486"/>
    <s v="De Souza"/>
    <s v="Marcos Eduardo"/>
    <d v="2001-01-31T00:00:00"/>
    <n v="2001"/>
    <x v="44"/>
    <n v="1"/>
  </r>
  <r>
    <n v="40521"/>
    <s v="Mekdad"/>
    <s v="Ali"/>
    <d v="1986-02-19T00:00:00"/>
    <n v="1986"/>
    <x v="26"/>
    <n v="2"/>
  </r>
  <r>
    <n v="40590"/>
    <s v="Noppe"/>
    <s v="Lode"/>
    <d v="1985-09-16T00:00:00"/>
    <n v="1985"/>
    <x v="25"/>
    <n v="0"/>
  </r>
  <r>
    <n v="40591"/>
    <s v="Hiloui"/>
    <s v="Mahmoud"/>
    <d v="1974-05-18T00:00:00"/>
    <n v="1974"/>
    <x v="3"/>
    <n v="2"/>
  </r>
  <r>
    <n v="40608"/>
    <s v="Kurti"/>
    <s v="Domeniko"/>
    <d v="1993-11-01T00:00:00"/>
    <n v="1993"/>
    <x v="33"/>
    <n v="1"/>
  </r>
  <r>
    <n v="40645"/>
    <s v="Bytebier"/>
    <s v="Jason"/>
    <d v="1994-02-28T00:00:00"/>
    <n v="1994"/>
    <x v="35"/>
    <n v="2"/>
  </r>
  <r>
    <n v="40652"/>
    <s v="Van Damme"/>
    <s v="Gilyann"/>
    <d v="1999-11-19T00:00:00"/>
    <n v="1999"/>
    <x v="38"/>
    <n v="7"/>
  </r>
  <r>
    <n v="40744"/>
    <s v="Gözüküçük"/>
    <s v="Ugur"/>
    <d v="1995-06-09T00:00:00"/>
    <n v="1995"/>
    <x v="34"/>
    <n v="6"/>
  </r>
  <r>
    <n v="40745"/>
    <s v="Ivanov"/>
    <s v="Ivan"/>
    <d v="1991-10-12T00:00:00"/>
    <n v="1991"/>
    <x v="36"/>
    <n v="1"/>
  </r>
  <r>
    <n v="40761"/>
    <s v="De Vijlder"/>
    <s v="Wim"/>
    <d v="1974-02-22T00:00:00"/>
    <n v="1974"/>
    <x v="3"/>
    <n v="1"/>
  </r>
  <r>
    <n v="40856"/>
    <s v="Neissi"/>
    <s v="Sadegh"/>
    <d v="1985-04-11T00:00:00"/>
    <n v="1985"/>
    <x v="25"/>
    <n v="5"/>
  </r>
  <r>
    <n v="40859"/>
    <s v="Yagoub"/>
    <s v="Abdelali"/>
    <d v="1982-01-10T00:00:00"/>
    <n v="1982"/>
    <x v="24"/>
    <n v="4"/>
  </r>
  <r>
    <n v="40890"/>
    <s v="Hyuseinov"/>
    <s v="Berdan"/>
    <d v="2003-03-25T00:00:00"/>
    <n v="2003"/>
    <x v="47"/>
    <n v="0"/>
  </r>
  <r>
    <n v="40938"/>
    <s v="Hasnaoui"/>
    <s v="Nejmeddine"/>
    <d v="1987-07-03T00:00:00"/>
    <n v="1987"/>
    <x v="28"/>
    <n v="4"/>
  </r>
  <r>
    <n v="40939"/>
    <s v="Cisse"/>
    <s v="Sayon"/>
    <d v="2003-09-02T00:00:00"/>
    <n v="2003"/>
    <x v="47"/>
    <n v="3"/>
  </r>
  <r>
    <n v="41012"/>
    <s v="Natad"/>
    <s v="Younes"/>
    <d v="1974-06-07T00:00:00"/>
    <n v="1974"/>
    <x v="3"/>
    <n v="2"/>
  </r>
  <r>
    <n v="41032"/>
    <s v="Rocabado Hinojosa"/>
    <s v="Lukas"/>
    <d v="2000-07-18T00:00:00"/>
    <n v="2000"/>
    <x v="43"/>
    <n v="4"/>
  </r>
  <r>
    <n v="41064"/>
    <s v="Ardic"/>
    <s v="Atilla"/>
    <d v="2003-01-26T00:00:00"/>
    <n v="2003"/>
    <x v="47"/>
    <n v="2"/>
  </r>
  <r>
    <n v="41091"/>
    <s v="Yavas"/>
    <s v="Talha"/>
    <d v="1990-01-30T00:00:00"/>
    <n v="1990"/>
    <x v="30"/>
    <n v="2"/>
  </r>
  <r>
    <n v="41092"/>
    <s v="De Keyser"/>
    <s v="Dorien"/>
    <d v="1979-08-22T00:00:00"/>
    <n v="1979"/>
    <x v="12"/>
    <n v="8"/>
  </r>
  <r>
    <n v="41101"/>
    <s v="Shah"/>
    <s v="Sekandar"/>
    <d v="1996-12-20T00:00:00"/>
    <n v="1996"/>
    <x v="37"/>
    <n v="1"/>
  </r>
  <r>
    <n v="41137"/>
    <s v="De smet"/>
    <s v="Dirk"/>
    <d v="1968-09-06T00:00:00"/>
    <n v="1968"/>
    <x v="16"/>
    <n v="1"/>
  </r>
  <r>
    <n v="41162"/>
    <s v="Hoeckman"/>
    <s v="Jeroen"/>
    <d v="1977-07-17T00:00:00"/>
    <n v="1977"/>
    <x v="11"/>
    <n v="5"/>
  </r>
  <r>
    <n v="41230"/>
    <s v="De Witte"/>
    <s v="Bart"/>
    <d v="1975-01-30T00:00:00"/>
    <n v="1975"/>
    <x v="10"/>
    <n v="2"/>
  </r>
  <r>
    <n v="41246"/>
    <s v="Van Holsbeeck"/>
    <s v="Yana"/>
    <d v="2000-04-07T00:00:00"/>
    <n v="2000"/>
    <x v="43"/>
    <n v="3"/>
  </r>
  <r>
    <n v="41296"/>
    <s v="Abulehia"/>
    <s v="Oday"/>
    <d v="2000-07-12T00:00:00"/>
    <n v="2000"/>
    <x v="43"/>
    <n v="2"/>
  </r>
  <r>
    <n v="41344"/>
    <s v="Frise"/>
    <s v="Jordi"/>
    <d v="1995-10-11T00:00:00"/>
    <n v="1995"/>
    <x v="34"/>
    <n v="0"/>
  </r>
  <r>
    <n v="41348"/>
    <s v="Van Huffel"/>
    <s v="Tim"/>
    <d v="1997-01-13T00:00:00"/>
    <n v="1997"/>
    <x v="41"/>
    <n v="1"/>
  </r>
  <r>
    <n v="41357"/>
    <s v="Inci"/>
    <s v="Ramazan"/>
    <d v="1998-06-01T00:00:00"/>
    <n v="1998"/>
    <x v="42"/>
    <n v="0"/>
  </r>
  <r>
    <n v="41383"/>
    <s v="De Pauw"/>
    <s v="Tony"/>
    <d v="1969-03-10T00:00:00"/>
    <n v="1969"/>
    <x v="1"/>
    <n v="1"/>
  </r>
  <r>
    <n v="41384"/>
    <s v="Hillaert"/>
    <s v="Thimo"/>
    <d v="2003-12-26T00:00:00"/>
    <n v="2003"/>
    <x v="47"/>
    <n v="4"/>
  </r>
  <r>
    <n v="41482"/>
    <s v="Özdemir"/>
    <s v="Osman"/>
    <d v="1978-12-13T00:00:00"/>
    <n v="1978"/>
    <x v="7"/>
    <n v="3"/>
  </r>
  <r>
    <n v="41520"/>
    <s v="Smets"/>
    <s v="Avery"/>
    <d v="1996-01-12T00:00:00"/>
    <n v="1996"/>
    <x v="37"/>
    <n v="3"/>
  </r>
  <r>
    <n v="41521"/>
    <s v="Calinalti"/>
    <s v="Bekir"/>
    <d v="1985-03-09T00:00:00"/>
    <n v="1985"/>
    <x v="25"/>
    <n v="0"/>
  </r>
  <r>
    <n v="41550"/>
    <s v="Timmerman"/>
    <s v="Bjorn"/>
    <d v="1986-09-22T00:00:00"/>
    <n v="1986"/>
    <x v="26"/>
    <n v="0"/>
  </r>
  <r>
    <n v="41588"/>
    <s v="Naessens"/>
    <s v="Yves"/>
    <d v="1965-10-08T00:00:00"/>
    <n v="1965"/>
    <x v="4"/>
    <n v="2"/>
  </r>
  <r>
    <n v="41619"/>
    <s v="Bachiri"/>
    <s v="Ousama"/>
    <d v="1990-11-27T00:00:00"/>
    <n v="1990"/>
    <x v="30"/>
    <n v="3"/>
  </r>
  <r>
    <n v="41632"/>
    <s v="Van Eeckhaut"/>
    <s v="Rudi"/>
    <d v="1967-10-22T00:00:00"/>
    <n v="1967"/>
    <x v="18"/>
    <n v="0"/>
  </r>
  <r>
    <n v="41671"/>
    <s v="Hasan"/>
    <s v="Salem"/>
    <d v="1988-08-02T00:00:00"/>
    <n v="1988"/>
    <x v="27"/>
    <n v="1"/>
  </r>
  <r>
    <n v="41685"/>
    <s v="Zjarmi"/>
    <s v="Hylgis"/>
    <d v="2003-05-26T00:00:00"/>
    <n v="2003"/>
    <x v="47"/>
    <n v="0"/>
  </r>
  <r>
    <n v="41690"/>
    <s v="Van de Winckel"/>
    <s v="Kelly"/>
    <d v="1986-02-28T00:00:00"/>
    <n v="1986"/>
    <x v="26"/>
    <n v="1"/>
  </r>
  <r>
    <n v="41710"/>
    <s v="Ghani"/>
    <s v="Fazal"/>
    <d v="1969-07-21T00:00:00"/>
    <n v="1969"/>
    <x v="1"/>
    <n v="1"/>
  </r>
  <r>
    <n v="41721"/>
    <s v="Nolf"/>
    <s v="Philippe"/>
    <d v="1971-05-20T00:00:00"/>
    <n v="1971"/>
    <x v="17"/>
    <n v="1"/>
  </r>
  <r>
    <n v="41786"/>
    <s v="Diels"/>
    <s v="Nick"/>
    <d v="1995-01-25T00:00:00"/>
    <n v="1995"/>
    <x v="34"/>
    <n v="1"/>
  </r>
  <r>
    <n v="41821"/>
    <s v="Kasmi"/>
    <s v="Abdesamad"/>
    <d v="2003-06-20T00:00:00"/>
    <n v="2003"/>
    <x v="47"/>
    <n v="0"/>
  </r>
  <r>
    <n v="41870"/>
    <s v="Goossens"/>
    <s v="Yannick"/>
    <d v="1999-08-18T00:00:00"/>
    <n v="1999"/>
    <x v="38"/>
    <n v="1"/>
  </r>
  <r>
    <n v="41871"/>
    <s v="Karanfil"/>
    <s v="Ibrahim"/>
    <d v="1999-07-16T00:00:00"/>
    <n v="1999"/>
    <x v="38"/>
    <n v="2"/>
  </r>
  <r>
    <n v="41874"/>
    <s v="Dobbeleire"/>
    <s v="Bruno"/>
    <d v="1971-07-29T00:00:00"/>
    <n v="1971"/>
    <x v="17"/>
    <n v="3"/>
  </r>
  <r>
    <n v="41882"/>
    <s v="Van der Bauwhede"/>
    <s v="Ben"/>
    <d v="1988-12-02T00:00:00"/>
    <n v="1988"/>
    <x v="27"/>
    <n v="0"/>
  </r>
  <r>
    <n v="41888"/>
    <s v="De Rammelaere"/>
    <s v="Bjorn"/>
    <d v="1978-03-11T00:00:00"/>
    <n v="1978"/>
    <x v="7"/>
    <n v="1"/>
  </r>
  <r>
    <n v="41918"/>
    <s v="Babai"/>
    <s v="Saber"/>
    <d v="1984-01-02T00:00:00"/>
    <n v="1984"/>
    <x v="23"/>
    <n v="1"/>
  </r>
  <r>
    <n v="41944"/>
    <s v="Tuncer"/>
    <s v="Hamza"/>
    <d v="2000-01-12T00:00:00"/>
    <n v="2000"/>
    <x v="43"/>
    <n v="0"/>
  </r>
  <r>
    <n v="41948"/>
    <s v="Vervaecke"/>
    <s v="Wim"/>
    <d v="1966-05-03T00:00:00"/>
    <n v="1966"/>
    <x v="0"/>
    <n v="2"/>
  </r>
  <r>
    <n v="41949"/>
    <s v="Van Loo"/>
    <s v="Mike"/>
    <d v="1987-09-29T00:00:00"/>
    <n v="1987"/>
    <x v="28"/>
    <n v="0"/>
  </r>
  <r>
    <n v="42002"/>
    <s v="Bogaert"/>
    <s v="Kevin"/>
    <d v="2003-02-18T00:00:00"/>
    <n v="2003"/>
    <x v="47"/>
    <n v="3"/>
  </r>
  <r>
    <n v="42015"/>
    <s v="Crop"/>
    <s v="Alexander"/>
    <d v="1985-10-05T00:00:00"/>
    <n v="1985"/>
    <x v="25"/>
    <n v="1"/>
  </r>
  <r>
    <n v="42022"/>
    <s v="Safi"/>
    <s v="Amrullah"/>
    <d v="1999-03-06T00:00:00"/>
    <n v="1999"/>
    <x v="38"/>
    <n v="0"/>
  </r>
  <r>
    <n v="42044"/>
    <s v="El Gana"/>
    <s v="Karim"/>
    <d v="1991-09-19T00:00:00"/>
    <n v="1991"/>
    <x v="36"/>
    <n v="1"/>
  </r>
  <r>
    <n v="42082"/>
    <s v="Ahmad"/>
    <s v="Othman"/>
    <d v="2003-06-24T00:00:00"/>
    <n v="2003"/>
    <x v="47"/>
    <n v="1"/>
  </r>
  <r>
    <n v="42120"/>
    <s v="De Bruycker"/>
    <s v="Dylan"/>
    <d v="2006-04-25T00:00:00"/>
    <n v="2006"/>
    <x v="49"/>
    <n v="1"/>
  </r>
  <r>
    <n v="42141"/>
    <s v="Verniers"/>
    <s v="Mike"/>
    <d v="1994-05-31T00:00:00"/>
    <n v="1994"/>
    <x v="35"/>
    <n v="0"/>
  </r>
  <r>
    <n v="42143"/>
    <s v="Rahoens"/>
    <s v="Christ"/>
    <d v="1988-01-12T00:00:00"/>
    <n v="1988"/>
    <x v="27"/>
    <n v="1"/>
  </r>
  <r>
    <n v="42144"/>
    <s v="Coppens"/>
    <s v="Lauwrence"/>
    <d v="1996-10-29T00:00:00"/>
    <n v="1996"/>
    <x v="37"/>
    <n v="0"/>
  </r>
  <r>
    <n v="42145"/>
    <s v="Gys"/>
    <s v="Shayya"/>
    <d v="2001-01-03T00:00:00"/>
    <n v="2001"/>
    <x v="44"/>
    <n v="2"/>
  </r>
  <r>
    <n v="42146"/>
    <s v="Cichonski"/>
    <s v="Kamil"/>
    <d v="1993-10-09T00:00:00"/>
    <n v="1993"/>
    <x v="33"/>
    <n v="3"/>
  </r>
  <r>
    <n v="42164"/>
    <s v="Orozco Camacho"/>
    <s v="Ronald Reynaldo"/>
    <d v="1984-03-26T00:00:00"/>
    <n v="1984"/>
    <x v="23"/>
    <n v="0"/>
  </r>
  <r>
    <n v="42195"/>
    <s v="Aissati"/>
    <s v="Ridouan"/>
    <d v="1991-08-15T00:00:00"/>
    <n v="1991"/>
    <x v="36"/>
    <n v="0"/>
  </r>
  <r>
    <n v="42196"/>
    <s v="Rombaut"/>
    <s v="Timo"/>
    <d v="2001-12-26T00:00:00"/>
    <n v="2001"/>
    <x v="44"/>
    <n v="0"/>
  </r>
  <r>
    <n v="42211"/>
    <s v="Akbulut"/>
    <s v="Samed"/>
    <d v="2000-03-19T00:00:00"/>
    <n v="2000"/>
    <x v="43"/>
    <n v="0"/>
  </r>
  <r>
    <n v="42218"/>
    <s v="Özer"/>
    <s v="Metehan"/>
    <d v="2001-11-20T00:00:00"/>
    <n v="2001"/>
    <x v="44"/>
    <n v="1"/>
  </r>
  <r>
    <n v="42249"/>
    <s v="Bontinck"/>
    <s v="Stephan"/>
    <d v="1968-01-20T00:00:00"/>
    <n v="1968"/>
    <x v="16"/>
    <n v="1"/>
  </r>
  <r>
    <n v="42252"/>
    <s v="Sular"/>
    <s v="Abdullah"/>
    <d v="2003-06-10T00:00:00"/>
    <n v="2003"/>
    <x v="47"/>
    <n v="5"/>
  </r>
  <r>
    <n v="42269"/>
    <s v="Ahmed"/>
    <s v="Abdul"/>
    <d v="2000-04-26T00:00:00"/>
    <n v="2000"/>
    <x v="43"/>
    <n v="0"/>
  </r>
  <r>
    <n v="42277"/>
    <s v="Güler"/>
    <s v="Ender"/>
    <d v="1983-07-21T00:00:00"/>
    <n v="1983"/>
    <x v="20"/>
    <n v="1"/>
  </r>
  <r>
    <n v="42307"/>
    <s v="Helleputte"/>
    <s v="Jens"/>
    <d v="2000-11-16T00:00:00"/>
    <n v="2000"/>
    <x v="43"/>
    <n v="3"/>
  </r>
  <r>
    <n v="42336"/>
    <s v="Camgöz"/>
    <s v="Furkan"/>
    <d v="2004-09-23T00:00:00"/>
    <n v="2004"/>
    <x v="46"/>
    <n v="1"/>
  </r>
  <r>
    <n v="42358"/>
    <s v="Keita"/>
    <s v="Yassin"/>
    <d v="2006-05-03T00:00:00"/>
    <n v="2006"/>
    <x v="49"/>
    <n v="0"/>
  </r>
  <r>
    <n v="42391"/>
    <s v="Blancquaert"/>
    <s v="Peter"/>
    <d v="1961-11-02T00:00:00"/>
    <n v="1961"/>
    <x v="19"/>
    <n v="0"/>
  </r>
  <r>
    <n v="42393"/>
    <s v="AL-Haddad"/>
    <s v="Rashid"/>
    <d v="1979-05-12T00:00:00"/>
    <n v="1979"/>
    <x v="12"/>
    <n v="0"/>
  </r>
  <r>
    <n v="42558"/>
    <s v="Sahbaz"/>
    <s v="Celal"/>
    <d v="2003-06-22T00:00:00"/>
    <n v="2003"/>
    <x v="47"/>
    <n v="0"/>
  </r>
  <r>
    <n v="4419"/>
    <s v="Maelbrancke"/>
    <s v="Eddy"/>
    <d v="1965-08-04T00:00:00"/>
    <n v="1965"/>
    <x v="4"/>
    <n v="4"/>
  </r>
  <r>
    <n v="4525"/>
    <s v="Vanthomme"/>
    <s v="Geert"/>
    <d v="1965-09-16T00:00:00"/>
    <n v="1965"/>
    <x v="4"/>
    <n v="0"/>
  </r>
  <r>
    <n v="4608"/>
    <s v="Steenbrugge"/>
    <s v="Johan"/>
    <d v="1963-01-18T00:00:00"/>
    <n v="1963"/>
    <x v="6"/>
    <n v="1"/>
  </r>
  <r>
    <n v="4720"/>
    <s v="De Roo"/>
    <s v="Jo"/>
    <d v="1966-02-08T00:00:00"/>
    <n v="1966"/>
    <x v="0"/>
    <n v="1"/>
  </r>
  <r>
    <n v="4764"/>
    <s v="Beke"/>
    <s v="Erik"/>
    <d v="1967-03-08T00:00:00"/>
    <n v="1967"/>
    <x v="18"/>
    <n v="0"/>
  </r>
  <r>
    <n v="4793"/>
    <s v="De Fré"/>
    <s v="Sandra"/>
    <d v="1968-11-18T00:00:00"/>
    <n v="1968"/>
    <x v="16"/>
    <n v="0"/>
  </r>
  <r>
    <n v="4943"/>
    <s v="Vervust"/>
    <s v="Guido"/>
    <d v="1962-12-10T00:00:00"/>
    <n v="1962"/>
    <x v="21"/>
    <n v="0"/>
  </r>
  <r>
    <n v="5061"/>
    <s v="De Clercq"/>
    <s v="Peter"/>
    <d v="1967-03-26T00:00:00"/>
    <n v="1967"/>
    <x v="18"/>
    <n v="0"/>
  </r>
  <r>
    <n v="5063"/>
    <s v="Merre"/>
    <s v="Bart"/>
    <d v="1968-11-18T00:00:00"/>
    <n v="1968"/>
    <x v="16"/>
    <n v="1"/>
  </r>
  <r>
    <n v="5080"/>
    <s v="Van Damme"/>
    <s v="Karin"/>
    <d v="1966-11-09T00:00:00"/>
    <n v="1966"/>
    <x v="0"/>
    <n v="0"/>
  </r>
  <r>
    <n v="5559"/>
    <s v="Hoste"/>
    <s v="Tania"/>
    <d v="1968-02-01T00:00:00"/>
    <n v="1968"/>
    <x v="16"/>
    <n v="2"/>
  </r>
  <r>
    <n v="5599"/>
    <s v="Pretel"/>
    <s v="Philippe"/>
    <d v="1967-03-20T00:00:00"/>
    <n v="1967"/>
    <x v="18"/>
    <n v="1"/>
  </r>
  <r>
    <n v="5718"/>
    <s v="Dejonckheere"/>
    <s v="Inge"/>
    <d v="1968-09-17T00:00:00"/>
    <n v="1968"/>
    <x v="16"/>
    <n v="2"/>
  </r>
  <r>
    <n v="5813"/>
    <s v="Binard"/>
    <s v="Sabine"/>
    <d v="1968-05-03T00:00:00"/>
    <n v="1968"/>
    <x v="16"/>
    <n v="1"/>
  </r>
  <r>
    <n v="6049"/>
    <s v="Jouret"/>
    <s v="Alain"/>
    <d v="1965-07-19T00:00:00"/>
    <n v="1965"/>
    <x v="4"/>
    <n v="0"/>
  </r>
  <r>
    <n v="6067"/>
    <s v="Vantilcke"/>
    <s v="Fabien"/>
    <d v="1970-02-11T00:00:00"/>
    <n v="1970"/>
    <x v="8"/>
    <n v="0"/>
  </r>
  <r>
    <n v="6092"/>
    <s v="Boone"/>
    <s v="Pascal"/>
    <d v="1965-09-01T00:00:00"/>
    <n v="1965"/>
    <x v="4"/>
    <n v="0"/>
  </r>
  <r>
    <n v="6229"/>
    <s v="De Meyer"/>
    <s v="Antoon"/>
    <d v="1956-11-14T00:00:00"/>
    <n v="1956"/>
    <x v="48"/>
    <n v="1"/>
  </r>
  <r>
    <n v="6309"/>
    <s v="Busson"/>
    <s v="Dirk"/>
    <d v="1971-08-02T00:00:00"/>
    <n v="1971"/>
    <x v="17"/>
    <n v="0"/>
  </r>
  <r>
    <n v="7422"/>
    <s v="Martens"/>
    <s v="Dominique"/>
    <d v="1973-10-19T00:00:00"/>
    <n v="1973"/>
    <x v="5"/>
    <n v="0"/>
  </r>
  <r>
    <n v="7746"/>
    <s v="Aelterman"/>
    <s v="Didier"/>
    <d v="1964-04-30T00:00:00"/>
    <n v="1964"/>
    <x v="9"/>
    <n v="1"/>
  </r>
  <r>
    <n v="7748"/>
    <s v="Baetslé"/>
    <s v="Stephen"/>
    <d v="1969-02-28T00:00:00"/>
    <n v="1969"/>
    <x v="1"/>
    <n v="0"/>
  </r>
  <r>
    <n v="8016"/>
    <s v="Vinck"/>
    <s v="Roland"/>
    <d v="1967-03-24T00:00:00"/>
    <n v="1967"/>
    <x v="18"/>
    <n v="2"/>
  </r>
  <r>
    <n v="8196"/>
    <s v="Remue"/>
    <s v="Wim"/>
    <d v="1970-12-20T00:00:00"/>
    <n v="1970"/>
    <x v="8"/>
    <n v="0"/>
  </r>
  <r>
    <n v="8391"/>
    <s v="Lucq"/>
    <s v="Joeri"/>
    <d v="1970-02-28T00:00:00"/>
    <n v="1970"/>
    <x v="8"/>
    <n v="1"/>
  </r>
  <r>
    <n v="8393"/>
    <s v="Priem"/>
    <s v="Sandra"/>
    <d v="1972-03-22T00:00:00"/>
    <n v="1972"/>
    <x v="13"/>
    <n v="0"/>
  </r>
  <r>
    <n v="8394"/>
    <s v="Smet"/>
    <s v="Antoon"/>
    <d v="1973-11-28T00:00:00"/>
    <n v="1973"/>
    <x v="5"/>
    <n v="4"/>
  </r>
  <r>
    <n v="8708"/>
    <s v="Middernacht"/>
    <s v="Andy"/>
    <d v="1975-06-26T00:00:00"/>
    <n v="1975"/>
    <x v="10"/>
    <n v="1"/>
  </r>
  <r>
    <n v="8792"/>
    <s v="VandenDaele"/>
    <s v="Dave"/>
    <d v="1976-05-30T00:00:00"/>
    <n v="1976"/>
    <x v="2"/>
    <n v="0"/>
  </r>
  <r>
    <n v="8918"/>
    <s v="De Graeve"/>
    <s v="Marc"/>
    <d v="1963-06-10T00:00:00"/>
    <n v="1963"/>
    <x v="6"/>
    <n v="1"/>
  </r>
  <r>
    <n v="9062"/>
    <s v="Westelinck"/>
    <s v="Davy"/>
    <d v="1972-11-30T00:00:00"/>
    <n v="1972"/>
    <x v="13"/>
    <n v="1"/>
  </r>
  <r>
    <n v="9065"/>
    <s v="Dewispelaere"/>
    <s v="Danny"/>
    <d v="1967-08-10T00:00:00"/>
    <n v="1967"/>
    <x v="18"/>
    <n v="1"/>
  </r>
  <r>
    <n v="9158"/>
    <s v="De Weirdt"/>
    <s v="Ronny"/>
    <d v="1971-07-05T00:00:00"/>
    <n v="1971"/>
    <x v="17"/>
    <n v="1"/>
  </r>
  <r>
    <n v="9667"/>
    <s v="Lust"/>
    <s v="Dominiek"/>
    <d v="1972-01-13T00:00:00"/>
    <n v="1972"/>
    <x v="13"/>
    <n v="0"/>
  </r>
  <r>
    <n v="9824"/>
    <s v="De Meulenaere"/>
    <s v="Eric"/>
    <d v="1965-02-11T00:00:00"/>
    <n v="1965"/>
    <x v="4"/>
    <n v="1"/>
  </r>
  <r>
    <n v="9979"/>
    <s v="Loots"/>
    <s v="Wim"/>
    <d v="1976-10-20T00:00:00"/>
    <n v="1976"/>
    <x v="2"/>
    <n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4">
  <r>
    <s v="De Clercq, Marc"/>
    <s v="Marc"/>
    <s v="De Clercq"/>
    <n v="3926"/>
    <s v="Van Der Beken, Bart"/>
    <x v="0"/>
    <x v="0"/>
    <n v="0"/>
  </r>
  <r>
    <s v="Maelbrancke, Eddy"/>
    <s v="Eddy"/>
    <s v="Maelbrancke"/>
    <n v="4419"/>
    <s v="Vande Velde, Lucie"/>
    <x v="1"/>
    <x v="1"/>
    <n v="4"/>
  </r>
  <r>
    <s v="Vanthomme, Geert"/>
    <s v="Geert"/>
    <s v="Vanthomme"/>
    <n v="4525"/>
    <s v="De Rick, Kenneth"/>
    <x v="2"/>
    <x v="2"/>
    <n v="0"/>
  </r>
  <r>
    <s v="Steenbrugge, Johan"/>
    <s v="Johan"/>
    <s v="Steenbrugge"/>
    <n v="4608"/>
    <s v="Vande Velde, Lucie"/>
    <x v="3"/>
    <x v="2"/>
    <n v="1"/>
  </r>
  <r>
    <s v="De Roo, Jo"/>
    <s v="Jo"/>
    <s v="De Roo"/>
    <n v="4720"/>
    <s v="Vanhoe, Els"/>
    <x v="4"/>
    <x v="2"/>
    <n v="1"/>
  </r>
  <r>
    <s v="Beke, Erik"/>
    <s v="Erik"/>
    <s v="Beke"/>
    <n v="4764"/>
    <s v="Van Der Beken, Bart"/>
    <x v="5"/>
    <x v="3"/>
    <n v="0"/>
  </r>
  <r>
    <s v="De Fré, Sandra"/>
    <s v="Sandra"/>
    <s v="De Fré"/>
    <n v="4793"/>
    <s v="Vande Velde, Lucie"/>
    <x v="6"/>
    <x v="3"/>
    <n v="0"/>
  </r>
  <r>
    <s v="Vervust, Guido"/>
    <s v="Guido"/>
    <s v="Vervust"/>
    <n v="4943"/>
    <s v="Dewulf, Els"/>
    <x v="7"/>
    <x v="3"/>
    <n v="0"/>
  </r>
  <r>
    <s v="De Clercq, Peter"/>
    <s v="Peter"/>
    <s v="De Clercq"/>
    <n v="5061"/>
    <s v="De Rick, Kenneth"/>
    <x v="8"/>
    <x v="4"/>
    <n v="0"/>
  </r>
  <r>
    <s v="Merre, Bart"/>
    <s v="Bart"/>
    <s v="Merre"/>
    <n v="5063"/>
    <s v="Vande Velde, Lucie"/>
    <x v="8"/>
    <x v="4"/>
    <n v="1"/>
  </r>
  <r>
    <s v="Van Damme, Karin"/>
    <s v="Karin"/>
    <s v="Van Damme"/>
    <n v="5080"/>
    <s v="Vanhoe, Els"/>
    <x v="9"/>
    <x v="4"/>
    <n v="0"/>
  </r>
  <r>
    <s v="Hoste, Tania"/>
    <s v="Tania"/>
    <s v="Hoste"/>
    <n v="5559"/>
    <s v="Storm, Steven"/>
    <x v="10"/>
    <x v="4"/>
    <n v="2"/>
  </r>
  <r>
    <s v="Pretel, Philippe"/>
    <s v="Philippe"/>
    <s v="Pretel"/>
    <n v="5599"/>
    <s v="Storm, Steven"/>
    <x v="11"/>
    <x v="5"/>
    <n v="1"/>
  </r>
  <r>
    <s v="Dejonckheere, Inge"/>
    <s v="Inge"/>
    <s v="Dejonckheere"/>
    <n v="5718"/>
    <s v="De Rick, Kenneth"/>
    <x v="12"/>
    <x v="5"/>
    <n v="2"/>
  </r>
  <r>
    <s v="Binard, Sabine"/>
    <s v="Sabine"/>
    <s v="Binard"/>
    <n v="5813"/>
    <s v="Vande Velde, Lucie"/>
    <x v="13"/>
    <x v="5"/>
    <n v="1"/>
  </r>
  <r>
    <s v="Jouret, Alain"/>
    <s v="Alain"/>
    <s v="Jouret"/>
    <n v="6049"/>
    <s v="Vande Velde, Lucie"/>
    <x v="14"/>
    <x v="5"/>
    <n v="0"/>
  </r>
  <r>
    <s v="Vantilcke, Fabien"/>
    <s v="Fabien"/>
    <s v="Vantilcke"/>
    <n v="6067"/>
    <s v="Vande Velde, Lucie"/>
    <x v="15"/>
    <x v="5"/>
    <n v="0"/>
  </r>
  <r>
    <s v="Boone, Pascal"/>
    <s v="Pascal"/>
    <s v="Boone"/>
    <n v="6092"/>
    <s v="Storm, Steven"/>
    <x v="16"/>
    <x v="5"/>
    <n v="0"/>
  </r>
  <r>
    <s v="De Meyer, Antoon"/>
    <s v="Antoon"/>
    <s v="De Meyer"/>
    <n v="6229"/>
    <s v="Vanhoe, Els"/>
    <x v="17"/>
    <x v="6"/>
    <n v="1"/>
  </r>
  <r>
    <s v="Busson, Dirk"/>
    <s v="Dirk"/>
    <s v="Busson"/>
    <n v="6309"/>
    <s v="De Rick, Kenneth"/>
    <x v="18"/>
    <x v="6"/>
    <n v="0"/>
  </r>
  <r>
    <s v="Martens, Dominique"/>
    <s v="Dominique"/>
    <s v="Martens"/>
    <n v="7422"/>
    <s v="Van Der Beken, Bart"/>
    <x v="19"/>
    <x v="7"/>
    <n v="0"/>
  </r>
  <r>
    <s v="Aelterman, Didier"/>
    <s v="Didier"/>
    <s v="Aelterman"/>
    <n v="7746"/>
    <s v="Rotty, Christoff"/>
    <x v="20"/>
    <x v="7"/>
    <n v="1"/>
  </r>
  <r>
    <s v="Baetslé, Stephen"/>
    <s v="Stephen"/>
    <s v="Baetslé"/>
    <n v="7748"/>
    <s v="Vande Velde, Lucie"/>
    <x v="20"/>
    <x v="7"/>
    <n v="0"/>
  </r>
  <r>
    <s v="Vinck, Roland"/>
    <s v="Roland"/>
    <s v="Vinck"/>
    <n v="8016"/>
    <s v="De Clercq, Dominique"/>
    <x v="21"/>
    <x v="8"/>
    <n v="2"/>
  </r>
  <r>
    <s v="Remue, Wim"/>
    <s v="Wim"/>
    <s v="Remue"/>
    <n v="8196"/>
    <s v="Rotty, Christoff"/>
    <x v="22"/>
    <x v="8"/>
    <n v="0"/>
  </r>
  <r>
    <s v="Lucq, Joeri"/>
    <s v="Joeri"/>
    <s v="Lucq"/>
    <n v="8391"/>
    <s v="Vanhoe, Els"/>
    <x v="23"/>
    <x v="8"/>
    <n v="1"/>
  </r>
  <r>
    <s v="Priem, Sandra"/>
    <s v="Sandra"/>
    <s v="Priem"/>
    <n v="8393"/>
    <s v="Storm, Steven"/>
    <x v="23"/>
    <x v="8"/>
    <n v="0"/>
  </r>
  <r>
    <s v="Smet, Antoon"/>
    <s v="Antoon"/>
    <s v="Smet"/>
    <n v="8394"/>
    <s v="Vande Velde, Lucie"/>
    <x v="23"/>
    <x v="8"/>
    <n v="4"/>
  </r>
  <r>
    <s v="Middernacht, Andy"/>
    <s v="Andy"/>
    <s v="Middernacht"/>
    <n v="8708"/>
    <s v="Vande Velde, Lucie"/>
    <x v="24"/>
    <x v="8"/>
    <n v="1"/>
  </r>
  <r>
    <s v="VandenDaele, Dave"/>
    <s v="Dave"/>
    <s v="VandenDaele"/>
    <n v="8792"/>
    <s v="Van Der Beken, Bart"/>
    <x v="25"/>
    <x v="8"/>
    <n v="0"/>
  </r>
  <r>
    <s v="De Graeve, Marc"/>
    <s v="Marc"/>
    <s v="De Graeve"/>
    <n v="8918"/>
    <s v="De Rick, Kenneth"/>
    <x v="26"/>
    <x v="8"/>
    <n v="1"/>
  </r>
  <r>
    <s v="Lust, Dominiek"/>
    <s v="Dominiek"/>
    <s v="Lust"/>
    <n v="9667"/>
    <s v="De Rick, Kenneth"/>
    <x v="27"/>
    <x v="9"/>
    <n v="0"/>
  </r>
  <r>
    <s v="Westelinck, Davy"/>
    <s v="Davy"/>
    <s v="Westelinck"/>
    <n v="9062"/>
    <s v="De Rick, Kenneth"/>
    <x v="28"/>
    <x v="9"/>
    <n v="1"/>
  </r>
  <r>
    <s v="Dewispelaere, Danny"/>
    <s v="Danny"/>
    <s v="Dewispelaere"/>
    <n v="9065"/>
    <s v="Vanhoe, Els"/>
    <x v="28"/>
    <x v="9"/>
    <n v="1"/>
  </r>
  <r>
    <s v="De Weirdt, Ronny"/>
    <s v="Ronny"/>
    <s v="De Weirdt"/>
    <n v="9158"/>
    <s v="Storm, Steven"/>
    <x v="29"/>
    <x v="9"/>
    <n v="1"/>
  </r>
  <r>
    <s v="De Meulenaere, Eric"/>
    <s v="Eric"/>
    <s v="De Meulenaere"/>
    <n v="9824"/>
    <s v="Storm, Steven"/>
    <x v="30"/>
    <x v="9"/>
    <n v="1"/>
  </r>
  <r>
    <s v="Loots, Wim"/>
    <s v="Wim"/>
    <s v="Loots"/>
    <n v="9979"/>
    <s v="Van Der Beken, Bart"/>
    <x v="31"/>
    <x v="10"/>
    <n v="0"/>
  </r>
  <r>
    <s v="Vandenbogaerde, Tony"/>
    <s v="Tony"/>
    <s v="Vandenbogaerde"/>
    <n v="10150"/>
    <s v="Storm, Steven"/>
    <x v="32"/>
    <x v="10"/>
    <n v="1"/>
  </r>
  <r>
    <s v="Eggermont, Wim"/>
    <s v="Wim"/>
    <s v="Eggermont"/>
    <n v="10324"/>
    <s v="Van Der Beken, Bart"/>
    <x v="33"/>
    <x v="10"/>
    <n v="1"/>
  </r>
  <r>
    <s v="Lefebvre, Olivier"/>
    <s v="Olivier"/>
    <s v="Lefebvre"/>
    <n v="10326"/>
    <s v="Van Der Beken, Bart"/>
    <x v="33"/>
    <x v="10"/>
    <n v="0"/>
  </r>
  <r>
    <s v="De Kee, Ina"/>
    <s v="Ina"/>
    <s v="De Kee"/>
    <n v="10782"/>
    <s v="De Rick, Kenneth"/>
    <x v="34"/>
    <x v="10"/>
    <n v="1"/>
  </r>
  <r>
    <s v="Seeuws, Marnic"/>
    <s v="Marnic"/>
    <s v="Seeuws"/>
    <n v="11021"/>
    <s v="Storm, Steven"/>
    <x v="35"/>
    <x v="11"/>
    <n v="1"/>
  </r>
  <r>
    <s v="Goethals, Jeffrey"/>
    <s v="Jeffrey"/>
    <s v="Goethals"/>
    <n v="11023"/>
    <s v="Vanhoe, Els"/>
    <x v="35"/>
    <x v="11"/>
    <n v="1"/>
  </r>
  <r>
    <s v="De Vrieze, Ludo"/>
    <s v="Ludo"/>
    <s v="De Vrieze"/>
    <n v="11120"/>
    <s v="Vande Velde, Lucie"/>
    <x v="36"/>
    <x v="11"/>
    <n v="1"/>
  </r>
  <r>
    <s v="De Plus, Gunter"/>
    <s v="Gunter"/>
    <s v="De Plus"/>
    <n v="11213"/>
    <s v="Van Der Beken, Bart"/>
    <x v="37"/>
    <x v="11"/>
    <n v="1"/>
  </r>
  <r>
    <s v="Baert, Freddy"/>
    <s v="Freddy"/>
    <s v="Baert"/>
    <n v="11236"/>
    <s v="Van Der Beken, Bart"/>
    <x v="38"/>
    <x v="11"/>
    <n v="4"/>
  </r>
  <r>
    <s v="Beeckman, Nico"/>
    <s v="Nico"/>
    <s v="Beeckman"/>
    <n v="11508"/>
    <s v="Vande Velde, Lucie"/>
    <x v="39"/>
    <x v="11"/>
    <n v="1"/>
  </r>
  <r>
    <s v="Bolle, Pascal"/>
    <s v="Pascal"/>
    <s v="Bolle"/>
    <n v="11866"/>
    <s v="Vande Velde, Lucie"/>
    <x v="40"/>
    <x v="12"/>
    <n v="1"/>
  </r>
  <r>
    <s v="De Cooman, Kurt"/>
    <s v="Kurt"/>
    <s v="De Cooman"/>
    <n v="12024"/>
    <s v="Vande Velde, Lucie"/>
    <x v="41"/>
    <x v="12"/>
    <n v="1"/>
  </r>
  <r>
    <s v="Van Vliet, Tom"/>
    <s v="Tom"/>
    <s v="Van Vliet"/>
    <n v="12124"/>
    <s v="Storm, Steven"/>
    <x v="42"/>
    <x v="12"/>
    <n v="5"/>
  </r>
  <r>
    <s v="De Feyter, David"/>
    <s v="David"/>
    <s v="De Feyter"/>
    <n v="12173"/>
    <s v="Vanhoe, Els"/>
    <x v="43"/>
    <x v="12"/>
    <n v="1"/>
  </r>
  <r>
    <s v="De Smet, Kenneth"/>
    <s v="Kenneth"/>
    <s v="De Smet"/>
    <n v="12514"/>
    <s v="Vande Velde, Lucie"/>
    <x v="44"/>
    <x v="12"/>
    <n v="1"/>
  </r>
  <r>
    <s v="Van Den Bossche, Martine"/>
    <s v="Martine"/>
    <s v="Van Den Bossche"/>
    <n v="12684"/>
    <s v="Vanhoe, Els"/>
    <x v="45"/>
    <x v="12"/>
    <n v="3"/>
  </r>
  <r>
    <s v="Van Eenaeme, David"/>
    <s v="David"/>
    <s v="Van Eenaeme"/>
    <n v="12819"/>
    <s v="Van Der Beken, Bart"/>
    <x v="46"/>
    <x v="12"/>
    <n v="1"/>
  </r>
  <r>
    <s v="Riobello-Olalla, Wesley"/>
    <s v="Wesley"/>
    <s v="Riobello-Olalla"/>
    <n v="13017"/>
    <s v="De Rick, Kenneth"/>
    <x v="47"/>
    <x v="13"/>
    <n v="0"/>
  </r>
  <r>
    <s v="De Geyter, Claudine"/>
    <s v="Claudine"/>
    <s v="De Geyter"/>
    <n v="13088"/>
    <s v="De Clercq, Dominique"/>
    <x v="48"/>
    <x v="13"/>
    <n v="1"/>
  </r>
  <r>
    <s v="Oosterlinck, Jan"/>
    <s v="Jan"/>
    <s v="Oosterlinck"/>
    <n v="13089"/>
    <s v="Rotty, Christoff"/>
    <x v="48"/>
    <x v="13"/>
    <n v="1"/>
  </r>
  <r>
    <s v="Eeckhout, Steve"/>
    <s v="Steve"/>
    <s v="Eeckhout"/>
    <n v="13257"/>
    <s v="De Rick, Kenneth"/>
    <x v="49"/>
    <x v="13"/>
    <n v="0"/>
  </r>
  <r>
    <s v="Schijvens, Ronny"/>
    <s v="Ronny"/>
    <s v="Schijvens"/>
    <n v="13345"/>
    <s v="De Rick, Kenneth"/>
    <x v="50"/>
    <x v="13"/>
    <n v="1"/>
  </r>
  <r>
    <s v="Kirdas, Ramazan"/>
    <s v="Ramazan"/>
    <s v="Kirdas"/>
    <n v="13398"/>
    <s v="De Clercq, Dominique"/>
    <x v="51"/>
    <x v="13"/>
    <n v="1"/>
  </r>
  <r>
    <s v="De Weirt, Chris"/>
    <s v="Chris"/>
    <s v="De Weirt"/>
    <n v="14021"/>
    <s v="Storm, Steven"/>
    <x v="52"/>
    <x v="13"/>
    <n v="0"/>
  </r>
  <r>
    <s v="Van Kerckhove, Sabine"/>
    <s v="Sabine"/>
    <s v="Van Kerckhove"/>
    <n v="14070"/>
    <s v="Dewulf, Els"/>
    <x v="53"/>
    <x v="13"/>
    <n v="0"/>
  </r>
  <r>
    <s v="Vervoort, Koen"/>
    <s v="Koen"/>
    <s v="Vervoort"/>
    <n v="14072"/>
    <s v="Vande Velde, Lucie"/>
    <x v="53"/>
    <x v="13"/>
    <n v="1"/>
  </r>
  <r>
    <s v="Vandaele, Sofie"/>
    <s v="Sofie"/>
    <s v="Vandaele"/>
    <n v="14261"/>
    <s v="Vanhoe, Els"/>
    <x v="54"/>
    <x v="14"/>
    <n v="2"/>
  </r>
  <r>
    <s v="Vandaele, Thibaut"/>
    <s v="Thibaut"/>
    <s v="Vandaele"/>
    <n v="14425"/>
    <s v="Van Der Beken, Bart"/>
    <x v="55"/>
    <x v="14"/>
    <n v="0"/>
  </r>
  <r>
    <s v="Rodrigue, Vincent"/>
    <s v="Vincent"/>
    <s v="Rodrigue"/>
    <n v="14625"/>
    <s v="Vande Velde, Lucie"/>
    <x v="56"/>
    <x v="14"/>
    <n v="1"/>
  </r>
  <r>
    <s v="De Mulder, Philip"/>
    <s v="Philip"/>
    <s v="De Mulder"/>
    <n v="14665"/>
    <s v="Van Der Beken, Bart"/>
    <x v="57"/>
    <x v="14"/>
    <n v="2"/>
  </r>
  <r>
    <s v="De paepe, Hilde"/>
    <s v="Hilde"/>
    <s v="De paepe"/>
    <n v="14667"/>
    <s v="Dewulf, Els"/>
    <x v="57"/>
    <x v="14"/>
    <n v="0"/>
  </r>
  <r>
    <s v="Laute, Dirk"/>
    <s v="Dirk"/>
    <s v="Laute"/>
    <n v="15088"/>
    <s v="Vanhoe, Els"/>
    <x v="58"/>
    <x v="14"/>
    <n v="2"/>
  </r>
  <r>
    <s v="Ackermans, Christian"/>
    <s v="Christian"/>
    <s v="Ackermans"/>
    <n v="15218"/>
    <s v="Vanhoe, Els"/>
    <x v="59"/>
    <x v="14"/>
    <n v="0"/>
  </r>
  <r>
    <s v="De Mey, Peter"/>
    <s v="Peter"/>
    <s v="De Mey"/>
    <n v="15219"/>
    <s v="Van Der Beken, Bart"/>
    <x v="59"/>
    <x v="14"/>
    <n v="1"/>
  </r>
  <r>
    <s v="Dejonghe, Katleen"/>
    <s v="Katleen"/>
    <s v="Dejonghe"/>
    <n v="15220"/>
    <s v="De Clercq, Dominique"/>
    <x v="59"/>
    <x v="14"/>
    <n v="1"/>
  </r>
  <r>
    <s v="Marinx, Kristoff"/>
    <s v="Kristoff"/>
    <s v="Marinx"/>
    <n v="15282"/>
    <s v="De Rick, Kenneth"/>
    <x v="60"/>
    <x v="14"/>
    <n v="2"/>
  </r>
  <r>
    <s v="Vandenberghe, Filip"/>
    <s v="Filip"/>
    <s v="Vandenberghe"/>
    <n v="15320"/>
    <s v="Vanhoe, Els"/>
    <x v="61"/>
    <x v="14"/>
    <n v="2"/>
  </r>
  <r>
    <s v="Dhondt, Frank"/>
    <s v="Frank"/>
    <s v="Dhondt"/>
    <n v="15412"/>
    <s v="Van Der Beken, Bart"/>
    <x v="62"/>
    <x v="15"/>
    <n v="2"/>
  </r>
  <r>
    <s v="Tondeleir, Ron"/>
    <s v="Ron"/>
    <s v="Tondeleir"/>
    <n v="15626"/>
    <s v="Van Der Beken, Bart"/>
    <x v="63"/>
    <x v="15"/>
    <n v="0"/>
  </r>
  <r>
    <s v="Wulfranck, Dominique"/>
    <s v="Dominique"/>
    <s v="Wulfranck"/>
    <n v="15628"/>
    <s v="De Rick, Kenneth"/>
    <x v="63"/>
    <x v="15"/>
    <n v="3"/>
  </r>
  <r>
    <s v="Mestdagh, Tony"/>
    <s v="Tony"/>
    <s v="Mestdagh"/>
    <n v="15676"/>
    <s v="Vande Velde, Lucie"/>
    <x v="64"/>
    <x v="15"/>
    <n v="1"/>
  </r>
  <r>
    <s v="Van Wezemael, Patrick"/>
    <s v="Patrick"/>
    <s v="Van Wezemael"/>
    <n v="15726"/>
    <s v="Van Der Beken, Bart"/>
    <x v="65"/>
    <x v="15"/>
    <n v="0"/>
  </r>
  <r>
    <s v="Petereyns, Vanessa"/>
    <s v="Vanessa"/>
    <s v="Petereyns"/>
    <n v="15852"/>
    <s v="De Rick, Kenneth"/>
    <x v="66"/>
    <x v="15"/>
    <n v="1"/>
  </r>
  <r>
    <s v="Bracke, Peter"/>
    <s v="Peter"/>
    <s v="Bracke"/>
    <n v="16094"/>
    <s v="De Rick, Kenneth"/>
    <x v="67"/>
    <x v="15"/>
    <n v="0"/>
  </r>
  <r>
    <s v="Rouan, Jeroen"/>
    <s v="Jeroen"/>
    <s v="Rouan"/>
    <n v="16095"/>
    <s v="De Rick, Kenneth"/>
    <x v="67"/>
    <x v="15"/>
    <n v="0"/>
  </r>
  <r>
    <s v="Meau, Tania"/>
    <s v="Tania"/>
    <s v="Meau"/>
    <n v="16098"/>
    <s v="Rotty, Christoff"/>
    <x v="67"/>
    <x v="15"/>
    <n v="0"/>
  </r>
  <r>
    <s v="Devriendt, Patrick"/>
    <s v="Patrick"/>
    <s v="Devriendt"/>
    <n v="16275"/>
    <s v="Dewulf, Els"/>
    <x v="68"/>
    <x v="15"/>
    <n v="1"/>
  </r>
  <r>
    <s v="Vermaete, Cynthia"/>
    <s v="Cynthia"/>
    <s v="Vermaete"/>
    <n v="16279"/>
    <s v="De Clercq, Dominique"/>
    <x v="68"/>
    <x v="15"/>
    <n v="0"/>
  </r>
  <r>
    <s v="Bouckhout, Ingeborg"/>
    <s v="Ingeborg"/>
    <s v="Bouckhout"/>
    <n v="16280"/>
    <s v="Vande Velde, Lucie"/>
    <x v="68"/>
    <x v="15"/>
    <n v="1"/>
  </r>
  <r>
    <s v="Vandecasteele, Ruth"/>
    <s v="Ruth"/>
    <s v="Vandecasteele"/>
    <n v="16282"/>
    <s v="De Rick, Kenneth"/>
    <x v="68"/>
    <x v="15"/>
    <n v="1"/>
  </r>
  <r>
    <s v="Toch, Erwin"/>
    <s v="Erwin"/>
    <s v="Toch"/>
    <n v="16545"/>
    <s v="Van Der Beken, Bart"/>
    <x v="69"/>
    <x v="16"/>
    <n v="2"/>
  </r>
  <r>
    <s v="Baert, Rosita"/>
    <s v="Rosita"/>
    <s v="Baert"/>
    <n v="16546"/>
    <s v="Rotty, Christoff"/>
    <x v="69"/>
    <x v="16"/>
    <n v="2"/>
  </r>
  <r>
    <s v="Notte, Nancy"/>
    <s v="Nancy"/>
    <s v="Notte"/>
    <n v="16623"/>
    <s v="Vanhoe, Els"/>
    <x v="70"/>
    <x v="16"/>
    <n v="0"/>
  </r>
  <r>
    <s v="Van Lauwe, Freddy"/>
    <s v="Freddy"/>
    <s v="Van Lauwe"/>
    <n v="16895"/>
    <s v="Van Der Beken, Bart"/>
    <x v="71"/>
    <x v="16"/>
    <n v="6"/>
  </r>
  <r>
    <s v="VandenDaele, Andy"/>
    <s v="Andy"/>
    <s v="VandenDaele"/>
    <n v="16897"/>
    <s v="Storm, Steven"/>
    <x v="71"/>
    <x v="16"/>
    <n v="2"/>
  </r>
  <r>
    <s v="Devriese, Luc"/>
    <s v="Luc"/>
    <s v="Devriese"/>
    <n v="16899"/>
    <s v="Storm, Steven"/>
    <x v="71"/>
    <x v="16"/>
    <n v="0"/>
  </r>
  <r>
    <s v="Lootens, Davy"/>
    <s v="Davy"/>
    <s v="Lootens"/>
    <n v="16970"/>
    <s v="Van Der Beken, Bart"/>
    <x v="72"/>
    <x v="16"/>
    <n v="0"/>
  </r>
  <r>
    <s v="Van Landschoot, Jürgen"/>
    <s v="Jürgen"/>
    <s v="Van Landschoot"/>
    <n v="16971"/>
    <s v="Van Der Beken, Bart"/>
    <x v="72"/>
    <x v="16"/>
    <n v="0"/>
  </r>
  <r>
    <s v="DeBisschop, Wendy"/>
    <s v="Wendy"/>
    <s v="DeBisschop"/>
    <n v="17555"/>
    <s v="Van Der Beken, Bart"/>
    <x v="73"/>
    <x v="16"/>
    <n v="1"/>
  </r>
  <r>
    <s v="Praet, Reginald"/>
    <s v="Reginald"/>
    <s v="Praet"/>
    <n v="17566"/>
    <s v="Van Der Beken, Bart"/>
    <x v="73"/>
    <x v="16"/>
    <n v="2"/>
  </r>
  <r>
    <s v="Van Imschoot, Marc"/>
    <s v="Marc"/>
    <s v="Van Imschoot"/>
    <n v="17929"/>
    <s v="Stubbe, Jarne"/>
    <x v="74"/>
    <x v="17"/>
    <n v="0"/>
  </r>
  <r>
    <s v="Idrisi, Hasana"/>
    <s v="Hasana"/>
    <s v="Idrisi"/>
    <n v="17931"/>
    <s v="Dewulf, Els"/>
    <x v="75"/>
    <x v="17"/>
    <n v="2"/>
  </r>
  <r>
    <s v="Lega, Claude"/>
    <s v="Claude"/>
    <s v="Lega"/>
    <n v="17951"/>
    <s v="Van Der Beken, Bart"/>
    <x v="76"/>
    <x v="17"/>
    <n v="1"/>
  </r>
  <r>
    <s v="Vanlerberghe, Rudy"/>
    <s v="Rudy"/>
    <s v="Vanlerberghe"/>
    <n v="17954"/>
    <s v="Vande Velde, Lucie"/>
    <x v="76"/>
    <x v="17"/>
    <n v="0"/>
  </r>
  <r>
    <s v="Van den Berghe, Kris"/>
    <s v="Kris"/>
    <s v="Van den Berghe"/>
    <n v="17955"/>
    <s v="Stubbe, Jarne"/>
    <x v="76"/>
    <x v="17"/>
    <n v="0"/>
  </r>
  <r>
    <s v="Van Wittenberge, Filip"/>
    <s v="Filip"/>
    <s v="Van Wittenberge"/>
    <n v="18051"/>
    <s v="Rotty, Christoff"/>
    <x v="77"/>
    <x v="17"/>
    <n v="3"/>
  </r>
  <r>
    <s v="David, Kurt"/>
    <s v="Kurt"/>
    <s v="David"/>
    <n v="18139"/>
    <s v="Van Der Beken, Bart"/>
    <x v="78"/>
    <x v="17"/>
    <n v="0"/>
  </r>
  <r>
    <s v="Platteau, Lydie"/>
    <s v="Lydie"/>
    <s v="Platteau"/>
    <n v="18141"/>
    <s v="Rotty, Christoff"/>
    <x v="78"/>
    <x v="17"/>
    <n v="0"/>
  </r>
  <r>
    <s v="De Vos, Günter"/>
    <s v="Günter"/>
    <s v="De Vos"/>
    <n v="18173"/>
    <s v="De Rick, Kenneth"/>
    <x v="79"/>
    <x v="17"/>
    <n v="1"/>
  </r>
  <r>
    <s v="Azahaf, M'Hamed"/>
    <s v="M'Hamed"/>
    <s v="Azahaf"/>
    <n v="18624"/>
    <s v="Van Der Beken, Bart"/>
    <x v="80"/>
    <x v="17"/>
    <n v="0"/>
  </r>
  <r>
    <s v="De Geyter, Dolly"/>
    <s v="Dolly"/>
    <s v="De Geyter"/>
    <n v="18987"/>
    <s v="Storm, Steven"/>
    <x v="81"/>
    <x v="18"/>
    <n v="3"/>
  </r>
  <r>
    <s v="Joos, Veronique"/>
    <s v="Veronique"/>
    <s v="Joos"/>
    <n v="19016"/>
    <s v="Vanhoe, Els"/>
    <x v="82"/>
    <x v="18"/>
    <n v="0"/>
  </r>
  <r>
    <s v="Fiers, Ben"/>
    <s v="Ben"/>
    <s v="Fiers"/>
    <n v="19086"/>
    <s v="Storm, Steven"/>
    <x v="83"/>
    <x v="18"/>
    <n v="0"/>
  </r>
  <r>
    <s v="Deschepper, Peter"/>
    <s v="Peter"/>
    <s v="Deschepper"/>
    <n v="19087"/>
    <s v="Vanhoe, Els"/>
    <x v="83"/>
    <x v="18"/>
    <n v="1"/>
  </r>
  <r>
    <s v="Remmery, David"/>
    <s v="David"/>
    <s v="Remmery"/>
    <n v="19088"/>
    <s v="De Rick, Kenneth"/>
    <x v="83"/>
    <x v="18"/>
    <n v="1"/>
  </r>
  <r>
    <s v="De Clercq, Wendy"/>
    <s v="Wendy"/>
    <s v="De Clercq"/>
    <n v="19127"/>
    <s v="Rotty, Christoff"/>
    <x v="84"/>
    <x v="18"/>
    <n v="0"/>
  </r>
  <r>
    <s v="Aspeslagh, Geert"/>
    <s v="Geert"/>
    <s v="Aspeslagh"/>
    <n v="19219"/>
    <s v="Vande Velde, Lucie"/>
    <x v="85"/>
    <x v="18"/>
    <n v="1"/>
  </r>
  <r>
    <s v="Odaci, Kadir"/>
    <s v="Kadir"/>
    <s v="Odaci"/>
    <n v="19249"/>
    <s v="Vande Velde, Lucie"/>
    <x v="86"/>
    <x v="18"/>
    <n v="4"/>
  </r>
  <r>
    <s v="Van Steenbergen, Kris"/>
    <s v="Kris"/>
    <s v="Van Steenbergen"/>
    <n v="19520"/>
    <s v="Dewulf, Els"/>
    <x v="87"/>
    <x v="18"/>
    <n v="1"/>
  </r>
  <r>
    <s v="Arampatzis, Stavros"/>
    <s v="Stavros"/>
    <s v="Arampatzis"/>
    <n v="19675"/>
    <s v="De Rick, Kenneth"/>
    <x v="88"/>
    <x v="18"/>
    <n v="0"/>
  </r>
  <r>
    <s v="Deschrijver, Ivan"/>
    <s v="Ivan"/>
    <s v="Deschrijver"/>
    <n v="19676"/>
    <s v="Storm, Steven"/>
    <x v="88"/>
    <x v="18"/>
    <n v="0"/>
  </r>
  <r>
    <s v="Akhayad, Ahmed"/>
    <s v="Ahmed"/>
    <s v="Akhayad"/>
    <n v="19691"/>
    <s v="Vanhoe, Els"/>
    <x v="89"/>
    <x v="18"/>
    <n v="0"/>
  </r>
  <r>
    <s v="De Boeck, Johannes"/>
    <s v="Johannes"/>
    <s v="De Boeck"/>
    <n v="19766"/>
    <s v="Van Der Beken, Bart"/>
    <x v="90"/>
    <x v="18"/>
    <n v="0"/>
  </r>
  <r>
    <s v="Willems, Kristine"/>
    <s v="Kristine"/>
    <s v="Willems"/>
    <n v="19810"/>
    <s v="De Clercq, Dominique"/>
    <x v="91"/>
    <x v="18"/>
    <n v="0"/>
  </r>
  <r>
    <s v="Gevaert, Patrick"/>
    <s v="Patrick"/>
    <s v="Gevaert"/>
    <n v="19848"/>
    <s v="Storm, Steven"/>
    <x v="92"/>
    <x v="18"/>
    <n v="1"/>
  </r>
  <r>
    <s v="Vandevyvere, Frank"/>
    <s v="Frank"/>
    <s v="Vandevyvere"/>
    <n v="19917"/>
    <s v="Van Der Beken, Bart"/>
    <x v="93"/>
    <x v="18"/>
    <n v="10"/>
  </r>
  <r>
    <s v="Verlaeckt, Lincey"/>
    <s v="Lincey"/>
    <s v="Verlaeckt"/>
    <n v="20375"/>
    <s v="De Clercq, Dominique"/>
    <x v="94"/>
    <x v="19"/>
    <n v="1"/>
  </r>
  <r>
    <s v="Delamper, Mario"/>
    <s v="Mario"/>
    <s v="Delamper"/>
    <n v="20376"/>
    <s v="Storm, Steven"/>
    <x v="94"/>
    <x v="19"/>
    <n v="0"/>
  </r>
  <r>
    <s v="Allan, Kenneth"/>
    <s v="Kenneth"/>
    <s v="Allan"/>
    <n v="20400"/>
    <s v="De Clercq, Dominique"/>
    <x v="95"/>
    <x v="19"/>
    <n v="1"/>
  </r>
  <r>
    <s v="Van Grootenbrulle, Kurt"/>
    <s v="Kurt"/>
    <s v="Van Grootenbrulle"/>
    <n v="20402"/>
    <s v="Dewulf, Els"/>
    <x v="95"/>
    <x v="19"/>
    <n v="0"/>
  </r>
  <r>
    <s v="Vranken, Kenneth"/>
    <s v="Kenneth"/>
    <s v="Vranken"/>
    <n v="20404"/>
    <s v="Rotty, Christoff"/>
    <x v="95"/>
    <x v="19"/>
    <n v="2"/>
  </r>
  <r>
    <s v="Ghysels, Erik"/>
    <s v="Erik"/>
    <s v="Ghysels"/>
    <n v="20476"/>
    <s v="De Clercq, Dominique"/>
    <x v="96"/>
    <x v="19"/>
    <n v="0"/>
  </r>
  <r>
    <s v="Kizilmese, Emra"/>
    <s v="Emra"/>
    <s v="Kizilmese"/>
    <n v="20542"/>
    <s v="Dewulf, Els"/>
    <x v="97"/>
    <x v="19"/>
    <n v="1"/>
  </r>
  <r>
    <s v="Pekdemir, Ilkmur"/>
    <s v="Ilkmur"/>
    <s v="Pekdemir"/>
    <n v="20543"/>
    <s v="De Rick, Kenneth"/>
    <x v="97"/>
    <x v="19"/>
    <n v="1"/>
  </r>
  <r>
    <s v="Imschoot, Frederik"/>
    <s v="Frederik"/>
    <s v="Imschoot"/>
    <n v="20610"/>
    <s v="Storm, Steven"/>
    <x v="98"/>
    <x v="19"/>
    <n v="0"/>
  </r>
  <r>
    <s v="Vonck, Sandra"/>
    <s v="Sandra"/>
    <s v="Vonck"/>
    <n v="20612"/>
    <s v="Storm, Steven"/>
    <x v="98"/>
    <x v="19"/>
    <n v="0"/>
  </r>
  <r>
    <s v="Mestdag, Marius"/>
    <s v="Marius"/>
    <s v="Mestdag"/>
    <n v="20653"/>
    <s v="Van Der Beken, Bart"/>
    <x v="99"/>
    <x v="19"/>
    <n v="3"/>
  </r>
  <r>
    <s v="Rivière, Andy"/>
    <s v="Andy"/>
    <s v="Rivière"/>
    <n v="20655"/>
    <s v="Dewulf, Els"/>
    <x v="99"/>
    <x v="19"/>
    <n v="0"/>
  </r>
  <r>
    <s v="Vonck, Bart"/>
    <s v="Bart"/>
    <s v="Vonck"/>
    <n v="20656"/>
    <s v="Vanhoe, Els"/>
    <x v="99"/>
    <x v="19"/>
    <n v="1"/>
  </r>
  <r>
    <s v="Van Den Neste, Diederik"/>
    <s v="Diederik"/>
    <s v="Van Den Neste"/>
    <n v="20705"/>
    <s v="Vanhoe, Els"/>
    <x v="100"/>
    <x v="19"/>
    <n v="0"/>
  </r>
  <r>
    <s v="In, Murat"/>
    <s v="Murat"/>
    <s v="In"/>
    <n v="20954"/>
    <s v="Dewulf, Els"/>
    <x v="101"/>
    <x v="19"/>
    <n v="0"/>
  </r>
  <r>
    <s v="Laforce, Mike"/>
    <s v="Mike"/>
    <s v="Laforce"/>
    <n v="21121"/>
    <s v="De Rick, Kenneth"/>
    <x v="102"/>
    <x v="19"/>
    <n v="2"/>
  </r>
  <r>
    <s v="De Ridder, Danny"/>
    <s v="Danny"/>
    <s v="De Ridder"/>
    <n v="21124"/>
    <s v="Rotty, Christoff"/>
    <x v="102"/>
    <x v="19"/>
    <n v="1"/>
  </r>
  <r>
    <s v="Alkanat, Metin"/>
    <s v="Metin"/>
    <s v="Alkanat"/>
    <n v="21160"/>
    <s v="Storm, Steven"/>
    <x v="103"/>
    <x v="19"/>
    <n v="0"/>
  </r>
  <r>
    <s v="Sari, Cemâl"/>
    <s v="Cemâl"/>
    <s v="Sari"/>
    <n v="21249"/>
    <s v="Rotty, Christoff"/>
    <x v="104"/>
    <x v="19"/>
    <n v="0"/>
  </r>
  <r>
    <s v="De Volder, Marc"/>
    <s v="Marc"/>
    <s v="De Volder"/>
    <n v="21382"/>
    <s v="Dewulf, Els"/>
    <x v="105"/>
    <x v="19"/>
    <n v="1"/>
  </r>
  <r>
    <s v="De Moor, Ronny"/>
    <s v="Ronny"/>
    <s v="De Moor"/>
    <n v="21383"/>
    <s v="De Rick, Kenneth"/>
    <x v="105"/>
    <x v="19"/>
    <n v="0"/>
  </r>
  <r>
    <s v="Props, Jürgen"/>
    <s v="Jürgen"/>
    <s v="Props"/>
    <n v="21423"/>
    <s v="Stubbe, Jarne"/>
    <x v="106"/>
    <x v="19"/>
    <n v="0"/>
  </r>
  <r>
    <s v="Verstichel, Jethro"/>
    <s v="Jethro"/>
    <s v="Verstichel"/>
    <n v="21424"/>
    <s v="Dewulf, Els"/>
    <x v="106"/>
    <x v="19"/>
    <n v="2"/>
  </r>
  <r>
    <s v="Anjuijn, Vanessa"/>
    <s v="Vanessa"/>
    <s v="Anjuijn"/>
    <n v="21428"/>
    <s v="Vanhoe, Els"/>
    <x v="106"/>
    <x v="19"/>
    <n v="0"/>
  </r>
  <r>
    <s v="Doolaege, Yasin"/>
    <s v="Yasin"/>
    <s v="Doolaege"/>
    <n v="21429"/>
    <s v="Storm, Steven"/>
    <x v="106"/>
    <x v="19"/>
    <n v="0"/>
  </r>
  <r>
    <s v="Beeckman, Alex"/>
    <s v="Alex"/>
    <s v="Beeckman"/>
    <n v="21466"/>
    <s v="Vande Velde, Lucie"/>
    <x v="107"/>
    <x v="19"/>
    <n v="0"/>
  </r>
  <r>
    <s v="Kesteloot, Patrick"/>
    <s v="Patrick"/>
    <s v="Kesteloot"/>
    <n v="21506"/>
    <s v="Storm, Steven"/>
    <x v="108"/>
    <x v="19"/>
    <n v="0"/>
  </r>
  <r>
    <s v="De Cooman, Bart"/>
    <s v="Bart"/>
    <s v="De Cooman"/>
    <n v="21507"/>
    <s v="De Rick, Kenneth"/>
    <x v="108"/>
    <x v="19"/>
    <n v="0"/>
  </r>
  <r>
    <s v="De Craemer, Kris"/>
    <s v="Kris"/>
    <s v="De Craemer"/>
    <n v="21509"/>
    <s v="De Clercq, Dominique"/>
    <x v="108"/>
    <x v="19"/>
    <n v="6"/>
  </r>
  <r>
    <s v="Baskurt, Hasan"/>
    <s v="Hasan"/>
    <s v="Baskurt"/>
    <n v="21665"/>
    <s v="Stubbe, Jarne"/>
    <x v="109"/>
    <x v="20"/>
    <n v="0"/>
  </r>
  <r>
    <s v="Vanderstraeten, Franky"/>
    <s v="Franky"/>
    <s v="Vanderstraeten"/>
    <n v="21581"/>
    <s v="Vande Velde, Lucie"/>
    <x v="110"/>
    <x v="20"/>
    <n v="2"/>
  </r>
  <r>
    <s v="Tafa, Sevdet"/>
    <s v="Sevdet"/>
    <s v="Tafa"/>
    <n v="21657"/>
    <s v="Stubbe, Jarne"/>
    <x v="109"/>
    <x v="20"/>
    <n v="0"/>
  </r>
  <r>
    <s v="Van Hulle, Werner"/>
    <s v="Werner"/>
    <s v="Van Hulle"/>
    <n v="21662"/>
    <s v="Dewulf, Els"/>
    <x v="109"/>
    <x v="20"/>
    <n v="0"/>
  </r>
  <r>
    <s v="Horemans, Jan"/>
    <s v="Jan"/>
    <s v="Horemans"/>
    <n v="21738"/>
    <s v="Dewulf, Els"/>
    <x v="111"/>
    <x v="20"/>
    <n v="0"/>
  </r>
  <r>
    <s v="Dejonghe, Elisa"/>
    <s v="Elisa"/>
    <s v="Dejonghe"/>
    <n v="21809"/>
    <s v="Dewulf, Els"/>
    <x v="112"/>
    <x v="20"/>
    <n v="1"/>
  </r>
  <r>
    <s v="Vanooteghem, Davey"/>
    <s v="Davey"/>
    <s v="Vanooteghem"/>
    <n v="21845"/>
    <s v="Storm, Steven"/>
    <x v="113"/>
    <x v="20"/>
    <n v="0"/>
  </r>
  <r>
    <s v="Dierick, Steve"/>
    <s v="Steve"/>
    <s v="Dierick"/>
    <n v="21892"/>
    <s v="Storm, Steven"/>
    <x v="114"/>
    <x v="20"/>
    <n v="2"/>
  </r>
  <r>
    <s v="La Fontaine, Bart"/>
    <s v="Bart"/>
    <s v="La Fontaine"/>
    <n v="22042"/>
    <s v="Storm, Steven"/>
    <x v="115"/>
    <x v="20"/>
    <n v="0"/>
  </r>
  <r>
    <s v="Meyvaert, Peter"/>
    <s v="Peter"/>
    <s v="Meyvaert"/>
    <n v="22052"/>
    <s v="Dewulf, Els"/>
    <x v="115"/>
    <x v="20"/>
    <n v="1"/>
  </r>
  <r>
    <s v="De Boever, Maarten"/>
    <s v="Maarten"/>
    <s v="De Boever"/>
    <n v="22143"/>
    <s v="Vanhoe, Els"/>
    <x v="116"/>
    <x v="20"/>
    <n v="0"/>
  </r>
  <r>
    <s v="Pluym, Pascal"/>
    <s v="Pascal"/>
    <s v="Pluym"/>
    <n v="22202"/>
    <s v="Storm, Steven"/>
    <x v="117"/>
    <x v="20"/>
    <n v="1"/>
  </r>
  <r>
    <s v="Delahaye, Karina"/>
    <s v="Karina"/>
    <s v="Delahaye"/>
    <n v="22240"/>
    <s v="Dewulf, Els"/>
    <x v="118"/>
    <x v="20"/>
    <n v="2"/>
  </r>
  <r>
    <s v="Kirdas, Süleyman"/>
    <s v="Süleyman"/>
    <s v="Kirdas"/>
    <n v="22244"/>
    <s v="Rotty, Christoff"/>
    <x v="118"/>
    <x v="20"/>
    <n v="2"/>
  </r>
  <r>
    <s v="Brilyov, Dmitriy"/>
    <s v="Dmitriy"/>
    <s v="Brilyov"/>
    <n v="22296"/>
    <s v="Dewulf, Els"/>
    <x v="119"/>
    <x v="20"/>
    <n v="0"/>
  </r>
  <r>
    <s v="Bicici, Abdul Kadir"/>
    <s v="Abdul Kadir"/>
    <s v="Bicici"/>
    <n v="22416"/>
    <s v="Rotty, Christoff"/>
    <x v="120"/>
    <x v="20"/>
    <n v="1"/>
  </r>
  <r>
    <s v="Callebert, Pieter Jan"/>
    <s v="Pieter Jan"/>
    <s v="Callebert"/>
    <n v="22625"/>
    <s v="Van Der Beken, Bart"/>
    <x v="121"/>
    <x v="20"/>
    <n v="1"/>
  </r>
  <r>
    <s v="Osseel, Johan"/>
    <s v="Johan"/>
    <s v="Osseel"/>
    <n v="22767"/>
    <s v="De Clercq, Dominique"/>
    <x v="122"/>
    <x v="20"/>
    <n v="1"/>
  </r>
  <r>
    <s v="Van Renterghem, Véronique"/>
    <s v="Véronique"/>
    <s v="Van Renterghem"/>
    <n v="22811"/>
    <s v="Oerlemans, Johannes"/>
    <x v="123"/>
    <x v="20"/>
    <n v="0"/>
  </r>
  <r>
    <s v="Goossens, Gunther"/>
    <s v="Gunther"/>
    <s v="Goossens"/>
    <n v="22877"/>
    <s v="Dewulf, Els"/>
    <x v="124"/>
    <x v="20"/>
    <n v="1"/>
  </r>
  <r>
    <s v="Mestach, Stijn"/>
    <s v="Stijn"/>
    <s v="Mestach"/>
    <n v="23261"/>
    <s v="Stubbe, Jarne"/>
    <x v="125"/>
    <x v="21"/>
    <n v="0"/>
  </r>
  <r>
    <s v="Achalhi, Abderrachid"/>
    <s v="Abderrachid"/>
    <s v="Achalhi"/>
    <n v="23326"/>
    <s v="De Clercq, Dominique"/>
    <x v="126"/>
    <x v="21"/>
    <n v="0"/>
  </r>
  <r>
    <s v="Kerman, Riza"/>
    <s v="Riza"/>
    <s v="Kerman"/>
    <n v="23481"/>
    <s v="Van Der Beken, Bart"/>
    <x v="127"/>
    <x v="21"/>
    <n v="0"/>
  </r>
  <r>
    <s v="Unal, Mustafa"/>
    <s v="Mustafa"/>
    <s v="Unal"/>
    <n v="23543"/>
    <s v="Rotty, Christoff"/>
    <x v="128"/>
    <x v="21"/>
    <n v="0"/>
  </r>
  <r>
    <s v="Maes, Tony"/>
    <s v="Tony"/>
    <s v="Maes"/>
    <n v="23545"/>
    <s v="Vande Velde, Lucie"/>
    <x v="128"/>
    <x v="21"/>
    <n v="0"/>
  </r>
  <r>
    <s v="Adiyil, Attila"/>
    <s v="Attila"/>
    <s v="Adiyil"/>
    <n v="23790"/>
    <s v="De Clercq, Dominique"/>
    <x v="129"/>
    <x v="21"/>
    <n v="1"/>
  </r>
  <r>
    <s v="Baetens, Christine"/>
    <s v="Christine"/>
    <s v="Baetens"/>
    <n v="23791"/>
    <s v="De Clercq, Dominique"/>
    <x v="129"/>
    <x v="21"/>
    <n v="0"/>
  </r>
  <r>
    <s v="Dellaert, Yves"/>
    <s v="Yves"/>
    <s v="Dellaert"/>
    <n v="23818"/>
    <s v="De Clercq, Dominique"/>
    <x v="130"/>
    <x v="21"/>
    <n v="0"/>
  </r>
  <r>
    <s v="Wyffels, Jean-Pierre"/>
    <s v="Jean-Pierre"/>
    <s v="Wyffels"/>
    <n v="23880"/>
    <s v="De Clercq, Dominique"/>
    <x v="131"/>
    <x v="21"/>
    <n v="1"/>
  </r>
  <r>
    <s v="D'Haeyere, Bernard"/>
    <s v="Bernard"/>
    <s v="D'Haeyere"/>
    <n v="23918"/>
    <s v="Vanhoe, Els"/>
    <x v="132"/>
    <x v="21"/>
    <n v="3"/>
  </r>
  <r>
    <s v="Planckaert, Jurgen"/>
    <s v="Jurgen"/>
    <s v="Planckaert"/>
    <n v="23924"/>
    <s v="Rotty, Christoff"/>
    <x v="133"/>
    <x v="21"/>
    <n v="0"/>
  </r>
  <r>
    <s v="Luttens, Koen"/>
    <s v="Koen"/>
    <s v="Luttens"/>
    <n v="24155"/>
    <s v="Vanhoe, Els"/>
    <x v="134"/>
    <x v="21"/>
    <n v="1"/>
  </r>
  <r>
    <s v="Kaya, Aydin"/>
    <s v="Aydin"/>
    <s v="Kaya"/>
    <n v="24156"/>
    <s v="Rotty, Christoff"/>
    <x v="134"/>
    <x v="21"/>
    <n v="0"/>
  </r>
  <r>
    <s v="Tayefeh Arbab, Ali"/>
    <s v="Ali"/>
    <s v="Tayefeh Arbab"/>
    <n v="24367"/>
    <s v="Van Der Beken, Bart"/>
    <x v="135"/>
    <x v="21"/>
    <n v="3"/>
  </r>
  <r>
    <s v="Gök, Davut"/>
    <s v="Davut"/>
    <s v="Gök"/>
    <n v="24472"/>
    <s v="De Clercq, Dominique"/>
    <x v="136"/>
    <x v="21"/>
    <n v="1"/>
  </r>
  <r>
    <s v="Haelterman, Geert"/>
    <s v="Geert"/>
    <s v="Haelterman"/>
    <n v="25234"/>
    <s v="De Rick, Kenneth"/>
    <x v="137"/>
    <x v="22"/>
    <n v="0"/>
  </r>
  <r>
    <s v="Goethals, Bart"/>
    <s v="Bart"/>
    <s v="Goethals"/>
    <n v="25486"/>
    <s v="Rotty, Christoff"/>
    <x v="138"/>
    <x v="22"/>
    <n v="1"/>
  </r>
  <r>
    <s v="Devos, Stefaan"/>
    <s v="Stefaan"/>
    <s v="Devos"/>
    <n v="25487"/>
    <s v="Storm, Steven"/>
    <x v="138"/>
    <x v="22"/>
    <n v="4"/>
  </r>
  <r>
    <s v="Vanrenterghem, Serge"/>
    <s v="Serge"/>
    <s v="Vanrenterghem"/>
    <n v="25679"/>
    <s v="Rotty, Christoff"/>
    <x v="139"/>
    <x v="22"/>
    <n v="2"/>
  </r>
  <r>
    <s v="Cetinkaya, Veysel"/>
    <s v="Veysel"/>
    <s v="Cetinkaya"/>
    <n v="25680"/>
    <s v="De Rick, Kenneth"/>
    <x v="139"/>
    <x v="22"/>
    <n v="0"/>
  </r>
  <r>
    <s v="Simsek, Abdullah"/>
    <s v="Abdullah"/>
    <s v="Simsek"/>
    <n v="25733"/>
    <s v="Vanhoe, Els"/>
    <x v="140"/>
    <x v="22"/>
    <n v="2"/>
  </r>
  <r>
    <s v="Kayim, Akin"/>
    <s v="Akin"/>
    <s v="Kayim"/>
    <n v="25829"/>
    <s v="Storm, Steven"/>
    <x v="141"/>
    <x v="22"/>
    <n v="1"/>
  </r>
  <r>
    <s v="Fasseur, Frederic"/>
    <s v="Frederic"/>
    <s v="Fasseur"/>
    <n v="25871"/>
    <s v="De Rick, Kenneth"/>
    <x v="142"/>
    <x v="23"/>
    <n v="0"/>
  </r>
  <r>
    <s v="Kazakbiyev, Osman"/>
    <s v="Osman"/>
    <s v="Kazakbiyev"/>
    <n v="25873"/>
    <s v="Vanhoe, Els"/>
    <x v="142"/>
    <x v="23"/>
    <n v="1"/>
  </r>
  <r>
    <s v="De Wit, Bruno"/>
    <s v="Bruno"/>
    <s v="De Wit"/>
    <n v="25993"/>
    <s v="Rotty, Christoff"/>
    <x v="143"/>
    <x v="23"/>
    <n v="1"/>
  </r>
  <r>
    <s v="Peers, Mario"/>
    <s v="Mario"/>
    <s v="Peers"/>
    <n v="25994"/>
    <s v="Dewulf, Els"/>
    <x v="143"/>
    <x v="23"/>
    <n v="1"/>
  </r>
  <r>
    <s v="Stevens, David"/>
    <s v="David"/>
    <s v="Stevens"/>
    <n v="26004"/>
    <s v="Stubbe, Jarne"/>
    <x v="144"/>
    <x v="23"/>
    <n v="0"/>
  </r>
  <r>
    <s v="Bral, Jessica"/>
    <s v="Jessica"/>
    <s v="Bral"/>
    <n v="26102"/>
    <s v="Dewulf, Els"/>
    <x v="145"/>
    <x v="23"/>
    <n v="1"/>
  </r>
  <r>
    <s v="Hublau, Roland"/>
    <s v="Roland"/>
    <s v="Hublau"/>
    <n v="26137"/>
    <s v="Storm, Steven"/>
    <x v="146"/>
    <x v="23"/>
    <n v="4"/>
  </r>
  <r>
    <s v="Van Puyenbroeck, Pascale"/>
    <s v="Pascale"/>
    <s v="Van Puyenbroeck"/>
    <n v="26197"/>
    <s v="Rotty, Christoff"/>
    <x v="147"/>
    <x v="23"/>
    <n v="0"/>
  </r>
  <r>
    <s v="Justé, Steven"/>
    <s v="Steven"/>
    <s v="Justé"/>
    <n v="26198"/>
    <s v="De Rick, Kenneth"/>
    <x v="147"/>
    <x v="23"/>
    <n v="3"/>
  </r>
  <r>
    <s v="Wauters, Franky"/>
    <s v="Franky"/>
    <s v="Wauters"/>
    <n v="26199"/>
    <s v="Vanhoe, Els"/>
    <x v="147"/>
    <x v="23"/>
    <n v="1"/>
  </r>
  <r>
    <s v="Van Vlem, Danny"/>
    <s v="Danny"/>
    <s v="Van Vlem"/>
    <n v="26265"/>
    <s v="Rotty, Christoff"/>
    <x v="148"/>
    <x v="23"/>
    <n v="0"/>
  </r>
  <r>
    <s v="Gök, Murat"/>
    <s v="Murat"/>
    <s v="Gök"/>
    <n v="26266"/>
    <s v="Vanhoe, Els"/>
    <x v="148"/>
    <x v="23"/>
    <n v="1"/>
  </r>
  <r>
    <s v="Van Semmertier, Pascal"/>
    <s v="Pascal"/>
    <s v="Van Semmertier"/>
    <n v="26331"/>
    <s v="Van Der Beken, Bart"/>
    <x v="149"/>
    <x v="23"/>
    <n v="3"/>
  </r>
  <r>
    <s v="Aelterman, Luc"/>
    <s v="Luc"/>
    <s v="Aelterman"/>
    <n v="26334"/>
    <s v="Vanhoe, Els"/>
    <x v="149"/>
    <x v="23"/>
    <n v="0"/>
  </r>
  <r>
    <s v="Van Cauwenberg, Steven"/>
    <s v="Steven"/>
    <s v="Van Cauwenberg"/>
    <n v="26384"/>
    <s v="Dewulf, Els"/>
    <x v="150"/>
    <x v="23"/>
    <n v="1"/>
  </r>
  <r>
    <s v="Siderov, Miroslav"/>
    <s v="Miroslav"/>
    <s v="Siderov"/>
    <n v="26521"/>
    <s v="Vanhoe, Els"/>
    <x v="151"/>
    <x v="23"/>
    <n v="0"/>
  </r>
  <r>
    <s v="Bolle, Cynthia"/>
    <s v="Cynthia"/>
    <s v="Bolle"/>
    <n v="26524"/>
    <s v="Vanhoe, Els"/>
    <x v="151"/>
    <x v="23"/>
    <n v="1"/>
  </r>
  <r>
    <s v="Van de Capelle, Geert"/>
    <s v="Geert"/>
    <s v="Van de Capelle"/>
    <n v="26638"/>
    <s v="De Clercq, Dominique"/>
    <x v="152"/>
    <x v="23"/>
    <n v="0"/>
  </r>
  <r>
    <s v="Engels, Wendy"/>
    <s v="Wendy"/>
    <s v="Engels"/>
    <n v="26639"/>
    <s v="De Rick, Kenneth"/>
    <x v="152"/>
    <x v="23"/>
    <n v="1"/>
  </r>
  <r>
    <s v="Lippens, Miguel"/>
    <s v="Miguel"/>
    <s v="Lippens"/>
    <n v="26695"/>
    <s v="Rotty, Christoff"/>
    <x v="153"/>
    <x v="23"/>
    <n v="2"/>
  </r>
  <r>
    <s v="Ong, Geok Hong"/>
    <s v="Geok Hong"/>
    <s v="Ong"/>
    <n v="26792"/>
    <s v="Vande Velde, Lucie"/>
    <x v="154"/>
    <x v="23"/>
    <n v="0"/>
  </r>
  <r>
    <s v="De Meester, David"/>
    <s v="David"/>
    <s v="De Meester"/>
    <n v="26847"/>
    <s v="Van Der Beken, Bart"/>
    <x v="155"/>
    <x v="23"/>
    <n v="2"/>
  </r>
  <r>
    <s v="Bohez, Olivier"/>
    <s v="Olivier"/>
    <s v="Bohez"/>
    <n v="26959"/>
    <s v="De Clercq, Dominique"/>
    <x v="156"/>
    <x v="23"/>
    <n v="0"/>
  </r>
  <r>
    <s v="Toubadie, Mossa"/>
    <s v="Mossa"/>
    <s v="Toubadie"/>
    <n v="26960"/>
    <s v="Vanhoe, Els"/>
    <x v="156"/>
    <x v="23"/>
    <n v="3"/>
  </r>
  <r>
    <s v="Frans, Gabriella"/>
    <s v="Gabriella"/>
    <s v="Frans"/>
    <n v="27607"/>
    <s v="De Rick, Kenneth"/>
    <x v="157"/>
    <x v="24"/>
    <n v="0"/>
  </r>
  <r>
    <s v="Oben, Thibaud"/>
    <s v="Thibaud"/>
    <s v="Oben"/>
    <n v="27153"/>
    <s v="Rotty, Christoff"/>
    <x v="158"/>
    <x v="24"/>
    <n v="3"/>
  </r>
  <r>
    <s v="Meyvaert, Steven"/>
    <s v="Steven"/>
    <s v="Meyvaert"/>
    <n v="27209"/>
    <s v="Dewulf, Els"/>
    <x v="159"/>
    <x v="24"/>
    <n v="3"/>
  </r>
  <r>
    <s v="De Meester, Johan"/>
    <s v="Johan"/>
    <s v="De Meester"/>
    <n v="27577"/>
    <s v="Rotty, Christoff"/>
    <x v="160"/>
    <x v="24"/>
    <n v="0"/>
  </r>
  <r>
    <s v="Petrovic, Damir"/>
    <s v="Damir"/>
    <s v="Petrovic"/>
    <n v="27635"/>
    <s v="De Rick, Kenneth"/>
    <x v="161"/>
    <x v="24"/>
    <n v="1"/>
  </r>
  <r>
    <s v="Criel, Veronique"/>
    <s v="Veronique"/>
    <s v="Criel"/>
    <n v="27672"/>
    <s v="Storm, Steven"/>
    <x v="162"/>
    <x v="24"/>
    <n v="1"/>
  </r>
  <r>
    <s v="Verbanck, Koen"/>
    <s v="Koen"/>
    <s v="Verbanck"/>
    <n v="27673"/>
    <s v="Rotty, Christoff"/>
    <x v="162"/>
    <x v="24"/>
    <n v="1"/>
  </r>
  <r>
    <s v="De Schenkel, David"/>
    <s v="David"/>
    <s v="De Schenkel"/>
    <n v="27711"/>
    <s v="Rotty, Christoff"/>
    <x v="163"/>
    <x v="24"/>
    <n v="0"/>
  </r>
  <r>
    <s v="Parmentier, Bart"/>
    <s v="Bart"/>
    <s v="Parmentier"/>
    <n v="27713"/>
    <s v="Dewulf, Els"/>
    <x v="163"/>
    <x v="24"/>
    <n v="1"/>
  </r>
  <r>
    <s v="Van Lierde, Michel"/>
    <s v="Michel"/>
    <s v="Van Lierde"/>
    <n v="27786"/>
    <s v="Dewulf, Els"/>
    <x v="164"/>
    <x v="25"/>
    <n v="0"/>
  </r>
  <r>
    <s v="Olenski, Leonard"/>
    <s v="Leonard"/>
    <s v="Olenski"/>
    <n v="27865"/>
    <s v="Dewulf, Els"/>
    <x v="165"/>
    <x v="25"/>
    <n v="1"/>
  </r>
  <r>
    <s v="De Baets, Christian"/>
    <s v="Christian"/>
    <s v="De Baets"/>
    <n v="28070"/>
    <s v="Stubbe, Jarne"/>
    <x v="166"/>
    <x v="25"/>
    <n v="0"/>
  </r>
  <r>
    <s v="Omari, Said"/>
    <s v="Said"/>
    <s v="Omari"/>
    <n v="28071"/>
    <s v="Dewulf, Els"/>
    <x v="166"/>
    <x v="25"/>
    <n v="0"/>
  </r>
  <r>
    <s v="De Muynck, Laurian"/>
    <s v="Laurian"/>
    <s v="De Muynck"/>
    <n v="28072"/>
    <s v="Vande Velde, Lucie"/>
    <x v="166"/>
    <x v="25"/>
    <n v="0"/>
  </r>
  <r>
    <s v="De Pauw, Kurt"/>
    <s v="Kurt"/>
    <s v="De Pauw"/>
    <n v="28165"/>
    <s v="Dewulf, Els"/>
    <x v="167"/>
    <x v="25"/>
    <n v="0"/>
  </r>
  <r>
    <s v="Gözüküçük, Ayhan"/>
    <s v="Ayhan"/>
    <s v="Gözüküçük"/>
    <n v="28616"/>
    <s v="Stubbe, Jarne"/>
    <x v="168"/>
    <x v="25"/>
    <n v="0"/>
  </r>
  <r>
    <s v="Debreuckere, Renzo"/>
    <s v="Renzo"/>
    <s v="Debreuckere"/>
    <n v="28690"/>
    <s v="Vanhoe, Els"/>
    <x v="169"/>
    <x v="26"/>
    <n v="0"/>
  </r>
  <r>
    <s v="Dejonckheere, Els"/>
    <s v="Els"/>
    <s v="Dejonckheere"/>
    <n v="28717"/>
    <s v="Vande Velde, Lucie"/>
    <x v="170"/>
    <x v="26"/>
    <n v="1"/>
  </r>
  <r>
    <s v="El-Mohamed, Mohamed"/>
    <s v="Mohamed"/>
    <s v="El-Mohamed"/>
    <n v="28737"/>
    <s v="Vande Velde, Lucie"/>
    <x v="171"/>
    <x v="26"/>
    <n v="3"/>
  </r>
  <r>
    <s v="Van Malderghem, Niels"/>
    <s v="Niels"/>
    <s v="Van Malderghem"/>
    <n v="28794"/>
    <s v="Vande Velde, Lucie"/>
    <x v="172"/>
    <x v="26"/>
    <n v="1"/>
  </r>
  <r>
    <s v="Roels, Els"/>
    <s v="Els"/>
    <s v="Roels"/>
    <n v="28821"/>
    <s v="Van Der Beken, Bart"/>
    <x v="173"/>
    <x v="26"/>
    <n v="0"/>
  </r>
  <r>
    <s v="Isiklar, Okan"/>
    <s v="Okan"/>
    <s v="Isiklar"/>
    <n v="28830"/>
    <s v="Rotty, Christoff"/>
    <x v="174"/>
    <x v="26"/>
    <n v="1"/>
  </r>
  <r>
    <s v="Choaïbi, Bilal"/>
    <s v="Bilal"/>
    <s v="Choaïbi"/>
    <n v="28835"/>
    <s v="Rotty, Christoff"/>
    <x v="174"/>
    <x v="26"/>
    <n v="0"/>
  </r>
  <r>
    <s v="Gassa, Osmane"/>
    <s v="Osmane"/>
    <s v="Gassa"/>
    <n v="28910"/>
    <s v="Van Der Beken, Bart"/>
    <x v="175"/>
    <x v="26"/>
    <n v="2"/>
  </r>
  <r>
    <s v="Lachhab, Mohammed"/>
    <s v="Mohammed"/>
    <s v="Lachhab"/>
    <n v="28947"/>
    <s v="Stubbe, Jarne"/>
    <x v="176"/>
    <x v="26"/>
    <n v="0"/>
  </r>
  <r>
    <s v="Grillaert, Lieven"/>
    <s v="Lieven"/>
    <s v="Grillaert"/>
    <n v="28995"/>
    <s v="Rotty, Christoff"/>
    <x v="177"/>
    <x v="26"/>
    <n v="0"/>
  </r>
  <r>
    <s v="Verwee, Dries"/>
    <s v="Dries"/>
    <s v="Verwee"/>
    <n v="29179"/>
    <s v="Dewulf, Els"/>
    <x v="178"/>
    <x v="26"/>
    <n v="6"/>
  </r>
  <r>
    <s v="Van Turtelboom, Franky"/>
    <s v="Franky"/>
    <s v="Van Turtelboom"/>
    <n v="29181"/>
    <s v="Van Der Beken, Bart"/>
    <x v="178"/>
    <x v="26"/>
    <n v="0"/>
  </r>
  <r>
    <s v="Maes, Filip"/>
    <s v="Filip"/>
    <s v="Maes"/>
    <n v="29271"/>
    <s v="Dewulf, Els"/>
    <x v="179"/>
    <x v="26"/>
    <n v="1"/>
  </r>
  <r>
    <s v="De Weerdt, Samuel"/>
    <s v="Samuel"/>
    <s v="De Weerdt"/>
    <n v="29370"/>
    <s v="Van Der Beken, Bart"/>
    <x v="180"/>
    <x v="26"/>
    <n v="0"/>
  </r>
  <r>
    <s v="De Vuyst, Boyke"/>
    <s v="Boyke"/>
    <s v="De Vuyst"/>
    <n v="29477"/>
    <s v="Vande Velde, Lucie"/>
    <x v="181"/>
    <x v="26"/>
    <n v="1"/>
  </r>
  <r>
    <s v="Priwall, Heike"/>
    <s v="Heike"/>
    <s v="Priwall"/>
    <n v="29478"/>
    <s v="Dewulf, Els"/>
    <x v="181"/>
    <x v="26"/>
    <n v="3"/>
  </r>
  <r>
    <s v="Dullaert, Steven"/>
    <s v="Steven"/>
    <s v="Dullaert"/>
    <n v="29539"/>
    <s v="De Clercq, Dominique"/>
    <x v="182"/>
    <x v="27"/>
    <n v="0"/>
  </r>
  <r>
    <s v="De Keyzer, Jan"/>
    <s v="Jan"/>
    <s v="De Keyzer"/>
    <n v="29540"/>
    <s v="Vande Velde, Lucie"/>
    <x v="182"/>
    <x v="27"/>
    <n v="1"/>
  </r>
  <r>
    <s v="Celikoz, Musa"/>
    <s v="Musa"/>
    <s v="Celikoz"/>
    <n v="29591"/>
    <s v="Rotty, Christoff"/>
    <x v="183"/>
    <x v="27"/>
    <n v="0"/>
  </r>
  <r>
    <s v="Özer, Mesut"/>
    <s v="Mesut"/>
    <s v="Özer"/>
    <n v="29646"/>
    <s v="De Clercq, Dominique"/>
    <x v="184"/>
    <x v="27"/>
    <n v="1"/>
  </r>
  <r>
    <s v="Huyse, Annicke"/>
    <s v="Annicke"/>
    <s v="Huyse"/>
    <n v="29746"/>
    <s v="Van Der Beken, Bart"/>
    <x v="185"/>
    <x v="27"/>
    <n v="3"/>
  </r>
  <r>
    <s v="Deboosere, Kathy"/>
    <s v="Kathy"/>
    <s v="Deboosere"/>
    <n v="29778"/>
    <s v="De Rick, Kenneth"/>
    <x v="186"/>
    <x v="27"/>
    <n v="0"/>
  </r>
  <r>
    <s v="Van De Velde, Anneleen"/>
    <s v="Anneleen"/>
    <s v="Van De Velde"/>
    <n v="29818"/>
    <s v="De Clercq, Dominique"/>
    <x v="187"/>
    <x v="27"/>
    <n v="0"/>
  </r>
  <r>
    <s v="Mehman Doust, Farhad"/>
    <s v="Farhad"/>
    <s v="Mehman Doust"/>
    <n v="29821"/>
    <s v="De Clercq, Dominique"/>
    <x v="187"/>
    <x v="27"/>
    <n v="1"/>
  </r>
  <r>
    <s v="Haerens, Tom"/>
    <s v="Tom"/>
    <s v="Haerens"/>
    <n v="30119"/>
    <s v="De Clercq, Dominique"/>
    <x v="188"/>
    <x v="27"/>
    <n v="2"/>
  </r>
  <r>
    <s v="Simons, Andreas"/>
    <s v="Andreas"/>
    <s v="Simons"/>
    <n v="30121"/>
    <s v="Rotty, Christoff"/>
    <x v="188"/>
    <x v="27"/>
    <n v="3"/>
  </r>
  <r>
    <s v="Bracke, Jeroen"/>
    <s v="Jeroen"/>
    <s v="Bracke"/>
    <n v="30271"/>
    <s v="Dewulf, Els"/>
    <x v="189"/>
    <x v="27"/>
    <n v="1"/>
  </r>
  <r>
    <s v="Verberckmoes, Sebastiaan"/>
    <s v="Sebastiaan"/>
    <s v="Verberckmoes"/>
    <n v="30292"/>
    <s v="De Clercq, Dominique"/>
    <x v="190"/>
    <x v="27"/>
    <n v="0"/>
  </r>
  <r>
    <s v="Vandersmissen, Denis"/>
    <s v="Denis"/>
    <s v="Vandersmissen"/>
    <n v="30323"/>
    <s v="Van Der Beken, Bart"/>
    <x v="191"/>
    <x v="27"/>
    <n v="0"/>
  </r>
  <r>
    <s v="Gassa, Mustafa"/>
    <s v="Mustafa"/>
    <s v="Gassa"/>
    <n v="30623"/>
    <s v="De Rick, Kenneth"/>
    <x v="192"/>
    <x v="28"/>
    <n v="2"/>
  </r>
  <r>
    <s v="vanden Bulcke, Johan"/>
    <s v="Johan"/>
    <s v="vanden Bulcke"/>
    <n v="30901"/>
    <s v="Dewulf, Els"/>
    <x v="193"/>
    <x v="28"/>
    <n v="2"/>
  </r>
  <r>
    <s v="Taser, Fatih"/>
    <s v="Fatih"/>
    <s v="Taser"/>
    <n v="30967"/>
    <s v="De Clercq, Dominique"/>
    <x v="194"/>
    <x v="28"/>
    <n v="3"/>
  </r>
  <r>
    <s v="Safaipour, Jalal"/>
    <s v="Jalal"/>
    <s v="Safaipour"/>
    <n v="30988"/>
    <s v="Stubbe, Jarne"/>
    <x v="195"/>
    <x v="28"/>
    <n v="0"/>
  </r>
  <r>
    <s v="Biesemans, Jasper"/>
    <s v="Jasper"/>
    <s v="Biesemans"/>
    <n v="30999"/>
    <s v="Vanhoe, Els"/>
    <x v="196"/>
    <x v="28"/>
    <n v="0"/>
  </r>
  <r>
    <s v="De Jaeger, Kevin"/>
    <s v="Kevin"/>
    <s v="De Jaeger"/>
    <n v="31092"/>
    <s v="Vande Velde, Lucie"/>
    <x v="197"/>
    <x v="28"/>
    <n v="2"/>
  </r>
  <r>
    <s v="Bonne, Niko"/>
    <s v="Niko"/>
    <s v="Bonne"/>
    <n v="31111"/>
    <s v="Vanhoe, Els"/>
    <x v="197"/>
    <x v="28"/>
    <n v="2"/>
  </r>
  <r>
    <s v="De Sutter, Michiel"/>
    <s v="Michiel"/>
    <s v="De Sutter"/>
    <n v="31118"/>
    <s v="Dewulf, Els"/>
    <x v="198"/>
    <x v="28"/>
    <n v="2"/>
  </r>
  <r>
    <s v="Oueslati, Mohamed Ali"/>
    <s v="Mohamed Ali"/>
    <s v="Oueslati"/>
    <n v="31150"/>
    <s v="De Rick, Kenneth"/>
    <x v="199"/>
    <x v="28"/>
    <n v="1"/>
  </r>
  <r>
    <s v="Govaerts, Sandro"/>
    <s v="Sandro"/>
    <s v="Govaerts"/>
    <n v="31165"/>
    <s v="Vande Velde, Lucie"/>
    <x v="200"/>
    <x v="28"/>
    <n v="2"/>
  </r>
  <r>
    <s v="Colaes, Dylan"/>
    <s v="Dylan"/>
    <s v="Colaes"/>
    <n v="31231"/>
    <s v="Vanhoe, Els"/>
    <x v="201"/>
    <x v="28"/>
    <n v="3"/>
  </r>
  <r>
    <s v="Simsek, Fatih"/>
    <s v="Fatih"/>
    <s v="Simsek"/>
    <n v="31360"/>
    <s v="De Clercq, Dominique"/>
    <x v="202"/>
    <x v="29"/>
    <n v="3"/>
  </r>
  <r>
    <s v="Pille, Pascal"/>
    <s v="Pascal"/>
    <s v="Pille"/>
    <n v="31361"/>
    <s v="Vanhoe, Els"/>
    <x v="203"/>
    <x v="29"/>
    <n v="0"/>
  </r>
  <r>
    <s v="Vindevogel, Nick"/>
    <s v="Nick"/>
    <s v="Vindevogel"/>
    <n v="31404"/>
    <s v="De Clercq, Dominique"/>
    <x v="204"/>
    <x v="29"/>
    <n v="0"/>
  </r>
  <r>
    <s v="Cetin, Serdar"/>
    <s v="Serdar"/>
    <s v="Cetin"/>
    <n v="31550"/>
    <s v="De Clercq, Dominique"/>
    <x v="205"/>
    <x v="29"/>
    <n v="0"/>
  </r>
  <r>
    <s v="Mertens, Tom"/>
    <s v="Tom"/>
    <s v="Mertens"/>
    <n v="31600"/>
    <s v="Dewulf, Els"/>
    <x v="206"/>
    <x v="29"/>
    <n v="2"/>
  </r>
  <r>
    <s v="Akin, Ridvan"/>
    <s v="Ridvan"/>
    <s v="Akin"/>
    <n v="31601"/>
    <s v="De Clercq, Dominique"/>
    <x v="206"/>
    <x v="29"/>
    <n v="0"/>
  </r>
  <r>
    <s v="Kirsan, Ömer"/>
    <s v="Ömer"/>
    <s v="Kirsan"/>
    <n v="31634"/>
    <s v="Vanhoe, Els"/>
    <x v="207"/>
    <x v="29"/>
    <n v="1"/>
  </r>
  <r>
    <s v="Vaeyens, Midas"/>
    <s v="Midas"/>
    <s v="Vaeyens"/>
    <n v="31635"/>
    <s v="Vanhoe, Els"/>
    <x v="207"/>
    <x v="29"/>
    <n v="2"/>
  </r>
  <r>
    <s v="Grypdonck, Kenneth"/>
    <s v="Kenneth"/>
    <s v="Grypdonck"/>
    <n v="31659"/>
    <s v="Van Der Beken, Bart"/>
    <x v="208"/>
    <x v="29"/>
    <n v="0"/>
  </r>
  <r>
    <s v="Weemhof, Maurice"/>
    <s v="Maurice"/>
    <s v="Weemhof"/>
    <n v="31668"/>
    <s v="De Clercq, Dominique"/>
    <x v="208"/>
    <x v="29"/>
    <n v="5"/>
  </r>
  <r>
    <s v="Van Achte, Jay"/>
    <s v="Jay"/>
    <s v="Van Achte"/>
    <n v="31689"/>
    <s v="Storm, Steven"/>
    <x v="209"/>
    <x v="29"/>
    <n v="1"/>
  </r>
  <r>
    <s v="Dedapper, Marijke"/>
    <s v="Marijke"/>
    <s v="Dedapper"/>
    <n v="31731"/>
    <s v="Vanhoe, Els"/>
    <x v="210"/>
    <x v="29"/>
    <n v="2"/>
  </r>
  <r>
    <s v="Sonck, Kristof"/>
    <s v="Kristof"/>
    <s v="Sonck"/>
    <n v="31733"/>
    <s v="De Clercq, Dominique"/>
    <x v="210"/>
    <x v="29"/>
    <n v="2"/>
  </r>
  <r>
    <s v="Famelaer, Steve"/>
    <s v="Steve"/>
    <s v="Famelaer"/>
    <n v="31776"/>
    <s v="De Clercq, Dominique"/>
    <x v="211"/>
    <x v="29"/>
    <n v="1"/>
  </r>
  <r>
    <s v="Hasni, Helmi"/>
    <s v="Helmi"/>
    <s v="Hasni"/>
    <n v="32002"/>
    <s v="Storm, Steven"/>
    <x v="212"/>
    <x v="29"/>
    <n v="2"/>
  </r>
  <r>
    <s v="Köroglu, Ercan"/>
    <s v="Ercan"/>
    <s v="Köroglu"/>
    <n v="32091"/>
    <s v="De Rick, Kenneth"/>
    <x v="213"/>
    <x v="29"/>
    <n v="1"/>
  </r>
  <r>
    <s v="Er, Tolga"/>
    <s v="Tolga"/>
    <s v="Er"/>
    <n v="32092"/>
    <s v="Van Der Beken, Bart"/>
    <x v="213"/>
    <x v="29"/>
    <n v="0"/>
  </r>
  <r>
    <s v="Vranken, Zulkifly"/>
    <s v="Zulkifly"/>
    <s v="Vranken"/>
    <n v="32168"/>
    <s v="De Rick, Kenneth"/>
    <x v="214"/>
    <x v="29"/>
    <n v="1"/>
  </r>
  <r>
    <s v="Kelchtermans, Raf"/>
    <s v="Raf"/>
    <s v="Kelchtermans"/>
    <n v="32169"/>
    <s v="Storm, Steven"/>
    <x v="215"/>
    <x v="29"/>
    <n v="0"/>
  </r>
  <r>
    <s v="Verlinden, Bianca"/>
    <s v="Bianca"/>
    <s v="Verlinden"/>
    <n v="32245"/>
    <s v="Vanhoe, Els"/>
    <x v="216"/>
    <x v="29"/>
    <n v="2"/>
  </r>
  <r>
    <s v="Vandenborre, Patrick"/>
    <s v="Patrick"/>
    <s v="Vandenborre"/>
    <n v="32369"/>
    <s v="Vanhoe, Els"/>
    <x v="217"/>
    <x v="30"/>
    <n v="1"/>
  </r>
  <r>
    <s v="Meersman, Herman"/>
    <s v="Herman"/>
    <s v="Meersman"/>
    <n v="32387"/>
    <s v="Storm, Steven"/>
    <x v="217"/>
    <x v="30"/>
    <n v="4"/>
  </r>
  <r>
    <s v="Cifteoglu, Sedat"/>
    <s v="Sedat"/>
    <s v="Cifteoglu"/>
    <n v="32458"/>
    <s v="Dewulf, Els"/>
    <x v="218"/>
    <x v="30"/>
    <n v="0"/>
  </r>
  <r>
    <s v="Benjilali, Abdelhak"/>
    <s v="Abdelhak"/>
    <s v="Benjilali"/>
    <n v="32528"/>
    <s v="Storm, Steven"/>
    <x v="219"/>
    <x v="30"/>
    <n v="2"/>
  </r>
  <r>
    <s v="Vanderstock, Kenny"/>
    <s v="Kenny"/>
    <s v="Vanderstock"/>
    <n v="32542"/>
    <s v="De Clercq, Dominique"/>
    <x v="218"/>
    <x v="30"/>
    <n v="2"/>
  </r>
  <r>
    <s v="Özer, Özgur"/>
    <s v="Özgur"/>
    <s v="Özer"/>
    <n v="32611"/>
    <s v="De Rick, Kenneth"/>
    <x v="220"/>
    <x v="30"/>
    <n v="2"/>
  </r>
  <r>
    <s v="Saey, Elias"/>
    <s v="Elias"/>
    <s v="Saey"/>
    <n v="32620"/>
    <s v="Vanhoe, Els"/>
    <x v="221"/>
    <x v="30"/>
    <n v="3"/>
  </r>
  <r>
    <s v="De Bruyne, Sonia"/>
    <s v="Sonia"/>
    <s v="De Bruyne"/>
    <n v="32951"/>
    <s v="Vande Velde, Lucie"/>
    <x v="222"/>
    <x v="30"/>
    <n v="6"/>
  </r>
  <r>
    <s v="Depaepe, Dirk"/>
    <s v="Dirk"/>
    <s v="Depaepe"/>
    <n v="33049"/>
    <s v="De Rick, Kenneth"/>
    <x v="223"/>
    <x v="30"/>
    <n v="0"/>
  </r>
  <r>
    <s v="Petit, Cynthia"/>
    <s v="Cynthia"/>
    <s v="Petit"/>
    <n v="33400"/>
    <s v="Rotty, Christoff"/>
    <x v="224"/>
    <x v="31"/>
    <n v="3"/>
  </r>
  <r>
    <s v="Verroeye, Chris"/>
    <s v="Chris"/>
    <s v="Verroeye"/>
    <n v="33450"/>
    <s v="De Rick, Kenneth"/>
    <x v="225"/>
    <x v="31"/>
    <n v="2"/>
  </r>
  <r>
    <s v="Holub, Patrik"/>
    <s v="Patrik"/>
    <s v="Holub"/>
    <n v="33488"/>
    <s v="Vanhoe, Els"/>
    <x v="226"/>
    <x v="31"/>
    <n v="2"/>
  </r>
  <r>
    <s v="Caufrier, Matthew"/>
    <s v="Matthew"/>
    <s v="Caufrier"/>
    <n v="33600"/>
    <s v="De Rick, Kenneth"/>
    <x v="227"/>
    <x v="31"/>
    <n v="0"/>
  </r>
  <r>
    <s v="Van de Velde, Valentijn"/>
    <s v="Valentijn"/>
    <s v="Van de Velde"/>
    <n v="33639"/>
    <s v="Vande Velde, Lucie"/>
    <x v="228"/>
    <x v="31"/>
    <n v="0"/>
  </r>
  <r>
    <s v="Verschraegen, Patrick"/>
    <s v="Patrick"/>
    <s v="Verschraegen"/>
    <n v="33640"/>
    <s v="Storm, Steven"/>
    <x v="228"/>
    <x v="31"/>
    <n v="1"/>
  </r>
  <r>
    <s v="Van Limbergen, Danny"/>
    <s v="Danny"/>
    <s v="Van Limbergen"/>
    <n v="33698"/>
    <s v="Storm, Steven"/>
    <x v="229"/>
    <x v="31"/>
    <n v="0"/>
  </r>
  <r>
    <s v="Vergucht, Hugo"/>
    <s v="Hugo"/>
    <s v="Vergucht"/>
    <n v="33757"/>
    <s v="Storm, Steven"/>
    <x v="230"/>
    <x v="31"/>
    <n v="0"/>
  </r>
  <r>
    <s v="Hoffelinck, Thomas"/>
    <s v="Thomas"/>
    <s v="Hoffelinck"/>
    <n v="33982"/>
    <s v="Dewulf, Els"/>
    <x v="231"/>
    <x v="31"/>
    <n v="0"/>
  </r>
  <r>
    <s v="Göktas, Muharrem"/>
    <s v="Muharrem"/>
    <s v="Göktas"/>
    <n v="33986"/>
    <s v="De Rick, Kenneth"/>
    <x v="231"/>
    <x v="31"/>
    <n v="4"/>
  </r>
  <r>
    <s v="Hoste, Tom"/>
    <s v="Tom"/>
    <s v="Hoste"/>
    <n v="34019"/>
    <s v="Rotty, Christoff"/>
    <x v="232"/>
    <x v="31"/>
    <n v="1"/>
  </r>
  <r>
    <s v="Wieme, Kevin"/>
    <s v="Kevin"/>
    <s v="Wieme"/>
    <n v="34044"/>
    <s v="Rotty, Christoff"/>
    <x v="233"/>
    <x v="31"/>
    <n v="2"/>
  </r>
  <r>
    <s v="Pelfrene, Toby"/>
    <s v="Toby"/>
    <s v="Pelfrene"/>
    <n v="34198"/>
    <s v="Vanhoe, Els"/>
    <x v="234"/>
    <x v="31"/>
    <n v="2"/>
  </r>
  <r>
    <s v="Ghani, Mozamil"/>
    <s v="Mozamil"/>
    <s v="Ghani"/>
    <n v="34286"/>
    <s v="Storm, Steven"/>
    <x v="235"/>
    <x v="31"/>
    <n v="2"/>
  </r>
  <r>
    <s v="Sari, Halil"/>
    <s v="Halil"/>
    <s v="Sari"/>
    <n v="34312"/>
    <s v="Storm, Steven"/>
    <x v="236"/>
    <x v="31"/>
    <n v="0"/>
  </r>
  <r>
    <s v="Kerremans, Jürgen"/>
    <s v="Jürgen"/>
    <s v="Kerremans"/>
    <n v="34328"/>
    <s v="De Rick, Kenneth"/>
    <x v="236"/>
    <x v="31"/>
    <n v="4"/>
  </r>
  <r>
    <s v="Callant, Dieter"/>
    <s v="Dieter"/>
    <s v="Callant"/>
    <n v="34351"/>
    <s v="Vanhoe, Els"/>
    <x v="236"/>
    <x v="31"/>
    <n v="3"/>
  </r>
  <r>
    <s v="Goossens, Wesley"/>
    <s v="Wesley"/>
    <s v="Goossens"/>
    <n v="34385"/>
    <s v="Stubbe, Jarne"/>
    <x v="237"/>
    <x v="31"/>
    <n v="1"/>
  </r>
  <r>
    <s v="Wulleput, Illya"/>
    <s v="Illya"/>
    <s v="Wulleput"/>
    <n v="34445"/>
    <s v="De Clercq, Dominique"/>
    <x v="238"/>
    <x v="31"/>
    <n v="5"/>
  </r>
  <r>
    <s v="Fiers, Kenny"/>
    <s v="Kenny"/>
    <s v="Fiers"/>
    <n v="34664"/>
    <s v="Storm, Steven"/>
    <x v="239"/>
    <x v="31"/>
    <n v="0"/>
  </r>
  <r>
    <s v="Agacseven, Mustafa"/>
    <s v="Mustafa"/>
    <s v="Agacseven"/>
    <n v="35005"/>
    <s v="Van Der Beken, Bart"/>
    <x v="240"/>
    <x v="32"/>
    <n v="0"/>
  </r>
  <r>
    <s v="Van Hoe, Youri"/>
    <s v="Youri"/>
    <s v="Van Hoe"/>
    <n v="35006"/>
    <s v="De Rick, Kenneth"/>
    <x v="241"/>
    <x v="32"/>
    <n v="1"/>
  </r>
  <r>
    <s v="Momsen, Rory"/>
    <s v="Rory"/>
    <s v="Momsen"/>
    <n v="35026"/>
    <s v="Storm, Steven"/>
    <x v="240"/>
    <x v="32"/>
    <n v="0"/>
  </r>
  <r>
    <s v="De Henau, Wim"/>
    <s v="Wim"/>
    <s v="De Henau"/>
    <n v="35030"/>
    <s v="Vande Velde, Lucie"/>
    <x v="242"/>
    <x v="32"/>
    <n v="0"/>
  </r>
  <r>
    <s v="Kocabas, Abdülkadir"/>
    <s v="Abdülkadir"/>
    <s v="Kocabas"/>
    <n v="35055"/>
    <s v="Vanhoe, Els"/>
    <x v="243"/>
    <x v="32"/>
    <n v="2"/>
  </r>
  <r>
    <s v="Rotsaert, Dominique"/>
    <s v="Dominique"/>
    <s v="Rotsaert"/>
    <n v="35107"/>
    <s v="Van Der Beken, Bart"/>
    <x v="243"/>
    <x v="32"/>
    <n v="1"/>
  </r>
  <r>
    <s v="Delcourt, Daniel"/>
    <s v="Daniel"/>
    <s v="Delcourt"/>
    <n v="35120"/>
    <s v="Dewulf, Els"/>
    <x v="244"/>
    <x v="32"/>
    <n v="1"/>
  </r>
  <r>
    <s v="Bastiaen, Eric"/>
    <s v="Eric"/>
    <s v="Bastiaen"/>
    <n v="35187"/>
    <s v="Vande Velde, Lucie"/>
    <x v="245"/>
    <x v="32"/>
    <n v="1"/>
  </r>
  <r>
    <s v="Coban, Mehmet"/>
    <s v="Mehmet"/>
    <s v="Coban"/>
    <n v="35216"/>
    <s v="Vande Velde, Lucie"/>
    <x v="242"/>
    <x v="32"/>
    <n v="1"/>
  </r>
  <r>
    <s v="Akmese, Ahmet"/>
    <s v="Ahmet"/>
    <s v="Akmese"/>
    <n v="35220"/>
    <s v="Vande Velde, Lucie"/>
    <x v="241"/>
    <x v="32"/>
    <n v="0"/>
  </r>
  <r>
    <s v="De Meyer, Karel"/>
    <s v="Karel"/>
    <s v="De Meyer"/>
    <n v="35246"/>
    <s v="Vanhoe, Els"/>
    <x v="241"/>
    <x v="32"/>
    <n v="2"/>
  </r>
  <r>
    <s v="Dewulf, Matthias"/>
    <s v="Matthias"/>
    <s v="Dewulf"/>
    <n v="35334"/>
    <s v="Vanhoe, Els"/>
    <x v="246"/>
    <x v="32"/>
    <n v="0"/>
  </r>
  <r>
    <s v="Engels, Sam"/>
    <s v="Sam"/>
    <s v="Engels"/>
    <n v="35379"/>
    <s v="Vanhoe, Els"/>
    <x v="247"/>
    <x v="32"/>
    <n v="2"/>
  </r>
  <r>
    <s v="Limbourg, Heidi"/>
    <s v="Heidi"/>
    <s v="Limbourg"/>
    <n v="35395"/>
    <s v="Storm, Steven"/>
    <x v="248"/>
    <x v="32"/>
    <n v="2"/>
  </r>
  <r>
    <s v="Minbari, Ako"/>
    <s v="Ako"/>
    <s v="Minbari"/>
    <n v="35397"/>
    <s v="Vande Velde, Lucie"/>
    <x v="249"/>
    <x v="32"/>
    <n v="2"/>
  </r>
  <r>
    <s v="Vermeir, Davy"/>
    <s v="Davy"/>
    <s v="Vermeir"/>
    <n v="35419"/>
    <s v="Vande Velde, Lucie"/>
    <x v="250"/>
    <x v="32"/>
    <n v="0"/>
  </r>
  <r>
    <s v="Vlaminck, Dirk"/>
    <s v="Dirk"/>
    <s v="Vlaminck"/>
    <n v="35430"/>
    <s v="Vanhoe, Els"/>
    <x v="250"/>
    <x v="32"/>
    <n v="2"/>
  </r>
  <r>
    <s v="Kaya, Aytekin"/>
    <s v="Aytekin"/>
    <s v="Kaya"/>
    <n v="35434"/>
    <s v="De Clercq, Dominique"/>
    <x v="251"/>
    <x v="32"/>
    <n v="1"/>
  </r>
  <r>
    <s v="Roos, Hugo"/>
    <s v="Hugo"/>
    <s v="Roos"/>
    <n v="35450"/>
    <s v="Dewulf, Els"/>
    <x v="252"/>
    <x v="32"/>
    <n v="4"/>
  </r>
  <r>
    <s v="Vandaele, Tom"/>
    <s v="Tom"/>
    <s v="Vandaele"/>
    <n v="35463"/>
    <s v="De Clercq, Dominique"/>
    <x v="253"/>
    <x v="32"/>
    <n v="4"/>
  </r>
  <r>
    <s v="Vonck, Freddy"/>
    <s v="Freddy"/>
    <s v="Vonck"/>
    <n v="35471"/>
    <s v="Vande Velde, Lucie"/>
    <x v="254"/>
    <x v="32"/>
    <n v="0"/>
  </r>
  <r>
    <s v="Nguetto, Brisco Romeo"/>
    <s v="Brisco Romeo"/>
    <s v="Nguetto"/>
    <n v="35490"/>
    <s v="Storm, Steven"/>
    <x v="253"/>
    <x v="32"/>
    <n v="1"/>
  </r>
  <r>
    <s v="Toubadie, Zakaria"/>
    <s v="Zakaria"/>
    <s v="Toubadie"/>
    <n v="35491"/>
    <s v="Vanhoe, Els"/>
    <x v="253"/>
    <x v="32"/>
    <n v="2"/>
  </r>
  <r>
    <s v="van Turnhout, Mariëlle"/>
    <s v="Mariëlle"/>
    <s v="van Turnhout"/>
    <n v="35493"/>
    <s v="Vande Velde, Lucie"/>
    <x v="255"/>
    <x v="32"/>
    <n v="1"/>
  </r>
  <r>
    <s v="Rummens, Maarten"/>
    <s v="Maarten"/>
    <s v="Rummens"/>
    <n v="35494"/>
    <s v="Vanhoe, Els"/>
    <x v="255"/>
    <x v="32"/>
    <n v="0"/>
  </r>
  <r>
    <s v="Razzaz, Mahmoud"/>
    <s v="Mahmoud"/>
    <s v="Razzaz"/>
    <n v="35495"/>
    <s v="De Rick, Kenneth"/>
    <x v="253"/>
    <x v="32"/>
    <n v="1"/>
  </r>
  <r>
    <s v="Smesman, Glenn"/>
    <s v="Glenn"/>
    <s v="Smesman"/>
    <n v="35588"/>
    <s v="Vande Velde, Lucie"/>
    <x v="255"/>
    <x v="32"/>
    <n v="3"/>
  </r>
  <r>
    <s v="Braeckman, Wouter"/>
    <s v="Wouter"/>
    <s v="Braeckman"/>
    <n v="35598"/>
    <s v="De Clercq, Dominique"/>
    <x v="255"/>
    <x v="32"/>
    <n v="1"/>
  </r>
  <r>
    <s v="El Mezroui, Zouheir"/>
    <s v="Zouheir"/>
    <s v="El Mezroui"/>
    <n v="35619"/>
    <s v="Storm, Steven"/>
    <x v="256"/>
    <x v="32"/>
    <n v="1"/>
  </r>
  <r>
    <s v="Dolleslagers, Christof"/>
    <s v="Christof"/>
    <s v="Dolleslagers"/>
    <n v="35623"/>
    <s v="Van Der Beken, Bart"/>
    <x v="251"/>
    <x v="32"/>
    <n v="0"/>
  </r>
  <r>
    <s v="Jalili, Yaseeb"/>
    <s v="Yaseeb"/>
    <s v="Jalili"/>
    <n v="35645"/>
    <s v="Storm, Steven"/>
    <x v="257"/>
    <x v="32"/>
    <n v="4"/>
  </r>
  <r>
    <s v="El Gasmi, Sami"/>
    <s v="Sami"/>
    <s v="El Gasmi"/>
    <n v="35709"/>
    <s v="Vanhoe, Els"/>
    <x v="258"/>
    <x v="32"/>
    <n v="1"/>
  </r>
  <r>
    <s v="Simsek, Huseyin"/>
    <s v="Huseyin"/>
    <s v="Simsek"/>
    <n v="35761"/>
    <s v="Dewulf, Els"/>
    <x v="256"/>
    <x v="32"/>
    <n v="0"/>
  </r>
  <r>
    <s v="Van Damme, Patrick"/>
    <s v="Patrick"/>
    <s v="Van Damme"/>
    <n v="35862"/>
    <s v="Dewulf, Els"/>
    <x v="259"/>
    <x v="32"/>
    <n v="0"/>
  </r>
  <r>
    <s v="Boelaert, Frederik"/>
    <s v="Frederik"/>
    <s v="Boelaert"/>
    <n v="36021"/>
    <s v="Vande Velde, Lucie"/>
    <x v="260"/>
    <x v="32"/>
    <n v="3"/>
  </r>
  <r>
    <s v="Unver, Ismaïl"/>
    <s v="Ismaïl"/>
    <s v="Unver"/>
    <n v="30321"/>
    <s v="De Rick, Kenneth"/>
    <x v="261"/>
    <x v="33"/>
    <n v="2"/>
  </r>
  <r>
    <s v="Riahi, Brahim"/>
    <s v="Brahim"/>
    <s v="Riahi"/>
    <n v="35414"/>
    <s v="Storm, Steven"/>
    <x v="262"/>
    <x v="33"/>
    <n v="0"/>
  </r>
  <r>
    <s v="De Clercq, Sven"/>
    <s v="Sven"/>
    <s v="De Clercq"/>
    <n v="36154"/>
    <s v="Vande Velde, Lucie"/>
    <x v="263"/>
    <x v="33"/>
    <n v="1"/>
  </r>
  <r>
    <s v="Kilinc, Atilay"/>
    <s v="Atilay"/>
    <s v="Kilinc"/>
    <n v="36228"/>
    <s v="Vanhoe, Els"/>
    <x v="264"/>
    <x v="33"/>
    <n v="1"/>
  </r>
  <r>
    <s v="Van Rentergem, Steve"/>
    <s v="Steve"/>
    <s v="Van Rentergem"/>
    <n v="36289"/>
    <s v="Vanhoe, Els"/>
    <x v="265"/>
    <x v="33"/>
    <n v="3"/>
  </r>
  <r>
    <s v="Haenebalcke, Peter"/>
    <s v="Peter"/>
    <s v="Haenebalcke"/>
    <n v="36336"/>
    <s v="Vande Velde, Lucie"/>
    <x v="265"/>
    <x v="33"/>
    <n v="1"/>
  </r>
  <r>
    <s v="Desmadryl, Daniel"/>
    <s v="Daniel"/>
    <s v="Desmadryl"/>
    <n v="36337"/>
    <s v="De Rick, Kenneth"/>
    <x v="265"/>
    <x v="33"/>
    <n v="1"/>
  </r>
  <r>
    <s v="El Aaddam, Hodayfa"/>
    <s v="Hodayfa"/>
    <s v="El Aaddam"/>
    <n v="36354"/>
    <s v="Vanhoe, Els"/>
    <x v="266"/>
    <x v="33"/>
    <n v="0"/>
  </r>
  <r>
    <s v="De Nys, Elise"/>
    <s v="Elise"/>
    <s v="De Nys"/>
    <n v="36358"/>
    <s v="Dewulf, Els"/>
    <x v="267"/>
    <x v="33"/>
    <n v="2"/>
  </r>
  <r>
    <s v="Opsomer, Gerrit"/>
    <s v="Gerrit"/>
    <s v="Opsomer"/>
    <n v="36378"/>
    <s v="Vande Velde, Lucie"/>
    <x v="268"/>
    <x v="33"/>
    <n v="0"/>
  </r>
  <r>
    <s v="Vandekerckhove, Nico"/>
    <s v="Nico"/>
    <s v="Vandekerckhove"/>
    <n v="36425"/>
    <s v="Vanhoe, Els"/>
    <x v="269"/>
    <x v="33"/>
    <n v="0"/>
  </r>
  <r>
    <s v="Mohamed Yassin, Abdulhamid"/>
    <s v="Abdulhamid"/>
    <s v="Mohamed Yassin"/>
    <n v="36426"/>
    <s v="Van Der Beken, Bart"/>
    <x v="270"/>
    <x v="33"/>
    <n v="3"/>
  </r>
  <r>
    <s v="Abdi Shaiye, Rashid"/>
    <s v="Rashid"/>
    <s v="Abdi Shaiye"/>
    <n v="36428"/>
    <s v="Vande Velde, Lucie"/>
    <x v="271"/>
    <x v="33"/>
    <n v="5"/>
  </r>
  <r>
    <s v="Ahlaloum, Khalid"/>
    <s v="Khalid"/>
    <s v="Ahlaloum"/>
    <n v="36429"/>
    <s v="De Rick, Kenneth"/>
    <x v="271"/>
    <x v="33"/>
    <n v="1"/>
  </r>
  <r>
    <s v="Agil, Birol"/>
    <s v="Birol"/>
    <s v="Agil"/>
    <n v="36438"/>
    <s v="Van Der Beken, Bart"/>
    <x v="266"/>
    <x v="33"/>
    <n v="3"/>
  </r>
  <r>
    <s v="Callens, Dimitri"/>
    <s v="Dimitri"/>
    <s v="Callens"/>
    <n v="36503"/>
    <s v="Rotty, Christoff"/>
    <x v="269"/>
    <x v="33"/>
    <n v="1"/>
  </r>
  <r>
    <s v="De Lange, Ruben"/>
    <s v="Ruben"/>
    <s v="De Lange"/>
    <n v="36505"/>
    <s v="De Rick, Kenneth"/>
    <x v="269"/>
    <x v="33"/>
    <n v="1"/>
  </r>
  <r>
    <s v="Van Belleghem, Peggy"/>
    <s v="Peggy"/>
    <s v="Van Belleghem"/>
    <n v="36507"/>
    <s v="Storm, Steven"/>
    <x v="272"/>
    <x v="33"/>
    <n v="0"/>
  </r>
  <r>
    <s v="Van Herreweghe, Branco"/>
    <s v="Branco"/>
    <s v="Van Herreweghe"/>
    <n v="36512"/>
    <s v="Storm, Steven"/>
    <x v="269"/>
    <x v="33"/>
    <n v="3"/>
  </r>
  <r>
    <s v="Sogut, Rauf"/>
    <s v="Rauf"/>
    <s v="Sogut"/>
    <n v="36513"/>
    <s v="De Rick, Kenneth"/>
    <x v="269"/>
    <x v="33"/>
    <n v="1"/>
  </r>
  <r>
    <s v="Babaian, Sammy"/>
    <s v="Sammy"/>
    <s v="Babaian"/>
    <n v="36543"/>
    <s v="Vande Velde, Lucie"/>
    <x v="272"/>
    <x v="33"/>
    <n v="0"/>
  </r>
  <r>
    <s v="De Staercke, Sandra"/>
    <s v="Sandra"/>
    <s v="De Staercke"/>
    <n v="36559"/>
    <s v="De Rick, Kenneth"/>
    <x v="272"/>
    <x v="33"/>
    <n v="2"/>
  </r>
  <r>
    <s v="Stroobandt, Jonas"/>
    <s v="Jonas"/>
    <s v="Stroobandt"/>
    <n v="36569"/>
    <s v="Vanhoe, Els"/>
    <x v="272"/>
    <x v="33"/>
    <n v="6"/>
  </r>
  <r>
    <s v="De Smet, Martine"/>
    <s v="Martine"/>
    <s v="De Smet"/>
    <n v="36577"/>
    <s v="Dewulf, Els"/>
    <x v="273"/>
    <x v="33"/>
    <n v="1"/>
  </r>
  <r>
    <s v="Duyck, Lorenzo"/>
    <s v="Lorenzo"/>
    <s v="Duyck"/>
    <n v="36586"/>
    <s v="Stubbe, Jarne"/>
    <x v="274"/>
    <x v="33"/>
    <n v="0"/>
  </r>
  <r>
    <s v="De Meulenaere, Kurt"/>
    <s v="Kurt"/>
    <s v="De Meulenaere"/>
    <n v="36624"/>
    <s v="De Clercq, Dominique"/>
    <x v="275"/>
    <x v="33"/>
    <n v="3"/>
  </r>
  <r>
    <s v="Kartal, Kadir"/>
    <s v="Kadir"/>
    <s v="Kartal"/>
    <n v="36626"/>
    <s v="Dewulf, Els"/>
    <x v="273"/>
    <x v="33"/>
    <n v="10"/>
  </r>
  <r>
    <s v="Dobbelaere, David"/>
    <s v="David"/>
    <s v="Dobbelaere"/>
    <n v="36627"/>
    <s v="Dewulf, Els"/>
    <x v="276"/>
    <x v="33"/>
    <n v="5"/>
  </r>
  <r>
    <s v="Fadel, Husam"/>
    <s v="Husam"/>
    <s v="Fadel"/>
    <n v="36635"/>
    <s v="De Rick, Kenneth"/>
    <x v="277"/>
    <x v="33"/>
    <n v="4"/>
  </r>
  <r>
    <s v="Cesmeli, Achraf"/>
    <s v="Achraf"/>
    <s v="Cesmeli"/>
    <n v="36663"/>
    <s v="De Clercq, Dominique"/>
    <x v="278"/>
    <x v="33"/>
    <n v="3"/>
  </r>
  <r>
    <s v="Haché, Philip"/>
    <s v="Philip"/>
    <s v="Haché"/>
    <n v="36820"/>
    <s v="Storm, Steven"/>
    <x v="279"/>
    <x v="33"/>
    <n v="1"/>
  </r>
  <r>
    <s v="De Kesel, Milan"/>
    <s v="Milan"/>
    <s v="De Kesel"/>
    <n v="36838"/>
    <s v="De Clercq, Dominique"/>
    <x v="280"/>
    <x v="33"/>
    <n v="0"/>
  </r>
  <r>
    <s v="Flamant, Marc"/>
    <s v="Marc"/>
    <s v="Flamant"/>
    <n v="36845"/>
    <s v="Vande Velde, Lucie"/>
    <x v="281"/>
    <x v="33"/>
    <n v="0"/>
  </r>
  <r>
    <s v="Carion, Rojet"/>
    <s v="Rojet"/>
    <s v="Carion"/>
    <n v="36625"/>
    <s v="De Rick, Kenneth"/>
    <x v="282"/>
    <x v="34"/>
    <n v="0"/>
  </r>
  <r>
    <s v="Vanooteghem, Johnny"/>
    <s v="Johnny"/>
    <s v="Vanooteghem"/>
    <n v="19251"/>
    <s v="De Clercq, Dominique"/>
    <x v="283"/>
    <x v="34"/>
    <n v="0"/>
  </r>
  <r>
    <s v="Acosta Salinas, Benigna"/>
    <s v="Benigna"/>
    <s v="Acosta Salinas"/>
    <n v="36275"/>
    <s v="De Clercq, Dominique"/>
    <x v="284"/>
    <x v="34"/>
    <n v="2"/>
  </r>
  <r>
    <s v="Saritag, Mehmed"/>
    <s v="Mehmed"/>
    <s v="Saritag"/>
    <n v="37131"/>
    <s v="De Rick, Kenneth"/>
    <x v="285"/>
    <x v="34"/>
    <n v="2"/>
  </r>
  <r>
    <s v="Dacic, Esmir"/>
    <s v="Esmir"/>
    <s v="Dacic"/>
    <n v="37132"/>
    <s v="De Clercq, Dominique"/>
    <x v="286"/>
    <x v="34"/>
    <n v="2"/>
  </r>
  <r>
    <s v="Bashir, Muhammad Salman"/>
    <s v="Muhammad Salman"/>
    <s v="Bashir"/>
    <n v="37179"/>
    <s v="Van Der Beken, Bart"/>
    <x v="287"/>
    <x v="34"/>
    <n v="2"/>
  </r>
  <r>
    <s v="Catar, Gökhan"/>
    <s v="Gökhan"/>
    <s v="Catar"/>
    <n v="37208"/>
    <s v="De Rick, Kenneth"/>
    <x v="288"/>
    <x v="34"/>
    <n v="1"/>
  </r>
  <r>
    <s v="Antoniewicz, Stephan"/>
    <s v="Stephan"/>
    <s v="Antoniewicz"/>
    <n v="37216"/>
    <s v="De Rick, Kenneth"/>
    <x v="289"/>
    <x v="34"/>
    <n v="1"/>
  </r>
  <r>
    <s v="Blondeel, Dominique"/>
    <s v="Dominique"/>
    <s v="Blondeel"/>
    <n v="37222"/>
    <s v="Vande Velde, Lucie"/>
    <x v="286"/>
    <x v="34"/>
    <n v="1"/>
  </r>
  <r>
    <s v="Berth, Bjorn"/>
    <s v="Bjorn"/>
    <s v="Berth"/>
    <n v="37226"/>
    <s v="Dewulf, Els"/>
    <x v="290"/>
    <x v="34"/>
    <n v="0"/>
  </r>
  <r>
    <s v="Coulon, Rayan"/>
    <s v="Rayan"/>
    <s v="Coulon"/>
    <n v="37254"/>
    <s v="De Rick, Kenneth"/>
    <x v="285"/>
    <x v="34"/>
    <n v="2"/>
  </r>
  <r>
    <s v="Van Wayenbergh, Yordi"/>
    <s v="Yordi"/>
    <s v="Van Wayenbergh"/>
    <n v="37261"/>
    <s v="De Clercq, Dominique"/>
    <x v="286"/>
    <x v="34"/>
    <n v="4"/>
  </r>
  <r>
    <s v="Dedeci, Mecit"/>
    <s v="Mecit"/>
    <s v="Dedeci"/>
    <n v="37313"/>
    <s v="Van Der Beken, Bart"/>
    <x v="291"/>
    <x v="34"/>
    <n v="1"/>
  </r>
  <r>
    <s v="Walleyn, Renaat"/>
    <s v="Renaat"/>
    <s v="Walleyn"/>
    <n v="37345"/>
    <s v="Vande Velde, Lucie"/>
    <x v="292"/>
    <x v="34"/>
    <n v="3"/>
  </r>
  <r>
    <s v="Demirkazik, Mustafa"/>
    <s v="Mustafa"/>
    <s v="Demirkazik"/>
    <n v="37439"/>
    <s v="De Rick, Kenneth"/>
    <x v="292"/>
    <x v="34"/>
    <n v="4"/>
  </r>
  <r>
    <s v="Oosterlinck, Willy"/>
    <s v="Willy"/>
    <s v="Oosterlinck"/>
    <n v="37496"/>
    <s v="De Clercq, Dominique"/>
    <x v="293"/>
    <x v="34"/>
    <n v="4"/>
  </r>
  <r>
    <s v="Abdulkader, Sabah"/>
    <s v="Sabah"/>
    <s v="Abdulkader"/>
    <n v="37509"/>
    <s v="Van Der Beken, Bart"/>
    <x v="294"/>
    <x v="34"/>
    <n v="3"/>
  </r>
  <r>
    <s v="De Tandt, Hans"/>
    <s v="Hans"/>
    <s v="De Tandt"/>
    <n v="37542"/>
    <s v="Van Der Beken, Bart"/>
    <x v="295"/>
    <x v="34"/>
    <n v="5"/>
  </r>
  <r>
    <s v="Öztürk, Bilgehan"/>
    <s v="Bilgehan"/>
    <s v="Öztürk"/>
    <n v="37543"/>
    <s v="De Rick, Kenneth"/>
    <x v="295"/>
    <x v="34"/>
    <n v="6"/>
  </r>
  <r>
    <s v="Damlakhi, Nawras"/>
    <s v="Nawras"/>
    <s v="Damlakhi"/>
    <n v="37564"/>
    <s v="Vanhoe, Els"/>
    <x v="295"/>
    <x v="34"/>
    <n v="1"/>
  </r>
  <r>
    <s v="Smesman, Nico"/>
    <s v="Nico"/>
    <s v="Smesman"/>
    <n v="37600"/>
    <s v="Vande Velde, Lucie"/>
    <x v="291"/>
    <x v="34"/>
    <n v="0"/>
  </r>
  <r>
    <s v="De Groote, Dylan"/>
    <s v="Dylan"/>
    <s v="De Groote"/>
    <n v="37609"/>
    <s v="De Rick, Kenneth"/>
    <x v="291"/>
    <x v="34"/>
    <n v="2"/>
  </r>
  <r>
    <s v="D'hondt, Jurgen"/>
    <s v="Jurgen"/>
    <s v="D'hondt"/>
    <n v="37623"/>
    <s v="Stubbe, Jarne"/>
    <x v="296"/>
    <x v="34"/>
    <n v="0"/>
  </r>
  <r>
    <s v="Van den Meerssche, Steven"/>
    <s v="Steven"/>
    <s v="Van den Meerssche"/>
    <n v="37662"/>
    <s v="Van Der Beken, Bart"/>
    <x v="297"/>
    <x v="34"/>
    <n v="8"/>
  </r>
  <r>
    <s v="De Boever, Charlotte"/>
    <s v="Charlotte"/>
    <s v="De Boever"/>
    <n v="37683"/>
    <s v="Storm, Steven"/>
    <x v="298"/>
    <x v="34"/>
    <n v="1"/>
  </r>
  <r>
    <s v="De Lange, Frank"/>
    <s v="Frank"/>
    <s v="De Lange"/>
    <n v="37744"/>
    <s v="De Clercq, Dominique"/>
    <x v="299"/>
    <x v="34"/>
    <n v="1"/>
  </r>
  <r>
    <s v="Demirkaya, Kâzim"/>
    <s v="Kâzim"/>
    <s v="Demirkaya"/>
    <n v="37794"/>
    <s v="Storm, Steven"/>
    <x v="300"/>
    <x v="34"/>
    <n v="1"/>
  </r>
  <r>
    <s v="Gök, Mustafa"/>
    <s v="Mustafa"/>
    <s v="Gök"/>
    <n v="37808"/>
    <s v="Vanhoe, Els"/>
    <x v="301"/>
    <x v="34"/>
    <n v="1"/>
  </r>
  <r>
    <s v="Sturtewagen, Kenny"/>
    <s v="Kenny"/>
    <s v="Sturtewagen"/>
    <n v="37809"/>
    <s v="Storm, Steven"/>
    <x v="302"/>
    <x v="34"/>
    <n v="3"/>
  </r>
  <r>
    <s v="Van Doorselaere, Alan"/>
    <s v="Alan"/>
    <s v="Van Doorselaere"/>
    <n v="37907"/>
    <s v="De Clercq, Dominique"/>
    <x v="302"/>
    <x v="34"/>
    <n v="0"/>
  </r>
  <r>
    <s v="Vandenberghe, Michael"/>
    <s v="Michael"/>
    <s v="Vandenberghe"/>
    <n v="37908"/>
    <s v="Storm, Steven"/>
    <x v="303"/>
    <x v="34"/>
    <n v="1"/>
  </r>
  <r>
    <s v="Detaeye, Alexander"/>
    <s v="Alexander"/>
    <s v="Detaeye"/>
    <n v="37936"/>
    <s v="Storm, Steven"/>
    <x v="304"/>
    <x v="34"/>
    <n v="2"/>
  </r>
  <r>
    <s v="De Naegel, Bruno"/>
    <s v="Bruno"/>
    <s v="De Naegel"/>
    <n v="37950"/>
    <s v="De Clercq, Dominique"/>
    <x v="302"/>
    <x v="34"/>
    <n v="3"/>
  </r>
  <r>
    <s v="Van De Voorde, Cindy"/>
    <s v="Cindy"/>
    <s v="Van De Voorde"/>
    <n v="37951"/>
    <s v="Vande Velde, Lucie"/>
    <x v="304"/>
    <x v="34"/>
    <n v="1"/>
  </r>
  <r>
    <s v="Dierinck, Charles"/>
    <s v="Charles"/>
    <s v="Dierinck"/>
    <n v="37999"/>
    <s v="Storm, Steven"/>
    <x v="305"/>
    <x v="34"/>
    <n v="0"/>
  </r>
  <r>
    <s v="Mine, Akin"/>
    <s v="Akin"/>
    <s v="Mine"/>
    <n v="38013"/>
    <s v="Vande Velde, Lucie"/>
    <x v="304"/>
    <x v="34"/>
    <n v="1"/>
  </r>
  <r>
    <s v="Simsek, Isa"/>
    <s v="Isa"/>
    <s v="Simsek"/>
    <n v="38035"/>
    <s v="Van Der Beken, Bart"/>
    <x v="304"/>
    <x v="34"/>
    <n v="1"/>
  </r>
  <r>
    <s v="Uenk, Hermina"/>
    <s v="Hermina"/>
    <s v="Uenk"/>
    <n v="38205"/>
    <s v="De Rick, Kenneth"/>
    <x v="306"/>
    <x v="34"/>
    <n v="0"/>
  </r>
  <r>
    <s v="Sari, Devrim"/>
    <s v="Devrim"/>
    <s v="Sari"/>
    <n v="38481"/>
    <s v="De Rick, Kenneth"/>
    <x v="307"/>
    <x v="35"/>
    <n v="3"/>
  </r>
  <r>
    <s v="Byosière, Christof"/>
    <s v="Christof"/>
    <s v="Byosière"/>
    <n v="23700"/>
    <s v="De Clercq, Dominique"/>
    <x v="308"/>
    <x v="35"/>
    <n v="2"/>
  </r>
  <r>
    <s v="Neghli, Farid"/>
    <s v="Farid"/>
    <s v="Neghli"/>
    <n v="27186"/>
    <s v="Rotty, Christoff"/>
    <x v="309"/>
    <x v="35"/>
    <n v="2"/>
  </r>
  <r>
    <s v="Eid, Mathyn"/>
    <s v="Mathyn"/>
    <s v="Eid"/>
    <n v="34325"/>
    <s v="Storm, Steven"/>
    <x v="310"/>
    <x v="35"/>
    <n v="5"/>
  </r>
  <r>
    <s v="Aljorof, Marwan"/>
    <s v="Marwan"/>
    <s v="Aljorof"/>
    <n v="38047"/>
    <s v="Rotty, Christoff"/>
    <x v="311"/>
    <x v="35"/>
    <n v="0"/>
  </r>
  <r>
    <s v="Verschraegen, Katleen"/>
    <s v="Katleen"/>
    <s v="Verschraegen"/>
    <n v="38475"/>
    <s v="Dewulf, Els"/>
    <x v="312"/>
    <x v="35"/>
    <n v="4"/>
  </r>
  <r>
    <s v="Huyghe, Jan"/>
    <s v="Jan"/>
    <s v="Huyghe"/>
    <n v="38529"/>
    <s v="Dewulf, Els"/>
    <x v="313"/>
    <x v="35"/>
    <n v="5"/>
  </r>
  <r>
    <s v="Haaze, Sarah"/>
    <s v="Sarah"/>
    <s v="Haaze"/>
    <n v="38550"/>
    <s v="Rotty, Christoff"/>
    <x v="314"/>
    <x v="35"/>
    <n v="0"/>
  </r>
  <r>
    <s v="Alassad, Ahmad"/>
    <s v="Ahmad"/>
    <s v="Alassad"/>
    <n v="38551"/>
    <s v="Van Der Beken, Bart"/>
    <x v="307"/>
    <x v="35"/>
    <n v="1"/>
  </r>
  <r>
    <s v="Almohammad, Malek"/>
    <s v="Malek"/>
    <s v="Almohammad"/>
    <n v="38555"/>
    <s v="Vanhoe, Els"/>
    <x v="314"/>
    <x v="35"/>
    <n v="1"/>
  </r>
  <r>
    <s v="Haaze, Sven"/>
    <s v="Sven"/>
    <s v="Haaze"/>
    <n v="38579"/>
    <s v="Dewulf, Els"/>
    <x v="315"/>
    <x v="35"/>
    <n v="1"/>
  </r>
  <r>
    <s v="Smajla, Samet"/>
    <s v="Samet"/>
    <s v="Smajla"/>
    <n v="38580"/>
    <s v="Dewulf, Els"/>
    <x v="316"/>
    <x v="35"/>
    <n v="1"/>
  </r>
  <r>
    <s v="Stomphorst, Mattanja"/>
    <s v="Mattanja"/>
    <s v="Stomphorst"/>
    <n v="38633"/>
    <s v="Dewulf, Els"/>
    <x v="307"/>
    <x v="35"/>
    <n v="3"/>
  </r>
  <r>
    <s v="Asskale, Zouhir"/>
    <s v="Zouhir"/>
    <s v="Asskale"/>
    <n v="38634"/>
    <s v="Van Der Beken, Bart"/>
    <x v="317"/>
    <x v="35"/>
    <n v="3"/>
  </r>
  <r>
    <s v="Uckuyulu, Muhammet Emin"/>
    <s v="Muhammet Emin"/>
    <s v="Uckuyulu"/>
    <n v="38648"/>
    <s v="Vande Velde, Lucie"/>
    <x v="318"/>
    <x v="35"/>
    <n v="4"/>
  </r>
  <r>
    <s v="Basgurboga, Selahattin"/>
    <s v="Selahattin"/>
    <s v="Basgurboga"/>
    <n v="38688"/>
    <s v="Dewulf, Els"/>
    <x v="318"/>
    <x v="35"/>
    <n v="3"/>
  </r>
  <r>
    <s v="Muys, Aäron"/>
    <s v="Aäron"/>
    <s v="Muys"/>
    <n v="38691"/>
    <s v="Dewulf, Els"/>
    <x v="317"/>
    <x v="35"/>
    <n v="0"/>
  </r>
  <r>
    <s v="Ben Sidhom, Samir"/>
    <s v="Samir"/>
    <s v="Ben Sidhom"/>
    <n v="38731"/>
    <s v="Rotty, Christoff"/>
    <x v="319"/>
    <x v="35"/>
    <n v="1"/>
  </r>
  <r>
    <s v="Meskens, Anthony"/>
    <s v="Anthony"/>
    <s v="Meskens"/>
    <n v="38740"/>
    <s v="Rotty, Christoff"/>
    <x v="318"/>
    <x v="35"/>
    <n v="2"/>
  </r>
  <r>
    <s v="Dossche, Caroline"/>
    <s v="Caroline"/>
    <s v="Dossche"/>
    <n v="38807"/>
    <s v="Rotty, Christoff"/>
    <x v="318"/>
    <x v="35"/>
    <n v="4"/>
  </r>
  <r>
    <s v="Wasen, Jens"/>
    <s v="Jens"/>
    <s v="Wasen"/>
    <n v="38808"/>
    <s v="Dewulf, Els"/>
    <x v="320"/>
    <x v="35"/>
    <n v="5"/>
  </r>
  <r>
    <s v="Sancak, Eyuphan"/>
    <s v="Eyuphan"/>
    <s v="Sancak"/>
    <n v="38931"/>
    <s v="Van Der Beken, Bart"/>
    <x v="321"/>
    <x v="35"/>
    <n v="4"/>
  </r>
  <r>
    <s v="Sedighi, Hamid"/>
    <s v="Hamid"/>
    <s v="Sedighi"/>
    <n v="38938"/>
    <s v="Vande Velde, Lucie"/>
    <x v="322"/>
    <x v="35"/>
    <n v="7"/>
  </r>
  <r>
    <s v="Asrih, Habib"/>
    <s v="Habib"/>
    <s v="Asrih"/>
    <n v="39013"/>
    <s v="Dewulf, Els"/>
    <x v="323"/>
    <x v="35"/>
    <n v="3"/>
  </r>
  <r>
    <s v="Genbrugge, Kyllian"/>
    <s v="Kyllian"/>
    <s v="Genbrugge"/>
    <n v="39014"/>
    <s v="Van Der Beken, Bart"/>
    <x v="323"/>
    <x v="35"/>
    <n v="3"/>
  </r>
  <r>
    <s v="De taeye, Kelly"/>
    <s v="Kelly"/>
    <s v="De taeye"/>
    <n v="39019"/>
    <s v="Vande Velde, Lucie"/>
    <x v="322"/>
    <x v="35"/>
    <n v="2"/>
  </r>
  <r>
    <s v="Salam Housin, Ahmed"/>
    <s v="Ahmed"/>
    <s v="Salam Housin"/>
    <n v="39106"/>
    <s v="Van Der Beken, Bart"/>
    <x v="323"/>
    <x v="35"/>
    <n v="0"/>
  </r>
  <r>
    <s v="Landoulsi, Sabeur"/>
    <s v="Sabeur"/>
    <s v="Landoulsi"/>
    <n v="39145"/>
    <s v="Rotty, Christoff"/>
    <x v="324"/>
    <x v="35"/>
    <n v="1"/>
  </r>
  <r>
    <s v="Burrick, Alex"/>
    <s v="Alex"/>
    <s v="Burrick"/>
    <n v="39146"/>
    <s v="Dewulf, Els"/>
    <x v="320"/>
    <x v="35"/>
    <n v="3"/>
  </r>
  <r>
    <s v="Al Masri, Anas"/>
    <s v="Anas"/>
    <s v="Al Masri"/>
    <n v="39183"/>
    <s v="Rotty, Christoff"/>
    <x v="325"/>
    <x v="35"/>
    <n v="4"/>
  </r>
  <r>
    <s v="Shinwari, Yasin"/>
    <s v="Yasin"/>
    <s v="Shinwari"/>
    <n v="39184"/>
    <s v="Rotty, Christoff"/>
    <x v="326"/>
    <x v="35"/>
    <n v="3"/>
  </r>
  <r>
    <s v="Abdi Ali, Ali"/>
    <s v="Ali"/>
    <s v="Abdi Ali"/>
    <n v="39251"/>
    <s v="Dewulf, Els"/>
    <x v="325"/>
    <x v="35"/>
    <n v="0"/>
  </r>
  <r>
    <s v="Van Holsbeeck, Jens"/>
    <s v="Jens"/>
    <s v="Van Holsbeeck"/>
    <n v="39267"/>
    <s v="Rotty, Christoff"/>
    <x v="327"/>
    <x v="35"/>
    <n v="1"/>
  </r>
  <r>
    <s v="Weeks Aracena, Jimmy Alexander"/>
    <s v="Jimmy Alexander"/>
    <s v="Weeks Aracena"/>
    <n v="39358"/>
    <s v="Rotty, Christoff"/>
    <x v="328"/>
    <x v="35"/>
    <n v="5"/>
  </r>
  <r>
    <s v="Bensalah, Mohammed"/>
    <s v="Mohammed"/>
    <s v="Bensalah"/>
    <n v="39379"/>
    <s v="Rotty, Christoff"/>
    <x v="329"/>
    <x v="35"/>
    <n v="2"/>
  </r>
  <r>
    <s v="Mihaylov, Plamen"/>
    <s v="Plamen"/>
    <s v="Mihaylov"/>
    <n v="39528"/>
    <s v="Rotty, Christoff"/>
    <x v="330"/>
    <x v="35"/>
    <n v="4"/>
  </r>
  <r>
    <s v="Sahin, Orhan"/>
    <s v="Orhan"/>
    <s v="Sahin"/>
    <n v="39532"/>
    <s v="Rotty, Christoff"/>
    <x v="331"/>
    <x v="35"/>
    <n v="6"/>
  </r>
  <r>
    <s v="De Groote, Cedric"/>
    <s v="Cedric"/>
    <s v="De Groote"/>
    <n v="39558"/>
    <s v="Storm, Steven"/>
    <x v="331"/>
    <x v="35"/>
    <n v="2"/>
  </r>
  <r>
    <s v="Nguende Ngatcheu, Ivan Belerd"/>
    <s v="Ivan Belerd"/>
    <s v="Nguende Ngatcheu"/>
    <n v="39575"/>
    <s v="Dewulf, Els"/>
    <x v="332"/>
    <x v="35"/>
    <n v="0"/>
  </r>
  <r>
    <s v="Vandenhaute, Linus"/>
    <s v="Linus"/>
    <s v="Vandenhaute"/>
    <n v="39581"/>
    <s v="Dewulf, Els"/>
    <x v="329"/>
    <x v="35"/>
    <n v="5"/>
  </r>
  <r>
    <s v="Sayin, Batuhan"/>
    <s v="Batuhan"/>
    <s v="Sayin"/>
    <n v="39610"/>
    <s v="Van Der Beken, Bart"/>
    <x v="331"/>
    <x v="35"/>
    <n v="1"/>
  </r>
  <r>
    <s v="Kallenbach, Sunny"/>
    <s v="Sunny"/>
    <s v="Kallenbach"/>
    <n v="39651"/>
    <s v="De Rick, Kenneth"/>
    <x v="331"/>
    <x v="35"/>
    <n v="4"/>
  </r>
  <r>
    <s v="Camacho Encarnacion, Lisandro Javier"/>
    <s v="Lisandro Javier"/>
    <s v="Camacho Encarnacion"/>
    <n v="39654"/>
    <s v="De Rick, Kenneth"/>
    <x v="332"/>
    <x v="35"/>
    <n v="2"/>
  </r>
  <r>
    <s v="Lloyd, Glenn"/>
    <s v="Glenn"/>
    <s v="Lloyd"/>
    <n v="39660"/>
    <s v="Van Der Beken, Bart"/>
    <x v="332"/>
    <x v="35"/>
    <n v="6"/>
  </r>
  <r>
    <s v="Steurbaut, Henri"/>
    <s v="Henri"/>
    <s v="Steurbaut"/>
    <n v="39673"/>
    <s v="Vanhoe, Els"/>
    <x v="330"/>
    <x v="35"/>
    <n v="5"/>
  </r>
  <r>
    <s v="Tacq, Joey"/>
    <s v="Joey"/>
    <s v="Tacq"/>
    <n v="39677"/>
    <s v="De Rick, Kenneth"/>
    <x v="332"/>
    <x v="35"/>
    <n v="1"/>
  </r>
  <r>
    <s v="Repaj, Ramazan"/>
    <s v="Ramazan"/>
    <s v="Repaj"/>
    <n v="39712"/>
    <s v="Van Der Beken, Bart"/>
    <x v="330"/>
    <x v="35"/>
    <n v="4"/>
  </r>
  <r>
    <s v="Nohut, Baki"/>
    <s v="Baki"/>
    <s v="Nohut"/>
    <n v="39728"/>
    <s v="Vande Velde, Lucie"/>
    <x v="333"/>
    <x v="35"/>
    <n v="2"/>
  </r>
  <r>
    <s v="Avci, Muhammet Abdullah"/>
    <s v="Muhammet Abdullah"/>
    <s v="Avci"/>
    <n v="39779"/>
    <s v="Van Der Beken, Bart"/>
    <x v="333"/>
    <x v="35"/>
    <n v="7"/>
  </r>
  <r>
    <s v="Demirkaya, Serkan"/>
    <s v="Serkan"/>
    <s v="Demirkaya"/>
    <n v="39829"/>
    <s v="Vande Velde, Lucie"/>
    <x v="334"/>
    <x v="35"/>
    <n v="2"/>
  </r>
  <r>
    <s v="Dolgiev, Mukhamed"/>
    <s v="Mukhamed"/>
    <s v="Dolgiev"/>
    <n v="39831"/>
    <s v="Dewulf, Els"/>
    <x v="334"/>
    <x v="35"/>
    <n v="1"/>
  </r>
  <r>
    <s v="Helleputte, William"/>
    <s v="William"/>
    <s v="Helleputte"/>
    <n v="39850"/>
    <s v="De Clercq, Dominique"/>
    <x v="334"/>
    <x v="35"/>
    <n v="2"/>
  </r>
  <r>
    <s v="Curukcu, Bayram"/>
    <s v="Bayram"/>
    <s v="Curukcu"/>
    <n v="39856"/>
    <s v="De Rick, Kenneth"/>
    <x v="334"/>
    <x v="35"/>
    <n v="2"/>
  </r>
  <r>
    <s v="Jacobs, Elos"/>
    <s v="Elos"/>
    <s v="Jacobs"/>
    <n v="39858"/>
    <s v="Dewulf, Els"/>
    <x v="334"/>
    <x v="35"/>
    <n v="2"/>
  </r>
  <r>
    <s v="Costers, Kelly"/>
    <s v="Kelly"/>
    <s v="Costers"/>
    <n v="39859"/>
    <s v="Van Der Beken, Bart"/>
    <x v="334"/>
    <x v="35"/>
    <n v="4"/>
  </r>
  <r>
    <s v="Martens, Geoffrey"/>
    <s v="Geoffrey"/>
    <s v="Martens"/>
    <n v="29674"/>
    <s v="De Clercq, Dominique"/>
    <x v="335"/>
    <x v="36"/>
    <n v="1"/>
  </r>
  <r>
    <s v="Van Hoe, Ivo"/>
    <s v="Ivo"/>
    <s v="Van Hoe"/>
    <n v="33085"/>
    <s v="De Rick, Kenneth"/>
    <x v="336"/>
    <x v="36"/>
    <n v="2"/>
  </r>
  <r>
    <s v="Dekens, Andy"/>
    <s v="Andy"/>
    <s v="Dekens"/>
    <n v="33551"/>
    <s v="Vanhoe, Els"/>
    <x v="337"/>
    <x v="36"/>
    <n v="2"/>
  </r>
  <r>
    <s v="Dalli, Mustafa"/>
    <s v="Mustafa"/>
    <s v="Dalli"/>
    <n v="39101"/>
    <s v="Rotty, Christoff"/>
    <x v="338"/>
    <x v="36"/>
    <n v="0"/>
  </r>
  <r>
    <s v="Desmet, Patricia"/>
    <s v="Patricia"/>
    <s v="Desmet"/>
    <n v="39529"/>
    <s v="Rotty, Christoff"/>
    <x v="339"/>
    <x v="36"/>
    <n v="4"/>
  </r>
  <r>
    <s v="El Khayat, Jamal"/>
    <s v="Jamal"/>
    <s v="El Khayat"/>
    <n v="39715"/>
    <s v="De Rick, Kenneth"/>
    <x v="340"/>
    <x v="36"/>
    <n v="0"/>
  </r>
  <r>
    <s v="Stanikazi, Roien Sadder"/>
    <s v="Roien Sadder"/>
    <s v="Stanikazi"/>
    <n v="39889"/>
    <s v="Storm, Steven"/>
    <x v="341"/>
    <x v="36"/>
    <n v="1"/>
  </r>
  <r>
    <s v="Calinalti, Abdil"/>
    <s v="Abdil"/>
    <s v="Calinalti"/>
    <n v="39899"/>
    <s v="Rotty, Christoff"/>
    <x v="342"/>
    <x v="36"/>
    <n v="1"/>
  </r>
  <r>
    <s v="Basha, Izmir"/>
    <s v="Izmir"/>
    <s v="Basha"/>
    <n v="39901"/>
    <s v="Rotty, Christoff"/>
    <x v="343"/>
    <x v="36"/>
    <n v="1"/>
  </r>
  <r>
    <s v="Marian, Birsanuc"/>
    <s v="Birsanuc"/>
    <s v="Marian"/>
    <n v="39907"/>
    <s v="De Rick, Kenneth"/>
    <x v="344"/>
    <x v="36"/>
    <n v="1"/>
  </r>
  <r>
    <s v="De Wilde, Jordy"/>
    <s v="Jordy"/>
    <s v="De Wilde"/>
    <n v="39927"/>
    <s v="Rotty, Christoff"/>
    <x v="343"/>
    <x v="36"/>
    <n v="2"/>
  </r>
  <r>
    <s v="Staneva, Mariyana"/>
    <s v="Mariyana"/>
    <s v="Staneva"/>
    <n v="39929"/>
    <s v="Rotty, Christoff"/>
    <x v="344"/>
    <x v="36"/>
    <n v="9"/>
  </r>
  <r>
    <s v="Mirazai, Rahmatullah"/>
    <s v="Rahmatullah"/>
    <s v="Mirazai"/>
    <n v="39930"/>
    <s v="Rotty, Christoff"/>
    <x v="343"/>
    <x v="36"/>
    <n v="2"/>
  </r>
  <r>
    <s v="Mattan, Maaren"/>
    <s v="Maaren"/>
    <s v="Mattan"/>
    <n v="39985"/>
    <s v="Rotty, Christoff"/>
    <x v="345"/>
    <x v="36"/>
    <n v="0"/>
  </r>
  <r>
    <s v="Souda, Mahmoud"/>
    <s v="Mahmoud"/>
    <s v="Souda"/>
    <n v="39988"/>
    <s v="Rotty, Christoff"/>
    <x v="345"/>
    <x v="36"/>
    <n v="0"/>
  </r>
  <r>
    <s v="Bernaerts, Philip"/>
    <s v="Philip"/>
    <s v="Bernaerts"/>
    <n v="40005"/>
    <s v="Rotty, Christoff"/>
    <x v="343"/>
    <x v="36"/>
    <n v="2"/>
  </r>
  <r>
    <s v="De Ridder, Benjamin"/>
    <s v="Benjamin"/>
    <s v="De Ridder"/>
    <n v="40006"/>
    <s v="Rotty, Christoff"/>
    <x v="343"/>
    <x v="36"/>
    <n v="1"/>
  </r>
  <r>
    <s v="Karakaya, Oguz"/>
    <s v="Oguz"/>
    <s v="Karakaya"/>
    <n v="40036"/>
    <s v="De Clercq, Dominique"/>
    <x v="346"/>
    <x v="36"/>
    <n v="2"/>
  </r>
  <r>
    <s v="Afara, Ammar"/>
    <s v="Ammar"/>
    <s v="Afara"/>
    <n v="40055"/>
    <s v="Vanhoe, Els"/>
    <x v="345"/>
    <x v="36"/>
    <n v="2"/>
  </r>
  <r>
    <s v="Sögüt, Can"/>
    <s v="Can"/>
    <s v="Sögüt"/>
    <n v="40058"/>
    <s v="Rotty, Christoff"/>
    <x v="345"/>
    <x v="36"/>
    <n v="3"/>
  </r>
  <r>
    <s v="Vanlerberghe, Sandra"/>
    <s v="Sandra"/>
    <s v="Vanlerberghe"/>
    <n v="40110"/>
    <s v="Rotty, Christoff"/>
    <x v="347"/>
    <x v="36"/>
    <n v="7"/>
  </r>
  <r>
    <s v="Cardon, Sharon"/>
    <s v="Sharon"/>
    <s v="Cardon"/>
    <n v="40134"/>
    <s v="De Clercq, Dominique"/>
    <x v="346"/>
    <x v="36"/>
    <n v="4"/>
  </r>
  <r>
    <s v="Moerman, Tjimmy"/>
    <s v="Tjimmy"/>
    <s v="Moerman"/>
    <n v="40138"/>
    <s v="Rotty, Christoff"/>
    <x v="347"/>
    <x v="36"/>
    <n v="10"/>
  </r>
  <r>
    <s v="De Waegeneer, Michael"/>
    <s v="Michael"/>
    <s v="De Waegeneer"/>
    <n v="40143"/>
    <s v="Rotty, Christoff"/>
    <x v="347"/>
    <x v="36"/>
    <n v="0"/>
  </r>
  <r>
    <s v="Shahriyari, Khalil"/>
    <s v="Khalil"/>
    <s v="Shahriyari"/>
    <n v="40200"/>
    <s v="De Clercq, Dominique"/>
    <x v="348"/>
    <x v="36"/>
    <n v="2"/>
  </r>
  <r>
    <s v="VandenDaele, Arne"/>
    <s v="Arne"/>
    <s v="VandenDaele"/>
    <n v="40201"/>
    <s v="De Clercq, Dominique"/>
    <x v="349"/>
    <x v="36"/>
    <n v="0"/>
  </r>
  <r>
    <s v="Van Iterson, Sharon"/>
    <s v="Sharon"/>
    <s v="Van Iterson"/>
    <n v="40222"/>
    <s v="De Clercq, Dominique"/>
    <x v="350"/>
    <x v="36"/>
    <n v="2"/>
  </r>
  <r>
    <s v="Troch, Jorick"/>
    <s v="Jorick"/>
    <s v="Troch"/>
    <n v="40264"/>
    <s v="Rotty, Christoff"/>
    <x v="346"/>
    <x v="36"/>
    <n v="0"/>
  </r>
  <r>
    <s v="Taibi, Yassine"/>
    <s v="Yassine"/>
    <s v="Taibi"/>
    <n v="40266"/>
    <s v="Rotty, Christoff"/>
    <x v="351"/>
    <x v="36"/>
    <n v="3"/>
  </r>
  <r>
    <s v="Ates, Firat"/>
    <s v="Firat"/>
    <s v="Ates"/>
    <n v="40278"/>
    <s v="Rotty, Christoff"/>
    <x v="349"/>
    <x v="36"/>
    <n v="4"/>
  </r>
  <r>
    <s v="Khder, Aram"/>
    <s v="Aram"/>
    <s v="Khder"/>
    <n v="40294"/>
    <s v="Rotty, Christoff"/>
    <x v="352"/>
    <x v="36"/>
    <n v="1"/>
  </r>
  <r>
    <s v="Kuru, Cetin"/>
    <s v="Cetin"/>
    <s v="Kuru"/>
    <n v="40362"/>
    <s v="De Rick, Kenneth"/>
    <x v="351"/>
    <x v="36"/>
    <n v="3"/>
  </r>
  <r>
    <s v="Salimova, Eydzhan"/>
    <s v="Eydzhan"/>
    <s v="Salimova"/>
    <n v="40393"/>
    <s v="De Clercq, Dominique"/>
    <x v="353"/>
    <x v="36"/>
    <n v="1"/>
  </r>
  <r>
    <s v="Sherifi, Gani"/>
    <s v="Gani"/>
    <s v="Sherifi"/>
    <n v="40400"/>
    <s v="De Clercq, Dominique"/>
    <x v="354"/>
    <x v="36"/>
    <n v="0"/>
  </r>
  <r>
    <s v="Prové, Michaël"/>
    <s v="Michaël"/>
    <s v="Prové"/>
    <n v="40403"/>
    <s v="De Clercq, Dominique"/>
    <x v="355"/>
    <x v="36"/>
    <n v="3"/>
  </r>
  <r>
    <s v="Ennakaba, Khaoula"/>
    <s v="Khaoula"/>
    <s v="Ennakaba"/>
    <n v="40414"/>
    <s v="Storm, Steven"/>
    <x v="353"/>
    <x v="36"/>
    <n v="1"/>
  </r>
  <r>
    <s v="Dekeuckelaere, Eric"/>
    <s v="Eric"/>
    <s v="Dekeuckelaere"/>
    <n v="40421"/>
    <s v="Vande Velde, Lucie"/>
    <x v="356"/>
    <x v="36"/>
    <n v="0"/>
  </r>
  <r>
    <s v="De Roo, Paul"/>
    <s v="Paul"/>
    <s v="De Roo"/>
    <n v="40422"/>
    <s v="Vande Velde, Lucie"/>
    <x v="356"/>
    <x v="36"/>
    <n v="0"/>
  </r>
  <r>
    <s v="Fakash, Mahmoud"/>
    <s v="Mahmoud"/>
    <s v="Fakash"/>
    <n v="40443"/>
    <s v="Van Der Beken, Bart"/>
    <x v="353"/>
    <x v="36"/>
    <n v="1"/>
  </r>
  <r>
    <s v="Van Damme, Glenn"/>
    <s v="Glenn"/>
    <s v="Van Damme"/>
    <n v="40444"/>
    <s v="Dewulf, Els"/>
    <x v="353"/>
    <x v="36"/>
    <n v="1"/>
  </r>
  <r>
    <s v="Lopez Hernandez, Herber Felix"/>
    <s v="Herber Felix"/>
    <s v="Lopez Hernandez"/>
    <n v="40469"/>
    <s v="Dewulf, Els"/>
    <x v="353"/>
    <x v="36"/>
    <n v="0"/>
  </r>
  <r>
    <s v="Hashimi, Ali Mir"/>
    <s v="Ali Mir"/>
    <s v="Hashimi"/>
    <n v="40478"/>
    <s v="Van Der Beken, Bart"/>
    <x v="357"/>
    <x v="36"/>
    <n v="4"/>
  </r>
  <r>
    <s v="De Souza, Marcos Eduardo"/>
    <s v="Marcos Eduardo"/>
    <s v="De Souza"/>
    <n v="40486"/>
    <s v="Rotty, Christoff"/>
    <x v="358"/>
    <x v="36"/>
    <n v="1"/>
  </r>
  <r>
    <s v="Talibi, Bilal"/>
    <s v="Bilal"/>
    <s v="Talibi"/>
    <n v="40489"/>
    <s v="Stubbe, Jarne"/>
    <x v="358"/>
    <x v="36"/>
    <n v="0"/>
  </r>
  <r>
    <s v="Mekdad, Ali"/>
    <s v="Ali"/>
    <s v="Mekdad"/>
    <n v="40521"/>
    <s v="Vande Velde, Lucie"/>
    <x v="359"/>
    <x v="36"/>
    <n v="2"/>
  </r>
  <r>
    <s v="Noppe, Lode"/>
    <s v="Lode"/>
    <s v="Noppe"/>
    <n v="40590"/>
    <s v="Van Der Beken, Bart"/>
    <x v="360"/>
    <x v="36"/>
    <n v="0"/>
  </r>
  <r>
    <s v="Hiloui, Mahmoud"/>
    <s v="Mahmoud"/>
    <s v="Hiloui"/>
    <n v="40591"/>
    <s v="De Clercq, Dominique"/>
    <x v="361"/>
    <x v="36"/>
    <n v="2"/>
  </r>
  <r>
    <s v="Kurti, Domeniko"/>
    <s v="Domeniko"/>
    <s v="Kurti"/>
    <n v="40608"/>
    <s v="Vande Velde, Lucie"/>
    <x v="362"/>
    <x v="36"/>
    <n v="1"/>
  </r>
  <r>
    <s v="Bytebier, Jason"/>
    <s v="Jason"/>
    <s v="Bytebier"/>
    <n v="40645"/>
    <s v="Dewulf, Els"/>
    <x v="363"/>
    <x v="36"/>
    <n v="2"/>
  </r>
  <r>
    <s v="Van Damme, Gilyann"/>
    <s v="Gilyann"/>
    <s v="Van Damme"/>
    <n v="40652"/>
    <s v="Vanhoe, Els"/>
    <x v="364"/>
    <x v="36"/>
    <n v="7"/>
  </r>
  <r>
    <s v="Gözüküçük, Ugur"/>
    <s v="Ugur"/>
    <s v="Gözüküçük"/>
    <n v="40744"/>
    <s v="Van Der Beken, Bart"/>
    <x v="365"/>
    <x v="36"/>
    <n v="6"/>
  </r>
  <r>
    <s v="Ivanov, Ivan"/>
    <s v="Ivan"/>
    <s v="Ivanov"/>
    <n v="40745"/>
    <s v="Van Der Beken, Bart"/>
    <x v="366"/>
    <x v="36"/>
    <n v="1"/>
  </r>
  <r>
    <s v="De Vijlder, Wim"/>
    <s v="Wim"/>
    <s v="De Vijlder"/>
    <n v="40761"/>
    <s v="De Rick, Kenneth"/>
    <x v="366"/>
    <x v="36"/>
    <n v="1"/>
  </r>
  <r>
    <s v="Neissi, Sadegh"/>
    <s v="Sadegh"/>
    <s v="Neissi"/>
    <n v="40856"/>
    <s v="De Rick, Kenneth"/>
    <x v="367"/>
    <x v="36"/>
    <n v="5"/>
  </r>
  <r>
    <s v="Yagoub, Abdelali"/>
    <s v="Abdelali"/>
    <s v="Yagoub"/>
    <n v="40859"/>
    <s v="Vanhoe, Els"/>
    <x v="363"/>
    <x v="36"/>
    <n v="4"/>
  </r>
  <r>
    <s v="Hyuseinov, Berdan"/>
    <s v="Berdan"/>
    <s v="Hyuseinov"/>
    <n v="40890"/>
    <s v="De Clercq, Dominique"/>
    <x v="368"/>
    <x v="36"/>
    <n v="0"/>
  </r>
  <r>
    <s v="Hasnaoui, Nejmeddine"/>
    <s v="Nejmeddine"/>
    <s v="Hasnaoui"/>
    <n v="40938"/>
    <s v="De Clercq, Dominique"/>
    <x v="368"/>
    <x v="36"/>
    <n v="4"/>
  </r>
  <r>
    <s v="Cisse, Sayon"/>
    <s v="Sayon"/>
    <s v="Cisse"/>
    <n v="40939"/>
    <s v="De Rick, Kenneth"/>
    <x v="368"/>
    <x v="36"/>
    <n v="3"/>
  </r>
  <r>
    <s v="Sogut, Cagri"/>
    <s v="Cagri"/>
    <s v="Sogut"/>
    <n v="41007"/>
    <s v="Stubbe, Jarne"/>
    <x v="369"/>
    <x v="36"/>
    <n v="1"/>
  </r>
  <r>
    <s v="Natad, Younes"/>
    <s v="Younes"/>
    <s v="Natad"/>
    <n v="41012"/>
    <s v="Vanhoe, Els"/>
    <x v="370"/>
    <x v="36"/>
    <n v="2"/>
  </r>
  <r>
    <s v="Rocabado Hinojosa, Lukas"/>
    <s v="Lukas"/>
    <s v="Rocabado Hinojosa"/>
    <n v="41032"/>
    <s v="Vanhoe, Els"/>
    <x v="369"/>
    <x v="36"/>
    <n v="4"/>
  </r>
  <r>
    <s v="Ardic, Atilla"/>
    <s v="Atilla"/>
    <s v="Ardic"/>
    <n v="41064"/>
    <s v="De Clercq, Dominique"/>
    <x v="371"/>
    <x v="36"/>
    <n v="2"/>
  </r>
  <r>
    <s v="Yavas, Talha"/>
    <s v="Talha"/>
    <s v="Yavas"/>
    <n v="41091"/>
    <s v="De Clercq, Dominique"/>
    <x v="372"/>
    <x v="36"/>
    <n v="2"/>
  </r>
  <r>
    <s v="De Keyser, Dorien"/>
    <s v="Dorien"/>
    <s v="De Keyser"/>
    <n v="41092"/>
    <s v="De Clercq, Dominique"/>
    <x v="370"/>
    <x v="36"/>
    <n v="8"/>
  </r>
  <r>
    <s v="Shah, Sekandar"/>
    <s v="Sekandar"/>
    <s v="Shah"/>
    <n v="41101"/>
    <s v="De Clercq, Dominique"/>
    <x v="373"/>
    <x v="36"/>
    <n v="1"/>
  </r>
  <r>
    <s v="De smet, Dirk"/>
    <s v="Dirk"/>
    <s v="De smet"/>
    <n v="41137"/>
    <s v="De Clercq, Dominique"/>
    <x v="374"/>
    <x v="36"/>
    <n v="1"/>
  </r>
  <r>
    <s v="Hoeckman, Jeroen"/>
    <s v="Jeroen"/>
    <s v="Hoeckman"/>
    <n v="41162"/>
    <s v="De Clercq, Dominique"/>
    <x v="372"/>
    <x v="36"/>
    <n v="5"/>
  </r>
  <r>
    <s v="De Witte, Bart"/>
    <s v="Bart"/>
    <s v="De Witte"/>
    <n v="41230"/>
    <s v="De Clercq, Dominique"/>
    <x v="372"/>
    <x v="36"/>
    <n v="2"/>
  </r>
  <r>
    <s v="Abulehia, Oday"/>
    <s v="Oday"/>
    <s v="Abulehia"/>
    <n v="41296"/>
    <s v="Rotty, Christoff"/>
    <x v="373"/>
    <x v="36"/>
    <n v="2"/>
  </r>
  <r>
    <s v="Helleputte, Jens"/>
    <s v="Jens"/>
    <s v="Helleputte"/>
    <n v="42307"/>
    <s v="Rotty, Christoff"/>
    <x v="375"/>
    <x v="37"/>
    <n v="3"/>
  </r>
  <r>
    <s v="De Wilde, Dimitry"/>
    <s v="Dimitry"/>
    <s v="De Wilde"/>
    <n v="31891"/>
    <s v="Van Der Beken, Bart"/>
    <x v="376"/>
    <x v="37"/>
    <n v="0"/>
  </r>
  <r>
    <s v="Malak, Kemal"/>
    <s v="Kemal"/>
    <s v="Malak"/>
    <n v="36427"/>
    <s v="Vanhoe, Els"/>
    <x v="377"/>
    <x v="37"/>
    <n v="0"/>
  </r>
  <r>
    <s v="Mc Hugh, Neal"/>
    <s v="Neal"/>
    <s v="Mc Hugh"/>
    <n v="36815"/>
    <s v="Stubbe, Jarne"/>
    <x v="378"/>
    <x v="37"/>
    <n v="0"/>
  </r>
  <r>
    <s v="Momand, Abdullah"/>
    <s v="Abdullah"/>
    <s v="Momand"/>
    <n v="39928"/>
    <s v="Van Der Beken, Bart"/>
    <x v="379"/>
    <x v="37"/>
    <n v="1"/>
  </r>
  <r>
    <s v="Van Holsbeeck, Yana"/>
    <s v="Yana"/>
    <s v="Van Holsbeeck"/>
    <n v="41246"/>
    <s v="De Clercq, Dominique"/>
    <x v="380"/>
    <x v="37"/>
    <n v="3"/>
  </r>
  <r>
    <s v="Frise, Jordi"/>
    <s v="Jordi"/>
    <s v="Frise"/>
    <n v="41344"/>
    <s v="Vanhoe, Els"/>
    <x v="380"/>
    <x v="37"/>
    <n v="0"/>
  </r>
  <r>
    <s v="Van Huffel, Tim"/>
    <s v="Tim"/>
    <s v="Van Huffel"/>
    <n v="41348"/>
    <s v="Rotty, Christoff"/>
    <x v="381"/>
    <x v="37"/>
    <n v="1"/>
  </r>
  <r>
    <s v="Inci, Ramazan"/>
    <s v="Ramazan"/>
    <s v="Inci"/>
    <n v="41357"/>
    <s v="Van Der Beken, Bart"/>
    <x v="382"/>
    <x v="37"/>
    <n v="0"/>
  </r>
  <r>
    <s v="De Pauw, Tony"/>
    <s v="Tony"/>
    <s v="De Pauw"/>
    <n v="41383"/>
    <s v="Vanhoe, Els"/>
    <x v="380"/>
    <x v="37"/>
    <n v="1"/>
  </r>
  <r>
    <s v="Hillaert, Thimo"/>
    <s v="Thimo"/>
    <s v="Hillaert"/>
    <n v="41384"/>
    <s v="Rotty, Christoff"/>
    <x v="383"/>
    <x v="37"/>
    <n v="4"/>
  </r>
  <r>
    <s v="Özdemir, Osman"/>
    <s v="Osman"/>
    <s v="Özdemir"/>
    <n v="41482"/>
    <s v="Van Der Beken, Bart"/>
    <x v="384"/>
    <x v="37"/>
    <n v="3"/>
  </r>
  <r>
    <s v="Smets, Avery"/>
    <s v="Avery"/>
    <s v="Smets"/>
    <n v="41520"/>
    <s v="Rotty, Christoff"/>
    <x v="385"/>
    <x v="37"/>
    <n v="3"/>
  </r>
  <r>
    <s v="Calinalti, Bekir"/>
    <s v="Bekir"/>
    <s v="Calinalti"/>
    <n v="41521"/>
    <s v="De Rick, Kenneth"/>
    <x v="385"/>
    <x v="37"/>
    <n v="0"/>
  </r>
  <r>
    <s v="Timmerman, Bjorn"/>
    <s v="Bjorn"/>
    <s v="Timmerman"/>
    <n v="41550"/>
    <s v="Rotty, Christoff"/>
    <x v="384"/>
    <x v="37"/>
    <n v="0"/>
  </r>
  <r>
    <s v="Naessens, Yves"/>
    <s v="Yves"/>
    <s v="Naessens"/>
    <n v="41588"/>
    <s v="De Rick, Kenneth"/>
    <x v="386"/>
    <x v="37"/>
    <n v="2"/>
  </r>
  <r>
    <s v="Bachiri, Ousama"/>
    <s v="Ousama"/>
    <s v="Bachiri"/>
    <n v="41619"/>
    <s v="Van Der Beken, Bart"/>
    <x v="387"/>
    <x v="37"/>
    <n v="3"/>
  </r>
  <r>
    <s v="Van Eeckhaut, Rudi"/>
    <s v="Rudi"/>
    <s v="Van Eeckhaut"/>
    <n v="41632"/>
    <s v="Van Der Beken, Bart"/>
    <x v="385"/>
    <x v="37"/>
    <n v="0"/>
  </r>
  <r>
    <s v="Hasan, Salem"/>
    <s v="Salem"/>
    <s v="Hasan"/>
    <n v="41671"/>
    <s v="Van Der Beken, Bart"/>
    <x v="388"/>
    <x v="37"/>
    <n v="1"/>
  </r>
  <r>
    <s v="Zjarmi, Hylgis"/>
    <s v="Hylgis"/>
    <s v="Zjarmi"/>
    <n v="41685"/>
    <s v="De Rick, Kenneth"/>
    <x v="384"/>
    <x v="37"/>
    <n v="0"/>
  </r>
  <r>
    <s v="Van de Winckel, Kelly"/>
    <s v="Kelly"/>
    <s v="Van de Winckel"/>
    <n v="41690"/>
    <s v="Dewulf, Els"/>
    <x v="388"/>
    <x v="37"/>
    <n v="1"/>
  </r>
  <r>
    <s v="Ghani, Fazal"/>
    <s v="Fazal"/>
    <s v="Ghani"/>
    <n v="41710"/>
    <s v="Vanhoe, Els"/>
    <x v="384"/>
    <x v="37"/>
    <n v="1"/>
  </r>
  <r>
    <s v="Nolf, Philippe"/>
    <s v="Philippe"/>
    <s v="Nolf"/>
    <n v="41721"/>
    <s v="De Rick, Kenneth"/>
    <x v="386"/>
    <x v="37"/>
    <n v="1"/>
  </r>
  <r>
    <s v="Diels, Nick"/>
    <s v="Nick"/>
    <s v="Diels"/>
    <n v="41786"/>
    <s v="Rotty, Christoff"/>
    <x v="389"/>
    <x v="37"/>
    <n v="1"/>
  </r>
  <r>
    <s v="Kasmi, Abdesamad"/>
    <s v="Abdesamad"/>
    <s v="Kasmi"/>
    <n v="41821"/>
    <s v="Rotty, Christoff"/>
    <x v="388"/>
    <x v="37"/>
    <n v="0"/>
  </r>
  <r>
    <s v="Palit, Ramazan"/>
    <s v="Ramazan"/>
    <s v="Palit"/>
    <n v="41859"/>
    <s v="Stubbe, Jarne"/>
    <x v="388"/>
    <x v="37"/>
    <n v="1"/>
  </r>
  <r>
    <s v="Goossens, Yannick"/>
    <s v="Yannick"/>
    <s v="Goossens"/>
    <n v="41870"/>
    <s v="Storm, Steven"/>
    <x v="390"/>
    <x v="37"/>
    <n v="1"/>
  </r>
  <r>
    <s v="Karanfil, Ibrahim"/>
    <s v="Ibrahim"/>
    <s v="Karanfil"/>
    <n v="41871"/>
    <s v="De Clercq, Dominique"/>
    <x v="390"/>
    <x v="37"/>
    <n v="2"/>
  </r>
  <r>
    <s v="Dobbeleire, Bruno"/>
    <s v="Bruno"/>
    <s v="Dobbeleire"/>
    <n v="41874"/>
    <s v="De Clercq, Dominique"/>
    <x v="391"/>
    <x v="37"/>
    <n v="3"/>
  </r>
  <r>
    <s v="Van der Bauwhede, Ben"/>
    <s v="Ben"/>
    <s v="Van der Bauwhede"/>
    <n v="41882"/>
    <s v="Vanhoe, Els"/>
    <x v="392"/>
    <x v="37"/>
    <n v="0"/>
  </r>
  <r>
    <s v="De Rammelaere, Bjorn"/>
    <s v="Bjorn"/>
    <s v="De Rammelaere"/>
    <n v="41888"/>
    <s v="De Rick, Kenneth"/>
    <x v="392"/>
    <x v="37"/>
    <n v="1"/>
  </r>
  <r>
    <s v="Babai, Saber"/>
    <s v="Saber"/>
    <s v="Babai"/>
    <n v="41918"/>
    <s v="Rotty, Christoff"/>
    <x v="392"/>
    <x v="37"/>
    <n v="1"/>
  </r>
  <r>
    <s v="Tuncer, Hamza"/>
    <s v="Hamza"/>
    <s v="Tuncer"/>
    <n v="41944"/>
    <s v="De Clercq, Dominique"/>
    <x v="390"/>
    <x v="37"/>
    <n v="0"/>
  </r>
  <r>
    <s v="Vervaecke, Wim"/>
    <s v="Wim"/>
    <s v="Vervaecke"/>
    <n v="41948"/>
    <s v="Dewulf, Els"/>
    <x v="392"/>
    <x v="37"/>
    <n v="2"/>
  </r>
  <r>
    <s v="Van Loo, Mike"/>
    <s v="Mike"/>
    <s v="Van Loo"/>
    <n v="41949"/>
    <s v="Rotty, Christoff"/>
    <x v="393"/>
    <x v="37"/>
    <n v="0"/>
  </r>
  <r>
    <s v="Bogaert, Kevin"/>
    <s v="Kevin"/>
    <s v="Bogaert"/>
    <n v="42002"/>
    <s v="Vanhoe, Els"/>
    <x v="391"/>
    <x v="37"/>
    <n v="3"/>
  </r>
  <r>
    <s v="Crop, Alexander"/>
    <s v="Alexander"/>
    <s v="Crop"/>
    <n v="42015"/>
    <s v="Vanhoe, Els"/>
    <x v="392"/>
    <x v="37"/>
    <n v="1"/>
  </r>
  <r>
    <s v="Safi, Amrullah"/>
    <s v="Amrullah"/>
    <s v="Safi"/>
    <n v="42022"/>
    <s v="Vanhoe, Els"/>
    <x v="394"/>
    <x v="37"/>
    <n v="0"/>
  </r>
  <r>
    <s v="El Gana, Karim"/>
    <s v="Karim"/>
    <s v="El Gana"/>
    <n v="42044"/>
    <s v="De Clercq, Dominique"/>
    <x v="395"/>
    <x v="37"/>
    <n v="1"/>
  </r>
  <r>
    <s v="Ahmad, Othman"/>
    <s v="Othman"/>
    <s v="Ahmad"/>
    <n v="42082"/>
    <s v="De Clercq, Dominique"/>
    <x v="396"/>
    <x v="37"/>
    <n v="1"/>
  </r>
  <r>
    <s v="De Bruycker, Dylan"/>
    <s v="Dylan"/>
    <s v="De Bruycker"/>
    <n v="42120"/>
    <s v="De Rick, Kenneth"/>
    <x v="397"/>
    <x v="37"/>
    <n v="1"/>
  </r>
  <r>
    <s v="Verniers, Mike"/>
    <s v="Mike"/>
    <s v="Verniers"/>
    <n v="42141"/>
    <s v="Rotty, Christoff"/>
    <x v="398"/>
    <x v="37"/>
    <n v="0"/>
  </r>
  <r>
    <s v="Rahoens, Christ"/>
    <s v="Christ"/>
    <s v="Rahoens"/>
    <n v="42143"/>
    <s v="Van Der Beken, Bart"/>
    <x v="399"/>
    <x v="37"/>
    <n v="1"/>
  </r>
  <r>
    <s v="Coppens, Lauwrence"/>
    <s v="Lauwrence"/>
    <s v="Coppens"/>
    <n v="42144"/>
    <s v="Vanhoe, Els"/>
    <x v="399"/>
    <x v="37"/>
    <n v="0"/>
  </r>
  <r>
    <s v="Gys, Shayya"/>
    <s v="Shayya"/>
    <s v="Gys"/>
    <n v="42145"/>
    <s v="Storm, Steven"/>
    <x v="400"/>
    <x v="37"/>
    <n v="2"/>
  </r>
  <r>
    <s v="Cichonski, Kamil"/>
    <s v="Kamil"/>
    <s v="Cichonski"/>
    <n v="42146"/>
    <s v="Storm, Steven"/>
    <x v="400"/>
    <x v="37"/>
    <n v="3"/>
  </r>
  <r>
    <s v="Orozco Camacho, Ronald Reynaldo"/>
    <s v="Ronald Reynaldo"/>
    <s v="Orozco Camacho"/>
    <n v="42164"/>
    <s v="De Clercq, Dominique"/>
    <x v="401"/>
    <x v="37"/>
    <n v="0"/>
  </r>
  <r>
    <s v="Aissati, Ridouan"/>
    <s v="Ridouan"/>
    <s v="Aissati"/>
    <n v="42195"/>
    <s v="Dewulf, Els"/>
    <x v="399"/>
    <x v="37"/>
    <n v="0"/>
  </r>
  <r>
    <s v="Rombaut, Timo"/>
    <s v="Timo"/>
    <s v="Rombaut"/>
    <n v="42196"/>
    <s v="Van Der Beken, Bart"/>
    <x v="375"/>
    <x v="37"/>
    <n v="0"/>
  </r>
  <r>
    <s v="Akbulut, Samed"/>
    <s v="Samed"/>
    <s v="Akbulut"/>
    <n v="42211"/>
    <s v="De Rick, Kenneth"/>
    <x v="399"/>
    <x v="37"/>
    <n v="0"/>
  </r>
  <r>
    <s v="Özer, Metehan"/>
    <s v="Metehan"/>
    <s v="Özer"/>
    <n v="42218"/>
    <s v="Dewulf, Els"/>
    <x v="375"/>
    <x v="37"/>
    <n v="1"/>
  </r>
  <r>
    <s v="Bontinck, Stephan"/>
    <s v="Stephan"/>
    <s v="Bontinck"/>
    <n v="42249"/>
    <s v="De Rick, Kenneth"/>
    <x v="375"/>
    <x v="37"/>
    <n v="1"/>
  </r>
  <r>
    <s v="Sular, Abdullah"/>
    <s v="Abdullah"/>
    <s v="Sular"/>
    <n v="42252"/>
    <s v="Rotty, Christoff"/>
    <x v="375"/>
    <x v="37"/>
    <n v="5"/>
  </r>
  <r>
    <s v="Ahmed, Abdul"/>
    <s v="Abdul"/>
    <s v="Ahmed"/>
    <n v="42269"/>
    <s v="Rotty, Christoff"/>
    <x v="375"/>
    <x v="37"/>
    <n v="0"/>
  </r>
  <r>
    <s v="Güler, Ender"/>
    <s v="Ender"/>
    <s v="Güler"/>
    <n v="42277"/>
    <s v="De Clercq, Dominique"/>
    <x v="402"/>
    <x v="37"/>
    <n v="1"/>
  </r>
  <r>
    <s v="Camgöz, Furkan"/>
    <s v="Furkan"/>
    <s v="Camgöz"/>
    <n v="42336"/>
    <s v="Vande Velde, Lucie"/>
    <x v="402"/>
    <x v="37"/>
    <n v="1"/>
  </r>
  <r>
    <s v="Keita, Yassin"/>
    <s v="Yassin"/>
    <s v="Keita"/>
    <n v="42358"/>
    <s v="Storm, Steven"/>
    <x v="403"/>
    <x v="37"/>
    <n v="0"/>
  </r>
  <r>
    <s v="Blancquaert, Peter"/>
    <s v="Peter"/>
    <s v="Blancquaert"/>
    <n v="42391"/>
    <s v="Rotty, Christoff"/>
    <x v="404"/>
    <x v="37"/>
    <n v="0"/>
  </r>
  <r>
    <s v="AL-Haddad, Rashid"/>
    <s v="Rashid"/>
    <s v="AL-Haddad"/>
    <n v="42393"/>
    <s v="Storm, Steven"/>
    <x v="404"/>
    <x v="37"/>
    <n v="0"/>
  </r>
  <r>
    <s v="Sahbaz, Celal"/>
    <s v="Celal"/>
    <s v="Sahbaz"/>
    <n v="42558"/>
    <s v="Van Der Beken, Bart"/>
    <x v="405"/>
    <x v="37"/>
    <n v="0"/>
  </r>
  <r>
    <s v="Hassine, Zied"/>
    <s v="Zied"/>
    <s v="Hassine"/>
    <n v="42567"/>
    <s v="Stubbe, Jarne"/>
    <x v="405"/>
    <x v="37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3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0"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6" subtotal="count" baseField="6" baseItem="6"/>
  </dataFields>
  <formats count="1">
    <format dxfId="32">
      <pivotArea dataOnly="0" labelOnly="1" fieldPosition="0">
        <references count="1">
          <reference field="5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9"/>
        <item x="500"/>
        <item x="505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8"/>
    </i>
    <i>
      <x v="9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8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9"/>
        <item x="500"/>
        <item x="505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1"/>
        <item x="50"/>
        <item x="73"/>
        <item x="3"/>
        <item x="258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2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60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4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3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9"/>
        <item x="125"/>
        <item x="12"/>
        <item x="154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8">
    <i>
      <x v="30"/>
    </i>
    <i>
      <x v="73"/>
    </i>
    <i>
      <x v="224"/>
    </i>
    <i>
      <x v="223"/>
    </i>
    <i>
      <x v="75"/>
    </i>
    <i>
      <x v="197"/>
    </i>
    <i>
      <x v="264"/>
    </i>
    <i>
      <x v="42"/>
    </i>
    <i>
      <x v="156"/>
    </i>
    <i>
      <x v="48"/>
    </i>
    <i>
      <x v="245"/>
    </i>
    <i>
      <x v="221"/>
    </i>
    <i>
      <x v="107"/>
    </i>
    <i>
      <x v="168"/>
    </i>
    <i>
      <x v="169"/>
    </i>
    <i>
      <x v="28"/>
    </i>
    <i>
      <x v="90"/>
    </i>
    <i>
      <x v="257"/>
    </i>
    <i>
      <x v="106"/>
    </i>
    <i>
      <x v="47"/>
    </i>
    <i>
      <x v="230"/>
    </i>
    <i>
      <x v="40"/>
    </i>
    <i>
      <x v="104"/>
    </i>
    <i>
      <x v="154"/>
    </i>
    <i>
      <x v="57"/>
    </i>
    <i>
      <x v="43"/>
    </i>
    <i>
      <x v="113"/>
    </i>
    <i>
      <x v="139"/>
    </i>
    <i>
      <x v="219"/>
    </i>
    <i>
      <x v="173"/>
    </i>
    <i>
      <x v="166"/>
    </i>
    <i>
      <x v="52"/>
    </i>
    <i>
      <x v="29"/>
    </i>
    <i>
      <x v="72"/>
    </i>
    <i>
      <x v="35"/>
    </i>
    <i>
      <x v="16"/>
    </i>
    <i>
      <x v="3"/>
    </i>
    <i>
      <x v="76"/>
    </i>
    <i>
      <x v="192"/>
    </i>
    <i>
      <x v="78"/>
    </i>
    <i>
      <x v="214"/>
    </i>
    <i>
      <x v="18"/>
    </i>
    <i>
      <x v="220"/>
    </i>
    <i>
      <x v="122"/>
    </i>
    <i>
      <x v="260"/>
    </i>
    <i>
      <x v="160"/>
    </i>
    <i>
      <x v="159"/>
    </i>
    <i>
      <x v="36"/>
    </i>
    <i>
      <x v="61"/>
    </i>
    <i>
      <x v="212"/>
    </i>
    <i>
      <x v="149"/>
    </i>
    <i>
      <x v="138"/>
    </i>
    <i>
      <x v="150"/>
    </i>
    <i>
      <x v="50"/>
    </i>
    <i>
      <x v="153"/>
    </i>
    <i>
      <x v="216"/>
    </i>
    <i>
      <x v="155"/>
    </i>
    <i>
      <x v="31"/>
    </i>
    <i>
      <x v="265"/>
    </i>
    <i>
      <x v="235"/>
    </i>
    <i>
      <x v="158"/>
    </i>
    <i>
      <x v="143"/>
    </i>
    <i>
      <x v="263"/>
    </i>
    <i>
      <x v="210"/>
    </i>
    <i>
      <x v="65"/>
    </i>
    <i>
      <x v="19"/>
    </i>
    <i>
      <x v="70"/>
    </i>
    <i>
      <x v="121"/>
    </i>
    <i>
      <x v="95"/>
    </i>
    <i>
      <x v="5"/>
    </i>
    <i>
      <x v="96"/>
    </i>
    <i>
      <x v="226"/>
    </i>
    <i>
      <x v="177"/>
    </i>
    <i>
      <x v="231"/>
    </i>
    <i>
      <x v="180"/>
    </i>
    <i>
      <x v="236"/>
    </i>
    <i>
      <x v="187"/>
    </i>
    <i>
      <x v="38"/>
    </i>
    <i>
      <x v="189"/>
    </i>
    <i>
      <x v="148"/>
    </i>
    <i>
      <x v="102"/>
    </i>
    <i>
      <x v="6"/>
    </i>
    <i>
      <x v="205"/>
    </i>
    <i>
      <x v="242"/>
    </i>
    <i>
      <x v="34"/>
    </i>
    <i>
      <x v="119"/>
    </i>
    <i>
      <x v="117"/>
    </i>
    <i>
      <x v="120"/>
    </i>
    <i>
      <x v="100"/>
    </i>
    <i>
      <x v="62"/>
    </i>
    <i>
      <x v="233"/>
    </i>
    <i>
      <x v="63"/>
    </i>
    <i>
      <x v="252"/>
    </i>
    <i>
      <x v="123"/>
    </i>
    <i>
      <x v="198"/>
    </i>
    <i>
      <x v="127"/>
    </i>
    <i>
      <x v="211"/>
    </i>
    <i>
      <x v="128"/>
    </i>
    <i>
      <x v="13"/>
    </i>
    <i>
      <x v="130"/>
    </i>
    <i>
      <x v="229"/>
    </i>
    <i>
      <x v="131"/>
    </i>
    <i>
      <x v="237"/>
    </i>
    <i>
      <x v="132"/>
    </i>
    <i>
      <x v="248"/>
    </i>
    <i>
      <x v="133"/>
    </i>
    <i>
      <x v="115"/>
    </i>
    <i>
      <x v="134"/>
    </i>
    <i>
      <x v="195"/>
    </i>
    <i>
      <x v="135"/>
    </i>
    <i>
      <x v="202"/>
    </i>
    <i>
      <x v="64"/>
    </i>
    <i>
      <x v="208"/>
    </i>
    <i>
      <x v="266"/>
    </i>
    <i>
      <x v="98"/>
    </i>
    <i>
      <x v="2"/>
    </i>
    <i>
      <x v="218"/>
    </i>
    <i>
      <x v="142"/>
    </i>
    <i>
      <x v="222"/>
    </i>
    <i>
      <x v="10"/>
    </i>
    <i>
      <x v="227"/>
    </i>
    <i>
      <x v="145"/>
    </i>
    <i>
      <x v="20"/>
    </i>
    <i>
      <x v="146"/>
    </i>
    <i>
      <x v="109"/>
    </i>
    <i>
      <x v="147"/>
    </i>
    <i>
      <x v="239"/>
    </i>
    <i>
      <x v="68"/>
    </i>
    <i>
      <x v="22"/>
    </i>
    <i>
      <x v="12"/>
    </i>
    <i>
      <x v="250"/>
    </i>
    <i>
      <x v="71"/>
    </i>
    <i>
      <x v="255"/>
    </i>
    <i>
      <x v="152"/>
    </i>
    <i>
      <x v="116"/>
    </i>
    <i>
      <x v="7"/>
    </i>
    <i>
      <x v="118"/>
    </i>
    <i>
      <x v="23"/>
    </i>
    <i>
      <x v="93"/>
    </i>
    <i>
      <x v="15"/>
    </i>
    <i>
      <x v="199"/>
    </i>
    <i>
      <x v="74"/>
    </i>
    <i>
      <x v="204"/>
    </i>
    <i>
      <x v="157"/>
    </i>
    <i>
      <x v="206"/>
    </i>
    <i>
      <x v="51"/>
    </i>
    <i>
      <x v="55"/>
    </i>
    <i>
      <x v="9"/>
    </i>
    <i>
      <x v="56"/>
    </i>
    <i>
      <x v="77"/>
    </i>
    <i>
      <x v="215"/>
    </i>
    <i>
      <x v="162"/>
    </i>
    <i>
      <x v="217"/>
    </i>
    <i>
      <x v="163"/>
    </i>
    <i>
      <x v="101"/>
    </i>
    <i>
      <x v="164"/>
    </i>
    <i>
      <x v="103"/>
    </i>
    <i>
      <x v="53"/>
    </i>
    <i>
      <x v="59"/>
    </i>
    <i>
      <x v="167"/>
    </i>
    <i>
      <x v="105"/>
    </i>
    <i>
      <x v="27"/>
    </i>
    <i>
      <x v="228"/>
    </i>
    <i>
      <x v="79"/>
    </i>
    <i>
      <x v="46"/>
    </i>
    <i>
      <x v="170"/>
    </i>
    <i>
      <x v="232"/>
    </i>
    <i>
      <x v="171"/>
    </i>
    <i>
      <x v="234"/>
    </i>
    <i>
      <x v="80"/>
    </i>
    <i>
      <x v="112"/>
    </i>
    <i>
      <x v="86"/>
    </i>
    <i>
      <x v="238"/>
    </i>
    <i>
      <x v="178"/>
    </i>
    <i>
      <x v="241"/>
    </i>
    <i>
      <x v="179"/>
    </i>
    <i>
      <x v="243"/>
    </i>
    <i>
      <x v="89"/>
    </i>
    <i>
      <x v="247"/>
    </i>
    <i>
      <x v="182"/>
    </i>
    <i>
      <x v="249"/>
    </i>
    <i>
      <x v="183"/>
    </i>
    <i>
      <x v="251"/>
    </i>
    <i>
      <x v="184"/>
    </i>
    <i>
      <x v="254"/>
    </i>
    <i>
      <x v="186"/>
    </i>
    <i>
      <x v="256"/>
    </i>
    <i>
      <x v="17"/>
    </i>
    <i>
      <x v="259"/>
    </i>
    <i>
      <x v="91"/>
    </i>
    <i>
      <x v="262"/>
    </i>
    <i>
      <x v="190"/>
    </i>
    <i>
      <x v="39"/>
    </i>
    <i>
      <x v="92"/>
    </i>
    <i>
      <x v="194"/>
    </i>
    <i>
      <x v="26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8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9"/>
        <item x="500"/>
        <item x="505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x="5"/>
      </items>
    </pivotField>
    <pivotField showAll="0" defaultSubtotal="0">
      <items count="4">
        <item sd="0" x="0"/>
        <item sd="0" x="1"/>
        <item sd="0" x="2"/>
        <item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4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301" firstHeaderRow="1" firstDataRow="1" firstDataCol="1"/>
  <pivotFields count="34">
    <pivotField showAll="0"/>
    <pivotField axis="axisRow" showAll="0" sortType="descending">
      <items count="418">
        <item x="137"/>
        <item x="45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x="178"/>
        <item x="132"/>
        <item x="405"/>
        <item x="53"/>
        <item x="266"/>
        <item x="400"/>
        <item x="158"/>
        <item x="339"/>
        <item x="160"/>
        <item x="129"/>
        <item x="392"/>
        <item x="398"/>
        <item x="11"/>
        <item x="85"/>
        <item x="330"/>
        <item x="26"/>
        <item x="229"/>
        <item x="128"/>
        <item x="393"/>
        <item x="94"/>
        <item x="226"/>
        <item x="257"/>
        <item x="230"/>
        <item x="247"/>
        <item x="244"/>
        <item x="9"/>
        <item x="145"/>
        <item x="271"/>
        <item x="357"/>
        <item x="248"/>
        <item x="144"/>
        <item x="80"/>
        <item x="34"/>
        <item x="149"/>
        <item x="288"/>
        <item x="100"/>
        <item x="12"/>
        <item x="177"/>
        <item x="225"/>
        <item x="23"/>
        <item x="391"/>
        <item x="395"/>
        <item x="65"/>
        <item x="370"/>
        <item x="170"/>
        <item x="117"/>
        <item x="92"/>
        <item x="268"/>
        <item x="63"/>
        <item x="168"/>
        <item x="83"/>
        <item x="254"/>
        <item x="219"/>
        <item x="262"/>
        <item x="364"/>
        <item x="77"/>
        <item x="162"/>
        <item x="346"/>
        <item x="118"/>
        <item x="245"/>
        <item x="350"/>
        <item x="146"/>
        <item x="191"/>
        <item x="213"/>
        <item x="317"/>
        <item x="60"/>
        <item x="192"/>
        <item x="414"/>
        <item x="134"/>
        <item x="275"/>
        <item x="307"/>
        <item x="367"/>
        <item x="399"/>
        <item x="82"/>
        <item x="54"/>
        <item x="224"/>
        <item x="180"/>
        <item x="79"/>
        <item x="279"/>
        <item x="209"/>
        <item x="84"/>
        <item x="33"/>
        <item x="407"/>
        <item x="401"/>
        <item x="338"/>
        <item x="252"/>
        <item x="90"/>
        <item x="32"/>
        <item x="68"/>
        <item x="40"/>
        <item x="202"/>
        <item x="323"/>
        <item x="397"/>
        <item x="56"/>
        <item x="413"/>
        <item x="108"/>
        <item x="274"/>
        <item x="173"/>
        <item x="171"/>
        <item x="293"/>
        <item x="103"/>
        <item x="386"/>
        <item x="246"/>
        <item x="152"/>
        <item x="222"/>
        <item x="343"/>
        <item x="291"/>
        <item x="325"/>
        <item x="233"/>
        <item x="227"/>
        <item x="28"/>
        <item x="352"/>
        <item x="123"/>
        <item x="217"/>
        <item x="122"/>
        <item x="234"/>
        <item x="30"/>
        <item x="4"/>
        <item x="302"/>
        <item x="337"/>
        <item x="186"/>
        <item x="86"/>
        <item x="189"/>
        <item x="258"/>
        <item x="99"/>
        <item x="374"/>
        <item x="200"/>
        <item x="20"/>
        <item x="153"/>
        <item x="24"/>
        <item x="27"/>
        <item x="347"/>
        <item x="315"/>
        <item x="292"/>
        <item x="195"/>
        <item x="312"/>
        <item x="55"/>
        <item x="175"/>
        <item x="81"/>
        <item x="163"/>
        <item x="300"/>
        <item x="105"/>
        <item x="73"/>
        <item x="316"/>
        <item x="96"/>
        <item x="91"/>
        <item x="223"/>
        <item x="124"/>
        <item x="269"/>
        <item x="71"/>
        <item x="157"/>
        <item x="289"/>
        <item x="115"/>
        <item x="42"/>
        <item x="93"/>
        <item x="52"/>
        <item x="1"/>
        <item x="114"/>
        <item x="104"/>
        <item x="22"/>
        <item x="361"/>
        <item x="164"/>
        <item x="49"/>
        <item x="88"/>
        <item x="58"/>
        <item x="142"/>
        <item x="298"/>
        <item x="136"/>
        <item x="241"/>
        <item x="161"/>
        <item x="287"/>
        <item x="231"/>
        <item x="198"/>
        <item x="113"/>
        <item x="36"/>
        <item x="281"/>
        <item x="267"/>
        <item x="159"/>
        <item x="295"/>
        <item x="197"/>
        <item x="214"/>
        <item x="304"/>
        <item x="228"/>
        <item x="62"/>
        <item x="362"/>
        <item x="333"/>
        <item x="232"/>
        <item x="50"/>
        <item x="46"/>
        <item x="415"/>
        <item x="176"/>
        <item x="255"/>
        <item x="259"/>
        <item x="181"/>
        <item x="110"/>
        <item x="239"/>
        <item x="141"/>
        <item x="409"/>
        <item x="182"/>
        <item x="250"/>
        <item x="203"/>
        <item x="351"/>
        <item x="148"/>
        <item x="13"/>
        <item x="19"/>
        <item x="48"/>
        <item x="260"/>
        <item x="308"/>
        <item x="151"/>
        <item x="314"/>
        <item x="169"/>
        <item x="334"/>
        <item x="102"/>
        <item x="377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x="318"/>
        <item x="150"/>
        <item x="130"/>
        <item x="121"/>
        <item x="31"/>
        <item x="305"/>
        <item x="3"/>
        <item x="57"/>
        <item x="101"/>
        <item x="38"/>
        <item x="210"/>
        <item x="388"/>
        <item x="16"/>
        <item x="301"/>
        <item x="190"/>
        <item x="10"/>
        <item x="70"/>
        <item x="135"/>
        <item x="321"/>
        <item x="319"/>
        <item x="107"/>
        <item x="37"/>
        <item x="15"/>
        <item x="29"/>
        <item x="64"/>
        <item x="66"/>
        <item x="17"/>
        <item x="8"/>
        <item x="35"/>
        <item x="7"/>
        <item x="59"/>
        <item x="276"/>
        <item x="41"/>
        <item x="167"/>
        <item x="143"/>
        <item x="166"/>
        <item x="165"/>
        <item x="75"/>
        <item x="2"/>
        <item x="172"/>
        <item x="69"/>
        <item x="196"/>
        <item x="95"/>
        <item x="76"/>
        <item x="18"/>
        <item x="303"/>
        <item x="72"/>
        <item x="201"/>
        <item x="47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x="251"/>
        <item x="205"/>
        <item x="156"/>
        <item x="273"/>
        <item x="131"/>
        <item x="127"/>
        <item x="236"/>
        <item x="235"/>
        <item x="78"/>
        <item x="133"/>
        <item x="87"/>
        <item x="193"/>
        <item x="221"/>
        <item x="243"/>
        <item x="342"/>
        <item x="326"/>
        <item x="179"/>
        <item x="253"/>
        <item x="309"/>
        <item x="263"/>
        <item x="174"/>
        <item x="204"/>
        <item x="154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x="299"/>
        <item x="313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410"/>
        <item x="406"/>
        <item x="382"/>
        <item x="404"/>
        <item x="383"/>
        <item x="412"/>
        <item x="256"/>
        <item x="320"/>
        <item x="349"/>
        <item x="21"/>
        <item x="89"/>
        <item x="112"/>
        <item x="211"/>
        <item x="44"/>
        <item x="277"/>
        <item x="138"/>
        <item x="336"/>
        <item x="185"/>
        <item x="206"/>
        <item x="74"/>
        <item x="106"/>
        <item x="411"/>
        <item x="373"/>
        <item x="125"/>
        <item x="306"/>
        <item x="286"/>
        <item x="0"/>
        <item x="43"/>
        <item x="41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5"/>
        <item x="487"/>
        <item x="488"/>
        <item x="490"/>
        <item x="491"/>
        <item x="492"/>
        <item x="493"/>
        <item x="494"/>
        <item x="495"/>
        <item x="496"/>
        <item x="497"/>
        <item x="499"/>
        <item x="500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91">
    <i>
      <x v="319"/>
    </i>
    <i>
      <x v="415"/>
    </i>
    <i>
      <x v="352"/>
    </i>
    <i>
      <x v="52"/>
    </i>
    <i>
      <x v="342"/>
    </i>
    <i>
      <x v="355"/>
    </i>
    <i>
      <x v="38"/>
    </i>
    <i>
      <x v="390"/>
    </i>
    <i>
      <x v="362"/>
    </i>
    <i>
      <x v="349"/>
    </i>
    <i>
      <x v="338"/>
    </i>
    <i>
      <x v="344"/>
    </i>
    <i>
      <x v="375"/>
    </i>
    <i>
      <x v="198"/>
    </i>
    <i>
      <x v="324"/>
    </i>
    <i>
      <x v="200"/>
    </i>
    <i>
      <x v="208"/>
    </i>
    <i>
      <x v="209"/>
    </i>
    <i>
      <x v="123"/>
    </i>
    <i>
      <x v="220"/>
    </i>
    <i>
      <x v="364"/>
    </i>
    <i>
      <x v="222"/>
    </i>
    <i>
      <x v="165"/>
    </i>
    <i>
      <x v="44"/>
    </i>
    <i>
      <x v="326"/>
    </i>
    <i>
      <x v="242"/>
    </i>
    <i>
      <x v="84"/>
    </i>
    <i>
      <x v="392"/>
    </i>
    <i>
      <x v="345"/>
    </i>
    <i>
      <x v="268"/>
    </i>
    <i>
      <x v="112"/>
    </i>
    <i>
      <x v="289"/>
    </i>
    <i>
      <x v="358"/>
    </i>
    <i>
      <x v="387"/>
    </i>
    <i>
      <x v="363"/>
    </i>
    <i>
      <x v="292"/>
    </i>
    <i>
      <x v="366"/>
    </i>
    <i>
      <x v="317"/>
    </i>
    <i>
      <x v="379"/>
    </i>
    <i>
      <x v="64"/>
    </i>
    <i>
      <x v="322"/>
    </i>
    <i>
      <x v="291"/>
    </i>
    <i>
      <x v="394"/>
    </i>
    <i>
      <x v="386"/>
    </i>
    <i>
      <x v="350"/>
    </i>
    <i>
      <x v="156"/>
    </i>
    <i>
      <x v="86"/>
    </i>
    <i>
      <x v="79"/>
    </i>
    <i>
      <x v="100"/>
    </i>
    <i>
      <x v="328"/>
    </i>
    <i>
      <x v="234"/>
    </i>
    <i>
      <x v="159"/>
    </i>
    <i>
      <x v="236"/>
    </i>
    <i>
      <x v="357"/>
    </i>
    <i>
      <x v="237"/>
    </i>
    <i>
      <x v="211"/>
    </i>
    <i>
      <x v="239"/>
    </i>
    <i>
      <x v="148"/>
    </i>
    <i>
      <x v="102"/>
    </i>
    <i>
      <x v="335"/>
    </i>
    <i>
      <x v="255"/>
    </i>
    <i>
      <x v="157"/>
    </i>
    <i>
      <x v="262"/>
    </i>
    <i>
      <x v="348"/>
    </i>
    <i>
      <x v="264"/>
    </i>
    <i>
      <x v="192"/>
    </i>
    <i>
      <x v="105"/>
    </i>
    <i>
      <x v="7"/>
    </i>
    <i>
      <x v="49"/>
    </i>
    <i>
      <x v="14"/>
    </i>
    <i>
      <x v="271"/>
    </i>
    <i>
      <x v="214"/>
    </i>
    <i>
      <x v="273"/>
    </i>
    <i>
      <x v="85"/>
    </i>
    <i>
      <x v="280"/>
    </i>
    <i>
      <x v="151"/>
    </i>
    <i>
      <x v="283"/>
    </i>
    <i>
      <x v="332"/>
    </i>
    <i>
      <x v="284"/>
    </i>
    <i>
      <x v="337"/>
    </i>
    <i>
      <x v="286"/>
    </i>
    <i>
      <x v="339"/>
    </i>
    <i>
      <x v="115"/>
    </i>
    <i>
      <x v="343"/>
    </i>
    <i>
      <x v="30"/>
    </i>
    <i>
      <x v="58"/>
    </i>
    <i>
      <x v="131"/>
    </i>
    <i>
      <x v="186"/>
    </i>
    <i>
      <x v="296"/>
    </i>
    <i>
      <x v="351"/>
    </i>
    <i>
      <x v="299"/>
    </i>
    <i>
      <x v="195"/>
    </i>
    <i>
      <x v="300"/>
    </i>
    <i>
      <x v="63"/>
    </i>
    <i>
      <x v="309"/>
    </i>
    <i>
      <x v="204"/>
    </i>
    <i>
      <x v="315"/>
    </i>
    <i>
      <x v="365"/>
    </i>
    <i>
      <x v="316"/>
    </i>
    <i>
      <x v="374"/>
    </i>
    <i>
      <x v="134"/>
    </i>
    <i>
      <x v="378"/>
    </i>
    <i>
      <x v="318"/>
    </i>
    <i>
      <x v="383"/>
    </i>
    <i>
      <x v="138"/>
    </i>
    <i>
      <x v="219"/>
    </i>
    <i>
      <x v="143"/>
    </i>
    <i>
      <x v="221"/>
    </i>
    <i>
      <x v="323"/>
    </i>
    <i>
      <x v="267"/>
    </i>
    <i>
      <x v="225"/>
    </i>
    <i>
      <x v="354"/>
    </i>
    <i>
      <x v="314"/>
    </i>
    <i>
      <x v="171"/>
    </i>
    <i>
      <x v="183"/>
    </i>
    <i>
      <x v="135"/>
    </i>
    <i>
      <x v="184"/>
    </i>
    <i>
      <x v="370"/>
    </i>
    <i>
      <x v="185"/>
    </i>
    <i>
      <x v="410"/>
    </i>
    <i>
      <x v="57"/>
    </i>
    <i>
      <x v="127"/>
    </i>
    <i>
      <x v="187"/>
    </i>
    <i>
      <x v="346"/>
    </i>
    <i>
      <x v="189"/>
    </i>
    <i>
      <x v="50"/>
    </i>
    <i>
      <x v="190"/>
    </i>
    <i>
      <x v="166"/>
    </i>
    <i>
      <x v="191"/>
    </i>
    <i>
      <x v="176"/>
    </i>
    <i>
      <x v="13"/>
    </i>
    <i>
      <x v="308"/>
    </i>
    <i>
      <x v="194"/>
    </i>
    <i>
      <x v="122"/>
    </i>
    <i>
      <x v="59"/>
    </i>
    <i>
      <x v="330"/>
    </i>
    <i>
      <x v="197"/>
    </i>
    <i>
      <x v="39"/>
    </i>
    <i>
      <x v="4"/>
    </i>
    <i>
      <x v="43"/>
    </i>
    <i>
      <x v="15"/>
    </i>
    <i>
      <x v="10"/>
    </i>
    <i>
      <x v="201"/>
    </i>
    <i>
      <x v="162"/>
    </i>
    <i>
      <x v="65"/>
    </i>
    <i>
      <x v="164"/>
    </i>
    <i>
      <x v="205"/>
    </i>
    <i>
      <x v="382"/>
    </i>
    <i>
      <x v="207"/>
    </i>
    <i>
      <x v="173"/>
    </i>
    <i>
      <x v="68"/>
    </i>
    <i>
      <x v="402"/>
    </i>
    <i>
      <x v="69"/>
    </i>
    <i>
      <x v="305"/>
    </i>
    <i>
      <x v="70"/>
    </i>
    <i>
      <x v="311"/>
    </i>
    <i>
      <x v="213"/>
    </i>
    <i>
      <x v="119"/>
    </i>
    <i>
      <x v="71"/>
    </i>
    <i>
      <x v="125"/>
    </i>
    <i>
      <x v="216"/>
    </i>
    <i>
      <x v="327"/>
    </i>
    <i>
      <x v="217"/>
    </i>
    <i>
      <x v="36"/>
    </i>
    <i>
      <x v="218"/>
    </i>
    <i>
      <x v="137"/>
    </i>
    <i>
      <x v="72"/>
    </i>
    <i>
      <x v="140"/>
    </i>
    <i>
      <x v="73"/>
    </i>
    <i>
      <x v="41"/>
    </i>
    <i>
      <x v="76"/>
    </i>
    <i>
      <x v="3"/>
    </i>
    <i>
      <x v="77"/>
    </i>
    <i>
      <x v="356"/>
    </i>
    <i>
      <x v="223"/>
    </i>
    <i>
      <x v="360"/>
    </i>
    <i>
      <x v="413"/>
    </i>
    <i>
      <x v="11"/>
    </i>
    <i>
      <x v="18"/>
    </i>
    <i>
      <x v="368"/>
    </i>
    <i>
      <x v="227"/>
    </i>
    <i>
      <x v="372"/>
    </i>
    <i>
      <x v="229"/>
    </i>
    <i>
      <x v="376"/>
    </i>
    <i>
      <x v="230"/>
    </i>
    <i>
      <x v="380"/>
    </i>
    <i>
      <x v="231"/>
    </i>
    <i>
      <x v="384"/>
    </i>
    <i>
      <x v="80"/>
    </i>
    <i>
      <x v="388"/>
    </i>
    <i>
      <x v="235"/>
    </i>
    <i>
      <x v="175"/>
    </i>
    <i>
      <x v="81"/>
    </i>
    <i>
      <x v="396"/>
    </i>
    <i>
      <x v="83"/>
    </i>
    <i>
      <x v="407"/>
    </i>
    <i>
      <x v="238"/>
    </i>
    <i>
      <x v="182"/>
    </i>
    <i>
      <x v="20"/>
    </i>
    <i>
      <x v="307"/>
    </i>
    <i>
      <x v="21"/>
    </i>
    <i>
      <x v="5"/>
    </i>
    <i>
      <x v="244"/>
    </i>
    <i>
      <x v="312"/>
    </i>
    <i>
      <x v="247"/>
    </i>
    <i>
      <x v="117"/>
    </i>
    <i>
      <x v="248"/>
    </i>
    <i>
      <x v="121"/>
    </i>
    <i>
      <x v="249"/>
    </i>
    <i>
      <x v="34"/>
    </i>
    <i>
      <x v="250"/>
    </i>
    <i>
      <x v="126"/>
    </i>
    <i>
      <x v="253"/>
    </i>
    <i>
      <x v="128"/>
    </i>
    <i>
      <x v="23"/>
    </i>
    <i>
      <x v="129"/>
    </i>
    <i>
      <x v="256"/>
    </i>
    <i>
      <x v="331"/>
    </i>
    <i>
      <x v="257"/>
    </i>
    <i>
      <x v="6"/>
    </i>
    <i>
      <x v="259"/>
    </i>
    <i>
      <x v="136"/>
    </i>
    <i>
      <x v="261"/>
    </i>
    <i>
      <x v="340"/>
    </i>
    <i>
      <x v="87"/>
    </i>
    <i>
      <x v="139"/>
    </i>
    <i>
      <x v="263"/>
    </i>
    <i>
      <x v="141"/>
    </i>
    <i>
      <x v="88"/>
    </i>
    <i>
      <x v="347"/>
    </i>
    <i>
      <x v="265"/>
    </i>
    <i>
      <x v="147"/>
    </i>
    <i>
      <x v="266"/>
    </i>
    <i>
      <x v="149"/>
    </i>
    <i>
      <x v="92"/>
    </i>
    <i>
      <x v="353"/>
    </i>
    <i>
      <x v="94"/>
    </i>
    <i>
      <x v="153"/>
    </i>
    <i>
      <x v="269"/>
    </i>
    <i>
      <x v="154"/>
    </i>
    <i>
      <x v="270"/>
    </i>
    <i>
      <x v="359"/>
    </i>
    <i>
      <x v="96"/>
    </i>
    <i>
      <x v="361"/>
    </i>
    <i>
      <x v="98"/>
    </i>
    <i>
      <x v="158"/>
    </i>
    <i>
      <x v="279"/>
    </i>
    <i>
      <x v="160"/>
    </i>
    <i>
      <x v="99"/>
    </i>
    <i>
      <x v="367"/>
    </i>
    <i>
      <x v="281"/>
    </i>
    <i>
      <x v="369"/>
    </i>
    <i>
      <x v="282"/>
    </i>
    <i>
      <x v="371"/>
    </i>
    <i>
      <x v="25"/>
    </i>
    <i>
      <x v="373"/>
    </i>
    <i>
      <x v="101"/>
    </i>
    <i>
      <x v="56"/>
    </i>
    <i>
      <x v="285"/>
    </i>
    <i>
      <x v="377"/>
    </i>
    <i>
      <x v="26"/>
    </i>
    <i>
      <x v="167"/>
    </i>
    <i>
      <x v="288"/>
    </i>
    <i>
      <x v="381"/>
    </i>
    <i>
      <x v="103"/>
    </i>
    <i>
      <x v="169"/>
    </i>
    <i>
      <x v="290"/>
    </i>
    <i>
      <x v="385"/>
    </i>
    <i>
      <x v="27"/>
    </i>
    <i>
      <x v="172"/>
    </i>
    <i>
      <x v="107"/>
    </i>
    <i>
      <x v="389"/>
    </i>
    <i>
      <x v="293"/>
    </i>
    <i>
      <x v="391"/>
    </i>
    <i>
      <x v="294"/>
    </i>
    <i>
      <x v="393"/>
    </i>
    <i>
      <x v="295"/>
    </i>
    <i>
      <x v="395"/>
    </i>
    <i>
      <x v="108"/>
    </i>
    <i>
      <x v="398"/>
    </i>
    <i>
      <x v="297"/>
    </i>
    <i>
      <x v="404"/>
    </i>
    <i>
      <x v="298"/>
    </i>
    <i>
      <x v="409"/>
    </i>
    <i>
      <x v="110"/>
    </i>
    <i>
      <x v="412"/>
    </i>
    <i>
      <x v="28"/>
    </i>
    <i>
      <x v="301"/>
    </i>
    <i>
      <x v="2"/>
    </i>
    <i>
      <x v="22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4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3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4">
  <location ref="I2:J39" firstHeaderRow="1" firstDataRow="1" firstDataCol="1"/>
  <pivotFields count="10"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Gemiddelde van aantal schades" fld="6" subtotal="average" baseField="6" baseItem="0"/>
  </dataFields>
  <formats count="5">
    <format dxfId="31">
      <pivotArea field="5" type="button" dataOnly="0" labelOnly="1" outline="0" axis="axisRow" fieldPosition="0"/>
    </format>
    <format dxfId="30">
      <pivotArea dataOnly="0" labelOnly="1" fieldPosition="0">
        <references count="1">
          <reference field="5" count="0"/>
        </references>
      </pivotArea>
    </format>
    <format dxfId="29">
      <pivotArea dataOnly="0" labelOnly="1" grandRow="1" outline="0" fieldPosition="0"/>
    </format>
    <format dxfId="28">
      <pivotArea outline="0" collapsedLevelsAreSubtotals="1" fieldPosition="0"/>
    </format>
    <format dxfId="27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D68B95-EA35-4C49-9F5C-48AD4C3A09AF}" name="Draaitabel1" cacheId="22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I4:J55" firstHeaderRow="1" firstDataRow="1" firstDataCol="1"/>
  <pivotFields count="7">
    <pivotField showAll="0"/>
    <pivotField showAll="0"/>
    <pivotField showAll="0"/>
    <pivotField numFmtId="14" showAll="0"/>
    <pivotField showAll="0"/>
    <pivotField axis="axisRow" showAll="0">
      <items count="51">
        <item x="49"/>
        <item x="46"/>
        <item x="47"/>
        <item x="45"/>
        <item x="44"/>
        <item x="43"/>
        <item x="38"/>
        <item x="42"/>
        <item x="41"/>
        <item x="37"/>
        <item x="34"/>
        <item x="35"/>
        <item x="33"/>
        <item x="32"/>
        <item x="36"/>
        <item x="30"/>
        <item x="29"/>
        <item x="27"/>
        <item x="28"/>
        <item x="26"/>
        <item x="25"/>
        <item x="23"/>
        <item x="20"/>
        <item x="24"/>
        <item x="14"/>
        <item x="15"/>
        <item x="12"/>
        <item x="7"/>
        <item x="11"/>
        <item x="2"/>
        <item x="10"/>
        <item x="3"/>
        <item x="5"/>
        <item x="13"/>
        <item x="17"/>
        <item x="8"/>
        <item x="1"/>
        <item x="16"/>
        <item x="18"/>
        <item x="0"/>
        <item x="4"/>
        <item x="9"/>
        <item x="6"/>
        <item x="21"/>
        <item x="19"/>
        <item x="22"/>
        <item x="31"/>
        <item x="48"/>
        <item x="39"/>
        <item x="40"/>
        <item t="default"/>
      </items>
    </pivotField>
    <pivotField dataField="1" showAll="0"/>
  </pivotFields>
  <rowFields count="1">
    <field x="5"/>
  </rowFields>
  <row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rowItems>
  <colItems count="1">
    <i/>
  </colItems>
  <dataFields count="1">
    <dataField name="Gemiddelde van schades" fld="6" subtotal="average" baseField="5" baseItem="23"/>
  </dataFields>
  <formats count="1">
    <format dxfId="23">
      <pivotArea collapsedLevelsAreSubtotals="1" fieldPosition="0">
        <references count="1">
          <reference field="5" count="0"/>
        </references>
      </pivotArea>
    </format>
  </formats>
  <chartFormats count="1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054178-683E-41F1-8E62-84493F5A116A}" name="Draaitabel1" cacheId="42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J3:K42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4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8"/>
        <item x="29"/>
        <item x="27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10"/>
        <item x="109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8"/>
        <item x="159"/>
        <item x="160"/>
        <item x="157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7"/>
        <item x="236"/>
        <item x="235"/>
        <item x="238"/>
        <item x="239"/>
        <item x="240"/>
        <item x="243"/>
        <item x="244"/>
        <item x="245"/>
        <item x="242"/>
        <item x="241"/>
        <item x="246"/>
        <item x="247"/>
        <item x="248"/>
        <item x="249"/>
        <item x="254"/>
        <item x="252"/>
        <item x="250"/>
        <item x="253"/>
        <item x="255"/>
        <item x="256"/>
        <item x="257"/>
        <item x="258"/>
        <item x="251"/>
        <item x="259"/>
        <item x="260"/>
        <item x="262"/>
        <item x="263"/>
        <item x="264"/>
        <item x="267"/>
        <item x="265"/>
        <item x="266"/>
        <item x="270"/>
        <item x="271"/>
        <item x="269"/>
        <item x="268"/>
        <item x="274"/>
        <item x="272"/>
        <item x="261"/>
        <item x="275"/>
        <item x="276"/>
        <item x="273"/>
        <item x="277"/>
        <item x="278"/>
        <item x="281"/>
        <item x="279"/>
        <item x="280"/>
        <item x="287"/>
        <item x="285"/>
        <item x="286"/>
        <item x="290"/>
        <item x="288"/>
        <item x="292"/>
        <item x="289"/>
        <item x="294"/>
        <item x="295"/>
        <item x="284"/>
        <item x="293"/>
        <item x="291"/>
        <item x="297"/>
        <item x="298"/>
        <item x="299"/>
        <item x="283"/>
        <item x="296"/>
        <item x="300"/>
        <item x="301"/>
        <item x="305"/>
        <item x="302"/>
        <item x="282"/>
        <item x="303"/>
        <item x="304"/>
        <item x="306"/>
        <item x="312"/>
        <item x="313"/>
        <item x="307"/>
        <item x="310"/>
        <item x="314"/>
        <item x="316"/>
        <item x="317"/>
        <item x="318"/>
        <item x="315"/>
        <item x="321"/>
        <item x="322"/>
        <item x="319"/>
        <item x="323"/>
        <item x="320"/>
        <item x="326"/>
        <item x="325"/>
        <item x="328"/>
        <item x="309"/>
        <item x="324"/>
        <item x="311"/>
        <item x="327"/>
        <item x="308"/>
        <item x="329"/>
        <item x="331"/>
        <item x="332"/>
        <item x="330"/>
        <item x="333"/>
        <item x="334"/>
        <item x="339"/>
        <item x="341"/>
        <item x="344"/>
        <item x="343"/>
        <item x="340"/>
        <item x="342"/>
        <item x="345"/>
        <item x="347"/>
        <item x="335"/>
        <item x="348"/>
        <item x="350"/>
        <item x="346"/>
        <item x="337"/>
        <item x="349"/>
        <item x="351"/>
        <item x="352"/>
        <item x="356"/>
        <item x="353"/>
        <item x="359"/>
        <item x="338"/>
        <item x="358"/>
        <item x="357"/>
        <item x="361"/>
        <item x="362"/>
        <item x="336"/>
        <item x="360"/>
        <item x="364"/>
        <item x="354"/>
        <item x="355"/>
        <item x="365"/>
        <item x="366"/>
        <item x="368"/>
        <item x="367"/>
        <item x="363"/>
        <item x="369"/>
        <item x="370"/>
        <item x="371"/>
        <item x="372"/>
        <item x="374"/>
        <item x="373"/>
        <item x="380"/>
        <item x="381"/>
        <item x="383"/>
        <item x="382"/>
        <item x="385"/>
        <item x="384"/>
        <item x="386"/>
        <item x="389"/>
        <item x="387"/>
        <item x="388"/>
        <item x="390"/>
        <item x="391"/>
        <item x="392"/>
        <item x="394"/>
        <item x="393"/>
        <item x="396"/>
        <item x="395"/>
        <item x="397"/>
        <item x="398"/>
        <item x="401"/>
        <item x="376"/>
        <item x="400"/>
        <item x="377"/>
        <item x="399"/>
        <item x="379"/>
        <item x="375"/>
        <item x="402"/>
        <item x="404"/>
        <item x="403"/>
        <item x="378"/>
        <item x="405"/>
        <item t="default"/>
      </items>
    </pivotField>
    <pivotField axis="axisRow" numFmtId="1" showAl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t="default"/>
      </items>
    </pivotField>
  </pivotFields>
  <rowFields count="1">
    <field x="6"/>
  </rowFields>
  <row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Items count="1">
    <i/>
  </colItems>
  <dataFields count="1">
    <dataField name="Gemiddelde van schades" fld="7" subtotal="average" baseField="9" baseItem="1"/>
  </dataFields>
  <formats count="1">
    <format dxfId="10">
      <pivotArea collapsedLevelsAreSubtotals="1" fieldPosition="0">
        <references count="1">
          <reference field="6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44"/>
    <tableColumn id="5" xr3:uid="{DF37AD45-FC5C-478A-989D-9143E744CEEA}" name="voornaam" dataDxfId="43">
      <calculatedColumnFormula>VLOOKUP(Tabel2[[#This Row],[nr]],'data hastus'!A:C,3,FALSE)</calculatedColumnFormula>
    </tableColumn>
    <tableColumn id="6" xr3:uid="{4098FAFB-9B09-4A81-8B22-18CC90B5F979}" name="achternaam" dataDxfId="42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1001" totalsRowShown="0" headerRowDxfId="41">
  <autoFilter ref="A1:AB1001" xr:uid="{2FDE3AF6-1CE1-4F38-BD72-1F03CD30F4FC}">
    <filterColumn colId="19">
      <filters>
        <dateGroupItem year="2025" dateTimeGrouping="year"/>
      </filters>
    </filterColumn>
  </autoFilter>
  <sortState xmlns:xlrd2="http://schemas.microsoft.com/office/spreadsheetml/2017/richdata2" ref="A515:AB992">
    <sortCondition ref="T1:T992"/>
  </sortState>
  <tableColumns count="28">
    <tableColumn id="1" xr3:uid="{A89FCEBD-EFF0-43A5-BEAC-9201FF09453E}" name="personeelsnr"/>
    <tableColumn id="23" xr3:uid="{3989647C-F1EB-4322-A586-1EC53B4E823E}" name="volledige naam" dataDxfId="40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39"/>
    <tableColumn id="11" xr3:uid="{97ECF1D5-48DC-4487-B3C2-17232CC8E19E}" name="Januari" dataDxfId="38"/>
    <tableColumn id="12" xr3:uid="{7B2FF520-A575-45C0-BB5A-19B87DDB4EA0}" name="Februari" dataDxfId="37"/>
    <tableColumn id="13" xr3:uid="{4E6C30D1-FB72-4AB2-900F-14A3D53F34DE}" name="Maart" dataDxfId="36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35">
      <calculatedColumnFormula>SUM(bron[[#This Row],[Januari]:[December]])</calculatedColumnFormula>
    </tableColumn>
    <tableColumn id="10" xr3:uid="{8D9646BD-38B6-4F4D-9859-B3933369346B}" name="Datum" dataDxfId="34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33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D42" totalsRowShown="0">
  <autoFilter ref="A1:D42" xr:uid="{BB304942-D2C5-4BE7-BC70-62B950269DA9}"/>
  <tableColumns count="4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  <tableColumn id="4" xr3:uid="{440C7C59-4600-4B15-8B35-7F1CE024BB59}" name="Kolom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G403" totalsRowShown="0">
  <autoFilter ref="A1:G403" xr:uid="{6E4EA397-83BA-4F1D-890D-B07039C4F892}"/>
  <sortState xmlns:xlrd2="http://schemas.microsoft.com/office/spreadsheetml/2017/richdata2" ref="A2:G403">
    <sortCondition descending="1" ref="G1:G403"/>
  </sortState>
  <tableColumns count="7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26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25">
      <calculatedColumnFormula>YEAR(TODAY()) - YEAR(E2) - (IF(DATE(YEAR(TODAY()), MONTH(E2), DAY(E2)) &gt; TODAY(), 1, 0))</calculatedColumnFormula>
    </tableColumn>
    <tableColumn id="5" xr3:uid="{4C697650-E57C-44EB-9139-9D19E4E44782}" name="aantal schades" dataDxfId="24">
      <calculatedColumnFormula array="1">SUMPRODUCT((BRON!$A$2:$A$1214=Table1[[#This Row],[Personeelsnummer]])*(BRON!$T$2:$T$1214&gt;=DATE(YEAR(TODAY())-1,MONTH(TODAY()),DAY(TODAY())))*(BRON!$T$2:$T$1214&lt;=TODAY()))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BD5B58-D426-43A3-A891-58CECFB39B3F}" name="Tabel5" displayName="Tabel5" ref="A1:G593" totalsRowShown="0">
  <autoFilter ref="A1:G593" xr:uid="{85BD5B58-D426-43A3-A891-58CECFB39B3F}"/>
  <tableColumns count="7">
    <tableColumn id="1" xr3:uid="{6BF438A6-3CFF-4A75-9521-561CBF17617A}" name="Employee"/>
    <tableColumn id="2" xr3:uid="{F5B5556F-CE70-4CFC-BC9C-E3087F901D1E}" name="Last Name"/>
    <tableColumn id="3" xr3:uid="{49CD6A8B-E331-412E-8826-24F411D191CF}" name="First Name"/>
    <tableColumn id="4" xr3:uid="{AF060CE7-CE80-47CD-8008-1F65EEDB4485}" name="Birth Date" dataDxfId="22"/>
    <tableColumn id="5" xr3:uid="{AA9DC5BD-2FB1-4C7E-8FE3-3E888F5C4729}" name="jaar">
      <calculatedColumnFormula>YEAR(D2)</calculatedColumnFormula>
    </tableColumn>
    <tableColumn id="6" xr3:uid="{2B433F11-72E5-40BE-90DF-3805191A4438}" name="leeftijd">
      <calculatedColumnFormula>YEAR(TODAY())-E2</calculatedColumnFormula>
    </tableColumn>
    <tableColumn id="7" xr3:uid="{DA73E146-4210-4A03-B1D1-EE0E282C4246}" name="schades" dataDxfId="12">
      <calculatedColumnFormula>COUNTIF(BRON!A:A,'schades-leeftijd'!A2)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C793CD5-0539-4A48-B93F-A5A35FE55872}" name="Tabel6" displayName="Tabel6" ref="A1:H615" totalsRowShown="0">
  <autoFilter ref="A1:H615" xr:uid="{AC793CD5-0539-4A48-B93F-A5A35FE55872}"/>
  <tableColumns count="8">
    <tableColumn id="1" xr3:uid="{F316EA65-E08F-462D-85DC-40420FD8FFB7}" name=" Volledige naam" dataDxfId="21"/>
    <tableColumn id="2" xr3:uid="{B74D5419-AF77-4013-9D4D-A27CB821A194}" name="Voornaam" dataDxfId="20"/>
    <tableColumn id="3" xr3:uid="{8AFF5D53-02DB-4104-8133-50DD6E1299B8}" name="Achternaam" dataDxfId="19"/>
    <tableColumn id="4" xr3:uid="{B76D7E71-E174-470B-9D6C-5440B7A4886F}" name="Personeelsnummer" dataDxfId="18"/>
    <tableColumn id="6" xr3:uid="{944F1A33-FEB0-4FC2-8D2C-B7C202DA92D5}" name="Team Coach" dataDxfId="17"/>
    <tableColumn id="7" xr3:uid="{5B917C88-1EEB-48B9-9CA7-608DFC8F40C2}" name="Datum in dienst" dataDxfId="16"/>
    <tableColumn id="10" xr3:uid="{3501E25E-962A-4C61-8F65-B8F428AE63EB}" name="Dienstjaren" dataDxfId="15">
      <calculatedColumnFormula>TRUNC(YEARFRAC(F2,TODAY(),1))</calculatedColumnFormula>
    </tableColumn>
    <tableColumn id="8" xr3:uid="{49F2DD67-4207-4AB4-A1B0-D272D5DF5E8C}" name="schades">
      <calculatedColumnFormula>COUNTIF(BRON!A:A,Tabel6[[#This Row],[Personeelsnummer]])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824" Type="http://schemas.openxmlformats.org/officeDocument/2006/relationships/printerSettings" Target="../printerSettings/printerSettings1.bin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826" Type="http://schemas.openxmlformats.org/officeDocument/2006/relationships/table" Target="../tables/table2.xm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hyperlink" Target="../../../../../../:b:/r/teams/CTM-OTGentStad/Shared%20Documents/General/EAF/CSI(nieuwe%20sharepoint)%202025/12.%20December/EAF%205221%20Dampoort%20Gent%2001122025%20-%2032245.pdf?csf=1&amp;web=1&amp;e=XIqsWL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drawing" Target="../drawings/drawing2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7.xm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8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25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6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9" workbookViewId="0">
      <selection activeCell="D13" sqref="D13"/>
    </sheetView>
  </sheetViews>
  <sheetFormatPr defaultColWidth="9.140625" defaultRowHeight="15" x14ac:dyDescent="0.25"/>
  <cols>
    <col min="1" max="2" width="9.140625" style="33"/>
    <col min="3" max="3" width="41" style="33" bestFit="1" customWidth="1"/>
    <col min="4" max="5" width="16.7109375" style="33" bestFit="1" customWidth="1"/>
    <col min="6" max="6" width="11.140625" style="33" bestFit="1" customWidth="1"/>
    <col min="7" max="7" width="16.7109375" style="33" bestFit="1" customWidth="1"/>
    <col min="8" max="8" width="9.42578125" style="33" bestFit="1" customWidth="1"/>
    <col min="9" max="9" width="13.85546875" style="33" bestFit="1" customWidth="1"/>
    <col min="10" max="10" width="21" style="33" bestFit="1" customWidth="1"/>
    <col min="11" max="25" width="10.42578125" style="33" bestFit="1" customWidth="1"/>
    <col min="26" max="34" width="9.42578125" style="33" bestFit="1" customWidth="1"/>
    <col min="35" max="47" width="10.42578125" style="33" bestFit="1" customWidth="1"/>
    <col min="48" max="53" width="9.42578125" style="33" bestFit="1" customWidth="1"/>
    <col min="54" max="69" width="10.42578125" style="33" bestFit="1" customWidth="1"/>
    <col min="70" max="75" width="9.42578125" style="33" bestFit="1" customWidth="1"/>
    <col min="76" max="93" width="10.42578125" style="33" bestFit="1" customWidth="1"/>
    <col min="94" max="101" width="9.42578125" style="33" bestFit="1" customWidth="1"/>
    <col min="102" max="115" width="10.42578125" style="33" bestFit="1" customWidth="1"/>
    <col min="116" max="120" width="9.42578125" style="33" bestFit="1" customWidth="1"/>
    <col min="121" max="137" width="10.42578125" style="33" bestFit="1" customWidth="1"/>
    <col min="138" max="144" width="9.42578125" style="33" bestFit="1" customWidth="1"/>
    <col min="145" max="159" width="10.42578125" style="33" bestFit="1" customWidth="1"/>
    <col min="160" max="166" width="9.42578125" style="33" bestFit="1" customWidth="1"/>
    <col min="167" max="177" width="10.42578125" style="33" bestFit="1" customWidth="1"/>
    <col min="178" max="185" width="9.42578125" style="33" bestFit="1" customWidth="1"/>
    <col min="186" max="201" width="10.42578125" style="33" bestFit="1" customWidth="1"/>
    <col min="202" max="208" width="9.42578125" style="33" bestFit="1" customWidth="1"/>
    <col min="209" max="225" width="10.42578125" style="33" bestFit="1" customWidth="1"/>
    <col min="226" max="232" width="9.42578125" style="33" bestFit="1" customWidth="1"/>
    <col min="233" max="248" width="10.42578125" style="33" bestFit="1" customWidth="1"/>
    <col min="249" max="255" width="9.42578125" style="33" bestFit="1" customWidth="1"/>
    <col min="256" max="271" width="10.42578125" style="33" bestFit="1" customWidth="1"/>
    <col min="272" max="275" width="9.42578125" style="33" bestFit="1" customWidth="1"/>
    <col min="276" max="293" width="10.42578125" style="33" bestFit="1" customWidth="1"/>
    <col min="294" max="299" width="9.42578125" style="33" bestFit="1" customWidth="1"/>
    <col min="300" max="315" width="10.42578125" style="33" bestFit="1" customWidth="1"/>
    <col min="316" max="322" width="9.42578125" style="33" bestFit="1" customWidth="1"/>
    <col min="323" max="338" width="10.42578125" style="33" bestFit="1" customWidth="1"/>
    <col min="339" max="344" width="9.42578125" style="33" bestFit="1" customWidth="1"/>
    <col min="345" max="358" width="10.42578125" style="33" bestFit="1" customWidth="1"/>
    <col min="359" max="366" width="9.42578125" style="33" bestFit="1" customWidth="1"/>
    <col min="367" max="379" width="10.42578125" style="33" bestFit="1" customWidth="1"/>
    <col min="380" max="385" width="9.42578125" style="33" bestFit="1" customWidth="1"/>
    <col min="386" max="397" width="10.42578125" style="33" bestFit="1" customWidth="1"/>
    <col min="398" max="405" width="9.42578125" style="33" bestFit="1" customWidth="1"/>
    <col min="406" max="422" width="10.42578125" style="33" bestFit="1" customWidth="1"/>
    <col min="423" max="427" width="9.42578125" style="33" bestFit="1" customWidth="1"/>
    <col min="428" max="439" width="10.42578125" style="33" bestFit="1" customWidth="1"/>
    <col min="440" max="446" width="9.42578125" style="33" bestFit="1" customWidth="1"/>
    <col min="447" max="460" width="10.42578125" style="33" bestFit="1" customWidth="1"/>
    <col min="461" max="465" width="9.42578125" style="33" bestFit="1" customWidth="1"/>
    <col min="466" max="484" width="10.42578125" style="33" bestFit="1" customWidth="1"/>
    <col min="485" max="491" width="9.42578125" style="33" bestFit="1" customWidth="1"/>
    <col min="492" max="504" width="10.42578125" style="33" bestFit="1" customWidth="1"/>
    <col min="505" max="505" width="6.28515625" style="33" bestFit="1" customWidth="1"/>
    <col min="506" max="506" width="10.140625" style="33" bestFit="1" customWidth="1"/>
    <col min="507" max="16384" width="9.140625" style="33"/>
  </cols>
  <sheetData>
    <row r="10" spans="3:10" x14ac:dyDescent="0.25">
      <c r="C10" s="1" t="s">
        <v>3807</v>
      </c>
      <c r="D10" t="s">
        <v>0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25">
      <c r="C11" s="2" t="s">
        <v>5</v>
      </c>
      <c r="D11">
        <v>9</v>
      </c>
      <c r="F11" s="2" t="s">
        <v>3528</v>
      </c>
      <c r="G11">
        <v>45</v>
      </c>
      <c r="I11" s="2" t="s">
        <v>35</v>
      </c>
      <c r="J11">
        <v>75</v>
      </c>
    </row>
    <row r="12" spans="3:10" x14ac:dyDescent="0.25">
      <c r="C12" s="2" t="s">
        <v>3827</v>
      </c>
      <c r="D12">
        <v>9</v>
      </c>
      <c r="F12" s="2" t="s">
        <v>3491</v>
      </c>
      <c r="G12">
        <v>183</v>
      </c>
      <c r="I12" s="2" t="s">
        <v>44</v>
      </c>
      <c r="J12">
        <v>75</v>
      </c>
    </row>
    <row r="13" spans="3:10" x14ac:dyDescent="0.25">
      <c r="C13" s="2" t="s">
        <v>1</v>
      </c>
      <c r="D13">
        <v>7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25">
      <c r="C14" s="2" t="s">
        <v>23</v>
      </c>
      <c r="D14">
        <v>5</v>
      </c>
      <c r="F14" s="2" t="s">
        <v>3492</v>
      </c>
      <c r="G14">
        <v>173</v>
      </c>
      <c r="I14" s="2" t="s">
        <v>41</v>
      </c>
      <c r="J14">
        <v>58</v>
      </c>
    </row>
    <row r="15" spans="3:10" x14ac:dyDescent="0.25">
      <c r="C15" s="2" t="s">
        <v>9</v>
      </c>
      <c r="D15">
        <v>5</v>
      </c>
      <c r="F15" s="2" t="s">
        <v>65</v>
      </c>
      <c r="G15">
        <v>474</v>
      </c>
      <c r="I15" s="2" t="s">
        <v>47</v>
      </c>
      <c r="J15">
        <v>54</v>
      </c>
    </row>
    <row r="16" spans="3:10" x14ac:dyDescent="0.25">
      <c r="C16" s="2" t="s">
        <v>7</v>
      </c>
      <c r="D16">
        <v>5</v>
      </c>
      <c r="I16" s="2" t="s">
        <v>53</v>
      </c>
      <c r="J16">
        <v>46</v>
      </c>
    </row>
    <row r="17" spans="3:10" x14ac:dyDescent="0.25">
      <c r="C17" s="2" t="s">
        <v>220</v>
      </c>
      <c r="D17">
        <v>5</v>
      </c>
      <c r="I17" s="2" t="s">
        <v>56</v>
      </c>
      <c r="J17">
        <v>41</v>
      </c>
    </row>
    <row r="18" spans="3:10" x14ac:dyDescent="0.25">
      <c r="C18" s="2" t="s">
        <v>3825</v>
      </c>
      <c r="D18">
        <v>5</v>
      </c>
      <c r="I18" s="2" t="s">
        <v>50</v>
      </c>
      <c r="J18">
        <v>40</v>
      </c>
    </row>
    <row r="19" spans="3:10" x14ac:dyDescent="0.25">
      <c r="C19" s="2" t="s">
        <v>318</v>
      </c>
      <c r="D19">
        <v>4</v>
      </c>
      <c r="I19" s="2" t="s">
        <v>59</v>
      </c>
      <c r="J19">
        <v>4</v>
      </c>
    </row>
    <row r="20" spans="3:10" x14ac:dyDescent="0.25">
      <c r="C20" s="2" t="s">
        <v>11</v>
      </c>
      <c r="D20">
        <v>4</v>
      </c>
      <c r="F20" s="1" t="s">
        <v>3807</v>
      </c>
      <c r="G20" t="s">
        <v>0</v>
      </c>
      <c r="I20" s="2" t="s">
        <v>65</v>
      </c>
      <c r="J20">
        <v>463</v>
      </c>
    </row>
    <row r="21" spans="3:10" x14ac:dyDescent="0.25">
      <c r="C21" s="2" t="s">
        <v>13</v>
      </c>
      <c r="D21">
        <v>4</v>
      </c>
      <c r="F21" s="2" t="s">
        <v>2</v>
      </c>
      <c r="G21">
        <v>26</v>
      </c>
    </row>
    <row r="22" spans="3:10" x14ac:dyDescent="0.25">
      <c r="C22" s="2" t="s">
        <v>169</v>
      </c>
      <c r="D22">
        <v>4</v>
      </c>
      <c r="F22" s="2" t="s">
        <v>6</v>
      </c>
      <c r="G22">
        <v>21</v>
      </c>
    </row>
    <row r="23" spans="3:10" x14ac:dyDescent="0.25">
      <c r="C23" s="2" t="s">
        <v>337</v>
      </c>
      <c r="D23">
        <v>3</v>
      </c>
      <c r="F23" s="2" t="s">
        <v>10</v>
      </c>
      <c r="G23">
        <v>14</v>
      </c>
      <c r="I23" s="1" t="s">
        <v>3868</v>
      </c>
      <c r="J23" t="s">
        <v>3869</v>
      </c>
    </row>
    <row r="24" spans="3:10" x14ac:dyDescent="0.25">
      <c r="C24" s="2" t="s">
        <v>86</v>
      </c>
      <c r="D24">
        <v>3</v>
      </c>
      <c r="F24" s="2" t="s">
        <v>8</v>
      </c>
      <c r="G24">
        <v>13</v>
      </c>
      <c r="I24" s="40">
        <v>0</v>
      </c>
      <c r="J24" s="43">
        <v>35</v>
      </c>
    </row>
    <row r="25" spans="3:10" x14ac:dyDescent="0.25">
      <c r="C25" s="2" t="s">
        <v>63</v>
      </c>
      <c r="D25">
        <v>3</v>
      </c>
      <c r="F25" s="2" t="s">
        <v>12</v>
      </c>
      <c r="G25">
        <v>12</v>
      </c>
      <c r="I25" s="40">
        <v>1</v>
      </c>
      <c r="J25" s="43">
        <v>55</v>
      </c>
    </row>
    <row r="26" spans="3:10" x14ac:dyDescent="0.25">
      <c r="C26" s="2" t="s">
        <v>3649</v>
      </c>
      <c r="D26">
        <v>3</v>
      </c>
      <c r="F26" s="2" t="s">
        <v>16</v>
      </c>
      <c r="G26">
        <v>10</v>
      </c>
      <c r="I26" s="40">
        <v>2</v>
      </c>
      <c r="J26" s="43">
        <v>49</v>
      </c>
    </row>
    <row r="27" spans="3:10" x14ac:dyDescent="0.25">
      <c r="C27" s="2" t="s">
        <v>233</v>
      </c>
      <c r="D27">
        <v>3</v>
      </c>
      <c r="F27" s="2" t="s">
        <v>20</v>
      </c>
      <c r="G27">
        <v>10</v>
      </c>
      <c r="I27" s="40">
        <v>3</v>
      </c>
      <c r="J27" s="43">
        <v>30</v>
      </c>
    </row>
    <row r="28" spans="3:10" x14ac:dyDescent="0.25">
      <c r="C28" s="2" t="s">
        <v>17</v>
      </c>
      <c r="D28">
        <v>3</v>
      </c>
      <c r="F28" s="2" t="s">
        <v>22</v>
      </c>
      <c r="G28">
        <v>9</v>
      </c>
      <c r="I28" s="40">
        <v>4</v>
      </c>
      <c r="J28" s="43">
        <v>23</v>
      </c>
    </row>
    <row r="29" spans="3:10" x14ac:dyDescent="0.25">
      <c r="C29" s="2" t="s">
        <v>292</v>
      </c>
      <c r="D29">
        <v>3</v>
      </c>
      <c r="F29" s="2" t="s">
        <v>32</v>
      </c>
      <c r="G29">
        <v>9</v>
      </c>
      <c r="I29" s="40">
        <v>5</v>
      </c>
      <c r="J29" s="43">
        <v>24</v>
      </c>
    </row>
    <row r="30" spans="3:10" x14ac:dyDescent="0.25">
      <c r="C30" s="2" t="s">
        <v>269</v>
      </c>
      <c r="D30">
        <v>3</v>
      </c>
      <c r="F30" s="2" t="s">
        <v>18</v>
      </c>
      <c r="G30">
        <v>8</v>
      </c>
      <c r="I30" s="40">
        <v>6</v>
      </c>
      <c r="J30" s="43">
        <v>13</v>
      </c>
    </row>
    <row r="31" spans="3:10" x14ac:dyDescent="0.25">
      <c r="C31" s="2" t="s">
        <v>51</v>
      </c>
      <c r="D31">
        <v>3</v>
      </c>
      <c r="F31" s="2" t="s">
        <v>26</v>
      </c>
      <c r="G31">
        <v>8</v>
      </c>
      <c r="I31" s="40">
        <v>7</v>
      </c>
      <c r="J31" s="43">
        <v>7</v>
      </c>
    </row>
    <row r="32" spans="3:10" x14ac:dyDescent="0.25">
      <c r="C32" s="2" t="s">
        <v>31</v>
      </c>
      <c r="D32">
        <v>3</v>
      </c>
      <c r="F32" s="2" t="s">
        <v>24</v>
      </c>
      <c r="G32">
        <v>7</v>
      </c>
      <c r="I32" s="40">
        <v>8</v>
      </c>
      <c r="J32" s="43">
        <v>13</v>
      </c>
    </row>
    <row r="33" spans="3:10" x14ac:dyDescent="0.25">
      <c r="C33" s="2" t="s">
        <v>15</v>
      </c>
      <c r="D33">
        <v>3</v>
      </c>
      <c r="F33" s="2" t="s">
        <v>30</v>
      </c>
      <c r="G33">
        <v>7</v>
      </c>
      <c r="I33" s="40">
        <v>9</v>
      </c>
      <c r="J33" s="43">
        <v>9</v>
      </c>
    </row>
    <row r="34" spans="3:10" x14ac:dyDescent="0.25">
      <c r="C34" s="2" t="s">
        <v>173</v>
      </c>
      <c r="D34">
        <v>3</v>
      </c>
      <c r="F34" s="2" t="s">
        <v>14</v>
      </c>
      <c r="G34">
        <v>7</v>
      </c>
      <c r="I34" s="40">
        <v>10</v>
      </c>
      <c r="J34" s="43">
        <v>7</v>
      </c>
    </row>
    <row r="35" spans="3:10" x14ac:dyDescent="0.25">
      <c r="C35" s="2" t="s">
        <v>93</v>
      </c>
      <c r="D35">
        <v>3</v>
      </c>
      <c r="F35" s="2" t="s">
        <v>34</v>
      </c>
      <c r="G35">
        <v>7</v>
      </c>
      <c r="I35" s="40">
        <v>11</v>
      </c>
      <c r="J35" s="43">
        <v>9</v>
      </c>
    </row>
    <row r="36" spans="3:10" x14ac:dyDescent="0.25">
      <c r="C36" s="2" t="s">
        <v>99</v>
      </c>
      <c r="D36">
        <v>3</v>
      </c>
      <c r="F36" s="2" t="s">
        <v>94</v>
      </c>
      <c r="G36">
        <v>6</v>
      </c>
      <c r="I36" s="40">
        <v>12</v>
      </c>
      <c r="J36" s="43">
        <v>1</v>
      </c>
    </row>
    <row r="37" spans="3:10" x14ac:dyDescent="0.25">
      <c r="C37" s="2" t="s">
        <v>27</v>
      </c>
      <c r="D37">
        <v>3</v>
      </c>
      <c r="F37" s="2" t="s">
        <v>81</v>
      </c>
      <c r="G37">
        <v>6</v>
      </c>
      <c r="I37" s="40">
        <v>13</v>
      </c>
      <c r="J37" s="43">
        <v>6</v>
      </c>
    </row>
    <row r="38" spans="3:10" x14ac:dyDescent="0.25">
      <c r="C38" s="2" t="s">
        <v>3826</v>
      </c>
      <c r="D38">
        <v>3</v>
      </c>
      <c r="F38" s="2" t="s">
        <v>67</v>
      </c>
      <c r="G38">
        <v>6</v>
      </c>
      <c r="I38" s="40">
        <v>14</v>
      </c>
      <c r="J38" s="43">
        <v>15</v>
      </c>
    </row>
    <row r="39" spans="3:10" x14ac:dyDescent="0.25">
      <c r="C39" s="2" t="s">
        <v>19</v>
      </c>
      <c r="D39">
        <v>3</v>
      </c>
      <c r="F39" s="2" t="s">
        <v>55</v>
      </c>
      <c r="G39">
        <v>6</v>
      </c>
      <c r="I39" s="40">
        <v>15</v>
      </c>
      <c r="J39" s="43">
        <v>5</v>
      </c>
    </row>
    <row r="40" spans="3:10" x14ac:dyDescent="0.25">
      <c r="C40" s="2" t="s">
        <v>111</v>
      </c>
      <c r="D40">
        <v>3</v>
      </c>
      <c r="F40" s="2" t="s">
        <v>28</v>
      </c>
      <c r="G40">
        <v>5</v>
      </c>
      <c r="I40" s="40">
        <v>16</v>
      </c>
      <c r="J40" s="43">
        <v>6</v>
      </c>
    </row>
    <row r="41" spans="3:10" x14ac:dyDescent="0.25">
      <c r="C41" s="2" t="s">
        <v>66</v>
      </c>
      <c r="D41">
        <v>3</v>
      </c>
      <c r="F41" s="2" t="s">
        <v>37</v>
      </c>
      <c r="G41">
        <v>5</v>
      </c>
      <c r="I41" s="40">
        <v>17</v>
      </c>
      <c r="J41" s="43">
        <v>11</v>
      </c>
    </row>
    <row r="42" spans="3:10" x14ac:dyDescent="0.25">
      <c r="C42" s="2" t="s">
        <v>80</v>
      </c>
      <c r="D42">
        <v>3</v>
      </c>
      <c r="F42" s="2" t="s">
        <v>58</v>
      </c>
      <c r="G42">
        <v>5</v>
      </c>
      <c r="I42" s="40">
        <v>18</v>
      </c>
      <c r="J42" s="43">
        <v>12</v>
      </c>
    </row>
    <row r="43" spans="3:10" x14ac:dyDescent="0.25">
      <c r="C43" s="2" t="s">
        <v>25</v>
      </c>
      <c r="D43">
        <v>3</v>
      </c>
      <c r="F43" s="2" t="s">
        <v>100</v>
      </c>
      <c r="G43">
        <v>5</v>
      </c>
      <c r="I43" s="40">
        <v>19</v>
      </c>
      <c r="J43" s="43">
        <v>8</v>
      </c>
    </row>
    <row r="44" spans="3:10" x14ac:dyDescent="0.25">
      <c r="C44" s="2" t="s">
        <v>3824</v>
      </c>
      <c r="D44">
        <v>3</v>
      </c>
      <c r="F44" s="2" t="s">
        <v>199</v>
      </c>
      <c r="G44">
        <v>4</v>
      </c>
      <c r="I44" s="40">
        <v>20</v>
      </c>
      <c r="J44" s="43">
        <v>4</v>
      </c>
    </row>
    <row r="45" spans="3:10" x14ac:dyDescent="0.25">
      <c r="C45" s="2" t="s">
        <v>235</v>
      </c>
      <c r="D45">
        <v>3</v>
      </c>
      <c r="F45" s="2" t="s">
        <v>87</v>
      </c>
      <c r="G45">
        <v>4</v>
      </c>
      <c r="I45" s="40">
        <v>21</v>
      </c>
      <c r="J45" s="43">
        <v>6</v>
      </c>
    </row>
    <row r="46" spans="3:10" x14ac:dyDescent="0.25">
      <c r="C46" s="2" t="s">
        <v>84</v>
      </c>
      <c r="D46">
        <v>3</v>
      </c>
      <c r="F46" s="2" t="s">
        <v>644</v>
      </c>
      <c r="G46">
        <v>4</v>
      </c>
      <c r="I46" s="40">
        <v>22</v>
      </c>
      <c r="J46" s="43">
        <v>6</v>
      </c>
    </row>
    <row r="47" spans="3:10" x14ac:dyDescent="0.25">
      <c r="C47" s="2" t="s">
        <v>113</v>
      </c>
      <c r="D47">
        <v>3</v>
      </c>
      <c r="F47" s="2" t="s">
        <v>61</v>
      </c>
      <c r="G47">
        <v>4</v>
      </c>
      <c r="I47" s="40">
        <v>23</v>
      </c>
      <c r="J47" s="43">
        <v>8</v>
      </c>
    </row>
    <row r="48" spans="3:10" x14ac:dyDescent="0.25">
      <c r="C48" s="2" t="s">
        <v>204</v>
      </c>
      <c r="D48">
        <v>3</v>
      </c>
      <c r="F48" s="2" t="s">
        <v>64</v>
      </c>
      <c r="G48">
        <v>4</v>
      </c>
      <c r="I48" s="40">
        <v>24</v>
      </c>
      <c r="J48" s="43">
        <v>5</v>
      </c>
    </row>
    <row r="49" spans="3:10" x14ac:dyDescent="0.25">
      <c r="C49" s="2" t="s">
        <v>3640</v>
      </c>
      <c r="D49">
        <v>3</v>
      </c>
      <c r="F49" s="2" t="s">
        <v>89</v>
      </c>
      <c r="G49">
        <v>3</v>
      </c>
      <c r="I49" s="40">
        <v>25</v>
      </c>
      <c r="J49" s="43">
        <v>7</v>
      </c>
    </row>
    <row r="50" spans="3:10" x14ac:dyDescent="0.25">
      <c r="C50" s="2" t="s">
        <v>301</v>
      </c>
      <c r="D50">
        <v>3</v>
      </c>
      <c r="F50" s="2" t="s">
        <v>246</v>
      </c>
      <c r="G50">
        <v>3</v>
      </c>
      <c r="I50" s="40">
        <v>26</v>
      </c>
      <c r="J50" s="43">
        <v>6</v>
      </c>
    </row>
    <row r="51" spans="3:10" x14ac:dyDescent="0.25">
      <c r="C51" s="2" t="s">
        <v>29</v>
      </c>
      <c r="D51">
        <v>3</v>
      </c>
      <c r="F51" s="2" t="s">
        <v>46</v>
      </c>
      <c r="G51">
        <v>3</v>
      </c>
      <c r="I51" s="40">
        <v>27</v>
      </c>
      <c r="J51" s="43">
        <v>3</v>
      </c>
    </row>
    <row r="52" spans="3:10" x14ac:dyDescent="0.25">
      <c r="C52" s="2" t="s">
        <v>57</v>
      </c>
      <c r="D52">
        <v>3</v>
      </c>
      <c r="F52" s="2" t="s">
        <v>112</v>
      </c>
      <c r="G52">
        <v>3</v>
      </c>
      <c r="I52" s="40">
        <v>28</v>
      </c>
      <c r="J52" s="43">
        <v>4</v>
      </c>
    </row>
    <row r="53" spans="3:10" x14ac:dyDescent="0.25">
      <c r="C53" s="2" t="s">
        <v>76</v>
      </c>
      <c r="D53">
        <v>3</v>
      </c>
      <c r="F53" s="2" t="s">
        <v>150</v>
      </c>
      <c r="G53">
        <v>3</v>
      </c>
      <c r="I53" s="40">
        <v>29</v>
      </c>
      <c r="J53" s="43">
        <v>5</v>
      </c>
    </row>
    <row r="54" spans="3:10" x14ac:dyDescent="0.25">
      <c r="C54" s="2" t="s">
        <v>341</v>
      </c>
      <c r="D54">
        <v>2</v>
      </c>
      <c r="F54" s="2" t="s">
        <v>838</v>
      </c>
      <c r="G54">
        <v>3</v>
      </c>
      <c r="I54" s="40">
        <v>30</v>
      </c>
      <c r="J54" s="43">
        <v>1</v>
      </c>
    </row>
    <row r="55" spans="3:10" x14ac:dyDescent="0.25">
      <c r="C55" s="2" t="s">
        <v>105</v>
      </c>
      <c r="D55">
        <v>2</v>
      </c>
      <c r="F55" s="2" t="s">
        <v>52</v>
      </c>
      <c r="G55">
        <v>3</v>
      </c>
      <c r="I55" s="40">
        <v>32</v>
      </c>
      <c r="J55" s="43">
        <v>1</v>
      </c>
    </row>
    <row r="56" spans="3:10" x14ac:dyDescent="0.25">
      <c r="C56" s="2" t="s">
        <v>139</v>
      </c>
      <c r="D56">
        <v>2</v>
      </c>
      <c r="F56" s="2" t="s">
        <v>98</v>
      </c>
      <c r="G56">
        <v>3</v>
      </c>
      <c r="I56" s="40">
        <v>33</v>
      </c>
      <c r="J56" s="43">
        <v>3</v>
      </c>
    </row>
    <row r="57" spans="3:10" x14ac:dyDescent="0.25">
      <c r="C57" s="2" t="s">
        <v>315</v>
      </c>
      <c r="D57">
        <v>2</v>
      </c>
      <c r="F57" s="2" t="s">
        <v>43</v>
      </c>
      <c r="G57">
        <v>3</v>
      </c>
      <c r="I57" s="40">
        <v>34</v>
      </c>
      <c r="J57" s="43">
        <v>2</v>
      </c>
    </row>
    <row r="58" spans="3:10" x14ac:dyDescent="0.25">
      <c r="C58" s="2" t="s">
        <v>54</v>
      </c>
      <c r="D58">
        <v>2</v>
      </c>
      <c r="F58" s="2" t="s">
        <v>729</v>
      </c>
      <c r="G58">
        <v>3</v>
      </c>
      <c r="I58" s="40">
        <v>36</v>
      </c>
      <c r="J58" s="43">
        <v>2</v>
      </c>
    </row>
    <row r="59" spans="3:10" x14ac:dyDescent="0.25">
      <c r="C59" s="2" t="s">
        <v>259</v>
      </c>
      <c r="D59">
        <v>2</v>
      </c>
      <c r="F59" s="2" t="s">
        <v>3734</v>
      </c>
      <c r="G59">
        <v>3</v>
      </c>
      <c r="I59" s="40">
        <v>37</v>
      </c>
      <c r="J59" s="43">
        <v>1</v>
      </c>
    </row>
    <row r="60" spans="3:10" x14ac:dyDescent="0.25">
      <c r="C60" s="2" t="s">
        <v>3652</v>
      </c>
      <c r="D60">
        <v>2</v>
      </c>
      <c r="F60" s="2" t="s">
        <v>49</v>
      </c>
      <c r="G60">
        <v>3</v>
      </c>
      <c r="I60" s="36" t="s">
        <v>65</v>
      </c>
      <c r="J60" s="43">
        <v>402</v>
      </c>
    </row>
    <row r="61" spans="3:10" x14ac:dyDescent="0.25">
      <c r="C61" s="2" t="s">
        <v>343</v>
      </c>
      <c r="D61">
        <v>2</v>
      </c>
      <c r="F61" s="2" t="s">
        <v>71</v>
      </c>
      <c r="G61">
        <v>3</v>
      </c>
    </row>
    <row r="62" spans="3:10" x14ac:dyDescent="0.25">
      <c r="C62" s="2" t="s">
        <v>151</v>
      </c>
      <c r="D62">
        <v>2</v>
      </c>
      <c r="F62" s="2" t="s">
        <v>589</v>
      </c>
      <c r="G62">
        <v>3</v>
      </c>
    </row>
    <row r="63" spans="3:10" x14ac:dyDescent="0.25">
      <c r="C63" s="2" t="s">
        <v>119</v>
      </c>
      <c r="D63">
        <v>2</v>
      </c>
      <c r="F63" s="2" t="s">
        <v>40</v>
      </c>
      <c r="G63">
        <v>3</v>
      </c>
    </row>
    <row r="64" spans="3:10" x14ac:dyDescent="0.25">
      <c r="C64" s="2" t="s">
        <v>109</v>
      </c>
      <c r="D64">
        <v>2</v>
      </c>
      <c r="F64" s="2" t="s">
        <v>144</v>
      </c>
      <c r="G64">
        <v>3</v>
      </c>
    </row>
    <row r="65" spans="3:7" x14ac:dyDescent="0.25">
      <c r="C65" s="2" t="s">
        <v>297</v>
      </c>
      <c r="D65">
        <v>2</v>
      </c>
      <c r="F65" s="2" t="s">
        <v>647</v>
      </c>
      <c r="G65">
        <v>3</v>
      </c>
    </row>
    <row r="66" spans="3:7" x14ac:dyDescent="0.25">
      <c r="C66" s="2" t="s">
        <v>241</v>
      </c>
      <c r="D66">
        <v>2</v>
      </c>
      <c r="F66" s="2" t="s">
        <v>223</v>
      </c>
      <c r="G66">
        <v>3</v>
      </c>
    </row>
    <row r="67" spans="3:7" x14ac:dyDescent="0.25">
      <c r="C67" s="2" t="s">
        <v>3667</v>
      </c>
      <c r="D67">
        <v>2</v>
      </c>
      <c r="F67" s="2" t="s">
        <v>114</v>
      </c>
      <c r="G67">
        <v>3</v>
      </c>
    </row>
    <row r="68" spans="3:7" x14ac:dyDescent="0.25">
      <c r="C68" s="2" t="s">
        <v>328</v>
      </c>
      <c r="D68">
        <v>2</v>
      </c>
      <c r="F68" s="2" t="s">
        <v>1304</v>
      </c>
      <c r="G68">
        <v>2</v>
      </c>
    </row>
    <row r="69" spans="3:7" x14ac:dyDescent="0.25">
      <c r="C69" s="2" t="s">
        <v>263</v>
      </c>
      <c r="D69">
        <v>2</v>
      </c>
      <c r="F69" s="2" t="s">
        <v>106</v>
      </c>
      <c r="G69">
        <v>2</v>
      </c>
    </row>
    <row r="70" spans="3:7" x14ac:dyDescent="0.25">
      <c r="C70" s="2" t="s">
        <v>97</v>
      </c>
      <c r="D70">
        <v>2</v>
      </c>
      <c r="F70" s="2" t="s">
        <v>85</v>
      </c>
      <c r="G70">
        <v>2</v>
      </c>
    </row>
    <row r="71" spans="3:7" x14ac:dyDescent="0.25">
      <c r="C71" s="2" t="s">
        <v>103</v>
      </c>
      <c r="D71">
        <v>2</v>
      </c>
      <c r="F71" s="2" t="s">
        <v>188</v>
      </c>
      <c r="G71">
        <v>2</v>
      </c>
    </row>
    <row r="72" spans="3:7" x14ac:dyDescent="0.25">
      <c r="C72" s="2" t="s">
        <v>143</v>
      </c>
      <c r="D72">
        <v>2</v>
      </c>
      <c r="F72" s="2" t="s">
        <v>718</v>
      </c>
      <c r="G72">
        <v>2</v>
      </c>
    </row>
    <row r="73" spans="3:7" x14ac:dyDescent="0.25">
      <c r="C73" s="2" t="s">
        <v>321</v>
      </c>
      <c r="D73">
        <v>2</v>
      </c>
      <c r="F73" s="2" t="s">
        <v>75</v>
      </c>
      <c r="G73">
        <v>2</v>
      </c>
    </row>
    <row r="74" spans="3:7" x14ac:dyDescent="0.25">
      <c r="C74" s="2" t="s">
        <v>33</v>
      </c>
      <c r="D74">
        <v>2</v>
      </c>
      <c r="F74" s="2" t="s">
        <v>110</v>
      </c>
      <c r="G74">
        <v>2</v>
      </c>
    </row>
    <row r="75" spans="3:7" x14ac:dyDescent="0.25">
      <c r="C75" s="2" t="s">
        <v>107</v>
      </c>
      <c r="D75">
        <v>2</v>
      </c>
      <c r="F75" s="2" t="s">
        <v>3606</v>
      </c>
      <c r="G75">
        <v>2</v>
      </c>
    </row>
    <row r="76" spans="3:7" x14ac:dyDescent="0.25">
      <c r="C76" s="2" t="s">
        <v>210</v>
      </c>
      <c r="D76">
        <v>2</v>
      </c>
      <c r="F76" s="2" t="s">
        <v>946</v>
      </c>
      <c r="G76">
        <v>2</v>
      </c>
    </row>
    <row r="77" spans="3:7" x14ac:dyDescent="0.25">
      <c r="C77" s="2" t="s">
        <v>3751</v>
      </c>
      <c r="D77">
        <v>2</v>
      </c>
      <c r="F77" s="2" t="s">
        <v>79</v>
      </c>
      <c r="G77">
        <v>2</v>
      </c>
    </row>
    <row r="78" spans="3:7" x14ac:dyDescent="0.25">
      <c r="C78" s="2" t="s">
        <v>42</v>
      </c>
      <c r="D78">
        <v>2</v>
      </c>
      <c r="F78" s="2" t="s">
        <v>96</v>
      </c>
      <c r="G78">
        <v>2</v>
      </c>
    </row>
    <row r="79" spans="3:7" x14ac:dyDescent="0.25">
      <c r="C79" s="2" t="s">
        <v>295</v>
      </c>
      <c r="D79">
        <v>2</v>
      </c>
      <c r="F79" s="2" t="s">
        <v>77</v>
      </c>
      <c r="G79">
        <v>2</v>
      </c>
    </row>
    <row r="80" spans="3:7" x14ac:dyDescent="0.25">
      <c r="C80" s="2" t="s">
        <v>78</v>
      </c>
      <c r="D80">
        <v>2</v>
      </c>
      <c r="F80" s="2" t="s">
        <v>102</v>
      </c>
      <c r="G80">
        <v>2</v>
      </c>
    </row>
    <row r="81" spans="3:7" x14ac:dyDescent="0.25">
      <c r="C81" s="2" t="s">
        <v>251</v>
      </c>
      <c r="D81">
        <v>2</v>
      </c>
      <c r="F81" s="2" t="s">
        <v>215</v>
      </c>
      <c r="G81">
        <v>2</v>
      </c>
    </row>
    <row r="82" spans="3:7" x14ac:dyDescent="0.25">
      <c r="C82" s="2" t="s">
        <v>91</v>
      </c>
      <c r="D82">
        <v>2</v>
      </c>
      <c r="F82" s="2" t="s">
        <v>116</v>
      </c>
      <c r="G82">
        <v>2</v>
      </c>
    </row>
    <row r="83" spans="3:7" x14ac:dyDescent="0.25">
      <c r="C83" s="2" t="s">
        <v>185</v>
      </c>
      <c r="D83">
        <v>2</v>
      </c>
      <c r="F83" s="2" t="s">
        <v>108</v>
      </c>
      <c r="G83">
        <v>2</v>
      </c>
    </row>
    <row r="84" spans="3:7" x14ac:dyDescent="0.25">
      <c r="C84" s="2" t="s">
        <v>60</v>
      </c>
      <c r="D84">
        <v>2</v>
      </c>
      <c r="F84" s="2" t="s">
        <v>3530</v>
      </c>
      <c r="G84">
        <v>2</v>
      </c>
    </row>
    <row r="85" spans="3:7" x14ac:dyDescent="0.25">
      <c r="C85" s="2" t="s">
        <v>115</v>
      </c>
      <c r="D85">
        <v>2</v>
      </c>
      <c r="F85" s="2" t="s">
        <v>3616</v>
      </c>
      <c r="G85">
        <v>2</v>
      </c>
    </row>
    <row r="86" spans="3:7" x14ac:dyDescent="0.25">
      <c r="C86" s="2" t="s">
        <v>127</v>
      </c>
      <c r="D86">
        <v>2</v>
      </c>
      <c r="F86" s="2" t="s">
        <v>83</v>
      </c>
      <c r="G86">
        <v>2</v>
      </c>
    </row>
    <row r="87" spans="3:7" x14ac:dyDescent="0.25">
      <c r="C87" s="2" t="s">
        <v>3639</v>
      </c>
      <c r="D87">
        <v>2</v>
      </c>
      <c r="F87" s="2" t="s">
        <v>3482</v>
      </c>
      <c r="G87">
        <v>2</v>
      </c>
    </row>
    <row r="88" spans="3:7" x14ac:dyDescent="0.25">
      <c r="C88" s="2" t="s">
        <v>45</v>
      </c>
      <c r="D88">
        <v>2</v>
      </c>
      <c r="F88" s="2" t="s">
        <v>468</v>
      </c>
      <c r="G88">
        <v>2</v>
      </c>
    </row>
    <row r="89" spans="3:7" x14ac:dyDescent="0.25">
      <c r="C89" s="2" t="s">
        <v>117</v>
      </c>
      <c r="D89">
        <v>2</v>
      </c>
      <c r="F89" s="2" t="s">
        <v>217</v>
      </c>
      <c r="G89">
        <v>2</v>
      </c>
    </row>
    <row r="90" spans="3:7" x14ac:dyDescent="0.25">
      <c r="C90" s="2" t="s">
        <v>216</v>
      </c>
      <c r="D90">
        <v>2</v>
      </c>
      <c r="F90" s="2" t="s">
        <v>207</v>
      </c>
      <c r="G90">
        <v>2</v>
      </c>
    </row>
    <row r="91" spans="3:7" x14ac:dyDescent="0.25">
      <c r="C91" s="2" t="s">
        <v>39</v>
      </c>
      <c r="D91">
        <v>2</v>
      </c>
      <c r="F91" s="2" t="s">
        <v>92</v>
      </c>
      <c r="G91">
        <v>2</v>
      </c>
    </row>
    <row r="92" spans="3:7" x14ac:dyDescent="0.25">
      <c r="C92" s="2" t="s">
        <v>68</v>
      </c>
      <c r="D92">
        <v>2</v>
      </c>
      <c r="F92" s="2" t="s">
        <v>221</v>
      </c>
      <c r="G92">
        <v>2</v>
      </c>
    </row>
    <row r="93" spans="3:7" x14ac:dyDescent="0.25">
      <c r="C93" s="2" t="s">
        <v>290</v>
      </c>
      <c r="D93">
        <v>2</v>
      </c>
      <c r="F93" s="2" t="s">
        <v>3488</v>
      </c>
      <c r="G93">
        <v>2</v>
      </c>
    </row>
    <row r="94" spans="3:7" x14ac:dyDescent="0.25">
      <c r="C94" s="2" t="s">
        <v>101</v>
      </c>
      <c r="D94">
        <v>2</v>
      </c>
      <c r="F94" s="2" t="s">
        <v>559</v>
      </c>
      <c r="G94">
        <v>2</v>
      </c>
    </row>
    <row r="95" spans="3:7" x14ac:dyDescent="0.25">
      <c r="C95" s="2" t="s">
        <v>36</v>
      </c>
      <c r="D95">
        <v>2</v>
      </c>
      <c r="F95" s="2" t="s">
        <v>104</v>
      </c>
      <c r="G95">
        <v>2</v>
      </c>
    </row>
    <row r="96" spans="3:7" x14ac:dyDescent="0.25">
      <c r="C96" s="2" t="s">
        <v>3644</v>
      </c>
      <c r="D96">
        <v>2</v>
      </c>
      <c r="F96" s="2" t="s">
        <v>180</v>
      </c>
      <c r="G96">
        <v>2</v>
      </c>
    </row>
    <row r="97" spans="3:7" x14ac:dyDescent="0.25">
      <c r="C97" s="2" t="s">
        <v>70</v>
      </c>
      <c r="D97">
        <v>2</v>
      </c>
      <c r="F97" s="2" t="s">
        <v>3638</v>
      </c>
      <c r="G97">
        <v>2</v>
      </c>
    </row>
    <row r="98" spans="3:7" x14ac:dyDescent="0.25">
      <c r="C98" s="2" t="s">
        <v>82</v>
      </c>
      <c r="D98">
        <v>2</v>
      </c>
      <c r="F98" s="2" t="s">
        <v>231</v>
      </c>
      <c r="G98">
        <v>2</v>
      </c>
    </row>
    <row r="99" spans="3:7" x14ac:dyDescent="0.25">
      <c r="C99" s="2" t="s">
        <v>125</v>
      </c>
      <c r="D99">
        <v>2</v>
      </c>
      <c r="F99" s="2" t="s">
        <v>266</v>
      </c>
      <c r="G99">
        <v>2</v>
      </c>
    </row>
    <row r="100" spans="3:7" x14ac:dyDescent="0.25">
      <c r="C100" s="2" t="s">
        <v>72</v>
      </c>
      <c r="D100">
        <v>2</v>
      </c>
      <c r="F100" s="2" t="s">
        <v>73</v>
      </c>
      <c r="G100">
        <v>2</v>
      </c>
    </row>
    <row r="101" spans="3:7" x14ac:dyDescent="0.25">
      <c r="C101" s="2" t="s">
        <v>196</v>
      </c>
      <c r="D101">
        <v>2</v>
      </c>
      <c r="F101" s="2" t="s">
        <v>3543</v>
      </c>
      <c r="G101">
        <v>2</v>
      </c>
    </row>
    <row r="102" spans="3:7" x14ac:dyDescent="0.25">
      <c r="C102" s="2" t="s">
        <v>3648</v>
      </c>
      <c r="D102">
        <v>2</v>
      </c>
      <c r="F102" s="2" t="s">
        <v>69</v>
      </c>
      <c r="G102">
        <v>2</v>
      </c>
    </row>
    <row r="103" spans="3:7" x14ac:dyDescent="0.25">
      <c r="C103" s="2" t="s">
        <v>279</v>
      </c>
      <c r="D103">
        <v>2</v>
      </c>
      <c r="F103" s="2" t="s">
        <v>201</v>
      </c>
      <c r="G103">
        <v>1</v>
      </c>
    </row>
    <row r="104" spans="3:7" x14ac:dyDescent="0.25">
      <c r="C104" s="2" t="s">
        <v>48</v>
      </c>
      <c r="D104">
        <v>2</v>
      </c>
      <c r="F104" s="2" t="s">
        <v>941</v>
      </c>
      <c r="G104">
        <v>1</v>
      </c>
    </row>
    <row r="105" spans="3:7" x14ac:dyDescent="0.25">
      <c r="C105" s="2" t="s">
        <v>282</v>
      </c>
      <c r="D105">
        <v>2</v>
      </c>
      <c r="F105" s="2" t="s">
        <v>192</v>
      </c>
      <c r="G105">
        <v>1</v>
      </c>
    </row>
    <row r="106" spans="3:7" x14ac:dyDescent="0.25">
      <c r="C106" s="2" t="s">
        <v>226</v>
      </c>
      <c r="D106">
        <v>2</v>
      </c>
      <c r="F106" s="2" t="s">
        <v>140</v>
      </c>
      <c r="G106">
        <v>1</v>
      </c>
    </row>
    <row r="107" spans="3:7" x14ac:dyDescent="0.25">
      <c r="C107" s="2" t="s">
        <v>286</v>
      </c>
      <c r="D107">
        <v>2</v>
      </c>
      <c r="F107" s="2" t="s">
        <v>132</v>
      </c>
      <c r="G107">
        <v>1</v>
      </c>
    </row>
    <row r="108" spans="3:7" x14ac:dyDescent="0.25">
      <c r="C108" s="2" t="s">
        <v>177</v>
      </c>
      <c r="D108">
        <v>2</v>
      </c>
      <c r="F108" s="2" t="s">
        <v>3490</v>
      </c>
      <c r="G108">
        <v>1</v>
      </c>
    </row>
    <row r="109" spans="3:7" x14ac:dyDescent="0.25">
      <c r="C109" s="2" t="s">
        <v>3664</v>
      </c>
      <c r="D109">
        <v>2</v>
      </c>
      <c r="F109" s="2" t="s">
        <v>236</v>
      </c>
      <c r="G109">
        <v>1</v>
      </c>
    </row>
    <row r="110" spans="3:7" x14ac:dyDescent="0.25">
      <c r="C110" s="2" t="s">
        <v>339</v>
      </c>
      <c r="D110">
        <v>2</v>
      </c>
      <c r="F110" s="2" t="s">
        <v>1313</v>
      </c>
      <c r="G110">
        <v>1</v>
      </c>
    </row>
    <row r="111" spans="3:7" x14ac:dyDescent="0.25">
      <c r="C111" s="2" t="s">
        <v>141</v>
      </c>
      <c r="D111">
        <v>2</v>
      </c>
      <c r="F111" s="2" t="s">
        <v>232</v>
      </c>
      <c r="G111">
        <v>1</v>
      </c>
    </row>
    <row r="112" spans="3:7" x14ac:dyDescent="0.25">
      <c r="C112" s="2" t="s">
        <v>3817</v>
      </c>
      <c r="D112">
        <v>2</v>
      </c>
      <c r="F112" s="2" t="s">
        <v>190</v>
      </c>
      <c r="G112">
        <v>1</v>
      </c>
    </row>
    <row r="113" spans="3:7" x14ac:dyDescent="0.25">
      <c r="C113" s="2" t="s">
        <v>288</v>
      </c>
      <c r="D113">
        <v>2</v>
      </c>
      <c r="F113" s="2" t="s">
        <v>252</v>
      </c>
      <c r="G113">
        <v>1</v>
      </c>
    </row>
    <row r="114" spans="3:7" x14ac:dyDescent="0.25">
      <c r="C114" s="2" t="s">
        <v>3821</v>
      </c>
      <c r="D114">
        <v>2</v>
      </c>
      <c r="F114" s="2" t="s">
        <v>1299</v>
      </c>
      <c r="G114">
        <v>1</v>
      </c>
    </row>
    <row r="115" spans="3:7" x14ac:dyDescent="0.25">
      <c r="C115" s="2" t="s">
        <v>228</v>
      </c>
      <c r="D115">
        <v>2</v>
      </c>
      <c r="F115" s="2" t="s">
        <v>276</v>
      </c>
      <c r="G115">
        <v>1</v>
      </c>
    </row>
    <row r="116" spans="3:7" x14ac:dyDescent="0.25">
      <c r="C116" s="2" t="s">
        <v>95</v>
      </c>
      <c r="D116">
        <v>2</v>
      </c>
      <c r="F116" s="2" t="s">
        <v>148</v>
      </c>
      <c r="G116">
        <v>1</v>
      </c>
    </row>
    <row r="117" spans="3:7" x14ac:dyDescent="0.25">
      <c r="C117" s="2" t="s">
        <v>74</v>
      </c>
      <c r="D117">
        <v>2</v>
      </c>
      <c r="F117" s="2" t="s">
        <v>205</v>
      </c>
      <c r="G117">
        <v>1</v>
      </c>
    </row>
    <row r="118" spans="3:7" x14ac:dyDescent="0.25">
      <c r="C118" s="2" t="s">
        <v>273</v>
      </c>
      <c r="D118">
        <v>2</v>
      </c>
      <c r="F118" s="2" t="s">
        <v>152</v>
      </c>
      <c r="G118">
        <v>1</v>
      </c>
    </row>
    <row r="119" spans="3:7" x14ac:dyDescent="0.25">
      <c r="C119" s="2" t="s">
        <v>88</v>
      </c>
      <c r="D119">
        <v>2</v>
      </c>
      <c r="F119" s="2" t="s">
        <v>264</v>
      </c>
      <c r="G119">
        <v>1</v>
      </c>
    </row>
    <row r="120" spans="3:7" x14ac:dyDescent="0.25">
      <c r="C120" s="2" t="s">
        <v>329</v>
      </c>
      <c r="D120">
        <v>2</v>
      </c>
      <c r="F120" s="2" t="s">
        <v>3785</v>
      </c>
      <c r="G120">
        <v>1</v>
      </c>
    </row>
    <row r="121" spans="3:7" x14ac:dyDescent="0.25">
      <c r="C121" s="2" t="s">
        <v>336</v>
      </c>
      <c r="D121">
        <v>2</v>
      </c>
      <c r="F121" s="2" t="s">
        <v>170</v>
      </c>
      <c r="G121">
        <v>1</v>
      </c>
    </row>
    <row r="122" spans="3:7" x14ac:dyDescent="0.25">
      <c r="C122" s="2" t="s">
        <v>287</v>
      </c>
      <c r="D122">
        <v>1</v>
      </c>
      <c r="F122" s="2" t="s">
        <v>156</v>
      </c>
      <c r="G122">
        <v>1</v>
      </c>
    </row>
    <row r="123" spans="3:7" x14ac:dyDescent="0.25">
      <c r="C123" s="2" t="s">
        <v>137</v>
      </c>
      <c r="D123">
        <v>1</v>
      </c>
      <c r="F123" s="2" t="s">
        <v>118</v>
      </c>
      <c r="G123">
        <v>1</v>
      </c>
    </row>
    <row r="124" spans="3:7" x14ac:dyDescent="0.25">
      <c r="C124" s="2" t="s">
        <v>175</v>
      </c>
      <c r="D124">
        <v>1</v>
      </c>
      <c r="F124" s="2" t="s">
        <v>160</v>
      </c>
      <c r="G124">
        <v>1</v>
      </c>
    </row>
    <row r="125" spans="3:7" x14ac:dyDescent="0.25">
      <c r="C125" s="2" t="s">
        <v>191</v>
      </c>
      <c r="D125">
        <v>1</v>
      </c>
      <c r="F125" s="2" t="s">
        <v>248</v>
      </c>
      <c r="G125">
        <v>1</v>
      </c>
    </row>
    <row r="126" spans="3:7" x14ac:dyDescent="0.25">
      <c r="C126" s="2" t="s">
        <v>304</v>
      </c>
      <c r="D126">
        <v>1</v>
      </c>
      <c r="F126" s="2" t="s">
        <v>164</v>
      </c>
      <c r="G126">
        <v>1</v>
      </c>
    </row>
    <row r="127" spans="3:7" x14ac:dyDescent="0.25">
      <c r="C127" s="2" t="s">
        <v>194</v>
      </c>
      <c r="D127">
        <v>1</v>
      </c>
      <c r="F127" s="2" t="s">
        <v>124</v>
      </c>
      <c r="G127">
        <v>1</v>
      </c>
    </row>
    <row r="128" spans="3:7" x14ac:dyDescent="0.25">
      <c r="C128" s="2" t="s">
        <v>326</v>
      </c>
      <c r="D128">
        <v>1</v>
      </c>
      <c r="F128" s="2" t="s">
        <v>787</v>
      </c>
      <c r="G128">
        <v>1</v>
      </c>
    </row>
    <row r="129" spans="3:7" x14ac:dyDescent="0.25">
      <c r="C129" s="2" t="s">
        <v>198</v>
      </c>
      <c r="D129">
        <v>1</v>
      </c>
      <c r="F129" s="2" t="s">
        <v>3731</v>
      </c>
      <c r="G129">
        <v>1</v>
      </c>
    </row>
    <row r="130" spans="3:7" x14ac:dyDescent="0.25">
      <c r="C130" s="2" t="s">
        <v>3675</v>
      </c>
      <c r="D130">
        <v>1</v>
      </c>
      <c r="F130" s="2" t="s">
        <v>709</v>
      </c>
      <c r="G130">
        <v>1</v>
      </c>
    </row>
    <row r="131" spans="3:7" x14ac:dyDescent="0.25">
      <c r="C131" s="2" t="s">
        <v>3762</v>
      </c>
      <c r="D131">
        <v>1</v>
      </c>
      <c r="F131" s="2" t="s">
        <v>197</v>
      </c>
      <c r="G131">
        <v>1</v>
      </c>
    </row>
    <row r="132" spans="3:7" x14ac:dyDescent="0.25">
      <c r="C132" s="2" t="s">
        <v>165</v>
      </c>
      <c r="D132">
        <v>1</v>
      </c>
      <c r="F132" s="2" t="s">
        <v>1302</v>
      </c>
      <c r="G132">
        <v>1</v>
      </c>
    </row>
    <row r="133" spans="3:7" x14ac:dyDescent="0.25">
      <c r="C133" s="2" t="s">
        <v>3756</v>
      </c>
      <c r="D133">
        <v>1</v>
      </c>
      <c r="F133" s="2" t="s">
        <v>268</v>
      </c>
      <c r="G133">
        <v>1</v>
      </c>
    </row>
    <row r="134" spans="3:7" x14ac:dyDescent="0.25">
      <c r="C134" s="2" t="s">
        <v>224</v>
      </c>
      <c r="D134">
        <v>1</v>
      </c>
      <c r="F134" s="2" t="s">
        <v>3839</v>
      </c>
      <c r="G134">
        <v>1</v>
      </c>
    </row>
    <row r="135" spans="3:7" x14ac:dyDescent="0.25">
      <c r="C135" s="2" t="s">
        <v>206</v>
      </c>
      <c r="D135">
        <v>1</v>
      </c>
      <c r="F135" s="2" t="s">
        <v>229</v>
      </c>
      <c r="G135">
        <v>1</v>
      </c>
    </row>
    <row r="136" spans="3:7" x14ac:dyDescent="0.25">
      <c r="C136" s="2" t="s">
        <v>218</v>
      </c>
      <c r="D136">
        <v>1</v>
      </c>
      <c r="F136" s="2" t="s">
        <v>278</v>
      </c>
      <c r="G136">
        <v>1</v>
      </c>
    </row>
    <row r="137" spans="3:7" x14ac:dyDescent="0.25">
      <c r="C137" s="2" t="s">
        <v>3758</v>
      </c>
      <c r="D137">
        <v>1</v>
      </c>
      <c r="F137" s="2" t="s">
        <v>3804</v>
      </c>
      <c r="G137">
        <v>1</v>
      </c>
    </row>
    <row r="138" spans="3:7" x14ac:dyDescent="0.25">
      <c r="C138" s="2" t="s">
        <v>163</v>
      </c>
      <c r="D138">
        <v>1</v>
      </c>
      <c r="F138" s="2" t="s">
        <v>1311</v>
      </c>
      <c r="G138">
        <v>1</v>
      </c>
    </row>
    <row r="139" spans="3:7" x14ac:dyDescent="0.25">
      <c r="C139" s="2" t="s">
        <v>3645</v>
      </c>
      <c r="D139">
        <v>1</v>
      </c>
      <c r="F139" s="2" t="s">
        <v>176</v>
      </c>
      <c r="G139">
        <v>1</v>
      </c>
    </row>
    <row r="140" spans="3:7" x14ac:dyDescent="0.25">
      <c r="C140" s="2" t="s">
        <v>3643</v>
      </c>
      <c r="D140">
        <v>1</v>
      </c>
      <c r="F140" s="2" t="s">
        <v>186</v>
      </c>
      <c r="G140">
        <v>1</v>
      </c>
    </row>
    <row r="141" spans="3:7" x14ac:dyDescent="0.25">
      <c r="C141" s="2" t="s">
        <v>265</v>
      </c>
      <c r="D141">
        <v>1</v>
      </c>
      <c r="F141" s="2" t="s">
        <v>126</v>
      </c>
      <c r="G141">
        <v>1</v>
      </c>
    </row>
    <row r="142" spans="3:7" x14ac:dyDescent="0.25">
      <c r="C142" s="2" t="s">
        <v>3811</v>
      </c>
      <c r="D142">
        <v>1</v>
      </c>
      <c r="F142" s="2" t="s">
        <v>796</v>
      </c>
      <c r="G142">
        <v>1</v>
      </c>
    </row>
    <row r="143" spans="3:7" x14ac:dyDescent="0.25">
      <c r="C143" s="2" t="s">
        <v>3647</v>
      </c>
      <c r="D143">
        <v>1</v>
      </c>
      <c r="F143" s="2" t="s">
        <v>3703</v>
      </c>
      <c r="G143">
        <v>1</v>
      </c>
    </row>
    <row r="144" spans="3:7" x14ac:dyDescent="0.25">
      <c r="C144" s="2" t="s">
        <v>208</v>
      </c>
      <c r="D144">
        <v>1</v>
      </c>
      <c r="F144" s="2" t="s">
        <v>3477</v>
      </c>
      <c r="G144">
        <v>1</v>
      </c>
    </row>
    <row r="145" spans="3:7" x14ac:dyDescent="0.25">
      <c r="C145" s="2" t="s">
        <v>3646</v>
      </c>
      <c r="D145">
        <v>1</v>
      </c>
      <c r="F145" s="2" t="s">
        <v>272</v>
      </c>
      <c r="G145">
        <v>1</v>
      </c>
    </row>
    <row r="146" spans="3:7" x14ac:dyDescent="0.25">
      <c r="C146" s="2" t="s">
        <v>212</v>
      </c>
      <c r="D146">
        <v>1</v>
      </c>
      <c r="F146" s="2" t="s">
        <v>280</v>
      </c>
      <c r="G146">
        <v>1</v>
      </c>
    </row>
    <row r="147" spans="3:7" x14ac:dyDescent="0.25">
      <c r="C147" s="2" t="s">
        <v>214</v>
      </c>
      <c r="D147">
        <v>1</v>
      </c>
      <c r="F147" s="2" t="s">
        <v>3484</v>
      </c>
      <c r="G147">
        <v>1</v>
      </c>
    </row>
    <row r="148" spans="3:7" x14ac:dyDescent="0.25">
      <c r="C148" s="2" t="s">
        <v>306</v>
      </c>
      <c r="D148">
        <v>1</v>
      </c>
      <c r="F148" s="2" t="s">
        <v>514</v>
      </c>
      <c r="G148">
        <v>1</v>
      </c>
    </row>
    <row r="149" spans="3:7" x14ac:dyDescent="0.25">
      <c r="C149" s="2" t="s">
        <v>3764</v>
      </c>
      <c r="D149">
        <v>1</v>
      </c>
      <c r="F149" s="2" t="s">
        <v>162</v>
      </c>
      <c r="G149">
        <v>1</v>
      </c>
    </row>
    <row r="150" spans="3:7" x14ac:dyDescent="0.25">
      <c r="C150" s="2" t="s">
        <v>312</v>
      </c>
      <c r="D150">
        <v>1</v>
      </c>
      <c r="F150" s="2" t="s">
        <v>1270</v>
      </c>
      <c r="G150">
        <v>1</v>
      </c>
    </row>
    <row r="151" spans="3:7" x14ac:dyDescent="0.25">
      <c r="C151" s="2" t="s">
        <v>237</v>
      </c>
      <c r="D151">
        <v>1</v>
      </c>
      <c r="F151" s="2" t="s">
        <v>3721</v>
      </c>
      <c r="G151">
        <v>1</v>
      </c>
    </row>
    <row r="152" spans="3:7" x14ac:dyDescent="0.25">
      <c r="C152" s="2" t="s">
        <v>3759</v>
      </c>
      <c r="D152">
        <v>1</v>
      </c>
      <c r="F152" s="2" t="s">
        <v>219</v>
      </c>
      <c r="G152">
        <v>1</v>
      </c>
    </row>
    <row r="153" spans="3:7" x14ac:dyDescent="0.25">
      <c r="C153" s="2" t="s">
        <v>222</v>
      </c>
      <c r="D153">
        <v>1</v>
      </c>
      <c r="F153" s="2" t="s">
        <v>256</v>
      </c>
      <c r="G153">
        <v>1</v>
      </c>
    </row>
    <row r="154" spans="3:7" x14ac:dyDescent="0.25">
      <c r="C154" s="2" t="s">
        <v>3678</v>
      </c>
      <c r="D154">
        <v>1</v>
      </c>
      <c r="F154" s="2" t="s">
        <v>195</v>
      </c>
      <c r="G154">
        <v>1</v>
      </c>
    </row>
    <row r="155" spans="3:7" x14ac:dyDescent="0.25">
      <c r="C155" s="2" t="s">
        <v>3653</v>
      </c>
      <c r="D155">
        <v>1</v>
      </c>
      <c r="F155" s="2" t="s">
        <v>128</v>
      </c>
      <c r="G155">
        <v>1</v>
      </c>
    </row>
    <row r="156" spans="3:7" x14ac:dyDescent="0.25">
      <c r="C156" s="2" t="s">
        <v>155</v>
      </c>
      <c r="D156">
        <v>1</v>
      </c>
      <c r="F156" s="2" t="s">
        <v>250</v>
      </c>
      <c r="G156">
        <v>1</v>
      </c>
    </row>
    <row r="157" spans="3:7" x14ac:dyDescent="0.25">
      <c r="C157" s="2" t="s">
        <v>4534</v>
      </c>
      <c r="D157">
        <v>1</v>
      </c>
      <c r="F157" s="2" t="s">
        <v>136</v>
      </c>
      <c r="G157">
        <v>1</v>
      </c>
    </row>
    <row r="158" spans="3:7" x14ac:dyDescent="0.25">
      <c r="C158" s="2" t="s">
        <v>3820</v>
      </c>
      <c r="D158">
        <v>1</v>
      </c>
      <c r="F158" s="2" t="s">
        <v>3792</v>
      </c>
      <c r="G158">
        <v>1</v>
      </c>
    </row>
    <row r="159" spans="3:7" x14ac:dyDescent="0.25">
      <c r="C159" s="2" t="s">
        <v>230</v>
      </c>
      <c r="D159">
        <v>1</v>
      </c>
      <c r="F159" s="2" t="s">
        <v>3799</v>
      </c>
      <c r="G159">
        <v>1</v>
      </c>
    </row>
    <row r="160" spans="3:7" x14ac:dyDescent="0.25">
      <c r="C160" s="2" t="s">
        <v>179</v>
      </c>
      <c r="D160">
        <v>1</v>
      </c>
      <c r="F160" s="2" t="s">
        <v>168</v>
      </c>
      <c r="G160">
        <v>1</v>
      </c>
    </row>
    <row r="161" spans="3:7" x14ac:dyDescent="0.25">
      <c r="C161" s="2" t="s">
        <v>3654</v>
      </c>
      <c r="D161">
        <v>1</v>
      </c>
      <c r="F161" s="2" t="s">
        <v>154</v>
      </c>
      <c r="G161">
        <v>1</v>
      </c>
    </row>
    <row r="162" spans="3:7" x14ac:dyDescent="0.25">
      <c r="C162" s="2" t="s">
        <v>277</v>
      </c>
      <c r="D162">
        <v>1</v>
      </c>
      <c r="F162" s="2" t="s">
        <v>3727</v>
      </c>
      <c r="G162">
        <v>1</v>
      </c>
    </row>
    <row r="163" spans="3:7" x14ac:dyDescent="0.25">
      <c r="C163" s="2" t="s">
        <v>3656</v>
      </c>
      <c r="D163">
        <v>1</v>
      </c>
      <c r="F163" s="2" t="s">
        <v>134</v>
      </c>
      <c r="G163">
        <v>1</v>
      </c>
    </row>
    <row r="164" spans="3:7" x14ac:dyDescent="0.25">
      <c r="C164" s="2" t="s">
        <v>3830</v>
      </c>
      <c r="D164">
        <v>1</v>
      </c>
      <c r="F164" s="2" t="s">
        <v>211</v>
      </c>
      <c r="G164">
        <v>1</v>
      </c>
    </row>
    <row r="165" spans="3:7" x14ac:dyDescent="0.25">
      <c r="C165" s="2" t="s">
        <v>298</v>
      </c>
      <c r="D165">
        <v>1</v>
      </c>
      <c r="F165" s="2" t="s">
        <v>158</v>
      </c>
      <c r="G165">
        <v>1</v>
      </c>
    </row>
    <row r="166" spans="3:7" x14ac:dyDescent="0.25">
      <c r="C166" s="2" t="s">
        <v>200</v>
      </c>
      <c r="D166">
        <v>1</v>
      </c>
      <c r="F166" s="2" t="s">
        <v>193</v>
      </c>
      <c r="G166">
        <v>1</v>
      </c>
    </row>
    <row r="167" spans="3:7" x14ac:dyDescent="0.25">
      <c r="C167" s="2" t="s">
        <v>3829</v>
      </c>
      <c r="D167">
        <v>1</v>
      </c>
      <c r="F167" s="2" t="s">
        <v>184</v>
      </c>
      <c r="G167">
        <v>1</v>
      </c>
    </row>
    <row r="168" spans="3:7" x14ac:dyDescent="0.25">
      <c r="C168" s="2" t="s">
        <v>4533</v>
      </c>
      <c r="D168">
        <v>1</v>
      </c>
      <c r="F168" s="2" t="s">
        <v>3634</v>
      </c>
      <c r="G168">
        <v>1</v>
      </c>
    </row>
    <row r="169" spans="3:7" x14ac:dyDescent="0.25">
      <c r="C169" s="2" t="s">
        <v>320</v>
      </c>
      <c r="D169">
        <v>1</v>
      </c>
      <c r="F169" s="2" t="s">
        <v>3610</v>
      </c>
      <c r="G169">
        <v>1</v>
      </c>
    </row>
    <row r="170" spans="3:7" x14ac:dyDescent="0.25">
      <c r="C170" s="2" t="s">
        <v>3668</v>
      </c>
      <c r="D170">
        <v>1</v>
      </c>
      <c r="F170" s="2" t="s">
        <v>238</v>
      </c>
      <c r="G170">
        <v>1</v>
      </c>
    </row>
    <row r="171" spans="3:7" x14ac:dyDescent="0.25">
      <c r="C171" s="2" t="s">
        <v>249</v>
      </c>
      <c r="D171">
        <v>1</v>
      </c>
      <c r="F171" s="2" t="s">
        <v>3748</v>
      </c>
      <c r="G171">
        <v>1</v>
      </c>
    </row>
    <row r="172" spans="3:7" x14ac:dyDescent="0.25">
      <c r="C172" s="2" t="s">
        <v>294</v>
      </c>
      <c r="D172">
        <v>1</v>
      </c>
      <c r="F172" s="2" t="s">
        <v>650</v>
      </c>
      <c r="G172">
        <v>1</v>
      </c>
    </row>
    <row r="173" spans="3:7" x14ac:dyDescent="0.25">
      <c r="C173" s="2" t="s">
        <v>257</v>
      </c>
      <c r="D173">
        <v>1</v>
      </c>
      <c r="F173" s="2" t="s">
        <v>539</v>
      </c>
      <c r="G173">
        <v>1</v>
      </c>
    </row>
    <row r="174" spans="3:7" x14ac:dyDescent="0.25">
      <c r="C174" s="2" t="s">
        <v>300</v>
      </c>
      <c r="D174">
        <v>1</v>
      </c>
      <c r="F174" s="2" t="s">
        <v>1272</v>
      </c>
      <c r="G174">
        <v>1</v>
      </c>
    </row>
    <row r="175" spans="3:7" x14ac:dyDescent="0.25">
      <c r="C175" s="2" t="s">
        <v>261</v>
      </c>
      <c r="D175">
        <v>1</v>
      </c>
      <c r="F175" s="2" t="s">
        <v>146</v>
      </c>
      <c r="G175">
        <v>1</v>
      </c>
    </row>
    <row r="176" spans="3:7" x14ac:dyDescent="0.25">
      <c r="C176" s="2" t="s">
        <v>310</v>
      </c>
      <c r="D176">
        <v>1</v>
      </c>
      <c r="F176" s="2" t="s">
        <v>227</v>
      </c>
      <c r="G176">
        <v>1</v>
      </c>
    </row>
    <row r="177" spans="3:7" x14ac:dyDescent="0.25">
      <c r="C177" s="2" t="s">
        <v>3663</v>
      </c>
      <c r="D177">
        <v>1</v>
      </c>
      <c r="F177" s="2" t="s">
        <v>3738</v>
      </c>
      <c r="G177">
        <v>1</v>
      </c>
    </row>
    <row r="178" spans="3:7" x14ac:dyDescent="0.25">
      <c r="C178" s="2" t="s">
        <v>3670</v>
      </c>
      <c r="D178">
        <v>1</v>
      </c>
      <c r="F178" s="2" t="s">
        <v>3628</v>
      </c>
      <c r="G178">
        <v>1</v>
      </c>
    </row>
    <row r="179" spans="3:7" x14ac:dyDescent="0.25">
      <c r="C179" s="2" t="s">
        <v>159</v>
      </c>
      <c r="D179">
        <v>1</v>
      </c>
      <c r="F179" s="2" t="s">
        <v>203</v>
      </c>
      <c r="G179">
        <v>1</v>
      </c>
    </row>
    <row r="180" spans="3:7" x14ac:dyDescent="0.25">
      <c r="C180" s="2" t="s">
        <v>129</v>
      </c>
      <c r="D180">
        <v>1</v>
      </c>
      <c r="F180" s="2" t="s">
        <v>1286</v>
      </c>
      <c r="G180">
        <v>1</v>
      </c>
    </row>
    <row r="181" spans="3:7" x14ac:dyDescent="0.25">
      <c r="C181" s="2" t="s">
        <v>202</v>
      </c>
      <c r="D181">
        <v>1</v>
      </c>
      <c r="F181" s="2" t="s">
        <v>260</v>
      </c>
      <c r="G181">
        <v>1</v>
      </c>
    </row>
    <row r="182" spans="3:7" x14ac:dyDescent="0.25">
      <c r="C182" s="2" t="s">
        <v>3665</v>
      </c>
      <c r="D182">
        <v>1</v>
      </c>
      <c r="F182" s="2" t="s">
        <v>3750</v>
      </c>
      <c r="G182">
        <v>1</v>
      </c>
    </row>
    <row r="183" spans="3:7" x14ac:dyDescent="0.25">
      <c r="C183" s="2" t="s">
        <v>3669</v>
      </c>
      <c r="D183">
        <v>1</v>
      </c>
      <c r="F183" s="2" t="s">
        <v>225</v>
      </c>
      <c r="G183">
        <v>1</v>
      </c>
    </row>
    <row r="184" spans="3:7" x14ac:dyDescent="0.25">
      <c r="C184" s="2" t="s">
        <v>289</v>
      </c>
      <c r="D184">
        <v>1</v>
      </c>
      <c r="F184" s="2" t="s">
        <v>274</v>
      </c>
      <c r="G184">
        <v>1</v>
      </c>
    </row>
    <row r="185" spans="3:7" x14ac:dyDescent="0.25">
      <c r="C185" s="2" t="s">
        <v>334</v>
      </c>
      <c r="D185">
        <v>1</v>
      </c>
      <c r="F185" s="2" t="s">
        <v>166</v>
      </c>
      <c r="G185">
        <v>1</v>
      </c>
    </row>
    <row r="186" spans="3:7" x14ac:dyDescent="0.25">
      <c r="C186" s="2" t="s">
        <v>3657</v>
      </c>
      <c r="D186">
        <v>1</v>
      </c>
      <c r="F186" s="2" t="s">
        <v>242</v>
      </c>
      <c r="G186">
        <v>1</v>
      </c>
    </row>
    <row r="187" spans="3:7" x14ac:dyDescent="0.25">
      <c r="C187" s="2" t="s">
        <v>335</v>
      </c>
      <c r="D187">
        <v>1</v>
      </c>
      <c r="F187" s="2" t="s">
        <v>142</v>
      </c>
      <c r="G187">
        <v>1</v>
      </c>
    </row>
    <row r="188" spans="3:7" x14ac:dyDescent="0.25">
      <c r="C188" s="2" t="s">
        <v>4531</v>
      </c>
      <c r="D188">
        <v>1</v>
      </c>
      <c r="F188" s="2" t="s">
        <v>406</v>
      </c>
      <c r="G188">
        <v>1</v>
      </c>
    </row>
    <row r="189" spans="3:7" x14ac:dyDescent="0.25">
      <c r="C189" s="2" t="s">
        <v>3828</v>
      </c>
      <c r="D189">
        <v>1</v>
      </c>
      <c r="F189" s="2" t="s">
        <v>174</v>
      </c>
      <c r="G189">
        <v>1</v>
      </c>
    </row>
    <row r="190" spans="3:7" x14ac:dyDescent="0.25">
      <c r="C190" s="2" t="s">
        <v>324</v>
      </c>
      <c r="D190">
        <v>1</v>
      </c>
      <c r="F190" s="2" t="s">
        <v>120</v>
      </c>
      <c r="G190">
        <v>1</v>
      </c>
    </row>
    <row r="191" spans="3:7" x14ac:dyDescent="0.25">
      <c r="C191" s="2" t="s">
        <v>340</v>
      </c>
      <c r="D191">
        <v>1</v>
      </c>
      <c r="F191" s="2" t="s">
        <v>1319</v>
      </c>
      <c r="G191">
        <v>1</v>
      </c>
    </row>
    <row r="192" spans="3:7" x14ac:dyDescent="0.25">
      <c r="C192" s="2" t="s">
        <v>243</v>
      </c>
      <c r="D192">
        <v>1</v>
      </c>
      <c r="F192" s="2" t="s">
        <v>209</v>
      </c>
      <c r="G192">
        <v>1</v>
      </c>
    </row>
    <row r="193" spans="3:7" x14ac:dyDescent="0.25">
      <c r="C193" s="2" t="s">
        <v>3661</v>
      </c>
      <c r="D193">
        <v>1</v>
      </c>
      <c r="F193" s="2" t="s">
        <v>240</v>
      </c>
      <c r="G193">
        <v>1</v>
      </c>
    </row>
    <row r="194" spans="3:7" x14ac:dyDescent="0.25">
      <c r="C194" s="2" t="s">
        <v>3815</v>
      </c>
      <c r="D194">
        <v>1</v>
      </c>
      <c r="F194" s="2" t="s">
        <v>3687</v>
      </c>
      <c r="G194">
        <v>1</v>
      </c>
    </row>
    <row r="195" spans="3:7" x14ac:dyDescent="0.25">
      <c r="C195" s="2" t="s">
        <v>342</v>
      </c>
      <c r="D195">
        <v>1</v>
      </c>
      <c r="F195" s="2" t="s">
        <v>178</v>
      </c>
      <c r="G195">
        <v>1</v>
      </c>
    </row>
    <row r="196" spans="3:7" x14ac:dyDescent="0.25">
      <c r="C196" s="2" t="s">
        <v>3818</v>
      </c>
      <c r="D196">
        <v>1</v>
      </c>
      <c r="F196" s="2" t="s">
        <v>3806</v>
      </c>
      <c r="G196">
        <v>1</v>
      </c>
    </row>
    <row r="197" spans="3:7" x14ac:dyDescent="0.25">
      <c r="C197" s="2" t="s">
        <v>3662</v>
      </c>
      <c r="D197">
        <v>1</v>
      </c>
      <c r="F197" s="2" t="s">
        <v>244</v>
      </c>
      <c r="G197">
        <v>1</v>
      </c>
    </row>
    <row r="198" spans="3:7" x14ac:dyDescent="0.25">
      <c r="C198" s="2" t="s">
        <v>3822</v>
      </c>
      <c r="D198">
        <v>1</v>
      </c>
      <c r="F198" s="2" t="s">
        <v>122</v>
      </c>
      <c r="G198">
        <v>1</v>
      </c>
    </row>
    <row r="199" spans="3:7" x14ac:dyDescent="0.25">
      <c r="C199" s="2" t="s">
        <v>245</v>
      </c>
      <c r="D199">
        <v>1</v>
      </c>
      <c r="F199" s="2" t="s">
        <v>3707</v>
      </c>
      <c r="G199">
        <v>1</v>
      </c>
    </row>
    <row r="200" spans="3:7" x14ac:dyDescent="0.25">
      <c r="C200" s="2" t="s">
        <v>3836</v>
      </c>
      <c r="D200">
        <v>1</v>
      </c>
      <c r="F200" s="2" t="s">
        <v>254</v>
      </c>
      <c r="G200">
        <v>1</v>
      </c>
    </row>
    <row r="201" spans="3:7" x14ac:dyDescent="0.25">
      <c r="C201" s="2" t="s">
        <v>293</v>
      </c>
      <c r="D201">
        <v>1</v>
      </c>
      <c r="F201" s="2" t="s">
        <v>3709</v>
      </c>
      <c r="G201">
        <v>1</v>
      </c>
    </row>
    <row r="202" spans="3:7" x14ac:dyDescent="0.25">
      <c r="C202" s="2" t="s">
        <v>183</v>
      </c>
      <c r="D202">
        <v>1</v>
      </c>
      <c r="F202" s="2" t="s">
        <v>1267</v>
      </c>
      <c r="G202">
        <v>1</v>
      </c>
    </row>
    <row r="203" spans="3:7" x14ac:dyDescent="0.25">
      <c r="C203" s="2" t="s">
        <v>3674</v>
      </c>
      <c r="D203">
        <v>1</v>
      </c>
      <c r="F203" s="2" t="s">
        <v>182</v>
      </c>
      <c r="G203">
        <v>1</v>
      </c>
    </row>
    <row r="204" spans="3:7" x14ac:dyDescent="0.25">
      <c r="C204" s="2" t="s">
        <v>330</v>
      </c>
      <c r="D204">
        <v>1</v>
      </c>
      <c r="F204" s="2" t="s">
        <v>258</v>
      </c>
      <c r="G204">
        <v>1</v>
      </c>
    </row>
    <row r="205" spans="3:7" x14ac:dyDescent="0.25">
      <c r="C205" s="2" t="s">
        <v>4532</v>
      </c>
      <c r="D205">
        <v>1</v>
      </c>
      <c r="F205" s="2" t="s">
        <v>130</v>
      </c>
      <c r="G205">
        <v>1</v>
      </c>
    </row>
    <row r="206" spans="3:7" x14ac:dyDescent="0.25">
      <c r="C206" s="2" t="s">
        <v>333</v>
      </c>
      <c r="D206">
        <v>1</v>
      </c>
      <c r="F206" s="2" t="s">
        <v>262</v>
      </c>
      <c r="G206">
        <v>1</v>
      </c>
    </row>
    <row r="207" spans="3:7" x14ac:dyDescent="0.25">
      <c r="C207" s="2" t="s">
        <v>299</v>
      </c>
      <c r="D207">
        <v>1</v>
      </c>
      <c r="F207" s="2" t="s">
        <v>498</v>
      </c>
      <c r="G207">
        <v>1</v>
      </c>
    </row>
    <row r="208" spans="3:7" x14ac:dyDescent="0.25">
      <c r="C208" s="2" t="s">
        <v>187</v>
      </c>
      <c r="D208">
        <v>1</v>
      </c>
      <c r="F208" s="2" t="s">
        <v>3537</v>
      </c>
      <c r="G208">
        <v>1</v>
      </c>
    </row>
    <row r="209" spans="3:7" x14ac:dyDescent="0.25">
      <c r="C209" s="2" t="s">
        <v>253</v>
      </c>
      <c r="D209">
        <v>1</v>
      </c>
      <c r="F209" s="2" t="s">
        <v>3744</v>
      </c>
      <c r="G209">
        <v>1</v>
      </c>
    </row>
    <row r="210" spans="3:7" x14ac:dyDescent="0.25">
      <c r="C210" s="2" t="s">
        <v>157</v>
      </c>
      <c r="D210">
        <v>1</v>
      </c>
      <c r="F210" s="2" t="s">
        <v>213</v>
      </c>
      <c r="G210">
        <v>1</v>
      </c>
    </row>
    <row r="211" spans="3:7" x14ac:dyDescent="0.25">
      <c r="C211" s="2" t="s">
        <v>3768</v>
      </c>
      <c r="D211">
        <v>1</v>
      </c>
      <c r="F211" s="2" t="s">
        <v>3778</v>
      </c>
      <c r="G211">
        <v>1</v>
      </c>
    </row>
    <row r="212" spans="3:7" x14ac:dyDescent="0.25">
      <c r="C212" s="2" t="s">
        <v>3672</v>
      </c>
      <c r="D212">
        <v>1</v>
      </c>
      <c r="F212" s="2" t="s">
        <v>270</v>
      </c>
      <c r="G212">
        <v>1</v>
      </c>
    </row>
    <row r="213" spans="3:7" x14ac:dyDescent="0.25">
      <c r="C213" s="2" t="s">
        <v>303</v>
      </c>
      <c r="D213">
        <v>1</v>
      </c>
      <c r="F213" s="2" t="s">
        <v>234</v>
      </c>
      <c r="G213">
        <v>1</v>
      </c>
    </row>
    <row r="214" spans="3:7" x14ac:dyDescent="0.25">
      <c r="C214" s="2" t="s">
        <v>284</v>
      </c>
      <c r="D214">
        <v>1</v>
      </c>
      <c r="F214" s="2" t="s">
        <v>138</v>
      </c>
      <c r="G214">
        <v>1</v>
      </c>
    </row>
    <row r="215" spans="3:7" x14ac:dyDescent="0.25">
      <c r="C215" s="2" t="s">
        <v>305</v>
      </c>
      <c r="D215">
        <v>1</v>
      </c>
      <c r="F215" s="2" t="s">
        <v>604</v>
      </c>
      <c r="G215">
        <v>1</v>
      </c>
    </row>
    <row r="216" spans="3:7" x14ac:dyDescent="0.25">
      <c r="C216" s="2" t="s">
        <v>3666</v>
      </c>
      <c r="D216">
        <v>1</v>
      </c>
      <c r="F216" s="2" t="s">
        <v>378</v>
      </c>
      <c r="G216">
        <v>1</v>
      </c>
    </row>
    <row r="217" spans="3:7" x14ac:dyDescent="0.25">
      <c r="C217" s="2" t="s">
        <v>307</v>
      </c>
      <c r="D217">
        <v>1</v>
      </c>
      <c r="F217" s="2" t="s">
        <v>172</v>
      </c>
      <c r="G217">
        <v>1</v>
      </c>
    </row>
    <row r="218" spans="3:7" x14ac:dyDescent="0.25">
      <c r="C218" s="2" t="s">
        <v>3650</v>
      </c>
      <c r="D218">
        <v>1</v>
      </c>
      <c r="F218" s="2" t="s">
        <v>65</v>
      </c>
      <c r="G218">
        <v>474</v>
      </c>
    </row>
    <row r="219" spans="3:7" x14ac:dyDescent="0.25">
      <c r="C219" s="2" t="s">
        <v>309</v>
      </c>
      <c r="D219">
        <v>1</v>
      </c>
      <c r="F219"/>
      <c r="G219"/>
    </row>
    <row r="220" spans="3:7" x14ac:dyDescent="0.25">
      <c r="C220" s="2" t="s">
        <v>3754</v>
      </c>
      <c r="D220">
        <v>1</v>
      </c>
      <c r="F220"/>
      <c r="G220"/>
    </row>
    <row r="221" spans="3:7" x14ac:dyDescent="0.25">
      <c r="C221" s="2" t="s">
        <v>311</v>
      </c>
      <c r="D221">
        <v>1</v>
      </c>
      <c r="F221"/>
      <c r="G221"/>
    </row>
    <row r="222" spans="3:7" x14ac:dyDescent="0.25">
      <c r="C222" s="2" t="s">
        <v>123</v>
      </c>
      <c r="D222">
        <v>1</v>
      </c>
      <c r="F222"/>
      <c r="G222"/>
    </row>
    <row r="223" spans="3:7" x14ac:dyDescent="0.25">
      <c r="C223" s="2" t="s">
        <v>313</v>
      </c>
      <c r="D223">
        <v>1</v>
      </c>
      <c r="F223"/>
      <c r="G223"/>
    </row>
    <row r="224" spans="3:7" x14ac:dyDescent="0.25">
      <c r="C224" s="2" t="s">
        <v>3755</v>
      </c>
      <c r="D224">
        <v>1</v>
      </c>
      <c r="F224"/>
      <c r="G224"/>
    </row>
    <row r="225" spans="3:7" x14ac:dyDescent="0.25">
      <c r="C225" s="2" t="s">
        <v>3651</v>
      </c>
      <c r="D225">
        <v>1</v>
      </c>
      <c r="F225"/>
      <c r="G225"/>
    </row>
    <row r="226" spans="3:7" x14ac:dyDescent="0.25">
      <c r="C226" s="2" t="s">
        <v>3767</v>
      </c>
      <c r="D226">
        <v>1</v>
      </c>
      <c r="F226"/>
      <c r="G226"/>
    </row>
    <row r="227" spans="3:7" x14ac:dyDescent="0.25">
      <c r="C227" s="2" t="s">
        <v>317</v>
      </c>
      <c r="D227">
        <v>1</v>
      </c>
      <c r="F227"/>
      <c r="G227"/>
    </row>
    <row r="228" spans="3:7" x14ac:dyDescent="0.25">
      <c r="C228" s="2" t="s">
        <v>296</v>
      </c>
      <c r="D228">
        <v>1</v>
      </c>
      <c r="F228"/>
      <c r="G228"/>
    </row>
    <row r="229" spans="3:7" x14ac:dyDescent="0.25">
      <c r="C229" s="2" t="s">
        <v>3809</v>
      </c>
      <c r="D229">
        <v>1</v>
      </c>
      <c r="F229"/>
      <c r="G229"/>
    </row>
    <row r="230" spans="3:7" x14ac:dyDescent="0.25">
      <c r="C230" s="2" t="s">
        <v>291</v>
      </c>
      <c r="D230">
        <v>1</v>
      </c>
      <c r="F230"/>
      <c r="G230"/>
    </row>
    <row r="231" spans="3:7" x14ac:dyDescent="0.25">
      <c r="C231" s="2" t="s">
        <v>3671</v>
      </c>
      <c r="D231">
        <v>1</v>
      </c>
      <c r="F231"/>
      <c r="G231"/>
    </row>
    <row r="232" spans="3:7" x14ac:dyDescent="0.25">
      <c r="C232" s="2" t="s">
        <v>308</v>
      </c>
      <c r="D232">
        <v>1</v>
      </c>
      <c r="F232"/>
      <c r="G232"/>
    </row>
    <row r="233" spans="3:7" x14ac:dyDescent="0.25">
      <c r="C233" s="2" t="s">
        <v>319</v>
      </c>
      <c r="D233">
        <v>1</v>
      </c>
      <c r="F233"/>
      <c r="G233"/>
    </row>
    <row r="234" spans="3:7" x14ac:dyDescent="0.25">
      <c r="C234" s="2" t="s">
        <v>302</v>
      </c>
      <c r="D234">
        <v>1</v>
      </c>
      <c r="F234"/>
      <c r="G234"/>
    </row>
    <row r="235" spans="3:7" x14ac:dyDescent="0.25">
      <c r="C235" s="2" t="s">
        <v>3677</v>
      </c>
      <c r="D235">
        <v>1</v>
      </c>
      <c r="F235"/>
      <c r="G235"/>
    </row>
    <row r="236" spans="3:7" x14ac:dyDescent="0.25">
      <c r="C236" s="2" t="s">
        <v>314</v>
      </c>
      <c r="D236">
        <v>1</v>
      </c>
      <c r="F236"/>
      <c r="G236"/>
    </row>
    <row r="237" spans="3:7" x14ac:dyDescent="0.25">
      <c r="C237" s="2" t="s">
        <v>323</v>
      </c>
      <c r="D237">
        <v>1</v>
      </c>
      <c r="F237"/>
      <c r="G237"/>
    </row>
    <row r="238" spans="3:7" x14ac:dyDescent="0.25">
      <c r="C238" s="2" t="s">
        <v>3655</v>
      </c>
      <c r="D238">
        <v>1</v>
      </c>
      <c r="F238"/>
      <c r="G238"/>
    </row>
    <row r="239" spans="3:7" x14ac:dyDescent="0.25">
      <c r="C239" s="2" t="s">
        <v>3770</v>
      </c>
      <c r="D239">
        <v>1</v>
      </c>
      <c r="F239"/>
      <c r="G239"/>
    </row>
    <row r="240" spans="3:7" x14ac:dyDescent="0.25">
      <c r="C240" s="2" t="s">
        <v>285</v>
      </c>
      <c r="D240">
        <v>1</v>
      </c>
      <c r="F240"/>
      <c r="G240"/>
    </row>
    <row r="241" spans="3:7" x14ac:dyDescent="0.25">
      <c r="C241" s="2" t="s">
        <v>3842</v>
      </c>
      <c r="D241">
        <v>1</v>
      </c>
      <c r="F241"/>
      <c r="G241"/>
    </row>
    <row r="242" spans="3:7" x14ac:dyDescent="0.25">
      <c r="C242" s="2" t="s">
        <v>322</v>
      </c>
      <c r="D242">
        <v>1</v>
      </c>
      <c r="F242"/>
      <c r="G242"/>
    </row>
    <row r="243" spans="3:7" x14ac:dyDescent="0.25">
      <c r="C243" s="2" t="s">
        <v>327</v>
      </c>
      <c r="D243">
        <v>1</v>
      </c>
      <c r="F243"/>
      <c r="G243"/>
    </row>
    <row r="244" spans="3:7" x14ac:dyDescent="0.25">
      <c r="C244" s="2" t="s">
        <v>247</v>
      </c>
      <c r="D244">
        <v>1</v>
      </c>
      <c r="F244"/>
      <c r="G244"/>
    </row>
    <row r="245" spans="3:7" x14ac:dyDescent="0.25">
      <c r="C245" s="2" t="s">
        <v>325</v>
      </c>
      <c r="D245">
        <v>1</v>
      </c>
      <c r="F245"/>
      <c r="G245"/>
    </row>
    <row r="246" spans="3:7" x14ac:dyDescent="0.25">
      <c r="C246" s="2" t="s">
        <v>3812</v>
      </c>
      <c r="D246">
        <v>1</v>
      </c>
      <c r="F246"/>
      <c r="G246"/>
    </row>
    <row r="247" spans="3:7" x14ac:dyDescent="0.25">
      <c r="C247" s="2" t="s">
        <v>331</v>
      </c>
      <c r="D247">
        <v>1</v>
      </c>
      <c r="F247"/>
      <c r="G247"/>
    </row>
    <row r="248" spans="3:7" x14ac:dyDescent="0.25">
      <c r="C248" s="2" t="s">
        <v>131</v>
      </c>
      <c r="D248">
        <v>1</v>
      </c>
      <c r="F248"/>
      <c r="G248"/>
    </row>
    <row r="249" spans="3:7" x14ac:dyDescent="0.25">
      <c r="C249" s="2" t="s">
        <v>332</v>
      </c>
      <c r="D249">
        <v>1</v>
      </c>
      <c r="F249"/>
      <c r="G249"/>
    </row>
    <row r="250" spans="3:7" x14ac:dyDescent="0.25">
      <c r="C250" s="2" t="s">
        <v>135</v>
      </c>
      <c r="D250">
        <v>1</v>
      </c>
      <c r="F250"/>
      <c r="G250"/>
    </row>
    <row r="251" spans="3:7" x14ac:dyDescent="0.25">
      <c r="C251" s="2" t="s">
        <v>149</v>
      </c>
      <c r="D251">
        <v>1</v>
      </c>
      <c r="F251"/>
      <c r="G251"/>
    </row>
    <row r="252" spans="3:7" x14ac:dyDescent="0.25">
      <c r="C252" s="2" t="s">
        <v>316</v>
      </c>
      <c r="D252">
        <v>1</v>
      </c>
      <c r="F252"/>
      <c r="G252"/>
    </row>
    <row r="253" spans="3:7" x14ac:dyDescent="0.25">
      <c r="C253" s="2" t="s">
        <v>133</v>
      </c>
      <c r="D253">
        <v>1</v>
      </c>
      <c r="F253"/>
      <c r="G253"/>
    </row>
    <row r="254" spans="3:7" x14ac:dyDescent="0.25">
      <c r="C254" s="2" t="s">
        <v>145</v>
      </c>
      <c r="D254">
        <v>1</v>
      </c>
      <c r="F254"/>
      <c r="G254"/>
    </row>
    <row r="255" spans="3:7" x14ac:dyDescent="0.25">
      <c r="C255" s="2" t="s">
        <v>3833</v>
      </c>
      <c r="D255">
        <v>1</v>
      </c>
      <c r="F255"/>
      <c r="G255"/>
    </row>
    <row r="256" spans="3:7" x14ac:dyDescent="0.25">
      <c r="C256" s="2" t="s">
        <v>147</v>
      </c>
      <c r="D256">
        <v>1</v>
      </c>
      <c r="F256"/>
      <c r="G256"/>
    </row>
    <row r="257" spans="3:7" x14ac:dyDescent="0.25">
      <c r="C257" s="2" t="s">
        <v>255</v>
      </c>
      <c r="D257">
        <v>1</v>
      </c>
      <c r="F257"/>
      <c r="G257"/>
    </row>
    <row r="258" spans="3:7" x14ac:dyDescent="0.25">
      <c r="C258" s="2" t="s">
        <v>3808</v>
      </c>
      <c r="D258">
        <v>1</v>
      </c>
      <c r="F258"/>
      <c r="G258"/>
    </row>
    <row r="259" spans="3:7" x14ac:dyDescent="0.25">
      <c r="C259" s="2" t="s">
        <v>3765</v>
      </c>
      <c r="D259">
        <v>1</v>
      </c>
      <c r="F259"/>
      <c r="G259"/>
    </row>
    <row r="260" spans="3:7" x14ac:dyDescent="0.25">
      <c r="C260" s="2" t="s">
        <v>239</v>
      </c>
      <c r="D260">
        <v>1</v>
      </c>
      <c r="F260"/>
      <c r="G260"/>
    </row>
    <row r="261" spans="3:7" x14ac:dyDescent="0.25">
      <c r="C261" s="2" t="s">
        <v>3769</v>
      </c>
      <c r="D261">
        <v>1</v>
      </c>
      <c r="F261"/>
      <c r="G261"/>
    </row>
    <row r="262" spans="3:7" x14ac:dyDescent="0.25">
      <c r="C262" s="2" t="s">
        <v>121</v>
      </c>
      <c r="D262">
        <v>1</v>
      </c>
      <c r="F262"/>
      <c r="G262"/>
    </row>
    <row r="263" spans="3:7" x14ac:dyDescent="0.25">
      <c r="C263" s="2" t="s">
        <v>3676</v>
      </c>
      <c r="D263">
        <v>1</v>
      </c>
      <c r="F263"/>
      <c r="G263"/>
    </row>
    <row r="264" spans="3:7" x14ac:dyDescent="0.25">
      <c r="C264" s="2" t="s">
        <v>3813</v>
      </c>
      <c r="D264">
        <v>1</v>
      </c>
      <c r="F264"/>
      <c r="G264"/>
    </row>
    <row r="265" spans="3:7" x14ac:dyDescent="0.25">
      <c r="C265" s="2" t="s">
        <v>3673</v>
      </c>
      <c r="D265">
        <v>1</v>
      </c>
      <c r="F265"/>
      <c r="G265"/>
    </row>
    <row r="266" spans="3:7" x14ac:dyDescent="0.25">
      <c r="C266" s="2" t="s">
        <v>3814</v>
      </c>
      <c r="D266">
        <v>1</v>
      </c>
      <c r="F266"/>
      <c r="G266"/>
    </row>
    <row r="267" spans="3:7" x14ac:dyDescent="0.25">
      <c r="C267" s="2" t="s">
        <v>189</v>
      </c>
      <c r="D267">
        <v>1</v>
      </c>
      <c r="F267"/>
      <c r="G267"/>
    </row>
    <row r="268" spans="3:7" x14ac:dyDescent="0.25">
      <c r="C268" s="2" t="s">
        <v>3760</v>
      </c>
      <c r="D268">
        <v>1</v>
      </c>
      <c r="F268"/>
      <c r="G268"/>
    </row>
    <row r="269" spans="3:7" x14ac:dyDescent="0.25">
      <c r="C269" s="2" t="s">
        <v>3810</v>
      </c>
      <c r="D269">
        <v>1</v>
      </c>
      <c r="F269"/>
      <c r="G269"/>
    </row>
    <row r="270" spans="3:7" x14ac:dyDescent="0.25">
      <c r="C270" s="2" t="s">
        <v>3816</v>
      </c>
      <c r="D270">
        <v>1</v>
      </c>
      <c r="F270"/>
      <c r="G270"/>
    </row>
    <row r="271" spans="3:7" x14ac:dyDescent="0.25">
      <c r="C271" s="2" t="s">
        <v>3766</v>
      </c>
      <c r="D271">
        <v>1</v>
      </c>
      <c r="F271"/>
      <c r="G271"/>
    </row>
    <row r="272" spans="3:7" x14ac:dyDescent="0.25">
      <c r="C272" s="2" t="s">
        <v>167</v>
      </c>
      <c r="D272">
        <v>1</v>
      </c>
      <c r="F272"/>
      <c r="G272"/>
    </row>
    <row r="273" spans="3:7" x14ac:dyDescent="0.25">
      <c r="C273" s="2" t="s">
        <v>3679</v>
      </c>
      <c r="D273">
        <v>1</v>
      </c>
      <c r="F273"/>
      <c r="G273"/>
    </row>
    <row r="274" spans="3:7" x14ac:dyDescent="0.25">
      <c r="C274" s="2" t="s">
        <v>3819</v>
      </c>
      <c r="D274">
        <v>1</v>
      </c>
      <c r="F274"/>
      <c r="G274"/>
    </row>
    <row r="275" spans="3:7" x14ac:dyDescent="0.25">
      <c r="C275" s="2" t="s">
        <v>3641</v>
      </c>
      <c r="D275">
        <v>1</v>
      </c>
      <c r="F275"/>
      <c r="G275"/>
    </row>
    <row r="276" spans="3:7" x14ac:dyDescent="0.25">
      <c r="C276" s="2" t="s">
        <v>171</v>
      </c>
      <c r="D276">
        <v>1</v>
      </c>
      <c r="F276"/>
      <c r="G276"/>
    </row>
    <row r="277" spans="3:7" x14ac:dyDescent="0.25">
      <c r="C277" s="2" t="s">
        <v>153</v>
      </c>
      <c r="D277">
        <v>1</v>
      </c>
      <c r="F277"/>
      <c r="G277"/>
    </row>
    <row r="278" spans="3:7" x14ac:dyDescent="0.25">
      <c r="C278" s="2" t="s">
        <v>3823</v>
      </c>
      <c r="D278">
        <v>1</v>
      </c>
      <c r="F278"/>
      <c r="G278"/>
    </row>
    <row r="279" spans="3:7" x14ac:dyDescent="0.25">
      <c r="C279" s="2" t="s">
        <v>3753</v>
      </c>
      <c r="D279">
        <v>1</v>
      </c>
      <c r="F279"/>
      <c r="G279"/>
    </row>
    <row r="280" spans="3:7" x14ac:dyDescent="0.25">
      <c r="C280" s="2" t="s">
        <v>3752</v>
      </c>
      <c r="D280">
        <v>1</v>
      </c>
      <c r="F280"/>
      <c r="G280"/>
    </row>
    <row r="281" spans="3:7" x14ac:dyDescent="0.25">
      <c r="C281" s="2" t="s">
        <v>267</v>
      </c>
      <c r="D281">
        <v>1</v>
      </c>
      <c r="F281"/>
      <c r="G281"/>
    </row>
    <row r="282" spans="3:7" x14ac:dyDescent="0.25">
      <c r="C282" s="2" t="s">
        <v>3835</v>
      </c>
      <c r="D282">
        <v>1</v>
      </c>
      <c r="F282"/>
      <c r="G282"/>
    </row>
    <row r="283" spans="3:7" x14ac:dyDescent="0.25">
      <c r="C283" s="2" t="s">
        <v>3659</v>
      </c>
      <c r="D283">
        <v>1</v>
      </c>
      <c r="F283"/>
      <c r="G283"/>
    </row>
    <row r="284" spans="3:7" x14ac:dyDescent="0.25">
      <c r="C284" s="2" t="s">
        <v>3834</v>
      </c>
      <c r="D284">
        <v>1</v>
      </c>
      <c r="F284"/>
      <c r="G284"/>
    </row>
    <row r="285" spans="3:7" x14ac:dyDescent="0.25">
      <c r="C285" s="2" t="s">
        <v>271</v>
      </c>
      <c r="D285">
        <v>1</v>
      </c>
      <c r="F285"/>
      <c r="G285"/>
    </row>
    <row r="286" spans="3:7" x14ac:dyDescent="0.25">
      <c r="C286" s="2" t="s">
        <v>3837</v>
      </c>
      <c r="D286">
        <v>1</v>
      </c>
      <c r="F286"/>
      <c r="G286"/>
    </row>
    <row r="287" spans="3:7" x14ac:dyDescent="0.25">
      <c r="C287" s="2" t="s">
        <v>3660</v>
      </c>
      <c r="D287">
        <v>1</v>
      </c>
    </row>
    <row r="288" spans="3:7" x14ac:dyDescent="0.25">
      <c r="C288" s="2" t="s">
        <v>181</v>
      </c>
      <c r="D288">
        <v>1</v>
      </c>
    </row>
    <row r="289" spans="3:4" x14ac:dyDescent="0.25">
      <c r="C289" s="2" t="s">
        <v>3763</v>
      </c>
      <c r="D289">
        <v>1</v>
      </c>
    </row>
    <row r="290" spans="3:4" x14ac:dyDescent="0.25">
      <c r="C290" s="2" t="s">
        <v>3757</v>
      </c>
      <c r="D290">
        <v>1</v>
      </c>
    </row>
    <row r="291" spans="3:4" x14ac:dyDescent="0.25">
      <c r="C291" s="2" t="s">
        <v>275</v>
      </c>
      <c r="D291">
        <v>1</v>
      </c>
    </row>
    <row r="292" spans="3:4" x14ac:dyDescent="0.25">
      <c r="C292" s="2" t="s">
        <v>281</v>
      </c>
      <c r="D292">
        <v>1</v>
      </c>
    </row>
    <row r="293" spans="3:4" x14ac:dyDescent="0.25">
      <c r="C293" s="2" t="s">
        <v>3642</v>
      </c>
      <c r="D293">
        <v>1</v>
      </c>
    </row>
    <row r="294" spans="3:4" x14ac:dyDescent="0.25">
      <c r="C294" s="2" t="s">
        <v>3832</v>
      </c>
      <c r="D294">
        <v>1</v>
      </c>
    </row>
    <row r="295" spans="3:4" x14ac:dyDescent="0.25">
      <c r="C295" s="2" t="s">
        <v>3831</v>
      </c>
      <c r="D295">
        <v>1</v>
      </c>
    </row>
    <row r="296" spans="3:4" x14ac:dyDescent="0.25">
      <c r="C296" s="2" t="s">
        <v>283</v>
      </c>
      <c r="D296">
        <v>1</v>
      </c>
    </row>
    <row r="297" spans="3:4" x14ac:dyDescent="0.25">
      <c r="C297" s="2" t="s">
        <v>161</v>
      </c>
      <c r="D297">
        <v>1</v>
      </c>
    </row>
    <row r="298" spans="3:4" x14ac:dyDescent="0.25">
      <c r="C298" s="2" t="s">
        <v>3761</v>
      </c>
      <c r="D298">
        <v>1</v>
      </c>
    </row>
    <row r="299" spans="3:4" x14ac:dyDescent="0.25">
      <c r="C299" s="2" t="s">
        <v>3658</v>
      </c>
      <c r="D299">
        <v>1</v>
      </c>
    </row>
    <row r="300" spans="3:4" x14ac:dyDescent="0.25">
      <c r="C300" s="2" t="s">
        <v>338</v>
      </c>
      <c r="D300">
        <v>1</v>
      </c>
    </row>
    <row r="301" spans="3:4" x14ac:dyDescent="0.25">
      <c r="C301" s="2" t="s">
        <v>65</v>
      </c>
      <c r="D301">
        <v>474</v>
      </c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  <row r="766" spans="3:4" x14ac:dyDescent="0.25">
      <c r="C766"/>
      <c r="D766"/>
    </row>
    <row r="767" spans="3:4" x14ac:dyDescent="0.25">
      <c r="C767"/>
      <c r="D767"/>
    </row>
    <row r="768" spans="3:4" x14ac:dyDescent="0.25">
      <c r="C768"/>
      <c r="D768"/>
    </row>
    <row r="769" spans="3:4" x14ac:dyDescent="0.25">
      <c r="C769"/>
      <c r="D769"/>
    </row>
    <row r="770" spans="3:4" x14ac:dyDescent="0.25">
      <c r="C770"/>
      <c r="D770"/>
    </row>
    <row r="771" spans="3:4" x14ac:dyDescent="0.25">
      <c r="C771"/>
      <c r="D771"/>
    </row>
    <row r="772" spans="3:4" x14ac:dyDescent="0.25">
      <c r="C772"/>
      <c r="D772"/>
    </row>
    <row r="773" spans="3:4" x14ac:dyDescent="0.25">
      <c r="C773"/>
      <c r="D773"/>
    </row>
    <row r="774" spans="3:4" x14ac:dyDescent="0.25">
      <c r="C774"/>
      <c r="D774"/>
    </row>
    <row r="775" spans="3:4" x14ac:dyDescent="0.25">
      <c r="C775"/>
      <c r="D775"/>
    </row>
    <row r="776" spans="3:4" x14ac:dyDescent="0.25">
      <c r="C776"/>
      <c r="D776"/>
    </row>
    <row r="777" spans="3:4" x14ac:dyDescent="0.25">
      <c r="C777"/>
      <c r="D777"/>
    </row>
    <row r="778" spans="3:4" x14ac:dyDescent="0.25">
      <c r="C778"/>
      <c r="D778"/>
    </row>
    <row r="779" spans="3:4" x14ac:dyDescent="0.25">
      <c r="C779"/>
      <c r="D779"/>
    </row>
    <row r="780" spans="3:4" x14ac:dyDescent="0.25">
      <c r="C780"/>
      <c r="D780"/>
    </row>
    <row r="781" spans="3:4" x14ac:dyDescent="0.25">
      <c r="C781"/>
      <c r="D781"/>
    </row>
    <row r="782" spans="3:4" x14ac:dyDescent="0.25">
      <c r="C782"/>
      <c r="D782"/>
    </row>
    <row r="783" spans="3:4" x14ac:dyDescent="0.25">
      <c r="C783"/>
      <c r="D783"/>
    </row>
    <row r="784" spans="3:4" x14ac:dyDescent="0.25">
      <c r="C784"/>
      <c r="D784"/>
    </row>
    <row r="785" spans="3:4" x14ac:dyDescent="0.25">
      <c r="C785"/>
      <c r="D785"/>
    </row>
    <row r="786" spans="3:4" x14ac:dyDescent="0.25">
      <c r="C786"/>
      <c r="D786"/>
    </row>
    <row r="787" spans="3:4" x14ac:dyDescent="0.25">
      <c r="C787"/>
      <c r="D787"/>
    </row>
    <row r="788" spans="3:4" x14ac:dyDescent="0.25">
      <c r="C788"/>
      <c r="D788"/>
    </row>
    <row r="789" spans="3:4" x14ac:dyDescent="0.25">
      <c r="C789"/>
      <c r="D789"/>
    </row>
    <row r="790" spans="3:4" x14ac:dyDescent="0.25">
      <c r="C790"/>
      <c r="D790"/>
    </row>
    <row r="791" spans="3:4" x14ac:dyDescent="0.25">
      <c r="C791"/>
      <c r="D791"/>
    </row>
    <row r="792" spans="3:4" x14ac:dyDescent="0.25">
      <c r="C792"/>
      <c r="D792"/>
    </row>
    <row r="793" spans="3:4" x14ac:dyDescent="0.25">
      <c r="C793"/>
      <c r="D793"/>
    </row>
    <row r="794" spans="3:4" x14ac:dyDescent="0.25">
      <c r="C794"/>
      <c r="D794"/>
    </row>
    <row r="795" spans="3:4" x14ac:dyDescent="0.25">
      <c r="C795"/>
      <c r="D795"/>
    </row>
    <row r="796" spans="3:4" x14ac:dyDescent="0.25">
      <c r="C796"/>
      <c r="D796"/>
    </row>
    <row r="797" spans="3:4" x14ac:dyDescent="0.25">
      <c r="C797"/>
      <c r="D797"/>
    </row>
    <row r="798" spans="3:4" x14ac:dyDescent="0.25">
      <c r="C798"/>
      <c r="D798"/>
    </row>
    <row r="799" spans="3:4" x14ac:dyDescent="0.25">
      <c r="C799"/>
      <c r="D799"/>
    </row>
    <row r="800" spans="3:4" x14ac:dyDescent="0.25">
      <c r="C800"/>
      <c r="D800"/>
    </row>
    <row r="801" spans="3:4" x14ac:dyDescent="0.25">
      <c r="C801"/>
      <c r="D801"/>
    </row>
    <row r="802" spans="3:4" x14ac:dyDescent="0.25">
      <c r="C802"/>
      <c r="D802"/>
    </row>
    <row r="803" spans="3:4" x14ac:dyDescent="0.25">
      <c r="C803"/>
      <c r="D803"/>
    </row>
    <row r="804" spans="3:4" x14ac:dyDescent="0.25">
      <c r="C804"/>
      <c r="D804"/>
    </row>
    <row r="805" spans="3:4" x14ac:dyDescent="0.25">
      <c r="C805"/>
      <c r="D805"/>
    </row>
    <row r="806" spans="3:4" x14ac:dyDescent="0.25">
      <c r="C806"/>
      <c r="D806"/>
    </row>
    <row r="807" spans="3:4" x14ac:dyDescent="0.25">
      <c r="C807"/>
      <c r="D807"/>
    </row>
    <row r="808" spans="3:4" x14ac:dyDescent="0.25">
      <c r="C808"/>
      <c r="D808"/>
    </row>
    <row r="809" spans="3:4" x14ac:dyDescent="0.25">
      <c r="C809"/>
      <c r="D809"/>
    </row>
    <row r="810" spans="3:4" x14ac:dyDescent="0.25">
      <c r="C810"/>
      <c r="D810"/>
    </row>
    <row r="811" spans="3:4" x14ac:dyDescent="0.25">
      <c r="C811"/>
      <c r="D811"/>
    </row>
    <row r="812" spans="3:4" x14ac:dyDescent="0.25">
      <c r="C812"/>
      <c r="D812"/>
    </row>
    <row r="813" spans="3:4" x14ac:dyDescent="0.25">
      <c r="C813"/>
      <c r="D813"/>
    </row>
    <row r="814" spans="3:4" x14ac:dyDescent="0.25">
      <c r="C814"/>
      <c r="D814"/>
    </row>
    <row r="815" spans="3:4" x14ac:dyDescent="0.25">
      <c r="C815"/>
      <c r="D815"/>
    </row>
    <row r="816" spans="3:4" x14ac:dyDescent="0.25">
      <c r="C816"/>
      <c r="D816"/>
    </row>
    <row r="817" spans="3:4" x14ac:dyDescent="0.25">
      <c r="C817"/>
      <c r="D817"/>
    </row>
    <row r="818" spans="3:4" x14ac:dyDescent="0.25">
      <c r="C818"/>
      <c r="D818"/>
    </row>
    <row r="819" spans="3:4" x14ac:dyDescent="0.25">
      <c r="C819"/>
      <c r="D819"/>
    </row>
    <row r="820" spans="3:4" x14ac:dyDescent="0.25">
      <c r="C820"/>
      <c r="D820"/>
    </row>
    <row r="821" spans="3:4" x14ac:dyDescent="0.25">
      <c r="C821"/>
      <c r="D821"/>
    </row>
    <row r="822" spans="3:4" x14ac:dyDescent="0.25">
      <c r="C822"/>
      <c r="D822"/>
    </row>
    <row r="823" spans="3:4" x14ac:dyDescent="0.25">
      <c r="C823"/>
      <c r="D823"/>
    </row>
    <row r="824" spans="3:4" x14ac:dyDescent="0.25">
      <c r="C824"/>
      <c r="D824"/>
    </row>
    <row r="825" spans="3:4" x14ac:dyDescent="0.25">
      <c r="C825"/>
      <c r="D825"/>
    </row>
    <row r="826" spans="3:4" x14ac:dyDescent="0.25">
      <c r="C826"/>
      <c r="D826"/>
    </row>
    <row r="827" spans="3:4" x14ac:dyDescent="0.25">
      <c r="C827"/>
      <c r="D827"/>
    </row>
    <row r="828" spans="3:4" x14ac:dyDescent="0.25">
      <c r="C828"/>
      <c r="D828"/>
    </row>
    <row r="829" spans="3:4" x14ac:dyDescent="0.25">
      <c r="C829"/>
      <c r="D829"/>
    </row>
    <row r="830" spans="3:4" x14ac:dyDescent="0.25">
      <c r="C830"/>
      <c r="D830"/>
    </row>
    <row r="831" spans="3:4" x14ac:dyDescent="0.25">
      <c r="C831"/>
      <c r="D831"/>
    </row>
    <row r="832" spans="3:4" x14ac:dyDescent="0.25">
      <c r="C832"/>
      <c r="D832"/>
    </row>
    <row r="833" spans="3:4" x14ac:dyDescent="0.25">
      <c r="C833"/>
      <c r="D833"/>
    </row>
    <row r="834" spans="3:4" x14ac:dyDescent="0.25">
      <c r="C834"/>
      <c r="D834"/>
    </row>
    <row r="835" spans="3:4" x14ac:dyDescent="0.25">
      <c r="C835"/>
      <c r="D835"/>
    </row>
    <row r="836" spans="3:4" x14ac:dyDescent="0.25">
      <c r="C836"/>
      <c r="D836"/>
    </row>
    <row r="837" spans="3:4" x14ac:dyDescent="0.25">
      <c r="C837"/>
      <c r="D837"/>
    </row>
    <row r="838" spans="3:4" x14ac:dyDescent="0.25">
      <c r="C838"/>
      <c r="D838"/>
    </row>
    <row r="839" spans="3:4" x14ac:dyDescent="0.25">
      <c r="C839"/>
      <c r="D839"/>
    </row>
    <row r="840" spans="3:4" x14ac:dyDescent="0.25">
      <c r="C840"/>
      <c r="D840"/>
    </row>
    <row r="841" spans="3:4" x14ac:dyDescent="0.25">
      <c r="C841"/>
      <c r="D841"/>
    </row>
    <row r="842" spans="3:4" x14ac:dyDescent="0.25">
      <c r="C842"/>
      <c r="D842"/>
    </row>
    <row r="843" spans="3:4" x14ac:dyDescent="0.25">
      <c r="C843"/>
      <c r="D843"/>
    </row>
    <row r="844" spans="3:4" x14ac:dyDescent="0.25">
      <c r="C844"/>
      <c r="D844"/>
    </row>
    <row r="845" spans="3:4" x14ac:dyDescent="0.25">
      <c r="C845"/>
      <c r="D845"/>
    </row>
    <row r="846" spans="3:4" x14ac:dyDescent="0.25">
      <c r="C846"/>
      <c r="D846"/>
    </row>
    <row r="847" spans="3:4" x14ac:dyDescent="0.25">
      <c r="C847"/>
      <c r="D847"/>
    </row>
    <row r="848" spans="3:4" x14ac:dyDescent="0.25">
      <c r="C848"/>
      <c r="D848"/>
    </row>
    <row r="849" spans="3:4" x14ac:dyDescent="0.25">
      <c r="C849"/>
      <c r="D849"/>
    </row>
    <row r="850" spans="3:4" x14ac:dyDescent="0.25">
      <c r="C850"/>
      <c r="D850"/>
    </row>
    <row r="851" spans="3:4" x14ac:dyDescent="0.25">
      <c r="C851"/>
      <c r="D851"/>
    </row>
    <row r="852" spans="3:4" x14ac:dyDescent="0.25">
      <c r="C852"/>
      <c r="D852"/>
    </row>
    <row r="853" spans="3:4" x14ac:dyDescent="0.25">
      <c r="C853"/>
      <c r="D853"/>
    </row>
    <row r="854" spans="3:4" x14ac:dyDescent="0.25">
      <c r="C854"/>
      <c r="D854"/>
    </row>
    <row r="855" spans="3:4" x14ac:dyDescent="0.25">
      <c r="C855"/>
      <c r="D855"/>
    </row>
    <row r="856" spans="3:4" x14ac:dyDescent="0.25">
      <c r="C856"/>
      <c r="D856"/>
    </row>
    <row r="857" spans="3:4" x14ac:dyDescent="0.25">
      <c r="C857"/>
      <c r="D857"/>
    </row>
    <row r="858" spans="3:4" x14ac:dyDescent="0.25">
      <c r="C858"/>
      <c r="D858"/>
    </row>
    <row r="859" spans="3:4" x14ac:dyDescent="0.25">
      <c r="C859"/>
      <c r="D859"/>
    </row>
    <row r="860" spans="3:4" x14ac:dyDescent="0.25">
      <c r="C860"/>
      <c r="D860"/>
    </row>
    <row r="861" spans="3:4" x14ac:dyDescent="0.25">
      <c r="C861"/>
      <c r="D861"/>
    </row>
    <row r="1020" spans="3:3" x14ac:dyDescent="0.25">
      <c r="C1020" s="33" t="s">
        <v>3841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1001"/>
  <sheetViews>
    <sheetView zoomScale="85" zoomScaleNormal="85" workbookViewId="0">
      <pane ySplit="1" topLeftCell="A961" activePane="bottomLeft" state="frozen"/>
      <selection activeCell="F1" sqref="F1"/>
      <selection pane="bottomLeft" activeCell="B992" sqref="B992:B1001"/>
    </sheetView>
  </sheetViews>
  <sheetFormatPr defaultRowHeight="15" x14ac:dyDescent="0.25"/>
  <cols>
    <col min="1" max="1" width="15" style="38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27" hidden="1" customWidth="1"/>
    <col min="7" max="7" width="11.5703125" style="25" hidden="1" customWidth="1"/>
    <col min="8" max="8" width="14.5703125" style="25" hidden="1" customWidth="1"/>
    <col min="9" max="9" width="9.5703125" style="25" hidden="1" customWidth="1"/>
    <col min="10" max="10" width="8.28515625" style="25" hidden="1" customWidth="1"/>
    <col min="11" max="11" width="10.85546875" style="25" hidden="1" customWidth="1"/>
    <col min="12" max="13" width="9.140625" style="25" hidden="1" customWidth="1"/>
    <col min="14" max="14" width="11.42578125" style="25" hidden="1" customWidth="1"/>
    <col min="15" max="15" width="13" style="25" hidden="1" customWidth="1"/>
    <col min="16" max="16" width="10.42578125" style="25" hidden="1" customWidth="1"/>
    <col min="17" max="19" width="12.5703125" style="25" hidden="1" customWidth="1"/>
    <col min="20" max="20" width="11.85546875" style="30" customWidth="1"/>
    <col min="21" max="21" width="50.140625" style="5" customWidth="1"/>
    <col min="22" max="22" width="9.28515625" style="25" hidden="1" customWidth="1"/>
    <col min="23" max="23" width="6.7109375" style="25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32" customWidth="1"/>
  </cols>
  <sheetData>
    <row r="1" spans="1:28" x14ac:dyDescent="0.25">
      <c r="A1" s="38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3844</v>
      </c>
      <c r="AB1" t="s">
        <v>90</v>
      </c>
    </row>
    <row r="2" spans="1:28" s="13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5</v>
      </c>
    </row>
    <row r="24" spans="1:28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27</v>
      </c>
    </row>
    <row r="54" spans="1:28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27</v>
      </c>
    </row>
    <row r="67" spans="1:28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27</v>
      </c>
    </row>
    <row r="72" spans="1:28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3</v>
      </c>
    </row>
    <row r="78" spans="1:28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5</v>
      </c>
    </row>
    <row r="85" spans="1:28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27</v>
      </c>
    </row>
    <row r="118" spans="1:28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2</v>
      </c>
    </row>
    <row r="120" spans="1:28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5</v>
      </c>
    </row>
    <row r="138" spans="1:28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27</v>
      </c>
    </row>
    <row r="181" spans="1:28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27</v>
      </c>
    </row>
    <row r="279" spans="1:28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5</v>
      </c>
    </row>
    <row r="297" spans="1:28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27</v>
      </c>
    </row>
    <row r="332" spans="1:28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5</v>
      </c>
    </row>
    <row r="354" spans="1:28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27</v>
      </c>
    </row>
    <row r="407" spans="1:28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3</v>
      </c>
    </row>
    <row r="450" spans="1:28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27</v>
      </c>
    </row>
    <row r="478" spans="1:28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25">
      <c r="A515" s="38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25">
      <c r="A516" s="38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25">
      <c r="A517" s="38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25">
      <c r="A518" s="3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25">
      <c r="A519" s="38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25">
      <c r="A520" s="38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25">
      <c r="A521" s="38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25">
      <c r="A522" s="38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25">
      <c r="A523" s="38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25">
      <c r="A524" s="38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25">
      <c r="A525" s="38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25">
      <c r="A526" s="38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25">
      <c r="A527" s="38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25">
      <c r="A528" s="3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25">
      <c r="A529" s="38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25">
      <c r="A530" s="38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25">
      <c r="A531" s="38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25">
      <c r="A532" s="38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25">
      <c r="A533" s="38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25">
      <c r="A534" s="38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25">
      <c r="A535" s="38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27</v>
      </c>
    </row>
    <row r="536" spans="1:28" x14ac:dyDescent="0.25">
      <c r="A536" s="38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25">
      <c r="A537" s="38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25">
      <c r="A538" s="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25">
      <c r="A539" s="38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25">
      <c r="A540" s="38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25">
      <c r="A541" s="38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25">
      <c r="A542" s="38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25">
      <c r="A543" s="38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25">
      <c r="A544" s="38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25">
      <c r="A545" s="38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25">
      <c r="A546" s="38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25">
      <c r="A547" s="38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25">
      <c r="A548" s="3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25">
      <c r="A549" s="38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25">
      <c r="A550" s="38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25">
      <c r="A551" s="38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25">
      <c r="A552" s="38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25">
      <c r="A553" s="38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25">
      <c r="A554" s="38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25">
      <c r="A555" s="38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25">
      <c r="A556" s="38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25">
      <c r="A557" s="38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25">
      <c r="A558" s="3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25">
      <c r="A559" s="38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25">
      <c r="A560" s="38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25">
      <c r="A561" s="38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25">
      <c r="A562" s="38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25">
      <c r="A563" s="38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25">
      <c r="A564" s="38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25">
      <c r="A565" s="38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27</v>
      </c>
    </row>
    <row r="566" spans="1:28" x14ac:dyDescent="0.25">
      <c r="A566" s="38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25">
      <c r="A567" s="38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25">
      <c r="A568" s="3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25">
      <c r="A569" s="38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25">
      <c r="A570" s="38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25">
      <c r="A571" s="38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25">
      <c r="A572" s="38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25">
      <c r="A573" s="38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25">
      <c r="A574" s="38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25">
      <c r="A575" s="38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25">
      <c r="A576" s="38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25">
      <c r="A577" s="38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25">
      <c r="A578" s="3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25">
      <c r="A579" s="38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25">
      <c r="A580" s="38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25">
      <c r="A581" s="38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25">
      <c r="A582" s="38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25">
      <c r="A583" s="38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25">
      <c r="A584" s="38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25">
      <c r="A585" s="38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25">
      <c r="A586" s="38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25">
      <c r="A587" s="38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25">
      <c r="A588" s="3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25">
      <c r="A589" s="38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25">
      <c r="A590" s="38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25">
      <c r="A591" s="38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25">
      <c r="A592" s="38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25">
      <c r="A593" s="38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25">
      <c r="A594" s="38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27</v>
      </c>
    </row>
    <row r="595" spans="1:28" x14ac:dyDescent="0.25">
      <c r="A595" s="38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25">
      <c r="A596" s="38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25">
      <c r="A597" s="38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25">
      <c r="A598" s="3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25">
      <c r="A599" s="38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25">
      <c r="A600" s="38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27</v>
      </c>
    </row>
    <row r="601" spans="1:28" x14ac:dyDescent="0.25">
      <c r="A601" s="38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25">
      <c r="A602" s="38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25">
      <c r="A603" s="38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25">
      <c r="A604" s="38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25">
      <c r="A605" s="38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25">
      <c r="A606" s="38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25">
      <c r="A607" s="38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25">
      <c r="A608" s="3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25">
      <c r="A609" s="38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25">
      <c r="A610" s="38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25">
      <c r="A611" s="38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25">
      <c r="A612" s="41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25">
      <c r="A613" s="38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25">
      <c r="A614" s="38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25">
      <c r="A615" s="38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25">
      <c r="A616" s="38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25">
      <c r="A617" s="38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25">
      <c r="A618" s="3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25">
      <c r="A619" s="38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25">
      <c r="A620" s="38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25">
      <c r="A621" s="38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25">
      <c r="A622" s="38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25">
      <c r="A623" s="38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25">
      <c r="A624" s="38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25">
      <c r="A625" s="38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25">
      <c r="A626" s="38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25">
      <c r="A627" s="38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25">
      <c r="A628" s="3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25">
      <c r="A629" s="38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25">
      <c r="A630" s="38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25">
      <c r="A631" s="38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25">
      <c r="A632" s="41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25">
      <c r="A633" s="38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25">
      <c r="A634" s="38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25">
      <c r="A635" s="38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25">
      <c r="A636" s="38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25">
      <c r="A637" s="38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25">
      <c r="A638" s="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25">
      <c r="A639" s="38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25">
      <c r="A640" s="38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25">
      <c r="A641" s="38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25">
      <c r="A642" s="38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25">
      <c r="A643" s="38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25">
      <c r="A644" s="38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25">
      <c r="A645" s="38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25">
      <c r="A646" s="38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25">
      <c r="A647" s="38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25">
      <c r="A648" s="3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25">
      <c r="A649" s="38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25">
      <c r="A650" s="38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27</v>
      </c>
    </row>
    <row r="651" spans="1:28" x14ac:dyDescent="0.25">
      <c r="A651" s="38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25">
      <c r="A652" s="38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25">
      <c r="A653" s="38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25">
      <c r="A654" s="38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25">
      <c r="A655" s="38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25">
      <c r="A656" s="38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25">
      <c r="A657" s="38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25">
      <c r="A658" s="3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25">
      <c r="A659" s="38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25">
      <c r="A660" s="38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25">
      <c r="A661" s="38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25">
      <c r="A662" s="38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25">
      <c r="A663" s="38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25">
      <c r="A664" s="38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25">
      <c r="A665" s="38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25">
      <c r="A666" s="38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25">
      <c r="A667" s="38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25">
      <c r="A668" s="3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25">
      <c r="A669" s="38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25">
      <c r="A670" s="38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25">
      <c r="A671" s="38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25">
      <c r="A672" s="38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25">
      <c r="A673" s="38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27</v>
      </c>
    </row>
    <row r="674" spans="1:28" x14ac:dyDescent="0.25">
      <c r="A674" s="38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25">
      <c r="A675" s="38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25">
      <c r="A676" s="38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25">
      <c r="A677" s="38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2</v>
      </c>
    </row>
    <row r="678" spans="1:28" x14ac:dyDescent="0.25">
      <c r="A678" s="3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25">
      <c r="A679" s="38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25">
      <c r="A680" s="38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25">
      <c r="A681" s="38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25">
      <c r="A682" s="38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25">
      <c r="A683" s="38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25">
      <c r="A684" s="38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27</v>
      </c>
    </row>
    <row r="685" spans="1:28" x14ac:dyDescent="0.25">
      <c r="A685" s="38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25">
      <c r="A686" s="38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25">
      <c r="A687" s="38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25">
      <c r="A688" s="3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25">
      <c r="A689" s="38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25">
      <c r="A690" s="38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25">
      <c r="A691" s="38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25">
      <c r="A692" s="38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25">
      <c r="A693" s="38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25">
      <c r="A694" s="38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25">
      <c r="A695" s="38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25">
      <c r="A696" s="38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25">
      <c r="A697" s="38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25">
      <c r="A698" s="3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25">
      <c r="A699" s="38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25">
      <c r="A700" s="38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25">
      <c r="A701" s="38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25">
      <c r="A702" s="38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25">
      <c r="A703" s="38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25">
      <c r="A704" s="38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25">
      <c r="A705" s="38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25">
      <c r="A706" s="38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25">
      <c r="A707" s="38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25">
      <c r="A708" s="3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25">
      <c r="A709" s="38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25">
      <c r="A710" s="38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25">
      <c r="A711" s="38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25">
      <c r="A712" s="38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25">
      <c r="A713" s="38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25">
      <c r="A714" s="38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25">
      <c r="A715" s="38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25">
      <c r="A716" s="38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25">
      <c r="A717" s="38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25">
      <c r="A718" s="3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25">
      <c r="A719" s="38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25">
      <c r="A720" s="38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25">
      <c r="A721" s="38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25">
      <c r="A722" s="38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25">
      <c r="A723" s="38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25">
      <c r="A724" s="38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25">
      <c r="A725" s="38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25">
      <c r="A726" s="38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25">
      <c r="A727" s="38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25">
      <c r="A728" s="3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25">
      <c r="A729" s="38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25">
      <c r="A730" s="38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25">
      <c r="A731" s="38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25">
      <c r="A732" s="38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25">
      <c r="A733" s="38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25">
      <c r="A734" s="38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25">
      <c r="A735" s="38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25">
      <c r="A736" s="38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25">
      <c r="A737" s="38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25">
      <c r="A738" s="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25">
      <c r="A739" s="38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5</v>
      </c>
    </row>
    <row r="740" spans="1:28" x14ac:dyDescent="0.25">
      <c r="A740" s="38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25">
      <c r="A741" s="38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25">
      <c r="A742" s="38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25">
      <c r="A743" s="38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25">
      <c r="A744" s="38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25">
      <c r="A745" s="38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2</v>
      </c>
    </row>
    <row r="746" spans="1:28" x14ac:dyDescent="0.25">
      <c r="A746" s="38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25">
      <c r="A747" s="38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25">
      <c r="A748" s="3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25">
      <c r="A749" s="38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27</v>
      </c>
    </row>
    <row r="750" spans="1:28" x14ac:dyDescent="0.25">
      <c r="A750" s="38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25">
      <c r="A751" s="38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25">
      <c r="A752" s="38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25">
      <c r="A753" s="38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25">
      <c r="A754" s="38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25">
      <c r="A755" s="38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25">
      <c r="A756" s="38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25">
      <c r="A757" s="38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25">
      <c r="A758" s="3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25">
      <c r="A759" s="38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25">
      <c r="A760" s="38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25">
      <c r="A761" s="38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25">
      <c r="A762" s="38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25">
      <c r="A763" s="38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25">
      <c r="A764" s="38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25">
      <c r="A765" s="38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25">
      <c r="A766" s="38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25">
      <c r="A767" s="38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25">
      <c r="A768" s="3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25">
      <c r="A769" s="38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25">
      <c r="A770" s="38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25">
      <c r="A771" s="38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25">
      <c r="A772" s="38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25">
      <c r="A773" s="38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25">
      <c r="A774" s="38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25">
      <c r="A775" s="38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25">
      <c r="A776" s="38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25">
      <c r="A777" s="38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25">
      <c r="A778" s="3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25">
      <c r="A779" s="38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27</v>
      </c>
    </row>
    <row r="780" spans="1:28" x14ac:dyDescent="0.25">
      <c r="A780" s="38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25">
      <c r="A781" s="38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25">
      <c r="A782" s="38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25">
      <c r="A783" s="38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25">
      <c r="A784" s="38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25">
      <c r="A785" s="38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25">
      <c r="A786" s="38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25">
      <c r="A787" s="38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25">
      <c r="A788" s="3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25">
      <c r="A789" s="38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25">
      <c r="A790" s="38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25">
      <c r="A791" s="38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25">
      <c r="A792" s="38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25">
      <c r="A793" s="38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25">
      <c r="A794" s="38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25">
      <c r="A795" s="38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25">
      <c r="A796" s="38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25">
      <c r="A797" s="38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25">
      <c r="A798" s="3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25">
      <c r="A799" s="38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25">
      <c r="A800" s="38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25">
      <c r="A801" s="38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25">
      <c r="A802" s="38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3</v>
      </c>
    </row>
    <row r="803" spans="1:28" x14ac:dyDescent="0.25">
      <c r="A803" s="38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25">
      <c r="A804" s="38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25">
      <c r="A805" s="38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25">
      <c r="A806" s="38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25">
      <c r="A807" s="38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25">
      <c r="A808" s="3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25">
      <c r="A809" s="38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25">
      <c r="A810" s="38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25">
      <c r="A811" s="38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25">
      <c r="A812" s="38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25">
      <c r="A813" s="38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25">
      <c r="A814" s="38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25">
      <c r="A815" s="38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3</v>
      </c>
    </row>
    <row r="816" spans="1:28" x14ac:dyDescent="0.25">
      <c r="A816" s="38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25">
      <c r="A817" s="38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25">
      <c r="A818" s="3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25">
      <c r="A819" s="38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25">
      <c r="A820" s="38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25">
      <c r="A821" s="38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25">
      <c r="A822" s="38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25">
      <c r="A823" s="38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25">
      <c r="A824" s="38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25">
      <c r="A825" s="38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25">
      <c r="A826" s="38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25">
      <c r="A827" s="38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25">
      <c r="A828" s="3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25">
      <c r="A829" s="38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25">
      <c r="A830" s="38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25">
      <c r="A831" s="38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25">
      <c r="A832" s="38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25">
      <c r="A833" s="38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25">
      <c r="A834" s="38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25">
      <c r="A835" s="38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25">
      <c r="A836" s="38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25">
      <c r="A837" s="38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25">
      <c r="A838" s="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25">
      <c r="A839" s="38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25">
      <c r="A840" s="38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25">
      <c r="A841" s="38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25">
      <c r="A842" s="38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25">
      <c r="A843" s="38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25">
      <c r="A844" s="38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25">
      <c r="A845" s="38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25">
      <c r="A846" s="38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25">
      <c r="A847" s="38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25">
      <c r="A848" s="3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25">
      <c r="A849" s="38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25">
      <c r="A850" s="38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25">
      <c r="A851" s="38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25">
      <c r="A852" s="38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25">
      <c r="A853" s="38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25">
      <c r="A854" s="38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25">
      <c r="A855" s="38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25">
      <c r="A856" s="38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25">
      <c r="A857" s="38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25">
      <c r="A858" s="3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25">
      <c r="A859" s="38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25">
      <c r="A860" s="38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25">
      <c r="A861" s="38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25">
      <c r="A862" s="38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25">
      <c r="A863" s="38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25">
      <c r="A864" s="38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25">
      <c r="A865" s="38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25">
      <c r="A866" s="38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25">
      <c r="A867" s="38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25">
      <c r="A868" s="3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25">
      <c r="A869" s="38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25">
      <c r="A870" s="38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25">
      <c r="A871" s="38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25">
      <c r="A872" s="38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25">
      <c r="A873" s="38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25">
      <c r="A874" s="38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25">
      <c r="A875" s="38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25">
      <c r="A876" s="38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25">
      <c r="A877" s="38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25">
      <c r="A878" s="3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25">
      <c r="A879" s="38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25">
      <c r="A880" s="38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25">
      <c r="A881" s="38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3</v>
      </c>
    </row>
    <row r="882" spans="1:28" x14ac:dyDescent="0.25">
      <c r="A882" s="38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25">
      <c r="A883" s="38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25">
      <c r="A884" s="38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25">
      <c r="A885" s="38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25">
      <c r="A886" s="38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25">
      <c r="A887" s="38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25">
      <c r="A888" s="3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25">
      <c r="A889" s="38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25">
      <c r="A890" s="38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25">
      <c r="A891" s="38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25">
      <c r="A892" s="38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25">
      <c r="A893" s="38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25">
      <c r="A894" s="38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25">
      <c r="A895" s="38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25">
      <c r="A896" s="38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25">
      <c r="A897" s="38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25">
      <c r="A898" s="3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25">
      <c r="A899" s="38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25">
      <c r="A900" s="38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25">
      <c r="A901" s="38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25">
      <c r="A902" s="38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25">
      <c r="A903" s="38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25">
      <c r="A904" s="38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25">
      <c r="A905" s="38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25">
      <c r="A906" s="38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25">
      <c r="A907" s="38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25">
      <c r="A908" s="3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25">
      <c r="A909" s="38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25">
      <c r="A910" s="38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25">
      <c r="A911" s="38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25">
      <c r="A912" s="38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25">
      <c r="A913" s="38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25">
      <c r="A914" s="38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25">
      <c r="A915" s="38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25">
      <c r="A916" s="38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25">
      <c r="A917" s="38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25">
      <c r="A918" s="3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25">
      <c r="A919" s="38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25">
      <c r="A920" s="38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25">
      <c r="A921" s="38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25">
      <c r="A922" s="38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25">
      <c r="A923" s="38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25">
      <c r="A924" s="38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25">
      <c r="A925" s="38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25">
      <c r="A926" s="38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25">
      <c r="A927" s="38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25">
      <c r="A928" s="3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25">
      <c r="A929" s="38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25">
      <c r="A930" s="38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25">
      <c r="A931" s="38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25">
      <c r="A932" s="38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25">
      <c r="A933" s="38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25">
      <c r="A934" s="38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25">
      <c r="A935" s="38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25">
      <c r="A936" s="38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25">
      <c r="A937" s="38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25">
      <c r="A938" s="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25">
      <c r="A939" s="38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25">
      <c r="A940" s="38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25">
      <c r="A941" s="38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25">
      <c r="A942" s="38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25">
      <c r="A943" s="38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25">
      <c r="A944" s="38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25">
      <c r="A945" s="38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25">
      <c r="A946" s="38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25">
      <c r="A947" s="38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25">
      <c r="A948" s="3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3838</v>
      </c>
      <c r="V948" s="26"/>
      <c r="W948" s="26"/>
      <c r="X948" t="s">
        <v>3492</v>
      </c>
      <c r="Y948" t="s">
        <v>3839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25">
      <c r="A949" s="38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25">
      <c r="A950" s="38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25">
      <c r="A951" s="38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3</v>
      </c>
    </row>
    <row r="952" spans="1:28" x14ac:dyDescent="0.25">
      <c r="A952" s="38">
        <v>36021</v>
      </c>
      <c r="B952" t="str">
        <f>_xlfn.CONCAT(bron[[#This Row],[personeelsnr]]," ",bron[[#This Row],[achternaam]]," ",bron[[#This Row],[voornaam]])</f>
        <v>36021 Boelaert Frederik</v>
      </c>
      <c r="C952" t="str">
        <f>VLOOKUP(bron[[#This Row],[personeelsnr]],'data hastus'!$A:$C,2,0)</f>
        <v>Boelaert</v>
      </c>
      <c r="D952" t="str">
        <f>VLOOKUP(bron[[#This Row],[personeelsnr]],'data hastus'!$A:$C,3,0)</f>
        <v>Frederik</v>
      </c>
      <c r="E952" s="2" t="str">
        <f>VLOOKUP(bron[[#This Row],[personeelsnr]],'data hastus'!A:K,11,FALSE)</f>
        <v>Lucie Vande Velde</v>
      </c>
      <c r="F952" s="10"/>
      <c r="G952" s="28"/>
      <c r="H952" s="28"/>
      <c r="I952" s="28"/>
      <c r="S952" s="25">
        <f>SUM(bron[[#This Row],[Januari]:[December]])</f>
        <v>0</v>
      </c>
      <c r="T952" s="30">
        <v>45968</v>
      </c>
      <c r="U952" s="5" t="s">
        <v>3871</v>
      </c>
      <c r="V952" s="26"/>
      <c r="W952" s="26"/>
      <c r="X952" t="s">
        <v>3493</v>
      </c>
      <c r="Y952" t="s">
        <v>644</v>
      </c>
      <c r="Z952" s="2">
        <v>5042</v>
      </c>
      <c r="AA952" s="32" t="s">
        <v>3538</v>
      </c>
      <c r="AB952">
        <f>COUNTIF(B:B,bron[[#This Row],[volledige naam]])</f>
        <v>3</v>
      </c>
    </row>
    <row r="953" spans="1:28" x14ac:dyDescent="0.25">
      <c r="A953" s="38">
        <v>29746</v>
      </c>
      <c r="B953" t="str">
        <f>_xlfn.CONCAT(bron[[#This Row],[personeelsnr]]," ",bron[[#This Row],[achternaam]]," ",bron[[#This Row],[voornaam]])</f>
        <v>29746 Huyse Annicke</v>
      </c>
      <c r="C953" t="str">
        <f>VLOOKUP(bron[[#This Row],[personeelsnr]],'data hastus'!$A:$C,2,0)</f>
        <v>Huyse</v>
      </c>
      <c r="D953" t="str">
        <f>VLOOKUP(bron[[#This Row],[personeelsnr]],'data hastus'!$A:$C,3,0)</f>
        <v>Annicke</v>
      </c>
      <c r="E953" s="2" t="str">
        <f>VLOOKUP(bron[[#This Row],[personeelsnr]],'data hastus'!A:K,11,FALSE)</f>
        <v>Bart Van Der Beken</v>
      </c>
      <c r="F953" s="10"/>
      <c r="G953" s="28"/>
      <c r="H953" s="28"/>
      <c r="I953" s="28"/>
      <c r="S953" s="25">
        <f>SUM(bron[[#This Row],[Januari]:[December]])</f>
        <v>0</v>
      </c>
      <c r="T953" s="30">
        <v>45971</v>
      </c>
      <c r="U953" s="5" t="s">
        <v>3774</v>
      </c>
      <c r="V953" s="26"/>
      <c r="W953" s="26"/>
      <c r="X953" t="s">
        <v>3528</v>
      </c>
      <c r="Y953" t="s">
        <v>26</v>
      </c>
      <c r="Z953" s="2">
        <v>6358</v>
      </c>
      <c r="AA953" s="32" t="s">
        <v>3539</v>
      </c>
      <c r="AB953">
        <f>COUNTIF(B:B,bron[[#This Row],[volledige naam]])</f>
        <v>3</v>
      </c>
    </row>
    <row r="954" spans="1:28" x14ac:dyDescent="0.25">
      <c r="A954" s="38">
        <v>40138</v>
      </c>
      <c r="B954" t="str">
        <f>_xlfn.CONCAT(bron[[#This Row],[personeelsnr]]," ",bron[[#This Row],[achternaam]]," ",bron[[#This Row],[voornaam]])</f>
        <v>40138 Moerman Tjimmy</v>
      </c>
      <c r="C954" t="str">
        <f>VLOOKUP(bron[[#This Row],[personeelsnr]],'data hastus'!$A:$C,2,0)</f>
        <v>Moerman</v>
      </c>
      <c r="D954" t="str">
        <f>VLOOKUP(bron[[#This Row],[personeelsnr]],'data hastus'!$A:$C,3,0)</f>
        <v>Tjimmy</v>
      </c>
      <c r="E954" s="2" t="str">
        <f>VLOOKUP(bron[[#This Row],[personeelsnr]],'data hastus'!A:K,11,FALSE)</f>
        <v>Christoff Rotty</v>
      </c>
      <c r="F954" s="10"/>
      <c r="G954" s="28"/>
      <c r="H954" s="28"/>
      <c r="I954" s="28"/>
      <c r="S954" s="25">
        <f>SUM(bron[[#This Row],[Januari]:[December]])</f>
        <v>0</v>
      </c>
      <c r="T954" s="30">
        <v>45972</v>
      </c>
      <c r="U954" s="5" t="s">
        <v>3773</v>
      </c>
      <c r="V954" s="26"/>
      <c r="W954" s="26"/>
      <c r="X954" t="s">
        <v>3493</v>
      </c>
      <c r="Y954" t="s">
        <v>98</v>
      </c>
      <c r="Z954" s="2">
        <v>5045</v>
      </c>
      <c r="AA954" s="32" t="s">
        <v>3538</v>
      </c>
      <c r="AB954">
        <f>COUNTIF(B:B,bron[[#This Row],[volledige naam]])</f>
        <v>10</v>
      </c>
    </row>
    <row r="955" spans="1:28" x14ac:dyDescent="0.25">
      <c r="A955" s="38">
        <v>32620</v>
      </c>
      <c r="B955" t="str">
        <f>_xlfn.CONCAT(bron[[#This Row],[personeelsnr]]," ",bron[[#This Row],[achternaam]]," ",bron[[#This Row],[voornaam]])</f>
        <v>32620 Saey Elias</v>
      </c>
      <c r="C955" t="str">
        <f>VLOOKUP(bron[[#This Row],[personeelsnr]],'data hastus'!$A:$C,2,0)</f>
        <v>Saey</v>
      </c>
      <c r="D955" t="str">
        <f>VLOOKUP(bron[[#This Row],[personeelsnr]],'data hastus'!$A:$C,3,0)</f>
        <v>Elias</v>
      </c>
      <c r="E955" s="2" t="str">
        <f>VLOOKUP(bron[[#This Row],[personeelsnr]],'data hastus'!A:K,11,FALSE)</f>
        <v>Els Vanhoe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3749</v>
      </c>
      <c r="V955" s="26"/>
      <c r="W955" s="26"/>
      <c r="X955" t="s">
        <v>3493</v>
      </c>
      <c r="Y955" t="s">
        <v>3750</v>
      </c>
      <c r="Z955" s="2">
        <v>5047</v>
      </c>
      <c r="AA955" s="32" t="s">
        <v>3539</v>
      </c>
      <c r="AB955">
        <f>COUNTIF(B:B,bron[[#This Row],[volledige naam]])</f>
        <v>3</v>
      </c>
    </row>
    <row r="956" spans="1:28" x14ac:dyDescent="0.25">
      <c r="A956" s="38">
        <v>13089</v>
      </c>
      <c r="B956" t="str">
        <f>_xlfn.CONCAT(bron[[#This Row],[personeelsnr]]," ",bron[[#This Row],[achternaam]]," ",bron[[#This Row],[voornaam]])</f>
        <v>13089 Oosterlinck Jan</v>
      </c>
      <c r="C956" t="str">
        <f>VLOOKUP(bron[[#This Row],[personeelsnr]],'data hastus'!$A:$C,2,0)</f>
        <v>Oosterlinck</v>
      </c>
      <c r="D956" t="str">
        <f>VLOOKUP(bron[[#This Row],[personeelsnr]],'data hastus'!$A:$C,3,0)</f>
        <v>Jan</v>
      </c>
      <c r="E956" s="2" t="str">
        <f>VLOOKUP(bron[[#This Row],[personeelsnr]],'data hastus'!A:K,11,FALSE)</f>
        <v>Christoff Rotty</v>
      </c>
      <c r="F956" s="10"/>
      <c r="G956" s="28"/>
      <c r="H956" s="28"/>
      <c r="I956" s="28"/>
      <c r="S956" s="25">
        <f>SUM(bron[[#This Row],[Januari]:[December]])</f>
        <v>0</v>
      </c>
      <c r="T956" s="30">
        <v>45973</v>
      </c>
      <c r="U956" s="5" t="s">
        <v>3780</v>
      </c>
      <c r="V956" s="26"/>
      <c r="W956" s="26"/>
      <c r="X956" t="s">
        <v>3492</v>
      </c>
      <c r="Y956" t="s">
        <v>32</v>
      </c>
      <c r="Z956" s="2">
        <v>5929</v>
      </c>
      <c r="AA956" s="32" t="s">
        <v>3539</v>
      </c>
      <c r="AB956">
        <f>COUNTIF(B:B,bron[[#This Row],[volledige naam]])</f>
        <v>1</v>
      </c>
    </row>
    <row r="957" spans="1:28" x14ac:dyDescent="0.25">
      <c r="A957" s="38">
        <v>40403</v>
      </c>
      <c r="B957" t="str">
        <f>_xlfn.CONCAT(bron[[#This Row],[personeelsnr]]," ",bron[[#This Row],[achternaam]]," ",bron[[#This Row],[voornaam]])</f>
        <v>40403 Prové Michaël</v>
      </c>
      <c r="C957" t="str">
        <f>VLOOKUP(bron[[#This Row],[personeelsnr]],'data hastus'!$A:$C,2,0)</f>
        <v>Prové</v>
      </c>
      <c r="D957" t="str">
        <f>VLOOKUP(bron[[#This Row],[personeelsnr]],'data hastus'!$A:$C,3,0)</f>
        <v>Michaël</v>
      </c>
      <c r="E957" s="2" t="str">
        <f>VLOOKUP(bron[[#This Row],[personeelsnr]],'data hastus'!A:K,11,FALSE)</f>
        <v>Dominique De Clercq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3775</v>
      </c>
      <c r="V957" s="26"/>
      <c r="W957" s="26"/>
      <c r="X957" t="s">
        <v>3493</v>
      </c>
      <c r="Y957" t="s">
        <v>87</v>
      </c>
      <c r="Z957" s="2">
        <v>5233</v>
      </c>
      <c r="AA957" s="32" t="s">
        <v>3538</v>
      </c>
      <c r="AB957">
        <f>COUNTIF(B:B,bron[[#This Row],[volledige naam]])</f>
        <v>3</v>
      </c>
    </row>
    <row r="958" spans="1:28" x14ac:dyDescent="0.25">
      <c r="A958" s="38">
        <v>42249</v>
      </c>
      <c r="B958" t="str">
        <f>_xlfn.CONCAT(bron[[#This Row],[personeelsnr]]," ",bron[[#This Row],[achternaam]]," ",bron[[#This Row],[voornaam]])</f>
        <v>42249 Bontinck Stephan</v>
      </c>
      <c r="C958" t="str">
        <f>VLOOKUP(bron[[#This Row],[personeelsnr]],'data hastus'!$A:$C,2,0)</f>
        <v>Bontinck</v>
      </c>
      <c r="D958" t="str">
        <f>VLOOKUP(bron[[#This Row],[personeelsnr]],'data hastus'!$A:$C,3,0)</f>
        <v>Stephan</v>
      </c>
      <c r="E958" s="2" t="str">
        <f>VLOOKUP(bron[[#This Row],[personeelsnr]],'data hastus'!A:K,11,FALSE)</f>
        <v>Kenneth De Rick</v>
      </c>
      <c r="F958" s="10"/>
      <c r="G958" s="28"/>
      <c r="H958" s="28"/>
      <c r="I958" s="28"/>
      <c r="S958" s="25">
        <f>SUM(bron[[#This Row],[Januari]:[December]])</f>
        <v>0</v>
      </c>
      <c r="T958" s="30">
        <v>45974</v>
      </c>
      <c r="U958" s="5" t="s">
        <v>3777</v>
      </c>
      <c r="V958" s="26"/>
      <c r="W958" s="26"/>
      <c r="X958" t="s">
        <v>3493</v>
      </c>
      <c r="Y958" t="s">
        <v>3778</v>
      </c>
      <c r="Z958" s="2" t="s">
        <v>3779</v>
      </c>
      <c r="AA958" s="32" t="s">
        <v>3611</v>
      </c>
      <c r="AB958">
        <f>COUNTIF(B:B,bron[[#This Row],[volledige naam]])</f>
        <v>1</v>
      </c>
    </row>
    <row r="959" spans="1:28" x14ac:dyDescent="0.25">
      <c r="A959" s="38">
        <v>36438</v>
      </c>
      <c r="B959" t="str">
        <f>_xlfn.CONCAT(bron[[#This Row],[personeelsnr]]," ",bron[[#This Row],[achternaam]]," ",bron[[#This Row],[voornaam]])</f>
        <v>36438 Agil Birol</v>
      </c>
      <c r="C959" t="str">
        <f>VLOOKUP(bron[[#This Row],[personeelsnr]],'data hastus'!$A:$C,2,0)</f>
        <v>Agil</v>
      </c>
      <c r="D959" t="str">
        <f>VLOOKUP(bron[[#This Row],[personeelsnr]],'data hastus'!$A:$C,3,0)</f>
        <v>Birol</v>
      </c>
      <c r="E959" s="2" t="str">
        <f>VLOOKUP(bron[[#This Row],[personeelsnr]],'data hastus'!A:K,11,FALSE)</f>
        <v>Bart Van Der Beken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3781</v>
      </c>
      <c r="V959" s="26"/>
      <c r="W959" s="26"/>
      <c r="X959" t="s">
        <v>3492</v>
      </c>
      <c r="Y959" t="s">
        <v>71</v>
      </c>
      <c r="Z959" s="2">
        <v>5969</v>
      </c>
      <c r="AA959" s="32" t="s">
        <v>3538</v>
      </c>
      <c r="AB959">
        <f>COUNTIF(B:B,bron[[#This Row],[volledige naam]])</f>
        <v>3</v>
      </c>
    </row>
    <row r="960" spans="1:28" x14ac:dyDescent="0.25">
      <c r="A960" s="38">
        <v>42145</v>
      </c>
      <c r="B960" t="str">
        <f>_xlfn.CONCAT(bron[[#This Row],[personeelsnr]]," ",bron[[#This Row],[achternaam]]," ",bron[[#This Row],[voornaam]])</f>
        <v>42145 Gys Shayya</v>
      </c>
      <c r="C960" t="str">
        <f>VLOOKUP(bron[[#This Row],[personeelsnr]],'data hastus'!$A:$C,2,0)</f>
        <v>Gys</v>
      </c>
      <c r="D960" t="str">
        <f>VLOOKUP(bron[[#This Row],[personeelsnr]],'data hastus'!$A:$C,3,0)</f>
        <v>Shayya</v>
      </c>
      <c r="E960" s="2" t="str">
        <f>VLOOKUP(bron[[#This Row],[personeelsnr]],'data hastus'!A:K,11,FALSE)</f>
        <v>Steven Storm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3783</v>
      </c>
      <c r="V960" s="26"/>
      <c r="W960" s="26"/>
      <c r="X960" t="s">
        <v>3492</v>
      </c>
      <c r="Y960" t="s">
        <v>61</v>
      </c>
      <c r="Z960" s="2">
        <v>550310</v>
      </c>
      <c r="AA960" s="32" t="s">
        <v>3538</v>
      </c>
      <c r="AB960">
        <f>COUNTIF(B:B,bron[[#This Row],[volledige naam]])</f>
        <v>2</v>
      </c>
    </row>
    <row r="961" spans="1:28" x14ac:dyDescent="0.25">
      <c r="A961" s="38">
        <v>31118</v>
      </c>
      <c r="B961" t="str">
        <f>_xlfn.CONCAT(bron[[#This Row],[personeelsnr]]," ",bron[[#This Row],[achternaam]]," ",bron[[#This Row],[voornaam]])</f>
        <v>31118 De Sutter Michiel</v>
      </c>
      <c r="C961" t="str">
        <f>VLOOKUP(bron[[#This Row],[personeelsnr]],'data hastus'!$A:$C,2,0)</f>
        <v>De Sutter</v>
      </c>
      <c r="D961" t="str">
        <f>VLOOKUP(bron[[#This Row],[personeelsnr]],'data hastus'!$A:$C,3,0)</f>
        <v>Michiel</v>
      </c>
      <c r="E961" s="2" t="str">
        <f>VLOOKUP(bron[[#This Row],[personeelsnr]],'data hastus'!A:K,11,FALSE)</f>
        <v>Els Dewulf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3784</v>
      </c>
      <c r="V961" s="26"/>
      <c r="W961" s="26"/>
      <c r="X961" t="s">
        <v>3492</v>
      </c>
      <c r="Y961" t="s">
        <v>3785</v>
      </c>
      <c r="Z961" s="2">
        <v>5794</v>
      </c>
      <c r="AA961" s="32" t="s">
        <v>3538</v>
      </c>
      <c r="AB961">
        <f>COUNTIF(B:B,bron[[#This Row],[volledige naam]])</f>
        <v>2</v>
      </c>
    </row>
    <row r="962" spans="1:28" x14ac:dyDescent="0.25">
      <c r="A962" s="38">
        <v>41384</v>
      </c>
      <c r="B962" t="str">
        <f>_xlfn.CONCAT(bron[[#This Row],[personeelsnr]]," ",bron[[#This Row],[achternaam]]," ",bron[[#This Row],[voornaam]])</f>
        <v>41384 Hillaert Thimo</v>
      </c>
      <c r="C962" t="str">
        <f>VLOOKUP(bron[[#This Row],[personeelsnr]],'data hastus'!$A:$C,2,0)</f>
        <v>Hillaert</v>
      </c>
      <c r="D962" t="str">
        <f>VLOOKUP(bron[[#This Row],[personeelsnr]],'data hastus'!$A:$C,3,0)</f>
        <v>Thimo</v>
      </c>
      <c r="E962" s="2" t="str">
        <f>VLOOKUP(bron[[#This Row],[personeelsnr]],'data hastus'!A:K,11,FALSE)</f>
        <v>Christoff Rotty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3786</v>
      </c>
      <c r="V962" s="26"/>
      <c r="W962" s="26"/>
      <c r="X962" t="s">
        <v>3493</v>
      </c>
      <c r="Y962" t="s">
        <v>8</v>
      </c>
      <c r="Z962" s="2">
        <v>5254</v>
      </c>
      <c r="AA962" s="32" t="s">
        <v>3538</v>
      </c>
      <c r="AB962">
        <f>COUNTIF(B:B,bron[[#This Row],[volledige naam]])</f>
        <v>4</v>
      </c>
    </row>
    <row r="963" spans="1:28" x14ac:dyDescent="0.25">
      <c r="A963" s="38">
        <v>26524</v>
      </c>
      <c r="B963" t="str">
        <f>_xlfn.CONCAT(bron[[#This Row],[personeelsnr]]," ",bron[[#This Row],[achternaam]]," ",bron[[#This Row],[voornaam]])</f>
        <v>26524 Bolle Cynthia</v>
      </c>
      <c r="C963" t="str">
        <f>VLOOKUP(bron[[#This Row],[personeelsnr]],'data hastus'!$A:$C,2,0)</f>
        <v>Bolle</v>
      </c>
      <c r="D963" t="str">
        <f>VLOOKUP(bron[[#This Row],[personeelsnr]],'data hastus'!$A:$C,3,0)</f>
        <v>Cynthia</v>
      </c>
      <c r="E963" s="2" t="str">
        <f>VLOOKUP(bron[[#This Row],[personeelsnr]],'data hastus'!A:K,11,FALSE)</f>
        <v>Els Vanhoe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5" t="s">
        <v>3789</v>
      </c>
      <c r="V963" s="26"/>
      <c r="W963" s="26"/>
      <c r="X963" t="s">
        <v>3528</v>
      </c>
      <c r="Y963" t="s">
        <v>55</v>
      </c>
      <c r="Z963" s="2">
        <v>6362</v>
      </c>
      <c r="AA963" s="32" t="s">
        <v>3538</v>
      </c>
      <c r="AB963">
        <f>COUNTIF(B:B,bron[[#This Row],[volledige naam]])</f>
        <v>1</v>
      </c>
    </row>
    <row r="964" spans="1:28" x14ac:dyDescent="0.25">
      <c r="A964" s="38">
        <v>39901</v>
      </c>
      <c r="B964" t="str">
        <f>_xlfn.CONCAT(bron[[#This Row],[personeelsnr]]," ",bron[[#This Row],[achternaam]]," ",bron[[#This Row],[voornaam]])</f>
        <v>39901 Basha Izmir</v>
      </c>
      <c r="C964" t="str">
        <f>VLOOKUP(bron[[#This Row],[personeelsnr]],'data hastus'!$A:$C,2,0)</f>
        <v>Basha</v>
      </c>
      <c r="D964" t="str">
        <f>VLOOKUP(bron[[#This Row],[personeelsnr]],'data hastus'!$A:$C,3,0)</f>
        <v>Izmir</v>
      </c>
      <c r="E964" s="2" t="str">
        <f>VLOOKUP(bron[[#This Row],[personeelsnr]],'data hastus'!A:K,11,FALSE)</f>
        <v>Christoff Rotty</v>
      </c>
      <c r="F964" s="10"/>
      <c r="G964" s="28"/>
      <c r="H964" s="28"/>
      <c r="I964" s="28"/>
      <c r="S964" s="25">
        <f>SUM(bron[[#This Row],[Januari]:[December]])</f>
        <v>0</v>
      </c>
      <c r="T964" s="30">
        <v>45975</v>
      </c>
      <c r="U964" s="8" t="s">
        <v>3795</v>
      </c>
      <c r="V964" s="26"/>
      <c r="W964" s="26"/>
      <c r="X964" t="s">
        <v>3493</v>
      </c>
      <c r="Y964" t="s">
        <v>650</v>
      </c>
      <c r="Z964" s="2">
        <v>5043</v>
      </c>
      <c r="AA964" s="32" t="s">
        <v>3539</v>
      </c>
      <c r="AB964">
        <f>COUNTIF(B:B,bron[[#This Row],[volledige naam]])</f>
        <v>1</v>
      </c>
    </row>
    <row r="965" spans="1:28" x14ac:dyDescent="0.25">
      <c r="A965" s="38">
        <v>36505</v>
      </c>
      <c r="B965" t="str">
        <f>_xlfn.CONCAT(bron[[#This Row],[personeelsnr]]," ",bron[[#This Row],[achternaam]]," ",bron[[#This Row],[voornaam]])</f>
        <v>36505 De Lange Ruben</v>
      </c>
      <c r="C965" t="str">
        <f>VLOOKUP(bron[[#This Row],[personeelsnr]],'data hastus'!$A:$C,2,0)</f>
        <v>De Lange</v>
      </c>
      <c r="D965" t="str">
        <f>VLOOKUP(bron[[#This Row],[personeelsnr]],'data hastus'!$A:$C,3,0)</f>
        <v>Ruben</v>
      </c>
      <c r="E965" s="2" t="str">
        <f>VLOOKUP(bron[[#This Row],[personeelsnr]],'data hastus'!A:K,11,FALSE)</f>
        <v>Kenneth De Rick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3782</v>
      </c>
      <c r="V965" s="26"/>
      <c r="W965" s="26"/>
      <c r="X965" t="s">
        <v>3528</v>
      </c>
      <c r="Y965" t="s">
        <v>647</v>
      </c>
      <c r="Z965" s="2">
        <v>6359</v>
      </c>
      <c r="AA965" s="32" t="s">
        <v>3538</v>
      </c>
      <c r="AB965">
        <f>COUNTIF(B:B,bron[[#This Row],[volledige naam]])</f>
        <v>1</v>
      </c>
    </row>
    <row r="966" spans="1:28" x14ac:dyDescent="0.25">
      <c r="A966" s="38">
        <v>38807</v>
      </c>
      <c r="B966" t="str">
        <f>_xlfn.CONCAT(bron[[#This Row],[personeelsnr]]," ",bron[[#This Row],[achternaam]]," ",bron[[#This Row],[voornaam]])</f>
        <v>38807 Dossche Caroline</v>
      </c>
      <c r="C966" t="str">
        <f>VLOOKUP(bron[[#This Row],[personeelsnr]],'data hastus'!$A:$C,2,0)</f>
        <v>Dossche</v>
      </c>
      <c r="D966" t="str">
        <f>VLOOKUP(bron[[#This Row],[personeelsnr]],'data hastus'!$A:$C,3,0)</f>
        <v>Caroline</v>
      </c>
      <c r="E966" s="2" t="str">
        <f>VLOOKUP(bron[[#This Row],[personeelsnr]],'data hastus'!A:K,11,FALSE)</f>
        <v>Christoff Rotty</v>
      </c>
      <c r="F966" s="10"/>
      <c r="G966" s="28"/>
      <c r="H966" s="28"/>
      <c r="I966" s="28"/>
      <c r="S966" s="25">
        <f>SUM(bron[[#This Row],[Januari]:[December]])</f>
        <v>0</v>
      </c>
      <c r="T966" s="30">
        <v>45976</v>
      </c>
      <c r="U966" s="5" t="s">
        <v>3798</v>
      </c>
      <c r="V966" s="26"/>
      <c r="W966" s="26"/>
      <c r="X966" t="s">
        <v>3492</v>
      </c>
      <c r="Y966" t="s">
        <v>67</v>
      </c>
      <c r="Z966" s="2">
        <v>550822</v>
      </c>
      <c r="AA966" s="32" t="s">
        <v>3538</v>
      </c>
      <c r="AB966">
        <f>COUNTIF(B:B,bron[[#This Row],[volledige naam]])</f>
        <v>4</v>
      </c>
    </row>
    <row r="967" spans="1:28" x14ac:dyDescent="0.25">
      <c r="A967" s="38">
        <v>36426</v>
      </c>
      <c r="B967" t="str">
        <f>_xlfn.CONCAT(bron[[#This Row],[personeelsnr]]," ",bron[[#This Row],[achternaam]]," ",bron[[#This Row],[voornaam]])</f>
        <v>36426 Mohamed Yassin Abdulhamid</v>
      </c>
      <c r="C967" t="str">
        <f>VLOOKUP(bron[[#This Row],[personeelsnr]],'data hastus'!$A:$C,2,0)</f>
        <v>Mohamed Yassin</v>
      </c>
      <c r="D967" t="str">
        <f>VLOOKUP(bron[[#This Row],[personeelsnr]],'data hastus'!$A:$C,3,0)</f>
        <v>Abdulhamid</v>
      </c>
      <c r="E967" s="2" t="str">
        <f>VLOOKUP(bron[[#This Row],[personeelsnr]],'data hastus'!A:K,11,FALSE)</f>
        <v>Bart Van Der Beken</v>
      </c>
      <c r="F967" s="10"/>
      <c r="G967" s="28"/>
      <c r="H967" s="28"/>
      <c r="I967" s="28"/>
      <c r="S967" s="25">
        <f>SUM(bron[[#This Row],[Januari]:[December]])</f>
        <v>0</v>
      </c>
      <c r="T967" s="30">
        <v>45978</v>
      </c>
      <c r="U967" s="5" t="s">
        <v>3791</v>
      </c>
      <c r="V967" s="26"/>
      <c r="W967" s="26"/>
      <c r="X967" t="s">
        <v>3492</v>
      </c>
      <c r="Y967" t="s">
        <v>3792</v>
      </c>
      <c r="Z967" s="2">
        <v>5790</v>
      </c>
      <c r="AA967" s="32" t="s">
        <v>3538</v>
      </c>
      <c r="AB967">
        <f>COUNTIF(B:B,bron[[#This Row],[volledige naam]])</f>
        <v>3</v>
      </c>
    </row>
    <row r="968" spans="1:28" x14ac:dyDescent="0.25">
      <c r="A968" s="38">
        <v>38529</v>
      </c>
      <c r="B968" t="str">
        <f>_xlfn.CONCAT(bron[[#This Row],[personeelsnr]]," ",bron[[#This Row],[achternaam]]," ",bron[[#This Row],[voornaam]])</f>
        <v>38529 Huyghe Jan</v>
      </c>
      <c r="C968" t="str">
        <f>VLOOKUP(bron[[#This Row],[personeelsnr]],'data hastus'!$A:$C,2,0)</f>
        <v>Huyghe</v>
      </c>
      <c r="D968" t="str">
        <f>VLOOKUP(bron[[#This Row],[personeelsnr]],'data hastus'!$A:$C,3,0)</f>
        <v>Jan</v>
      </c>
      <c r="E968" s="2" t="str">
        <f>VLOOKUP(bron[[#This Row],[personeelsnr]],'data hastus'!A:K,11,FALSE)</f>
        <v>Els Dewulf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3787</v>
      </c>
      <c r="V968" s="26"/>
      <c r="W968" s="26"/>
      <c r="X968" t="s">
        <v>3492</v>
      </c>
      <c r="Y968" t="s">
        <v>18</v>
      </c>
      <c r="Z968" s="2">
        <v>5932</v>
      </c>
      <c r="AA968" s="32" t="s">
        <v>3539</v>
      </c>
      <c r="AB968">
        <f>COUNTIF(B:B,bron[[#This Row],[volledige naam]])</f>
        <v>5</v>
      </c>
    </row>
    <row r="969" spans="1:28" x14ac:dyDescent="0.25">
      <c r="A969" s="38">
        <v>25733</v>
      </c>
      <c r="B969" t="str">
        <f>_xlfn.CONCAT(bron[[#This Row],[personeelsnr]]," ",bron[[#This Row],[achternaam]]," ",bron[[#This Row],[voornaam]])</f>
        <v>25733 Simsek Abdullah</v>
      </c>
      <c r="C969" t="str">
        <f>VLOOKUP(bron[[#This Row],[personeelsnr]],'data hastus'!$A:$C,2,0)</f>
        <v>Simsek</v>
      </c>
      <c r="D969" t="str">
        <f>VLOOKUP(bron[[#This Row],[personeelsnr]],'data hastus'!$A:$C,3,0)</f>
        <v>Abdullah</v>
      </c>
      <c r="E969" s="2" t="str">
        <f>VLOOKUP(bron[[#This Row],[personeelsnr]],'data hastus'!A:K,11,FALSE)</f>
        <v>Els Vanhoe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3790</v>
      </c>
      <c r="V969" s="26"/>
      <c r="W969" s="26"/>
      <c r="X969" t="s">
        <v>3528</v>
      </c>
      <c r="Y969" t="s">
        <v>589</v>
      </c>
      <c r="Z969" s="2">
        <v>6365</v>
      </c>
      <c r="AA969" s="32" t="s">
        <v>3538</v>
      </c>
      <c r="AB969">
        <f>COUNTIF(B:B,bron[[#This Row],[volledige naam]])</f>
        <v>2</v>
      </c>
    </row>
    <row r="970" spans="1:28" x14ac:dyDescent="0.25">
      <c r="A970" s="38">
        <v>42218</v>
      </c>
      <c r="B970" t="str">
        <f>_xlfn.CONCAT(bron[[#This Row],[personeelsnr]]," ",bron[[#This Row],[achternaam]]," ",bron[[#This Row],[voornaam]])</f>
        <v>42218 Özer Metehan</v>
      </c>
      <c r="C970" t="str">
        <f>VLOOKUP(bron[[#This Row],[personeelsnr]],'data hastus'!$A:$C,2,0)</f>
        <v>Özer</v>
      </c>
      <c r="D970" t="str">
        <f>VLOOKUP(bron[[#This Row],[personeelsnr]],'data hastus'!$A:$C,3,0)</f>
        <v>Metehan</v>
      </c>
      <c r="E970" s="2" t="str">
        <f>VLOOKUP(bron[[#This Row],[personeelsnr]],'data hastus'!A:K,11,FALSE)</f>
        <v>Els Dewulf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3796</v>
      </c>
      <c r="V970" s="26"/>
      <c r="W970" s="26"/>
      <c r="X970" t="s">
        <v>3492</v>
      </c>
      <c r="Y970" t="s">
        <v>199</v>
      </c>
      <c r="Z970" s="2">
        <v>5936</v>
      </c>
      <c r="AA970" s="32" t="s">
        <v>3538</v>
      </c>
      <c r="AB970">
        <f>COUNTIF(B:B,bron[[#This Row],[volledige naam]])</f>
        <v>1</v>
      </c>
    </row>
    <row r="971" spans="1:28" x14ac:dyDescent="0.25">
      <c r="A971" s="38">
        <v>8918</v>
      </c>
      <c r="B971" t="str">
        <f>_xlfn.CONCAT(bron[[#This Row],[personeelsnr]]," ",bron[[#This Row],[achternaam]]," ",bron[[#This Row],[voornaam]])</f>
        <v>8918 De Graeve Marc</v>
      </c>
      <c r="C971" t="str">
        <f>VLOOKUP(bron[[#This Row],[personeelsnr]],'data hastus'!$A:$C,2,0)</f>
        <v>De Graeve</v>
      </c>
      <c r="D971" t="str">
        <f>VLOOKUP(bron[[#This Row],[personeelsnr]],'data hastus'!$A:$C,3,0)</f>
        <v>Marc</v>
      </c>
      <c r="E971" s="2" t="str">
        <f>VLOOKUP(bron[[#This Row],[personeelsnr]],'data hastus'!A:K,11,FALSE)</f>
        <v>Kenneth De Rick</v>
      </c>
      <c r="F971" s="10"/>
      <c r="G971" s="28"/>
      <c r="H971" s="28"/>
      <c r="I971" s="28"/>
      <c r="S971" s="25">
        <f>SUM(bron[[#This Row],[Januari]:[December]])</f>
        <v>0</v>
      </c>
      <c r="T971" s="30">
        <v>45979</v>
      </c>
      <c r="U971" s="5" t="s">
        <v>3800</v>
      </c>
      <c r="V971" s="26"/>
      <c r="W971" s="26"/>
      <c r="X971" t="s">
        <v>3493</v>
      </c>
      <c r="Y971" t="s">
        <v>3799</v>
      </c>
      <c r="Z971" s="2">
        <v>5273</v>
      </c>
      <c r="AA971" s="32" t="s">
        <v>3538</v>
      </c>
      <c r="AB971">
        <f>COUNTIF(B:B,bron[[#This Row],[volledige naam]])</f>
        <v>1</v>
      </c>
    </row>
    <row r="972" spans="1:28" x14ac:dyDescent="0.25">
      <c r="A972" s="38">
        <v>33400</v>
      </c>
      <c r="B972" t="str">
        <f>_xlfn.CONCAT(bron[[#This Row],[personeelsnr]]," ",bron[[#This Row],[achternaam]]," ",bron[[#This Row],[voornaam]])</f>
        <v>33400 Petit Cynthia</v>
      </c>
      <c r="C972" t="str">
        <f>VLOOKUP(bron[[#This Row],[personeelsnr]],'data hastus'!$A:$C,2,0)</f>
        <v>Petit</v>
      </c>
      <c r="D972" t="str">
        <f>VLOOKUP(bron[[#This Row],[personeelsnr]],'data hastus'!$A:$C,3,0)</f>
        <v>Cynthia</v>
      </c>
      <c r="E972" s="2" t="str">
        <f>VLOOKUP(bron[[#This Row],[personeelsnr]],'data hastus'!A:K,11,FALSE)</f>
        <v>Christoff Rotty</v>
      </c>
      <c r="F972" s="10"/>
      <c r="G972" s="28"/>
      <c r="H972" s="28"/>
      <c r="I972" s="28"/>
      <c r="S972" s="25">
        <f>SUM(bron[[#This Row],[Januari]:[December]])</f>
        <v>0</v>
      </c>
      <c r="T972" s="30">
        <v>45980</v>
      </c>
      <c r="U972" s="5" t="s">
        <v>3788</v>
      </c>
      <c r="V972" s="26"/>
      <c r="W972" s="26"/>
      <c r="X972" t="s">
        <v>3528</v>
      </c>
      <c r="Y972" t="s">
        <v>838</v>
      </c>
      <c r="Z972" s="2">
        <v>6368</v>
      </c>
      <c r="AA972" s="32" t="s">
        <v>3539</v>
      </c>
      <c r="AB972">
        <f>COUNTIF(B:B,bron[[#This Row],[volledige naam]])</f>
        <v>3</v>
      </c>
    </row>
    <row r="973" spans="1:28" x14ac:dyDescent="0.25">
      <c r="A973" s="38">
        <v>42336</v>
      </c>
      <c r="B973" t="str">
        <f>_xlfn.CONCAT(bron[[#This Row],[personeelsnr]]," ",bron[[#This Row],[achternaam]]," ",bron[[#This Row],[voornaam]])</f>
        <v>42336 Camgöz Furkan</v>
      </c>
      <c r="C973" t="str">
        <f>VLOOKUP(bron[[#This Row],[personeelsnr]],'data hastus'!$A:$C,2,0)</f>
        <v>Camgöz</v>
      </c>
      <c r="D973" t="str">
        <f>VLOOKUP(bron[[#This Row],[personeelsnr]],'data hastus'!$A:$C,3,0)</f>
        <v>Furkan</v>
      </c>
      <c r="E973" s="2">
        <f>VLOOKUP(bron[[#This Row],[personeelsnr]],'data hastus'!A:K,11,FALSE)</f>
        <v>0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3793</v>
      </c>
      <c r="V973" s="26"/>
      <c r="W973" s="26"/>
      <c r="X973" t="s">
        <v>3492</v>
      </c>
      <c r="Y973" t="s">
        <v>223</v>
      </c>
      <c r="Z973" s="2">
        <v>5912</v>
      </c>
      <c r="AA973" s="32" t="s">
        <v>3538</v>
      </c>
      <c r="AB973">
        <f>COUNTIF(B:B,bron[[#This Row],[volledige naam]])</f>
        <v>1</v>
      </c>
    </row>
    <row r="974" spans="1:28" x14ac:dyDescent="0.25">
      <c r="A974" s="38">
        <v>39558</v>
      </c>
      <c r="B974" t="str">
        <f>_xlfn.CONCAT(bron[[#This Row],[personeelsnr]]," ",bron[[#This Row],[achternaam]]," ",bron[[#This Row],[voornaam]])</f>
        <v>39558 De Groote Cedric</v>
      </c>
      <c r="C974" t="str">
        <f>VLOOKUP(bron[[#This Row],[personeelsnr]],'data hastus'!$A:$C,2,0)</f>
        <v>De Groote</v>
      </c>
      <c r="D974" t="str">
        <f>VLOOKUP(bron[[#This Row],[personeelsnr]],'data hastus'!$A:$C,3,0)</f>
        <v>Cedric</v>
      </c>
      <c r="E974" s="2" t="str">
        <f>VLOOKUP(bron[[#This Row],[personeelsnr]],'data hastus'!A:K,11,FALSE)</f>
        <v>Steven Storm</v>
      </c>
      <c r="F974" s="10"/>
      <c r="G974" s="28"/>
      <c r="H974" s="28"/>
      <c r="I974" s="28"/>
      <c r="S974" s="25">
        <f>SUM(bron[[#This Row],[Januari]:[December]])</f>
        <v>0</v>
      </c>
      <c r="T974" s="30">
        <v>45981</v>
      </c>
      <c r="U974" s="5" t="s">
        <v>3797</v>
      </c>
      <c r="V974" s="26"/>
      <c r="W974" s="26"/>
      <c r="X974" t="s">
        <v>3493</v>
      </c>
      <c r="Y974" t="s">
        <v>266</v>
      </c>
      <c r="Z974" s="2">
        <v>5047</v>
      </c>
      <c r="AA974" s="32" t="s">
        <v>3538</v>
      </c>
      <c r="AB974">
        <f>COUNTIF(B:B,bron[[#This Row],[volledige naam]])</f>
        <v>2</v>
      </c>
    </row>
    <row r="975" spans="1:28" x14ac:dyDescent="0.25">
      <c r="A975" s="38">
        <v>27865</v>
      </c>
      <c r="B975" t="str">
        <f>_xlfn.CONCAT(bron[[#This Row],[personeelsnr]]," ",bron[[#This Row],[achternaam]]," ",bron[[#This Row],[voornaam]])</f>
        <v>27865 Olenski Leonard</v>
      </c>
      <c r="C975" t="str">
        <f>VLOOKUP(bron[[#This Row],[personeelsnr]],'data hastus'!$A:$C,2,0)</f>
        <v>Olenski</v>
      </c>
      <c r="D975" t="str">
        <f>VLOOKUP(bron[[#This Row],[personeelsnr]],'data hastus'!$A:$C,3,0)</f>
        <v>Leonard</v>
      </c>
      <c r="E975" s="2" t="str">
        <f>VLOOKUP(bron[[#This Row],[personeelsnr]],'data hastus'!A:K,11,FALSE)</f>
        <v>Els Dewulf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3801</v>
      </c>
      <c r="V975" s="26"/>
      <c r="W975" s="26"/>
      <c r="X975" t="s">
        <v>3528</v>
      </c>
      <c r="Y975" t="s">
        <v>6</v>
      </c>
      <c r="Z975" s="2">
        <v>6353</v>
      </c>
      <c r="AA975" s="32" t="s">
        <v>3538</v>
      </c>
      <c r="AB975">
        <f>COUNTIF(B:B,bron[[#This Row],[volledige naam]])</f>
        <v>1</v>
      </c>
    </row>
    <row r="976" spans="1:28" x14ac:dyDescent="0.25">
      <c r="A976" s="38">
        <v>42252</v>
      </c>
      <c r="B976" t="str">
        <f>_xlfn.CONCAT(bron[[#This Row],[personeelsnr]]," ",bron[[#This Row],[achternaam]]," ",bron[[#This Row],[voornaam]])</f>
        <v>42252 Sular Abdullah</v>
      </c>
      <c r="C976" t="str">
        <f>VLOOKUP(bron[[#This Row],[personeelsnr]],'data hastus'!$A:$C,2,0)</f>
        <v>Sular</v>
      </c>
      <c r="D976" t="str">
        <f>VLOOKUP(bron[[#This Row],[personeelsnr]],'data hastus'!$A:$C,3,0)</f>
        <v>Abdullah</v>
      </c>
      <c r="E976" s="2" t="str">
        <f>VLOOKUP(bron[[#This Row],[personeelsnr]],'data hastus'!A:K,11,FALSE)</f>
        <v>Christoff Rotty</v>
      </c>
      <c r="F976" s="10"/>
      <c r="G976" s="28"/>
      <c r="H976" s="28"/>
      <c r="I976" s="28"/>
      <c r="S976" s="25">
        <f>SUM(bron[[#This Row],[Januari]:[December]])</f>
        <v>0</v>
      </c>
      <c r="T976" s="30">
        <v>45982</v>
      </c>
      <c r="U976" s="5" t="s">
        <v>3803</v>
      </c>
      <c r="V976" s="26"/>
      <c r="W976" s="26"/>
      <c r="X976" t="s">
        <v>3492</v>
      </c>
      <c r="Y976" t="s">
        <v>3804</v>
      </c>
      <c r="Z976" s="2">
        <v>104023</v>
      </c>
      <c r="AA976" s="32" t="s">
        <v>3611</v>
      </c>
      <c r="AB976">
        <f>COUNTIF(B:B,bron[[#This Row],[volledige naam]])</f>
        <v>5</v>
      </c>
    </row>
    <row r="977" spans="1:28" x14ac:dyDescent="0.25">
      <c r="A977" s="38">
        <v>39184</v>
      </c>
      <c r="B977" t="str">
        <f>_xlfn.CONCAT(bron[[#This Row],[personeelsnr]]," ",bron[[#This Row],[achternaam]]," ",bron[[#This Row],[voornaam]])</f>
        <v>39184 Shinwari Yasin</v>
      </c>
      <c r="C977" t="str">
        <f>VLOOKUP(bron[[#This Row],[personeelsnr]],'data hastus'!$A:$C,2,0)</f>
        <v>Shinwari</v>
      </c>
      <c r="D977" t="str">
        <f>VLOOKUP(bron[[#This Row],[personeelsnr]],'data hastus'!$A:$C,3,0)</f>
        <v>Yasin</v>
      </c>
      <c r="E977" s="2" t="str">
        <f>VLOOKUP(bron[[#This Row],[personeelsnr]],'data hastus'!A:K,11,FALSE)</f>
        <v>Christoff Rotty</v>
      </c>
      <c r="F977" s="10"/>
      <c r="G977" s="28"/>
      <c r="H977" s="28"/>
      <c r="I977" s="28"/>
      <c r="S977" s="25">
        <f>SUM(bron[[#This Row],[Januari]:[December]])</f>
        <v>0</v>
      </c>
      <c r="T977" s="30">
        <v>45983</v>
      </c>
      <c r="U977" s="5" t="s">
        <v>4539</v>
      </c>
      <c r="V977" s="26"/>
      <c r="W977" s="26"/>
      <c r="X977" t="s">
        <v>3528</v>
      </c>
      <c r="Y977" t="s">
        <v>166</v>
      </c>
      <c r="Z977" s="2">
        <v>6359</v>
      </c>
      <c r="AA977" s="32" t="s">
        <v>3538</v>
      </c>
      <c r="AB977">
        <f>COUNTIF(B:B,bron[[#This Row],[volledige naam]])</f>
        <v>3</v>
      </c>
    </row>
    <row r="978" spans="1:28" x14ac:dyDescent="0.25">
      <c r="A978" s="38">
        <v>36627</v>
      </c>
      <c r="B978" t="str">
        <f>_xlfn.CONCAT(bron[[#This Row],[personeelsnr]]," ",bron[[#This Row],[achternaam]]," ",bron[[#This Row],[voornaam]])</f>
        <v>36627 Dobbelaere David</v>
      </c>
      <c r="C978" t="str">
        <f>VLOOKUP(bron[[#This Row],[personeelsnr]],'data hastus'!$A:$C,2,0)</f>
        <v>Dobbelaere</v>
      </c>
      <c r="D978" t="str">
        <f>VLOOKUP(bron[[#This Row],[personeelsnr]],'data hastus'!$A:$C,3,0)</f>
        <v>David</v>
      </c>
      <c r="E978" s="2" t="str">
        <f>VLOOKUP(bron[[#This Row],[personeelsnr]],'data hastus'!A:K,11,FALSE)</f>
        <v>Els Dewulf</v>
      </c>
      <c r="F978" s="10"/>
      <c r="G978" s="28"/>
      <c r="H978" s="28"/>
      <c r="I978" s="28"/>
      <c r="S978" s="25">
        <f>SUM(bron[[#This Row],[Januari]:[December]])</f>
        <v>0</v>
      </c>
      <c r="T978" s="30">
        <v>45984</v>
      </c>
      <c r="U978" s="5" t="s">
        <v>3840</v>
      </c>
      <c r="V978" s="26"/>
      <c r="W978" s="26"/>
      <c r="X978" t="s">
        <v>3493</v>
      </c>
      <c r="Y978" t="s">
        <v>3734</v>
      </c>
      <c r="Z978" s="2">
        <v>5260</v>
      </c>
      <c r="AA978" s="32" t="s">
        <v>3538</v>
      </c>
      <c r="AB978">
        <f>COUNTIF(B:B,bron[[#This Row],[volledige naam]])</f>
        <v>5</v>
      </c>
    </row>
    <row r="979" spans="1:28" x14ac:dyDescent="0.25">
      <c r="A979" s="38">
        <v>12124</v>
      </c>
      <c r="B979" t="str">
        <f>_xlfn.CONCAT(bron[[#This Row],[personeelsnr]]," ",bron[[#This Row],[achternaam]]," ",bron[[#This Row],[voornaam]])</f>
        <v>12124 Van Vliet Tom</v>
      </c>
      <c r="C979" t="str">
        <f>VLOOKUP(bron[[#This Row],[personeelsnr]],'data hastus'!$A:$C,2,0)</f>
        <v>Van Vliet</v>
      </c>
      <c r="D979" t="str">
        <f>VLOOKUP(bron[[#This Row],[personeelsnr]],'data hastus'!$A:$C,3,0)</f>
        <v>Tom</v>
      </c>
      <c r="E979" s="2" t="str">
        <f>VLOOKUP(bron[[#This Row],[personeelsnr]],'data hastus'!A:K,11,FALSE)</f>
        <v>Steven Storm</v>
      </c>
      <c r="F979" s="10"/>
      <c r="G979" s="28"/>
      <c r="H979" s="28"/>
      <c r="I979" s="28"/>
      <c r="S979" s="25">
        <f>SUM(bron[[#This Row],[Januari]:[December]])</f>
        <v>0</v>
      </c>
      <c r="T979" s="30">
        <v>45984</v>
      </c>
      <c r="U979" s="8" t="s">
        <v>3866</v>
      </c>
      <c r="V979" s="26"/>
      <c r="W979" s="26"/>
      <c r="X979" t="s">
        <v>3528</v>
      </c>
      <c r="Y979" t="s">
        <v>838</v>
      </c>
      <c r="Z979" s="2">
        <v>6366</v>
      </c>
      <c r="AA979" s="32" t="s">
        <v>3539</v>
      </c>
      <c r="AB979">
        <f>COUNTIF(B:B,bron[[#This Row],[volledige naam]])</f>
        <v>5</v>
      </c>
    </row>
    <row r="980" spans="1:28" x14ac:dyDescent="0.25">
      <c r="A980" s="38">
        <v>41482</v>
      </c>
      <c r="B980" t="str">
        <f>_xlfn.CONCAT(bron[[#This Row],[personeelsnr]]," ",bron[[#This Row],[achternaam]]," ",bron[[#This Row],[voornaam]])</f>
        <v>41482 Özdemir Osman</v>
      </c>
      <c r="C980" t="str">
        <f>VLOOKUP(bron[[#This Row],[personeelsnr]],'data hastus'!$A:$C,2,0)</f>
        <v>Özdemir</v>
      </c>
      <c r="D980" t="str">
        <f>VLOOKUP(bron[[#This Row],[personeelsnr]],'data hastus'!$A:$C,3,0)</f>
        <v>Osman</v>
      </c>
      <c r="E980" s="2" t="str">
        <f>VLOOKUP(bron[[#This Row],[personeelsnr]],'data hastus'!A:K,11,FALSE)</f>
        <v>Bart Van Der Beken</v>
      </c>
      <c r="F980" s="10"/>
      <c r="G980" s="28"/>
      <c r="H980" s="28"/>
      <c r="I980" s="28"/>
      <c r="S980" s="25">
        <f>SUM(bron[[#This Row],[Januari]:[December]])</f>
        <v>0</v>
      </c>
      <c r="T980" s="30">
        <v>45985</v>
      </c>
      <c r="U980" s="5" t="s">
        <v>3802</v>
      </c>
      <c r="V980" s="26"/>
      <c r="W980" s="26"/>
      <c r="X980" t="s">
        <v>3493</v>
      </c>
      <c r="Y980" t="s">
        <v>32</v>
      </c>
      <c r="Z980" s="2">
        <v>5054</v>
      </c>
      <c r="AA980" s="32" t="s">
        <v>3539</v>
      </c>
      <c r="AB980">
        <f>COUNTIF(B:B,bron[[#This Row],[volledige naam]])</f>
        <v>3</v>
      </c>
    </row>
    <row r="981" spans="1:28" x14ac:dyDescent="0.25">
      <c r="A981" s="38">
        <v>42307</v>
      </c>
      <c r="B981" t="str">
        <f>_xlfn.CONCAT(bron[[#This Row],[personeelsnr]]," ",bron[[#This Row],[achternaam]]," ",bron[[#This Row],[voornaam]])</f>
        <v>42307 Helleputte Jens</v>
      </c>
      <c r="C981" t="str">
        <f>VLOOKUP(bron[[#This Row],[personeelsnr]],'data hastus'!$A:$C,2,0)</f>
        <v>Helleputte</v>
      </c>
      <c r="D981" t="str">
        <f>VLOOKUP(bron[[#This Row],[personeelsnr]],'data hastus'!$A:$C,3,0)</f>
        <v>Jens</v>
      </c>
      <c r="E981" s="2" t="str">
        <f>VLOOKUP(bron[[#This Row],[personeelsnr]],'data hastus'!A:K,11,FALSE)</f>
        <v>Christoff Rotty</v>
      </c>
      <c r="F981" s="10"/>
      <c r="G981" s="28"/>
      <c r="H981" s="28"/>
      <c r="I981" s="28"/>
      <c r="S981" s="25">
        <f>SUM(bron[[#This Row],[Januari]:[December]])</f>
        <v>0</v>
      </c>
      <c r="T981" s="30">
        <v>45986</v>
      </c>
      <c r="U981" s="5" t="s">
        <v>3805</v>
      </c>
      <c r="V981" s="26"/>
      <c r="W981" s="26"/>
      <c r="X981" t="s">
        <v>3492</v>
      </c>
      <c r="Y981" t="s">
        <v>3806</v>
      </c>
      <c r="Z981" s="2">
        <v>5934</v>
      </c>
      <c r="AA981" s="32" t="s">
        <v>3538</v>
      </c>
      <c r="AB981">
        <f>COUNTIF(B:B,bron[[#This Row],[volledige naam]])</f>
        <v>3</v>
      </c>
    </row>
    <row r="982" spans="1:28" x14ac:dyDescent="0.25">
      <c r="A982" s="38">
        <v>25486</v>
      </c>
      <c r="B982" t="str">
        <f>_xlfn.CONCAT(bron[[#This Row],[personeelsnr]]," ",bron[[#This Row],[achternaam]]," ",bron[[#This Row],[voornaam]])</f>
        <v>25486 Goethals Bart</v>
      </c>
      <c r="C982" t="str">
        <f>VLOOKUP(bron[[#This Row],[personeelsnr]],'data hastus'!$A:$C,2,0)</f>
        <v>Goethals</v>
      </c>
      <c r="D982" t="str">
        <f>VLOOKUP(bron[[#This Row],[personeelsnr]],'data hastus'!$A:$C,3,0)</f>
        <v>Bart</v>
      </c>
      <c r="E982" s="2" t="str">
        <f>VLOOKUP(bron[[#This Row],[personeelsnr]],'data hastus'!A:K,11,FALSE)</f>
        <v>Christoff Rotty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22" t="s">
        <v>3843</v>
      </c>
      <c r="V982" s="26"/>
      <c r="W982" s="26"/>
      <c r="X982" t="s">
        <v>3492</v>
      </c>
      <c r="Y982" t="s">
        <v>787</v>
      </c>
      <c r="Z982" s="2">
        <v>5927</v>
      </c>
      <c r="AA982" s="32" t="s">
        <v>3538</v>
      </c>
      <c r="AB982">
        <f>COUNTIF(B:B,bron[[#This Row],[volledige naam]])</f>
        <v>1</v>
      </c>
    </row>
    <row r="983" spans="1:28" x14ac:dyDescent="0.25">
      <c r="A983" s="38">
        <v>29478</v>
      </c>
      <c r="B983" t="str">
        <f>_xlfn.CONCAT(bron[[#This Row],[personeelsnr]]," ",bron[[#This Row],[achternaam]]," ",bron[[#This Row],[voornaam]])</f>
        <v>29478 Priwall Heike</v>
      </c>
      <c r="C983" t="str">
        <f>VLOOKUP(bron[[#This Row],[personeelsnr]],'data hastus'!$A:$C,2,0)</f>
        <v>Priwall</v>
      </c>
      <c r="D983" t="str">
        <f>VLOOKUP(bron[[#This Row],[personeelsnr]],'data hastus'!$A:$C,3,0)</f>
        <v>Heike</v>
      </c>
      <c r="E983" s="2" t="str">
        <f>VLOOKUP(bron[[#This Row],[personeelsnr]],'data hastus'!A:K,11,FALSE)</f>
        <v>Els Dewulf</v>
      </c>
      <c r="F983" s="10"/>
      <c r="G983" s="28"/>
      <c r="H983" s="28"/>
      <c r="I983" s="28"/>
      <c r="S983" s="25">
        <f>SUM(bron[[#This Row],[Januari]:[December]])</f>
        <v>0</v>
      </c>
      <c r="T983" s="30">
        <v>45988</v>
      </c>
      <c r="U983" s="8" t="s">
        <v>3870</v>
      </c>
      <c r="V983" s="26"/>
      <c r="W983" s="26"/>
      <c r="X983" t="s">
        <v>3492</v>
      </c>
      <c r="Y983" t="s">
        <v>10</v>
      </c>
      <c r="Z983" s="2">
        <v>550310</v>
      </c>
      <c r="AA983" s="32" t="s">
        <v>3538</v>
      </c>
      <c r="AB983">
        <f>COUNTIF(B:B,bron[[#This Row],[volledige naam]])</f>
        <v>3</v>
      </c>
    </row>
    <row r="984" spans="1:28" x14ac:dyDescent="0.25">
      <c r="A984" s="38">
        <v>36635</v>
      </c>
      <c r="B984" t="str">
        <f>_xlfn.CONCAT(bron[[#This Row],[personeelsnr]]," ",bron[[#This Row],[achternaam]]," ",bron[[#This Row],[voornaam]])</f>
        <v>36635 Fadel Husam</v>
      </c>
      <c r="C984" t="str">
        <f>VLOOKUP(bron[[#This Row],[personeelsnr]],'data hastus'!$A:$C,2,0)</f>
        <v>Fadel</v>
      </c>
      <c r="D984" t="str">
        <f>VLOOKUP(bron[[#This Row],[personeelsnr]],'data hastus'!$A:$C,3,0)</f>
        <v>Husam</v>
      </c>
      <c r="E984" s="2" t="str">
        <f>VLOOKUP(bron[[#This Row],[personeelsnr]],'data hastus'!A:K,11,FALSE)</f>
        <v>Kenneth De Rick</v>
      </c>
      <c r="F984" s="10"/>
      <c r="G984" s="28"/>
      <c r="H984" s="28"/>
      <c r="I984" s="28"/>
      <c r="S984" s="25">
        <f>SUM(bron[[#This Row],[Januari]:[December]])</f>
        <v>0</v>
      </c>
      <c r="T984" s="30">
        <v>45988</v>
      </c>
      <c r="U984" s="5" t="s">
        <v>3867</v>
      </c>
      <c r="V984" s="26"/>
      <c r="W984" s="26"/>
      <c r="X984" t="s">
        <v>3492</v>
      </c>
      <c r="Y984" t="s">
        <v>94</v>
      </c>
      <c r="Z984" s="2">
        <v>5770</v>
      </c>
      <c r="AA984" s="32" t="s">
        <v>3538</v>
      </c>
      <c r="AB984">
        <f>COUNTIF(B:B,bron[[#This Row],[volledige naam]])</f>
        <v>4</v>
      </c>
    </row>
    <row r="985" spans="1:28" x14ac:dyDescent="0.25">
      <c r="A985" s="38">
        <v>36627</v>
      </c>
      <c r="B985" t="str">
        <f>_xlfn.CONCAT(bron[[#This Row],[personeelsnr]]," ",bron[[#This Row],[achternaam]]," ",bron[[#This Row],[voornaam]])</f>
        <v>36627 Dobbelaere David</v>
      </c>
      <c r="C985" t="str">
        <f>VLOOKUP(bron[[#This Row],[personeelsnr]],'data hastus'!$A:$C,2,0)</f>
        <v>Dobbelaere</v>
      </c>
      <c r="D985" t="str">
        <f>VLOOKUP(bron[[#This Row],[personeelsnr]],'data hastus'!$A:$C,3,0)</f>
        <v>David</v>
      </c>
      <c r="E985" s="2" t="str">
        <f>VLOOKUP(bron[[#This Row],[personeelsnr]],'data hastus'!A:K,11,FALSE)</f>
        <v>Els Dewulf</v>
      </c>
      <c r="F985" s="10"/>
      <c r="G985" s="28"/>
      <c r="H985" s="28"/>
      <c r="I985" s="28"/>
      <c r="S985" s="25">
        <f>SUM(bron[[#This Row],[Januari]:[December]])</f>
        <v>0</v>
      </c>
      <c r="T985" s="30">
        <v>45988</v>
      </c>
      <c r="U985" s="5" t="s">
        <v>4530</v>
      </c>
      <c r="V985" s="26"/>
      <c r="W985" s="26"/>
      <c r="X985" t="s">
        <v>3493</v>
      </c>
      <c r="Y985" t="s">
        <v>100</v>
      </c>
      <c r="Z985" s="2">
        <v>5229</v>
      </c>
      <c r="AA985" s="32" t="s">
        <v>3539</v>
      </c>
      <c r="AB985">
        <f>COUNTIF(B:B,bron[[#This Row],[volledige naam]])</f>
        <v>5</v>
      </c>
    </row>
    <row r="986" spans="1:28" x14ac:dyDescent="0.25">
      <c r="A986" s="38">
        <v>26695</v>
      </c>
      <c r="B986" t="str">
        <f>_xlfn.CONCAT(bron[[#This Row],[personeelsnr]]," ",bron[[#This Row],[achternaam]]," ",bron[[#This Row],[voornaam]])</f>
        <v>26695 Lippens Miguel</v>
      </c>
      <c r="C986" t="str">
        <f>VLOOKUP(bron[[#This Row],[personeelsnr]],'data hastus'!$A:$C,2,0)</f>
        <v>Lippens</v>
      </c>
      <c r="D986" t="str">
        <f>VLOOKUP(bron[[#This Row],[personeelsnr]],'data hastus'!$A:$C,3,0)</f>
        <v>Miguel</v>
      </c>
      <c r="E986" s="2" t="str">
        <f>VLOOKUP(bron[[#This Row],[personeelsnr]],'data hastus'!A:K,11,FALSE)</f>
        <v>Christoff Rotty</v>
      </c>
      <c r="F986" s="10"/>
      <c r="G986" s="28"/>
      <c r="H986" s="28"/>
      <c r="I986" s="28"/>
      <c r="S986" s="25">
        <f>SUM(bron[[#This Row],[Januari]:[December]])</f>
        <v>0</v>
      </c>
      <c r="T986" s="30">
        <v>45989</v>
      </c>
      <c r="U986" s="5" t="s">
        <v>3873</v>
      </c>
      <c r="V986" s="26"/>
      <c r="W986" s="26"/>
      <c r="X986" t="s">
        <v>3492</v>
      </c>
      <c r="Y986" t="s">
        <v>199</v>
      </c>
      <c r="Z986" s="2">
        <v>5774</v>
      </c>
      <c r="AA986" s="32" t="s">
        <v>3538</v>
      </c>
      <c r="AB986">
        <f>COUNTIF(B:B,bron[[#This Row],[volledige naam]])</f>
        <v>2</v>
      </c>
    </row>
    <row r="987" spans="1:28" x14ac:dyDescent="0.25">
      <c r="A987" s="38">
        <v>36336</v>
      </c>
      <c r="B987" t="str">
        <f>_xlfn.CONCAT(bron[[#This Row],[personeelsnr]]," ",bron[[#This Row],[achternaam]]," ",bron[[#This Row],[voornaam]])</f>
        <v>36336 Haenebalcke Peter</v>
      </c>
      <c r="C987" t="str">
        <f>VLOOKUP(bron[[#This Row],[personeelsnr]],'data hastus'!$A:$C,2,0)</f>
        <v>Haenebalcke</v>
      </c>
      <c r="D987" t="str">
        <f>VLOOKUP(bron[[#This Row],[personeelsnr]],'data hastus'!$A:$C,3,0)</f>
        <v>Peter</v>
      </c>
      <c r="E987" s="2" t="str">
        <f>VLOOKUP(bron[[#This Row],[personeelsnr]],'data hastus'!A:K,11,FALSE)</f>
        <v>Lucie Vande Velde</v>
      </c>
      <c r="F987" s="10"/>
      <c r="G987" s="28"/>
      <c r="H987" s="28"/>
      <c r="I987" s="28"/>
      <c r="S987" s="25">
        <f>SUM(bron[[#This Row],[Januari]:[December]])</f>
        <v>0</v>
      </c>
      <c r="T987" s="30">
        <v>45989</v>
      </c>
      <c r="U987" s="5" t="s">
        <v>4529</v>
      </c>
      <c r="V987" s="26"/>
      <c r="W987" s="26"/>
      <c r="X987" t="s">
        <v>3493</v>
      </c>
      <c r="Y987" t="s">
        <v>6</v>
      </c>
      <c r="Z987" s="2">
        <v>5052</v>
      </c>
      <c r="AA987" s="32" t="s">
        <v>3611</v>
      </c>
      <c r="AB987">
        <f>COUNTIF(B:B,bron[[#This Row],[volledige naam]])</f>
        <v>1</v>
      </c>
    </row>
    <row r="988" spans="1:28" x14ac:dyDescent="0.25">
      <c r="A988" s="38">
        <v>42002</v>
      </c>
      <c r="B988" t="str">
        <f>_xlfn.CONCAT(bron[[#This Row],[personeelsnr]]," ",bron[[#This Row],[achternaam]]," ",bron[[#This Row],[voornaam]])</f>
        <v>42002 Bogaert Kevin</v>
      </c>
      <c r="C988" t="str">
        <f>VLOOKUP(bron[[#This Row],[personeelsnr]],'data hastus'!$A:$C,2,0)</f>
        <v>Bogaert</v>
      </c>
      <c r="D988" t="str">
        <f>VLOOKUP(bron[[#This Row],[personeelsnr]],'data hastus'!$A:$C,3,0)</f>
        <v>Kevin</v>
      </c>
      <c r="E988" s="2" t="str">
        <f>VLOOKUP(bron[[#This Row],[personeelsnr]],'data hastus'!A:K,11,FALSE)</f>
        <v>Els Vanhoe</v>
      </c>
      <c r="F988" s="10"/>
      <c r="G988" s="28"/>
      <c r="H988" s="28"/>
      <c r="I988" s="28"/>
      <c r="S988" s="25">
        <f>SUM(bron[[#This Row],[Januari]:[December]])</f>
        <v>0</v>
      </c>
      <c r="T988" s="30">
        <v>45990</v>
      </c>
      <c r="U988" s="5" t="s">
        <v>3872</v>
      </c>
      <c r="V988" s="26"/>
      <c r="W988" s="26"/>
      <c r="X988" t="s">
        <v>3492</v>
      </c>
      <c r="Y988" t="s">
        <v>10</v>
      </c>
      <c r="Z988" s="2">
        <v>5911</v>
      </c>
      <c r="AA988" s="32" t="s">
        <v>3538</v>
      </c>
      <c r="AB988">
        <f>COUNTIF(B:B,bron[[#This Row],[volledige naam]])</f>
        <v>3</v>
      </c>
    </row>
    <row r="989" spans="1:28" x14ac:dyDescent="0.25">
      <c r="A989" s="38">
        <v>12124</v>
      </c>
      <c r="B989" t="str">
        <f>_xlfn.CONCAT(bron[[#This Row],[personeelsnr]]," ",bron[[#This Row],[achternaam]]," ",bron[[#This Row],[voornaam]])</f>
        <v>12124 Van Vliet Tom</v>
      </c>
      <c r="C989" t="str">
        <f>VLOOKUP(bron[[#This Row],[personeelsnr]],'data hastus'!$A:$C,2,0)</f>
        <v>Van Vliet</v>
      </c>
      <c r="D989" t="str">
        <f>VLOOKUP(bron[[#This Row],[personeelsnr]],'data hastus'!$A:$C,3,0)</f>
        <v>Tom</v>
      </c>
      <c r="E989" s="2" t="str">
        <f>VLOOKUP(bron[[#This Row],[personeelsnr]],'data hastus'!A:K,11,FALSE)</f>
        <v>Steven Storm</v>
      </c>
      <c r="F989" s="10"/>
      <c r="G989" s="28"/>
      <c r="H989" s="28"/>
      <c r="I989" s="28"/>
      <c r="S989" s="25">
        <f>SUM(bron[[#This Row],[Januari]:[December]])</f>
        <v>0</v>
      </c>
      <c r="T989" s="30">
        <v>45990</v>
      </c>
      <c r="U989" s="5" t="s">
        <v>4535</v>
      </c>
      <c r="V989" s="26"/>
      <c r="W989" s="26"/>
      <c r="X989" t="s">
        <v>3528</v>
      </c>
      <c r="Y989" t="s">
        <v>4536</v>
      </c>
      <c r="Z989" s="2">
        <v>6369</v>
      </c>
      <c r="AA989" s="32" t="s">
        <v>3538</v>
      </c>
      <c r="AB989">
        <f>COUNTIF(B:B,bron[[#This Row],[volledige naam]])</f>
        <v>5</v>
      </c>
    </row>
    <row r="990" spans="1:28" x14ac:dyDescent="0.25">
      <c r="A990" s="38">
        <v>32245</v>
      </c>
      <c r="B990" t="str">
        <f>_xlfn.CONCAT(bron[[#This Row],[personeelsnr]]," ",bron[[#This Row],[achternaam]]," ",bron[[#This Row],[voornaam]])</f>
        <v>32245 Verlinden Bianca</v>
      </c>
      <c r="C990" t="str">
        <f>VLOOKUP(bron[[#This Row],[personeelsnr]],'data hastus'!$A:$C,2,0)</f>
        <v>Verlinden</v>
      </c>
      <c r="D990" t="str">
        <f>VLOOKUP(bron[[#This Row],[personeelsnr]],'data hastus'!$A:$C,3,0)</f>
        <v>Bianca</v>
      </c>
      <c r="E990" s="2" t="str">
        <f>VLOOKUP(bron[[#This Row],[personeelsnr]],'data hastus'!A:K,11,FALSE)</f>
        <v>Els Vanhoe</v>
      </c>
      <c r="F990" s="10"/>
      <c r="G990" s="28"/>
      <c r="H990" s="28"/>
      <c r="I990" s="28"/>
      <c r="S990" s="25">
        <f>SUM(bron[[#This Row],[Januari]:[December]])</f>
        <v>0</v>
      </c>
      <c r="T990" s="30">
        <v>45992</v>
      </c>
      <c r="U990" s="22" t="s">
        <v>4528</v>
      </c>
      <c r="V990" s="26"/>
      <c r="W990" s="26"/>
      <c r="X990" t="s">
        <v>3493</v>
      </c>
      <c r="Y990" t="s">
        <v>516</v>
      </c>
      <c r="Z990" s="2">
        <v>5221</v>
      </c>
      <c r="AA990" s="32" t="s">
        <v>3539</v>
      </c>
      <c r="AB990">
        <f>COUNTIF(B:B,bron[[#This Row],[volledige naam]])</f>
        <v>2</v>
      </c>
    </row>
    <row r="991" spans="1:28" x14ac:dyDescent="0.25">
      <c r="A991" s="38">
        <v>16280</v>
      </c>
      <c r="B991" t="str">
        <f>_xlfn.CONCAT(bron[[#This Row],[personeelsnr]]," ",bron[[#This Row],[achternaam]]," ",bron[[#This Row],[voornaam]])</f>
        <v>16280 Bouckhout Ingeborg</v>
      </c>
      <c r="C991" t="str">
        <f>VLOOKUP(bron[[#This Row],[personeelsnr]],'data hastus'!$A:$C,2,0)</f>
        <v>Bouckhout</v>
      </c>
      <c r="D991" t="str">
        <f>VLOOKUP(bron[[#This Row],[personeelsnr]],'data hastus'!$A:$C,3,0)</f>
        <v>Ingeborg</v>
      </c>
      <c r="E991" s="2" t="str">
        <f>VLOOKUP(bron[[#This Row],[personeelsnr]],'data hastus'!A:K,11,FALSE)</f>
        <v>Lucie Vande Velde</v>
      </c>
      <c r="F991" s="10"/>
      <c r="G991" s="28"/>
      <c r="H991" s="28"/>
      <c r="I991" s="28"/>
      <c r="S991" s="25">
        <f>SUM(bron[[#This Row],[Januari]:[December]])</f>
        <v>0</v>
      </c>
      <c r="T991" s="30">
        <v>45994</v>
      </c>
      <c r="U991" s="5" t="s">
        <v>4537</v>
      </c>
      <c r="V991" s="26"/>
      <c r="W991" s="26"/>
      <c r="X991" t="s">
        <v>3527</v>
      </c>
      <c r="Y991" t="s">
        <v>4538</v>
      </c>
      <c r="Z991" s="2">
        <v>6320</v>
      </c>
      <c r="AA991" s="32" t="s">
        <v>3538</v>
      </c>
      <c r="AB991">
        <f>COUNTIF(B:B,bron[[#This Row],[volledige naam]])</f>
        <v>1</v>
      </c>
    </row>
    <row r="992" spans="1:28" x14ac:dyDescent="0.25">
      <c r="A992" s="38">
        <v>15320</v>
      </c>
      <c r="B992" t="str">
        <f>_xlfn.CONCAT(bron[[#This Row],[personeelsnr]]," ",bron[[#This Row],[achternaam]]," ",bron[[#This Row],[voornaam]])</f>
        <v>15320 Vandenberghe Filip</v>
      </c>
      <c r="C992" t="str">
        <f>VLOOKUP(bron[[#This Row],[personeelsnr]],'data hastus'!$A:$C,2,0)</f>
        <v>Vandenberghe</v>
      </c>
      <c r="D992" t="str">
        <f>VLOOKUP(bron[[#This Row],[personeelsnr]],'data hastus'!$A:$C,3,0)</f>
        <v>Filip</v>
      </c>
      <c r="E992" s="2" t="str">
        <f>VLOOKUP(bron[[#This Row],[personeelsnr]],'data hastus'!A:K,11,FALSE)</f>
        <v>Els Vanhoe</v>
      </c>
      <c r="F992" s="10"/>
      <c r="G992" s="28"/>
      <c r="H992" s="28"/>
      <c r="I992" s="28"/>
      <c r="S992" s="25">
        <f>SUM(bron[[#This Row],[Januari]:[December]])</f>
        <v>0</v>
      </c>
      <c r="T992" s="30">
        <v>45994</v>
      </c>
      <c r="U992" s="5" t="s">
        <v>4540</v>
      </c>
      <c r="V992" s="26"/>
      <c r="W992" s="26"/>
      <c r="X992" t="s">
        <v>3493</v>
      </c>
      <c r="Y992" t="s">
        <v>378</v>
      </c>
      <c r="Z992" s="2">
        <v>5039</v>
      </c>
      <c r="AA992" s="32" t="s">
        <v>3538</v>
      </c>
      <c r="AB992">
        <f>COUNTIF(B:B,bron[[#This Row],[volledige naam]])</f>
        <v>2</v>
      </c>
    </row>
    <row r="993" spans="2:28" x14ac:dyDescent="0.25">
      <c r="B993" t="e">
        <f>_xlfn.CONCAT(bron[[#This Row],[personeelsnr]]," ",bron[[#This Row],[achternaam]]," ",bron[[#This Row],[voornaam]])</f>
        <v>#N/A</v>
      </c>
      <c r="C993" t="e">
        <f>VLOOKUP(bron[[#This Row],[personeelsnr]],'data hastus'!$A:$C,2,0)</f>
        <v>#N/A</v>
      </c>
      <c r="D993" t="e">
        <f>VLOOKUP(bron[[#This Row],[personeelsnr]],'data hastus'!$A:$C,3,0)</f>
        <v>#N/A</v>
      </c>
      <c r="E993" s="2" t="e">
        <f>VLOOKUP(bron[[#This Row],[personeelsnr]],'data hastus'!A:K,11,FALSE)</f>
        <v>#N/A</v>
      </c>
      <c r="F993" s="10"/>
      <c r="G993" s="28"/>
      <c r="H993" s="28"/>
      <c r="I993" s="28"/>
      <c r="S993" s="44">
        <f>SUM(bron[[#This Row],[Januari]:[December]])</f>
        <v>0</v>
      </c>
      <c r="V993" s="26"/>
      <c r="W993" s="26"/>
      <c r="AB993" s="43">
        <f>COUNTIF(B:B,bron[[#This Row],[volledige naam]])</f>
        <v>27</v>
      </c>
    </row>
    <row r="994" spans="2:28" x14ac:dyDescent="0.25">
      <c r="B994" t="e">
        <f>_xlfn.CONCAT(bron[[#This Row],[personeelsnr]]," ",bron[[#This Row],[achternaam]]," ",bron[[#This Row],[voornaam]])</f>
        <v>#N/A</v>
      </c>
      <c r="C994" t="e">
        <f>VLOOKUP(bron[[#This Row],[personeelsnr]],'data hastus'!$A:$C,2,0)</f>
        <v>#N/A</v>
      </c>
      <c r="D994" t="e">
        <f>VLOOKUP(bron[[#This Row],[personeelsnr]],'data hastus'!$A:$C,3,0)</f>
        <v>#N/A</v>
      </c>
      <c r="E994" s="2" t="e">
        <f>VLOOKUP(bron[[#This Row],[personeelsnr]],'data hastus'!A:K,11,FALSE)</f>
        <v>#N/A</v>
      </c>
      <c r="F994" s="10"/>
      <c r="G994" s="28"/>
      <c r="H994" s="28"/>
      <c r="I994" s="28"/>
      <c r="S994" s="44">
        <f>SUM(bron[[#This Row],[Januari]:[December]])</f>
        <v>0</v>
      </c>
      <c r="V994" s="26"/>
      <c r="W994" s="26"/>
      <c r="AB994" s="43">
        <f>COUNTIF(B:B,bron[[#This Row],[volledige naam]])</f>
        <v>27</v>
      </c>
    </row>
    <row r="995" spans="2:28" x14ac:dyDescent="0.25">
      <c r="B995" t="e">
        <f>_xlfn.CONCAT(bron[[#This Row],[personeelsnr]]," ",bron[[#This Row],[achternaam]]," ",bron[[#This Row],[voornaam]])</f>
        <v>#N/A</v>
      </c>
      <c r="C995" t="e">
        <f>VLOOKUP(bron[[#This Row],[personeelsnr]],'data hastus'!$A:$C,2,0)</f>
        <v>#N/A</v>
      </c>
      <c r="D995" t="e">
        <f>VLOOKUP(bron[[#This Row],[personeelsnr]],'data hastus'!$A:$C,3,0)</f>
        <v>#N/A</v>
      </c>
      <c r="E995" s="2" t="e">
        <f>VLOOKUP(bron[[#This Row],[personeelsnr]],'data hastus'!A:K,11,FALSE)</f>
        <v>#N/A</v>
      </c>
      <c r="F995" s="10"/>
      <c r="G995" s="28"/>
      <c r="H995" s="28"/>
      <c r="I995" s="28"/>
      <c r="S995" s="44">
        <f>SUM(bron[[#This Row],[Januari]:[December]])</f>
        <v>0</v>
      </c>
      <c r="V995" s="26"/>
      <c r="W995" s="26"/>
      <c r="AB995" s="43">
        <f>COUNTIF(B:B,bron[[#This Row],[volledige naam]])</f>
        <v>27</v>
      </c>
    </row>
    <row r="996" spans="2:28" x14ac:dyDescent="0.25">
      <c r="B996" t="e">
        <f>_xlfn.CONCAT(bron[[#This Row],[personeelsnr]]," ",bron[[#This Row],[achternaam]]," ",bron[[#This Row],[voornaam]])</f>
        <v>#N/A</v>
      </c>
      <c r="C996" t="e">
        <f>VLOOKUP(bron[[#This Row],[personeelsnr]],'data hastus'!$A:$C,2,0)</f>
        <v>#N/A</v>
      </c>
      <c r="D996" t="e">
        <f>VLOOKUP(bron[[#This Row],[personeelsnr]],'data hastus'!$A:$C,3,0)</f>
        <v>#N/A</v>
      </c>
      <c r="E996" s="2" t="e">
        <f>VLOOKUP(bron[[#This Row],[personeelsnr]],'data hastus'!A:K,11,FALSE)</f>
        <v>#N/A</v>
      </c>
      <c r="F996" s="10"/>
      <c r="G996" s="28"/>
      <c r="H996" s="28"/>
      <c r="I996" s="28"/>
      <c r="S996" s="44">
        <f>SUM(bron[[#This Row],[Januari]:[December]])</f>
        <v>0</v>
      </c>
      <c r="V996" s="26"/>
      <c r="W996" s="26"/>
      <c r="AB996" s="43">
        <f>COUNTIF(B:B,bron[[#This Row],[volledige naam]])</f>
        <v>27</v>
      </c>
    </row>
    <row r="997" spans="2:28" x14ac:dyDescent="0.25">
      <c r="B997" t="e">
        <f>_xlfn.CONCAT(bron[[#This Row],[personeelsnr]]," ",bron[[#This Row],[achternaam]]," ",bron[[#This Row],[voornaam]])</f>
        <v>#N/A</v>
      </c>
      <c r="C997" t="e">
        <f>VLOOKUP(bron[[#This Row],[personeelsnr]],'data hastus'!$A:$C,2,0)</f>
        <v>#N/A</v>
      </c>
      <c r="D997" t="e">
        <f>VLOOKUP(bron[[#This Row],[personeelsnr]],'data hastus'!$A:$C,3,0)</f>
        <v>#N/A</v>
      </c>
      <c r="E997" s="2" t="e">
        <f>VLOOKUP(bron[[#This Row],[personeelsnr]],'data hastus'!A:K,11,FALSE)</f>
        <v>#N/A</v>
      </c>
      <c r="F997" s="10"/>
      <c r="G997" s="28"/>
      <c r="H997" s="28"/>
      <c r="I997" s="28"/>
      <c r="S997" s="44">
        <f>SUM(bron[[#This Row],[Januari]:[December]])</f>
        <v>0</v>
      </c>
      <c r="V997" s="26"/>
      <c r="W997" s="26"/>
      <c r="AB997" s="43">
        <f>COUNTIF(B:B,bron[[#This Row],[volledige naam]])</f>
        <v>27</v>
      </c>
    </row>
    <row r="998" spans="2:28" x14ac:dyDescent="0.25">
      <c r="B998" t="e">
        <f>_xlfn.CONCAT(bron[[#This Row],[personeelsnr]]," ",bron[[#This Row],[achternaam]]," ",bron[[#This Row],[voornaam]])</f>
        <v>#N/A</v>
      </c>
      <c r="C998" t="e">
        <f>VLOOKUP(bron[[#This Row],[personeelsnr]],'data hastus'!$A:$C,2,0)</f>
        <v>#N/A</v>
      </c>
      <c r="D998" t="e">
        <f>VLOOKUP(bron[[#This Row],[personeelsnr]],'data hastus'!$A:$C,3,0)</f>
        <v>#N/A</v>
      </c>
      <c r="E998" s="2" t="e">
        <f>VLOOKUP(bron[[#This Row],[personeelsnr]],'data hastus'!A:K,11,FALSE)</f>
        <v>#N/A</v>
      </c>
      <c r="F998" s="10"/>
      <c r="G998" s="28"/>
      <c r="H998" s="28"/>
      <c r="I998" s="28"/>
      <c r="S998" s="44">
        <f>SUM(bron[[#This Row],[Januari]:[December]])</f>
        <v>0</v>
      </c>
      <c r="V998" s="26"/>
      <c r="W998" s="26"/>
      <c r="AB998" s="43">
        <f>COUNTIF(B:B,bron[[#This Row],[volledige naam]])</f>
        <v>27</v>
      </c>
    </row>
    <row r="999" spans="2:28" x14ac:dyDescent="0.25">
      <c r="B999" t="e">
        <f>_xlfn.CONCAT(bron[[#This Row],[personeelsnr]]," ",bron[[#This Row],[achternaam]]," ",bron[[#This Row],[voornaam]])</f>
        <v>#N/A</v>
      </c>
      <c r="C999" t="e">
        <f>VLOOKUP(bron[[#This Row],[personeelsnr]],'data hastus'!$A:$C,2,0)</f>
        <v>#N/A</v>
      </c>
      <c r="D999" t="e">
        <f>VLOOKUP(bron[[#This Row],[personeelsnr]],'data hastus'!$A:$C,3,0)</f>
        <v>#N/A</v>
      </c>
      <c r="E999" s="2" t="e">
        <f>VLOOKUP(bron[[#This Row],[personeelsnr]],'data hastus'!A:K,11,FALSE)</f>
        <v>#N/A</v>
      </c>
      <c r="F999" s="10"/>
      <c r="G999" s="28"/>
      <c r="H999" s="28"/>
      <c r="I999" s="28"/>
      <c r="S999" s="44">
        <f>SUM(bron[[#This Row],[Januari]:[December]])</f>
        <v>0</v>
      </c>
      <c r="V999" s="26"/>
      <c r="W999" s="26"/>
      <c r="AB999" s="43">
        <f>COUNTIF(B:B,bron[[#This Row],[volledige naam]])</f>
        <v>27</v>
      </c>
    </row>
    <row r="1000" spans="2:28" x14ac:dyDescent="0.25">
      <c r="B1000" t="e">
        <f>_xlfn.CONCAT(bron[[#This Row],[personeelsnr]]," ",bron[[#This Row],[achternaam]]," ",bron[[#This Row],[voornaam]])</f>
        <v>#N/A</v>
      </c>
      <c r="C1000" t="e">
        <f>VLOOKUP(bron[[#This Row],[personeelsnr]],'data hastus'!$A:$C,2,0)</f>
        <v>#N/A</v>
      </c>
      <c r="D1000" t="e">
        <f>VLOOKUP(bron[[#This Row],[personeelsnr]],'data hastus'!$A:$C,3,0)</f>
        <v>#N/A</v>
      </c>
      <c r="E1000" s="2" t="e">
        <f>VLOOKUP(bron[[#This Row],[personeelsnr]],'data hastus'!A:K,11,FALSE)</f>
        <v>#N/A</v>
      </c>
      <c r="F1000" s="10"/>
      <c r="G1000" s="28"/>
      <c r="H1000" s="28"/>
      <c r="I1000" s="28"/>
      <c r="S1000" s="44">
        <f>SUM(bron[[#This Row],[Januari]:[December]])</f>
        <v>0</v>
      </c>
      <c r="V1000" s="26"/>
      <c r="W1000" s="26"/>
      <c r="AB1000" s="43">
        <f>COUNTIF(B:B,bron[[#This Row],[volledige naam]])</f>
        <v>27</v>
      </c>
    </row>
    <row r="1001" spans="2:28" x14ac:dyDescent="0.25">
      <c r="B1001" t="e">
        <f>_xlfn.CONCAT(bron[[#This Row],[personeelsnr]]," ",bron[[#This Row],[achternaam]]," ",bron[[#This Row],[voornaam]])</f>
        <v>#N/A</v>
      </c>
      <c r="C1001" t="e">
        <f>VLOOKUP(bron[[#This Row],[personeelsnr]],'data hastus'!$A:$C,2,0)</f>
        <v>#N/A</v>
      </c>
      <c r="D1001" t="e">
        <f>VLOOKUP(bron[[#This Row],[personeelsnr]],'data hastus'!$A:$C,3,0)</f>
        <v>#N/A</v>
      </c>
      <c r="E1001" s="2" t="e">
        <f>VLOOKUP(bron[[#This Row],[personeelsnr]],'data hastus'!A:K,11,FALSE)</f>
        <v>#N/A</v>
      </c>
      <c r="F1001" s="10"/>
      <c r="G1001" s="28"/>
      <c r="H1001" s="28"/>
      <c r="I1001" s="28"/>
      <c r="S1001" s="44">
        <f>SUM(bron[[#This Row],[Januari]:[December]])</f>
        <v>0</v>
      </c>
      <c r="V1001" s="26"/>
      <c r="W1001" s="26"/>
      <c r="AB1001" s="43">
        <f>COUNTIF(B:B,bron[[#This Row],[volledige naam]])</f>
        <v>27</v>
      </c>
    </row>
  </sheetData>
  <sheetProtection sort="0" autoFilter="0"/>
  <phoneticPr fontId="1" type="noConversion"/>
  <conditionalFormatting sqref="F2:F1001">
    <cfRule type="cellIs" dxfId="5" priority="5" operator="equal">
      <formula>0</formula>
    </cfRule>
    <cfRule type="cellIs" dxfId="4" priority="7" operator="between">
      <formula>1</formula>
      <formula>4</formula>
    </cfRule>
    <cfRule type="cellIs" dxfId="3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2" r:id="rId821" xr:uid="{36164D36-2CC1-4D35-98EA-C1FBAF0FF8EE}"/>
    <hyperlink ref="U979" r:id="rId822" display="../../../../../../:b:/r/teams/CTM-OTGentStad/Shared Documents/General/EAF/CSI(nieuwe sharepoint) 2025/11. November/EAF 6366 Gent 23112025.pdf?csf=1&amp;web=1&amp;e=cvlkvp" xr:uid="{0030A170-31C4-4842-A461-482572E7A865}"/>
    <hyperlink ref="U990" r:id="rId823" xr:uid="{3F387062-C57E-41FF-BB5B-7B5F0B4FF2FC}"/>
  </hyperlinks>
  <pageMargins left="0.7" right="0.7" top="0.75" bottom="0.75" header="0.3" footer="0.3"/>
  <pageSetup paperSize="9" orientation="portrait" r:id="rId824"/>
  <drawing r:id="rId825"/>
  <tableParts count="1">
    <tablePart r:id="rId82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D42"/>
  <sheetViews>
    <sheetView workbookViewId="0">
      <selection activeCell="D17" sqref="D1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4" x14ac:dyDescent="0.25">
      <c r="A1" t="s">
        <v>1321</v>
      </c>
      <c r="B1" t="s">
        <v>1322</v>
      </c>
      <c r="C1" t="s">
        <v>1323</v>
      </c>
      <c r="D1" t="s">
        <v>3875</v>
      </c>
    </row>
    <row r="2" spans="1:4" x14ac:dyDescent="0.25">
      <c r="A2">
        <v>29076</v>
      </c>
      <c r="B2" t="s">
        <v>1324</v>
      </c>
      <c r="C2" s="8" t="s">
        <v>1325</v>
      </c>
      <c r="D2" t="s">
        <v>3874</v>
      </c>
    </row>
    <row r="3" spans="1:4" x14ac:dyDescent="0.25">
      <c r="A3">
        <v>35348</v>
      </c>
      <c r="B3" t="s">
        <v>1326</v>
      </c>
      <c r="C3" s="8" t="s">
        <v>1327</v>
      </c>
      <c r="D3" t="s">
        <v>3876</v>
      </c>
    </row>
    <row r="4" spans="1:4" x14ac:dyDescent="0.25">
      <c r="A4">
        <v>10170</v>
      </c>
      <c r="B4" t="s">
        <v>1328</v>
      </c>
      <c r="C4" s="8" t="s">
        <v>1329</v>
      </c>
      <c r="D4" t="s">
        <v>3876</v>
      </c>
    </row>
    <row r="5" spans="1:4" x14ac:dyDescent="0.25">
      <c r="A5">
        <v>5579</v>
      </c>
      <c r="B5" t="s">
        <v>1330</v>
      </c>
      <c r="C5" s="8" t="s">
        <v>1331</v>
      </c>
      <c r="D5" t="s">
        <v>3876</v>
      </c>
    </row>
    <row r="6" spans="1:4" x14ac:dyDescent="0.25">
      <c r="A6">
        <v>4597</v>
      </c>
      <c r="B6" t="s">
        <v>1332</v>
      </c>
      <c r="C6" s="8" t="s">
        <v>1333</v>
      </c>
      <c r="D6" t="s">
        <v>3876</v>
      </c>
    </row>
    <row r="7" spans="1:4" x14ac:dyDescent="0.25">
      <c r="A7">
        <v>26268</v>
      </c>
      <c r="B7" t="s">
        <v>1334</v>
      </c>
      <c r="C7" s="8" t="s">
        <v>1335</v>
      </c>
      <c r="D7" t="s">
        <v>3876</v>
      </c>
    </row>
    <row r="8" spans="1:4" x14ac:dyDescent="0.25">
      <c r="A8">
        <v>23897</v>
      </c>
      <c r="B8" t="s">
        <v>1336</v>
      </c>
      <c r="C8" s="8" t="s">
        <v>1337</v>
      </c>
      <c r="D8" t="s">
        <v>3876</v>
      </c>
    </row>
    <row r="9" spans="1:4" x14ac:dyDescent="0.25">
      <c r="A9">
        <v>30456</v>
      </c>
      <c r="B9" t="s">
        <v>1338</v>
      </c>
      <c r="C9" s="8" t="s">
        <v>1339</v>
      </c>
      <c r="D9" t="s">
        <v>3876</v>
      </c>
    </row>
    <row r="10" spans="1:4" x14ac:dyDescent="0.25">
      <c r="A10">
        <v>7839</v>
      </c>
      <c r="B10" t="s">
        <v>1330</v>
      </c>
      <c r="C10" s="8" t="s">
        <v>1340</v>
      </c>
      <c r="D10" t="s">
        <v>3876</v>
      </c>
    </row>
    <row r="11" spans="1:4" x14ac:dyDescent="0.25">
      <c r="A11">
        <v>28740</v>
      </c>
      <c r="B11" t="s">
        <v>1341</v>
      </c>
      <c r="C11" s="8" t="s">
        <v>1342</v>
      </c>
      <c r="D11" t="s">
        <v>3876</v>
      </c>
    </row>
    <row r="12" spans="1:4" x14ac:dyDescent="0.25">
      <c r="A12">
        <v>32219</v>
      </c>
      <c r="B12" t="s">
        <v>1343</v>
      </c>
      <c r="C12" s="8" t="s">
        <v>1344</v>
      </c>
      <c r="D12" t="s">
        <v>370</v>
      </c>
    </row>
    <row r="13" spans="1:4" x14ac:dyDescent="0.25">
      <c r="A13">
        <v>33531</v>
      </c>
      <c r="B13" t="s">
        <v>1345</v>
      </c>
      <c r="C13" s="8" t="s">
        <v>1346</v>
      </c>
      <c r="D13" t="s">
        <v>370</v>
      </c>
    </row>
    <row r="14" spans="1:4" x14ac:dyDescent="0.25">
      <c r="A14">
        <v>10072</v>
      </c>
      <c r="B14" t="s">
        <v>1347</v>
      </c>
      <c r="C14" s="8" t="s">
        <v>1348</v>
      </c>
      <c r="D14" t="s">
        <v>370</v>
      </c>
    </row>
    <row r="15" spans="1:4" x14ac:dyDescent="0.25">
      <c r="A15">
        <v>33429</v>
      </c>
      <c r="B15" t="s">
        <v>1349</v>
      </c>
      <c r="C15" s="8" t="s">
        <v>1350</v>
      </c>
      <c r="D15" t="s">
        <v>370</v>
      </c>
    </row>
    <row r="16" spans="1:4" x14ac:dyDescent="0.25">
      <c r="A16">
        <v>15673</v>
      </c>
      <c r="B16" t="s">
        <v>1351</v>
      </c>
      <c r="C16" s="8" t="s">
        <v>1352</v>
      </c>
      <c r="D16" t="s">
        <v>3876</v>
      </c>
    </row>
    <row r="17" spans="1:3" x14ac:dyDescent="0.25">
      <c r="A17">
        <v>6046</v>
      </c>
      <c r="B17" t="s">
        <v>3494</v>
      </c>
      <c r="C17" s="8" t="s">
        <v>3495</v>
      </c>
    </row>
    <row r="18" spans="1:3" x14ac:dyDescent="0.25">
      <c r="A18">
        <v>4691</v>
      </c>
      <c r="B18" t="s">
        <v>1452</v>
      </c>
      <c r="C18" s="8" t="s">
        <v>3496</v>
      </c>
    </row>
    <row r="19" spans="1:3" x14ac:dyDescent="0.25">
      <c r="A19">
        <v>22812</v>
      </c>
      <c r="B19" t="s">
        <v>1550</v>
      </c>
      <c r="C19" s="8" t="s">
        <v>3497</v>
      </c>
    </row>
    <row r="20" spans="1:3" x14ac:dyDescent="0.25">
      <c r="A20">
        <v>25875</v>
      </c>
      <c r="B20" t="s">
        <v>3498</v>
      </c>
      <c r="C20" s="8" t="s">
        <v>3499</v>
      </c>
    </row>
    <row r="21" spans="1:3" x14ac:dyDescent="0.25">
      <c r="A21">
        <v>10905</v>
      </c>
      <c r="B21" t="s">
        <v>3500</v>
      </c>
      <c r="C21" s="8" t="s">
        <v>3501</v>
      </c>
    </row>
    <row r="22" spans="1:3" x14ac:dyDescent="0.25">
      <c r="A22">
        <v>17552</v>
      </c>
      <c r="B22" t="s">
        <v>3502</v>
      </c>
      <c r="C22" s="8" t="s">
        <v>3503</v>
      </c>
    </row>
    <row r="23" spans="1:3" x14ac:dyDescent="0.25">
      <c r="A23">
        <v>29544</v>
      </c>
      <c r="B23" t="s">
        <v>3504</v>
      </c>
      <c r="C23" s="8" t="s">
        <v>3505</v>
      </c>
    </row>
    <row r="24" spans="1:3" x14ac:dyDescent="0.25">
      <c r="A24">
        <v>14537</v>
      </c>
      <c r="B24" t="s">
        <v>3347</v>
      </c>
      <c r="C24" s="8" t="s">
        <v>3506</v>
      </c>
    </row>
    <row r="25" spans="1:3" x14ac:dyDescent="0.25">
      <c r="A25">
        <v>16707</v>
      </c>
      <c r="B25" t="s">
        <v>1452</v>
      </c>
      <c r="C25" s="8" t="s">
        <v>3507</v>
      </c>
    </row>
    <row r="26" spans="1:3" x14ac:dyDescent="0.25">
      <c r="A26">
        <v>7848</v>
      </c>
      <c r="B26" t="s">
        <v>2502</v>
      </c>
      <c r="C26" s="8" t="s">
        <v>3508</v>
      </c>
    </row>
    <row r="27" spans="1:3" x14ac:dyDescent="0.25">
      <c r="A27">
        <v>32710</v>
      </c>
      <c r="B27" t="s">
        <v>3015</v>
      </c>
      <c r="C27" s="8" t="s">
        <v>3509</v>
      </c>
    </row>
    <row r="28" spans="1:3" x14ac:dyDescent="0.25">
      <c r="A28">
        <v>20541</v>
      </c>
      <c r="B28" t="s">
        <v>1812</v>
      </c>
      <c r="C28" s="8" t="s">
        <v>3510</v>
      </c>
    </row>
    <row r="29" spans="1:3" x14ac:dyDescent="0.25">
      <c r="A29">
        <v>26202</v>
      </c>
      <c r="B29" t="s">
        <v>3511</v>
      </c>
      <c r="C29" s="8" t="s">
        <v>3512</v>
      </c>
    </row>
    <row r="30" spans="1:3" x14ac:dyDescent="0.25">
      <c r="A30">
        <v>27081</v>
      </c>
      <c r="B30" t="s">
        <v>3513</v>
      </c>
      <c r="C30" s="8" t="s">
        <v>3514</v>
      </c>
    </row>
    <row r="31" spans="1:3" x14ac:dyDescent="0.25">
      <c r="A31">
        <v>24577</v>
      </c>
      <c r="B31" t="s">
        <v>3515</v>
      </c>
      <c r="C31" s="8" t="s">
        <v>3516</v>
      </c>
    </row>
    <row r="32" spans="1:3" x14ac:dyDescent="0.25">
      <c r="A32">
        <v>29909</v>
      </c>
      <c r="B32" t="s">
        <v>3517</v>
      </c>
      <c r="C32" s="8" t="s">
        <v>3518</v>
      </c>
    </row>
    <row r="33" spans="1:3" x14ac:dyDescent="0.25">
      <c r="A33">
        <v>31154</v>
      </c>
      <c r="B33" t="s">
        <v>3519</v>
      </c>
      <c r="C33" s="8" t="s">
        <v>3520</v>
      </c>
    </row>
    <row r="34" spans="1:3" x14ac:dyDescent="0.25">
      <c r="A34">
        <v>4707</v>
      </c>
      <c r="B34" t="s">
        <v>1929</v>
      </c>
      <c r="C34" s="8" t="s">
        <v>3521</v>
      </c>
    </row>
    <row r="35" spans="1:3" x14ac:dyDescent="0.25">
      <c r="A35">
        <v>8538</v>
      </c>
      <c r="B35" t="s">
        <v>1911</v>
      </c>
      <c r="C35" s="8" t="s">
        <v>3522</v>
      </c>
    </row>
    <row r="36" spans="1:3" x14ac:dyDescent="0.25">
      <c r="A36">
        <v>27105</v>
      </c>
      <c r="B36" t="s">
        <v>3523</v>
      </c>
      <c r="C36" s="8" t="s">
        <v>3524</v>
      </c>
    </row>
    <row r="37" spans="1:3" x14ac:dyDescent="0.25">
      <c r="A37">
        <v>4692</v>
      </c>
      <c r="B37" t="s">
        <v>3015</v>
      </c>
      <c r="C37" s="8" t="s">
        <v>3525</v>
      </c>
    </row>
    <row r="38" spans="1:3" x14ac:dyDescent="0.25">
      <c r="A38">
        <v>90649</v>
      </c>
      <c r="B38" t="s">
        <v>2581</v>
      </c>
      <c r="C38" s="8" t="s">
        <v>3544</v>
      </c>
    </row>
    <row r="39" spans="1:3" x14ac:dyDescent="0.25">
      <c r="A39">
        <v>23079</v>
      </c>
      <c r="B39" t="s">
        <v>3523</v>
      </c>
      <c r="C39" s="8" t="s">
        <v>3545</v>
      </c>
    </row>
    <row r="40" spans="1:3" x14ac:dyDescent="0.25">
      <c r="A40">
        <v>40152</v>
      </c>
      <c r="B40" t="s">
        <v>3601</v>
      </c>
      <c r="C40" s="8" t="s">
        <v>3602</v>
      </c>
    </row>
    <row r="41" spans="1:3" x14ac:dyDescent="0.25">
      <c r="A41">
        <v>10865</v>
      </c>
      <c r="B41" t="s">
        <v>3630</v>
      </c>
      <c r="C41" s="8" t="s">
        <v>3631</v>
      </c>
    </row>
    <row r="42" spans="1:3" x14ac:dyDescent="0.25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5" x14ac:dyDescent="0.25"/>
  <sheetData>
    <row r="1" spans="1:20" x14ac:dyDescent="0.25">
      <c r="A1" t="s">
        <v>3845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25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25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J403"/>
  <sheetViews>
    <sheetView topLeftCell="G1" zoomScale="90" zoomScaleNormal="90" workbookViewId="0">
      <selection activeCell="J20" sqref="J20"/>
    </sheetView>
  </sheetViews>
  <sheetFormatPr defaultRowHeight="15" x14ac:dyDescent="0.25"/>
  <cols>
    <col min="1" max="2" width="14" style="34" customWidth="1"/>
    <col min="3" max="3" width="28" customWidth="1"/>
    <col min="4" max="4" width="28" style="34" customWidth="1"/>
    <col min="5" max="5" width="28" style="3" customWidth="1"/>
    <col min="6" max="6" width="10.28515625" style="35" bestFit="1" customWidth="1"/>
    <col min="7" max="7" width="15.7109375" bestFit="1" customWidth="1"/>
    <col min="9" max="9" width="11.140625" style="38" bestFit="1" customWidth="1"/>
    <col min="10" max="10" width="30.140625" style="37" bestFit="1" customWidth="1"/>
    <col min="11" max="19" width="4.5703125" bestFit="1" customWidth="1"/>
    <col min="20" max="47" width="5.5703125" bestFit="1" customWidth="1"/>
    <col min="48" max="48" width="9.5703125" bestFit="1" customWidth="1"/>
  </cols>
  <sheetData>
    <row r="1" spans="1:10" x14ac:dyDescent="0.25">
      <c r="A1" t="s">
        <v>3846</v>
      </c>
      <c r="B1" t="s">
        <v>3847</v>
      </c>
      <c r="C1" t="s">
        <v>3848</v>
      </c>
      <c r="D1" t="s">
        <v>3849</v>
      </c>
      <c r="E1" t="s">
        <v>3850</v>
      </c>
      <c r="F1" s="35" t="s">
        <v>3864</v>
      </c>
      <c r="G1" s="3" t="s">
        <v>3865</v>
      </c>
    </row>
    <row r="2" spans="1:10" x14ac:dyDescent="0.25">
      <c r="A2" s="34" t="s">
        <v>1579</v>
      </c>
      <c r="B2" s="34" t="s">
        <v>1578</v>
      </c>
      <c r="C2">
        <v>40138</v>
      </c>
      <c r="D2" s="34" t="s">
        <v>3853</v>
      </c>
      <c r="E2" s="3">
        <v>45335.041666666701</v>
      </c>
      <c r="F2" s="35">
        <f t="shared" ref="F2:F65" ca="1" si="0">YEAR(TODAY()) - YEAR(E2) - (IF(DATE(YEAR(TODAY()), MONTH(E2), DAY(E2)) &gt; TODAY(), 1, 0))</f>
        <v>1</v>
      </c>
      <c r="G2" s="42" cm="1">
        <f t="array" aca="1" ref="G2" ca="1">SUMPRODUCT((BRON!$A$2:$A$1214=Table1[[#This Row],[Personeelsnummer]])*(BRON!$T$2:$T$1214&gt;=DATE(YEAR(TODAY())-1,MONTH(TODAY()),DAY(TODAY())))*(BRON!$T$2:$T$1214&lt;=TODAY()))</f>
        <v>9</v>
      </c>
      <c r="I2" s="39" t="s">
        <v>3807</v>
      </c>
      <c r="J2" s="37" t="s">
        <v>3877</v>
      </c>
    </row>
    <row r="3" spans="1:10" x14ac:dyDescent="0.25">
      <c r="A3" s="34" t="s">
        <v>2987</v>
      </c>
      <c r="B3" s="34" t="s">
        <v>2986</v>
      </c>
      <c r="C3">
        <v>41092</v>
      </c>
      <c r="D3" s="34" t="s">
        <v>3859</v>
      </c>
      <c r="E3" s="3">
        <v>45574.083333333299</v>
      </c>
      <c r="F3" s="35">
        <f t="shared" ca="1" si="0"/>
        <v>1</v>
      </c>
      <c r="G3" s="42" cm="1">
        <f t="array" aca="1" ref="G3" ca="1">SUMPRODUCT((BRON!$A$2:$A$1214=Table1[[#This Row],[Personeelsnummer]])*(BRON!$T$2:$T$1214&gt;=DATE(YEAR(TODAY())-1,MONTH(TODAY()),DAY(TODAY())))*(BRON!$T$2:$T$1214&lt;=TODAY()))</f>
        <v>7</v>
      </c>
      <c r="I3" s="40">
        <v>0</v>
      </c>
      <c r="J3" s="37">
        <v>1.7714285714285714</v>
      </c>
    </row>
    <row r="4" spans="1:10" x14ac:dyDescent="0.25">
      <c r="A4" s="34" t="s">
        <v>3438</v>
      </c>
      <c r="B4" s="34" t="s">
        <v>3558</v>
      </c>
      <c r="C4">
        <v>42252</v>
      </c>
      <c r="D4" s="34" t="s">
        <v>3853</v>
      </c>
      <c r="E4" s="3">
        <v>45903.083333333299</v>
      </c>
      <c r="F4" s="35">
        <f t="shared" ca="1" si="0"/>
        <v>0</v>
      </c>
      <c r="G4" s="42" cm="1">
        <f t="array" aca="1" ref="G4" ca="1">SUMPRODUCT((BRON!$A$2:$A$1214=Table1[[#This Row],[Personeelsnummer]])*(BRON!$T$2:$T$1214&gt;=DATE(YEAR(TODAY())-1,MONTH(TODAY()),DAY(TODAY())))*(BRON!$T$2:$T$1214&lt;=TODAY()))</f>
        <v>5</v>
      </c>
      <c r="I4" s="40">
        <v>1</v>
      </c>
      <c r="J4" s="37">
        <v>1.9272727272727272</v>
      </c>
    </row>
    <row r="5" spans="1:10" x14ac:dyDescent="0.25">
      <c r="A5" s="34" t="s">
        <v>1778</v>
      </c>
      <c r="B5" s="34" t="s">
        <v>1777</v>
      </c>
      <c r="C5">
        <v>40856</v>
      </c>
      <c r="D5" s="34" t="s">
        <v>3851</v>
      </c>
      <c r="E5" s="3">
        <v>45538.083333333299</v>
      </c>
      <c r="F5" s="35">
        <f t="shared" ca="1" si="0"/>
        <v>1</v>
      </c>
      <c r="G5" s="42" cm="1">
        <f t="array" aca="1" ref="G5" ca="1">SUMPRODUCT((BRON!$A$2:$A$1214=Table1[[#This Row],[Personeelsnummer]])*(BRON!$T$2:$T$1214&gt;=DATE(YEAR(TODAY())-1,MONTH(TODAY()),DAY(TODAY())))*(BRON!$T$2:$T$1214&lt;=TODAY()))</f>
        <v>5</v>
      </c>
      <c r="I5" s="40">
        <v>2</v>
      </c>
      <c r="J5" s="37">
        <v>1.2653061224489797</v>
      </c>
    </row>
    <row r="6" spans="1:10" x14ac:dyDescent="0.25">
      <c r="A6" s="34" t="s">
        <v>2596</v>
      </c>
      <c r="B6" s="34" t="s">
        <v>2595</v>
      </c>
      <c r="C6">
        <v>41162</v>
      </c>
      <c r="D6" s="34" t="s">
        <v>3859</v>
      </c>
      <c r="E6" s="3">
        <v>45603.041666666701</v>
      </c>
      <c r="F6" s="35">
        <f t="shared" ca="1" si="0"/>
        <v>1</v>
      </c>
      <c r="G6" s="42" cm="1">
        <f t="array" aca="1" ref="G6" ca="1">SUMPRODUCT((BRON!$A$2:$A$1214=Table1[[#This Row],[Personeelsnummer]])*(BRON!$T$2:$T$1214&gt;=DATE(YEAR(TODAY())-1,MONTH(TODAY()),DAY(TODAY())))*(BRON!$T$2:$T$1214&lt;=TODAY()))</f>
        <v>5</v>
      </c>
      <c r="I6" s="40">
        <v>3</v>
      </c>
      <c r="J6" s="37">
        <v>0.9</v>
      </c>
    </row>
    <row r="7" spans="1:10" x14ac:dyDescent="0.25">
      <c r="A7" s="34" t="s">
        <v>2866</v>
      </c>
      <c r="B7" s="34" t="s">
        <v>2869</v>
      </c>
      <c r="C7">
        <v>19917</v>
      </c>
      <c r="D7" s="34" t="s">
        <v>3854</v>
      </c>
      <c r="E7" s="3">
        <v>39006.083333333299</v>
      </c>
      <c r="F7" s="35">
        <f t="shared" ca="1" si="0"/>
        <v>19</v>
      </c>
      <c r="G7" s="42" cm="1">
        <f t="array" aca="1" ref="G7" ca="1">SUMPRODUCT((BRON!$A$2:$A$1214=Table1[[#This Row],[Personeelsnummer]])*(BRON!$T$2:$T$1214&gt;=DATE(YEAR(TODAY())-1,MONTH(TODAY()),DAY(TODAY())))*(BRON!$T$2:$T$1214&lt;=TODAY()))</f>
        <v>5</v>
      </c>
      <c r="I7" s="40">
        <v>4</v>
      </c>
      <c r="J7" s="37">
        <v>1.5217391304347827</v>
      </c>
    </row>
    <row r="8" spans="1:10" x14ac:dyDescent="0.25">
      <c r="A8" s="34" t="s">
        <v>2850</v>
      </c>
      <c r="B8" s="34" t="s">
        <v>2854</v>
      </c>
      <c r="C8">
        <v>16895</v>
      </c>
      <c r="D8" s="34" t="s">
        <v>3854</v>
      </c>
      <c r="E8" s="3">
        <v>38103.083333333299</v>
      </c>
      <c r="F8" s="35">
        <f t="shared" ca="1" si="0"/>
        <v>21</v>
      </c>
      <c r="G8" s="42" cm="1">
        <f t="array" aca="1" ref="G8" ca="1">SUMPRODUCT((BRON!$A$2:$A$1214=Table1[[#This Row],[Personeelsnummer]])*(BRON!$T$2:$T$1214&gt;=DATE(YEAR(TODAY())-1,MONTH(TODAY()),DAY(TODAY())))*(BRON!$T$2:$T$1214&lt;=TODAY()))</f>
        <v>5</v>
      </c>
      <c r="I8" s="40">
        <v>5</v>
      </c>
      <c r="J8" s="37">
        <v>0.95833333333333337</v>
      </c>
    </row>
    <row r="9" spans="1:10" x14ac:dyDescent="0.25">
      <c r="A9" s="34" t="s">
        <v>1590</v>
      </c>
      <c r="B9" s="34" t="s">
        <v>1589</v>
      </c>
      <c r="C9">
        <v>41384</v>
      </c>
      <c r="D9" s="34" t="s">
        <v>3853</v>
      </c>
      <c r="E9" s="3">
        <v>45677.041666666701</v>
      </c>
      <c r="F9" s="35">
        <f t="shared" ca="1" si="0"/>
        <v>0</v>
      </c>
      <c r="G9" s="42" cm="1">
        <f t="array" aca="1" ref="G9" ca="1">SUMPRODUCT((BRON!$A$2:$A$1214=Table1[[#This Row],[Personeelsnummer]])*(BRON!$T$2:$T$1214&gt;=DATE(YEAR(TODAY())-1,MONTH(TODAY()),DAY(TODAY())))*(BRON!$T$2:$T$1214&lt;=TODAY()))</f>
        <v>4</v>
      </c>
      <c r="I9" s="40">
        <v>6</v>
      </c>
      <c r="J9" s="37">
        <v>0.84615384615384615</v>
      </c>
    </row>
    <row r="10" spans="1:10" x14ac:dyDescent="0.25">
      <c r="A10" s="34" t="s">
        <v>2081</v>
      </c>
      <c r="B10" s="34" t="s">
        <v>2080</v>
      </c>
      <c r="C10">
        <v>40938</v>
      </c>
      <c r="D10" s="34" t="s">
        <v>3859</v>
      </c>
      <c r="E10" s="3">
        <v>45530.083333333299</v>
      </c>
      <c r="F10" s="35">
        <f t="shared" ca="1" si="0"/>
        <v>1</v>
      </c>
      <c r="G10" s="42" cm="1">
        <f t="array" aca="1" ref="G10" ca="1">SUMPRODUCT((BRON!$A$2:$A$1214=Table1[[#This Row],[Personeelsnummer]])*(BRON!$T$2:$T$1214&gt;=DATE(YEAR(TODAY())-1,MONTH(TODAY()),DAY(TODAY())))*(BRON!$T$2:$T$1214&lt;=TODAY()))</f>
        <v>4</v>
      </c>
      <c r="I10" s="40">
        <v>7</v>
      </c>
      <c r="J10" s="37">
        <v>1.2857142857142858</v>
      </c>
    </row>
    <row r="11" spans="1:10" x14ac:dyDescent="0.25">
      <c r="A11" s="34" t="s">
        <v>2343</v>
      </c>
      <c r="B11" s="34" t="s">
        <v>2342</v>
      </c>
      <c r="C11">
        <v>41032</v>
      </c>
      <c r="D11" s="34" t="s">
        <v>3856</v>
      </c>
      <c r="E11" s="3">
        <v>45559.083333333299</v>
      </c>
      <c r="F11" s="35">
        <f t="shared" ca="1" si="0"/>
        <v>1</v>
      </c>
      <c r="G11" s="42" cm="1">
        <f t="array" aca="1" ref="G11" ca="1">SUMPRODUCT((BRON!$A$2:$A$1214=Table1[[#This Row],[Personeelsnummer]])*(BRON!$T$2:$T$1214&gt;=DATE(YEAR(TODAY())-1,MONTH(TODAY()),DAY(TODAY())))*(BRON!$T$2:$T$1214&lt;=TODAY()))</f>
        <v>4</v>
      </c>
      <c r="I11" s="40">
        <v>8</v>
      </c>
      <c r="J11" s="37">
        <v>0.92307692307692313</v>
      </c>
    </row>
    <row r="12" spans="1:10" x14ac:dyDescent="0.25">
      <c r="A12" s="34" t="s">
        <v>2800</v>
      </c>
      <c r="B12" s="34" t="s">
        <v>1959</v>
      </c>
      <c r="C12">
        <v>40652</v>
      </c>
      <c r="D12" s="34" t="s">
        <v>3856</v>
      </c>
      <c r="E12" s="3">
        <v>45470.083333333299</v>
      </c>
      <c r="F12" s="35">
        <f t="shared" ca="1" si="0"/>
        <v>1</v>
      </c>
      <c r="G12" s="42" cm="1">
        <f t="array" aca="1" ref="G12" ca="1">SUMPRODUCT((BRON!$A$2:$A$1214=Table1[[#This Row],[Personeelsnummer]])*(BRON!$T$2:$T$1214&gt;=DATE(YEAR(TODAY())-1,MONTH(TODAY()),DAY(TODAY())))*(BRON!$T$2:$T$1214&lt;=TODAY()))</f>
        <v>6</v>
      </c>
      <c r="I12" s="40">
        <v>9</v>
      </c>
      <c r="J12" s="37">
        <v>0.88888888888888884</v>
      </c>
    </row>
    <row r="13" spans="1:10" x14ac:dyDescent="0.25">
      <c r="A13" s="34" t="s">
        <v>2604</v>
      </c>
      <c r="B13" s="34" t="s">
        <v>1477</v>
      </c>
      <c r="C13">
        <v>42307</v>
      </c>
      <c r="D13" s="34" t="s">
        <v>3853</v>
      </c>
      <c r="E13" s="3">
        <v>45903.083333333299</v>
      </c>
      <c r="F13" s="35">
        <f t="shared" ca="1" si="0"/>
        <v>0</v>
      </c>
      <c r="G13" s="42" cm="1">
        <f t="array" aca="1" ref="G13" ca="1">SUMPRODUCT((BRON!$A$2:$A$1214=Table1[[#This Row],[Personeelsnummer]])*(BRON!$T$2:$T$1214&gt;=DATE(YEAR(TODAY())-1,MONTH(TODAY()),DAY(TODAY())))*(BRON!$T$2:$T$1214&lt;=TODAY()))</f>
        <v>3</v>
      </c>
      <c r="I13" s="40">
        <v>10</v>
      </c>
      <c r="J13" s="37">
        <v>1</v>
      </c>
    </row>
    <row r="14" spans="1:10" x14ac:dyDescent="0.25">
      <c r="A14" s="34" t="s">
        <v>1444</v>
      </c>
      <c r="B14" s="34" t="s">
        <v>1443</v>
      </c>
      <c r="C14">
        <v>41246</v>
      </c>
      <c r="D14" s="34" t="s">
        <v>3859</v>
      </c>
      <c r="E14" s="3">
        <v>45663.041666666701</v>
      </c>
      <c r="F14" s="35">
        <f t="shared" ca="1" si="0"/>
        <v>0</v>
      </c>
      <c r="G14" s="42" cm="1">
        <f t="array" aca="1" ref="G14" ca="1">SUMPRODUCT((BRON!$A$2:$A$1214=Table1[[#This Row],[Personeelsnummer]])*(BRON!$T$2:$T$1214&gt;=DATE(YEAR(TODAY())-1,MONTH(TODAY()),DAY(TODAY())))*(BRON!$T$2:$T$1214&lt;=TODAY()))</f>
        <v>3</v>
      </c>
      <c r="I14" s="40">
        <v>11</v>
      </c>
      <c r="J14" s="37">
        <v>1</v>
      </c>
    </row>
    <row r="15" spans="1:10" x14ac:dyDescent="0.25">
      <c r="A15" s="34" t="s">
        <v>2023</v>
      </c>
      <c r="B15" s="34" t="s">
        <v>2022</v>
      </c>
      <c r="C15">
        <v>41482</v>
      </c>
      <c r="D15" s="34" t="s">
        <v>3854</v>
      </c>
      <c r="E15" s="3">
        <v>45735.041666666701</v>
      </c>
      <c r="F15" s="35">
        <f t="shared" ca="1" si="0"/>
        <v>0</v>
      </c>
      <c r="G15" s="42" cm="1">
        <f t="array" aca="1" ref="G15" ca="1">SUMPRODUCT((BRON!$A$2:$A$1214=Table1[[#This Row],[Personeelsnummer]])*(BRON!$T$2:$T$1214&gt;=DATE(YEAR(TODAY())-1,MONTH(TODAY()),DAY(TODAY())))*(BRON!$T$2:$T$1214&lt;=TODAY()))</f>
        <v>3</v>
      </c>
      <c r="I15" s="40">
        <v>12</v>
      </c>
      <c r="J15" s="37">
        <v>1</v>
      </c>
    </row>
    <row r="16" spans="1:10" x14ac:dyDescent="0.25">
      <c r="A16" s="34" t="s">
        <v>3306</v>
      </c>
      <c r="B16" s="34" t="s">
        <v>3305</v>
      </c>
      <c r="C16">
        <v>41520</v>
      </c>
      <c r="D16" s="34" t="s">
        <v>3853</v>
      </c>
      <c r="E16" s="3">
        <v>45720.041666666701</v>
      </c>
      <c r="F16" s="35">
        <f t="shared" ca="1" si="0"/>
        <v>0</v>
      </c>
      <c r="G16" s="42" cm="1">
        <f t="array" aca="1" ref="G16" ca="1">SUMPRODUCT((BRON!$A$2:$A$1214=Table1[[#This Row],[Personeelsnummer]])*(BRON!$T$2:$T$1214&gt;=DATE(YEAR(TODAY())-1,MONTH(TODAY()),DAY(TODAY())))*(BRON!$T$2:$T$1214&lt;=TODAY()))</f>
        <v>3</v>
      </c>
      <c r="I16" s="40">
        <v>13</v>
      </c>
      <c r="J16" s="37">
        <v>0.83333333333333337</v>
      </c>
    </row>
    <row r="17" spans="1:10" x14ac:dyDescent="0.25">
      <c r="A17" s="34" t="s">
        <v>2011</v>
      </c>
      <c r="B17" s="34" t="s">
        <v>2010</v>
      </c>
      <c r="C17">
        <v>41619</v>
      </c>
      <c r="D17" s="34" t="s">
        <v>3854</v>
      </c>
      <c r="E17" s="3">
        <v>45770.083333333299</v>
      </c>
      <c r="F17" s="35">
        <f t="shared" ca="1" si="0"/>
        <v>0</v>
      </c>
      <c r="G17" s="42" cm="1">
        <f t="array" aca="1" ref="G17" ca="1">SUMPRODUCT((BRON!$A$2:$A$1214=Table1[[#This Row],[Personeelsnummer]])*(BRON!$T$2:$T$1214&gt;=DATE(YEAR(TODAY())-1,MONTH(TODAY()),DAY(TODAY())))*(BRON!$T$2:$T$1214&lt;=TODAY()))</f>
        <v>3</v>
      </c>
      <c r="I17" s="40">
        <v>14</v>
      </c>
      <c r="J17" s="37">
        <v>0.8</v>
      </c>
    </row>
    <row r="18" spans="1:10" x14ac:dyDescent="0.25">
      <c r="A18" s="34" t="s">
        <v>3181</v>
      </c>
      <c r="B18" s="34" t="s">
        <v>3180</v>
      </c>
      <c r="C18">
        <v>41874</v>
      </c>
      <c r="D18" s="34" t="s">
        <v>3859</v>
      </c>
      <c r="E18" s="3">
        <v>45814.083333333299</v>
      </c>
      <c r="F18" s="35">
        <f t="shared" ca="1" si="0"/>
        <v>0</v>
      </c>
      <c r="G18" s="42" cm="1">
        <f t="array" aca="1" ref="G18" ca="1">SUMPRODUCT((BRON!$A$2:$A$1214=Table1[[#This Row],[Personeelsnummer]])*(BRON!$T$2:$T$1214&gt;=DATE(YEAR(TODAY())-1,MONTH(TODAY()),DAY(TODAY())))*(BRON!$T$2:$T$1214&lt;=TODAY()))</f>
        <v>3</v>
      </c>
      <c r="I18" s="40">
        <v>15</v>
      </c>
      <c r="J18" s="37">
        <v>1.8</v>
      </c>
    </row>
    <row r="19" spans="1:10" x14ac:dyDescent="0.25">
      <c r="A19" s="34" t="s">
        <v>2520</v>
      </c>
      <c r="B19" s="34" t="s">
        <v>2519</v>
      </c>
      <c r="C19">
        <v>42146</v>
      </c>
      <c r="D19" s="34" t="s">
        <v>3858</v>
      </c>
      <c r="E19" s="3">
        <v>45874.083333333299</v>
      </c>
      <c r="F19" s="35">
        <f t="shared" ca="1" si="0"/>
        <v>0</v>
      </c>
      <c r="G19" s="42" cm="1">
        <f t="array" aca="1" ref="G19" ca="1">SUMPRODUCT((BRON!$A$2:$A$1214=Table1[[#This Row],[Personeelsnummer]])*(BRON!$T$2:$T$1214&gt;=DATE(YEAR(TODAY())-1,MONTH(TODAY()),DAY(TODAY())))*(BRON!$T$2:$T$1214&lt;=TODAY()))</f>
        <v>3</v>
      </c>
      <c r="I19" s="40">
        <v>16</v>
      </c>
      <c r="J19" s="37">
        <v>0.83333333333333337</v>
      </c>
    </row>
    <row r="20" spans="1:10" x14ac:dyDescent="0.25">
      <c r="A20" s="34" t="s">
        <v>1701</v>
      </c>
      <c r="B20" s="34" t="s">
        <v>3163</v>
      </c>
      <c r="C20">
        <v>40362</v>
      </c>
      <c r="D20" s="34" t="s">
        <v>3851</v>
      </c>
      <c r="E20" s="3">
        <v>45394.083333333299</v>
      </c>
      <c r="F20" s="35">
        <f t="shared" ca="1" si="0"/>
        <v>1</v>
      </c>
      <c r="G20" s="42" cm="1">
        <f t="array" aca="1" ref="G20" ca="1">SUMPRODUCT((BRON!$A$2:$A$1214=Table1[[#This Row],[Personeelsnummer]])*(BRON!$T$2:$T$1214&gt;=DATE(YEAR(TODAY())-1,MONTH(TODAY()),DAY(TODAY())))*(BRON!$T$2:$T$1214&lt;=TODAY()))</f>
        <v>3</v>
      </c>
      <c r="I20" s="40">
        <v>17</v>
      </c>
      <c r="J20" s="37">
        <v>0.81818181818181823</v>
      </c>
    </row>
    <row r="21" spans="1:10" x14ac:dyDescent="0.25">
      <c r="A21" s="34" t="s">
        <v>1722</v>
      </c>
      <c r="B21" s="34" t="s">
        <v>1721</v>
      </c>
      <c r="C21">
        <v>40939</v>
      </c>
      <c r="D21" s="34" t="s">
        <v>3851</v>
      </c>
      <c r="E21" s="3">
        <v>45530.083333333299</v>
      </c>
      <c r="F21" s="35">
        <f t="shared" ca="1" si="0"/>
        <v>1</v>
      </c>
      <c r="G21" s="42" cm="1">
        <f t="array" aca="1" ref="G21" ca="1">SUMPRODUCT((BRON!$A$2:$A$1214=Table1[[#This Row],[Personeelsnummer]])*(BRON!$T$2:$T$1214&gt;=DATE(YEAR(TODAY())-1,MONTH(TODAY()),DAY(TODAY())))*(BRON!$T$2:$T$1214&lt;=TODAY()))</f>
        <v>3</v>
      </c>
      <c r="I21" s="40">
        <v>18</v>
      </c>
      <c r="J21" s="37">
        <v>0.83333333333333337</v>
      </c>
    </row>
    <row r="22" spans="1:10" x14ac:dyDescent="0.25">
      <c r="A22" s="34" t="s">
        <v>2876</v>
      </c>
      <c r="B22" s="34" t="s">
        <v>2875</v>
      </c>
      <c r="C22">
        <v>40278</v>
      </c>
      <c r="D22" s="34" t="s">
        <v>3853</v>
      </c>
      <c r="E22" s="3">
        <v>45378.041666666701</v>
      </c>
      <c r="F22" s="35">
        <f t="shared" ca="1" si="0"/>
        <v>1</v>
      </c>
      <c r="G22" s="42" cm="1">
        <f t="array" aca="1" ref="G22" ca="1">SUMPRODUCT((BRON!$A$2:$A$1214=Table1[[#This Row],[Personeelsnummer]])*(BRON!$T$2:$T$1214&gt;=DATE(YEAR(TODAY())-1,MONTH(TODAY()),DAY(TODAY())))*(BRON!$T$2:$T$1214&lt;=TODAY()))</f>
        <v>3</v>
      </c>
      <c r="I22" s="40">
        <v>19</v>
      </c>
      <c r="J22" s="37">
        <v>1.125</v>
      </c>
    </row>
    <row r="23" spans="1:10" x14ac:dyDescent="0.25">
      <c r="A23" s="34" t="s">
        <v>1733</v>
      </c>
      <c r="B23" s="34" t="s">
        <v>1738</v>
      </c>
      <c r="C23">
        <v>40110</v>
      </c>
      <c r="D23" s="34" t="s">
        <v>3853</v>
      </c>
      <c r="E23" s="3">
        <v>45335.041666666701</v>
      </c>
      <c r="F23" s="35">
        <f t="shared" ca="1" si="0"/>
        <v>1</v>
      </c>
      <c r="G23" s="42" cm="1">
        <f t="array" aca="1" ref="G23" ca="1">SUMPRODUCT((BRON!$A$2:$A$1214=Table1[[#This Row],[Personeelsnummer]])*(BRON!$T$2:$T$1214&gt;=DATE(YEAR(TODAY())-1,MONTH(TODAY()),DAY(TODAY())))*(BRON!$T$2:$T$1214&lt;=TODAY()))</f>
        <v>3</v>
      </c>
      <c r="I23" s="40">
        <v>20</v>
      </c>
      <c r="J23" s="37">
        <v>1.25</v>
      </c>
    </row>
    <row r="24" spans="1:10" x14ac:dyDescent="0.25">
      <c r="A24" s="34" t="s">
        <v>3173</v>
      </c>
      <c r="B24" s="34" t="s">
        <v>3172</v>
      </c>
      <c r="C24">
        <v>38807</v>
      </c>
      <c r="D24" s="34" t="s">
        <v>3853</v>
      </c>
      <c r="E24" s="3">
        <v>45027.083333333299</v>
      </c>
      <c r="F24" s="35">
        <f t="shared" ca="1" si="0"/>
        <v>2</v>
      </c>
      <c r="G24" s="42" cm="1">
        <f t="array" aca="1" ref="G24" ca="1">SUMPRODUCT((BRON!$A$2:$A$1214=Table1[[#This Row],[Personeelsnummer]])*(BRON!$T$2:$T$1214&gt;=DATE(YEAR(TODAY())-1,MONTH(TODAY()),DAY(TODAY())))*(BRON!$T$2:$T$1214&lt;=TODAY()))</f>
        <v>3</v>
      </c>
      <c r="I24" s="40">
        <v>21</v>
      </c>
      <c r="J24" s="37">
        <v>2</v>
      </c>
    </row>
    <row r="25" spans="1:10" x14ac:dyDescent="0.25">
      <c r="A25" s="34" t="s">
        <v>1622</v>
      </c>
      <c r="B25" s="34" t="s">
        <v>1621</v>
      </c>
      <c r="C25">
        <v>39651</v>
      </c>
      <c r="D25" s="34" t="s">
        <v>3851</v>
      </c>
      <c r="E25" s="3">
        <v>45208.083333333299</v>
      </c>
      <c r="F25" s="35">
        <f t="shared" ca="1" si="0"/>
        <v>2</v>
      </c>
      <c r="G25" s="42" cm="1">
        <f t="array" aca="1" ref="G25" ca="1">SUMPRODUCT((BRON!$A$2:$A$1214=Table1[[#This Row],[Personeelsnummer]])*(BRON!$T$2:$T$1214&gt;=DATE(YEAR(TODAY())-1,MONTH(TODAY()),DAY(TODAY())))*(BRON!$T$2:$T$1214&lt;=TODAY()))</f>
        <v>3</v>
      </c>
      <c r="I25" s="40">
        <v>22</v>
      </c>
      <c r="J25" s="37">
        <v>0.66666666666666663</v>
      </c>
    </row>
    <row r="26" spans="1:10" x14ac:dyDescent="0.25">
      <c r="A26" s="34" t="s">
        <v>2733</v>
      </c>
      <c r="B26" s="34" t="s">
        <v>2732</v>
      </c>
      <c r="C26">
        <v>39673</v>
      </c>
      <c r="D26" s="34" t="s">
        <v>3856</v>
      </c>
      <c r="E26" s="3">
        <v>45236.041666666701</v>
      </c>
      <c r="F26" s="35">
        <f t="shared" ca="1" si="0"/>
        <v>2</v>
      </c>
      <c r="G26" s="42" cm="1">
        <f t="array" aca="1" ref="G26" ca="1">SUMPRODUCT((BRON!$A$2:$A$1214=Table1[[#This Row],[Personeelsnummer]])*(BRON!$T$2:$T$1214&gt;=DATE(YEAR(TODAY())-1,MONTH(TODAY()),DAY(TODAY())))*(BRON!$T$2:$T$1214&lt;=TODAY()))</f>
        <v>3</v>
      </c>
      <c r="I26" s="40">
        <v>23</v>
      </c>
      <c r="J26" s="37">
        <v>0.625</v>
      </c>
    </row>
    <row r="27" spans="1:10" x14ac:dyDescent="0.25">
      <c r="A27" s="34" t="s">
        <v>2792</v>
      </c>
      <c r="B27" s="34" t="s">
        <v>2795</v>
      </c>
      <c r="C27">
        <v>39660</v>
      </c>
      <c r="D27" s="34" t="s">
        <v>3854</v>
      </c>
      <c r="E27" s="3">
        <v>45222.083333333299</v>
      </c>
      <c r="F27" s="35">
        <f t="shared" ca="1" si="0"/>
        <v>2</v>
      </c>
      <c r="G27" s="42" cm="1">
        <f t="array" aca="1" ref="G27" ca="1">SUMPRODUCT((BRON!$A$2:$A$1214=Table1[[#This Row],[Personeelsnummer]])*(BRON!$T$2:$T$1214&gt;=DATE(YEAR(TODAY())-1,MONTH(TODAY()),DAY(TODAY())))*(BRON!$T$2:$T$1214&lt;=TODAY()))</f>
        <v>3</v>
      </c>
      <c r="I27" s="40">
        <v>24</v>
      </c>
      <c r="J27" s="37">
        <v>0.6</v>
      </c>
    </row>
    <row r="28" spans="1:10" x14ac:dyDescent="0.25">
      <c r="A28" s="34" t="s">
        <v>1328</v>
      </c>
      <c r="B28" s="34" t="s">
        <v>1629</v>
      </c>
      <c r="C28">
        <v>37662</v>
      </c>
      <c r="D28" s="34" t="s">
        <v>3854</v>
      </c>
      <c r="E28" s="3">
        <v>44719.083333333299</v>
      </c>
      <c r="F28" s="35">
        <f t="shared" ca="1" si="0"/>
        <v>3</v>
      </c>
      <c r="G28" s="42" cm="1">
        <f t="array" aca="1" ref="G28" ca="1">SUMPRODUCT((BRON!$A$2:$A$1214=Table1[[#This Row],[Personeelsnummer]])*(BRON!$T$2:$T$1214&gt;=DATE(YEAR(TODAY())-1,MONTH(TODAY()),DAY(TODAY())))*(BRON!$T$2:$T$1214&lt;=TODAY()))</f>
        <v>4</v>
      </c>
      <c r="I28" s="40">
        <v>25</v>
      </c>
      <c r="J28" s="37">
        <v>1</v>
      </c>
    </row>
    <row r="29" spans="1:10" x14ac:dyDescent="0.25">
      <c r="A29" s="34" t="s">
        <v>3446</v>
      </c>
      <c r="B29" s="34" t="s">
        <v>3445</v>
      </c>
      <c r="C29">
        <v>36426</v>
      </c>
      <c r="D29" s="34" t="s">
        <v>3854</v>
      </c>
      <c r="E29" s="3">
        <v>44305.083333333299</v>
      </c>
      <c r="F29" s="35">
        <f t="shared" ca="1" si="0"/>
        <v>4</v>
      </c>
      <c r="G29" s="42" cm="1">
        <f t="array" aca="1" ref="G29" ca="1">SUMPRODUCT((BRON!$A$2:$A$1214=Table1[[#This Row],[Personeelsnummer]])*(BRON!$T$2:$T$1214&gt;=DATE(YEAR(TODAY())-1,MONTH(TODAY()),DAY(TODAY())))*(BRON!$T$2:$T$1214&lt;=TODAY()))</f>
        <v>3</v>
      </c>
      <c r="I29" s="40">
        <v>26</v>
      </c>
      <c r="J29" s="37">
        <v>1</v>
      </c>
    </row>
    <row r="30" spans="1:10" x14ac:dyDescent="0.25">
      <c r="A30" s="34" t="s">
        <v>3435</v>
      </c>
      <c r="B30" s="34" t="s">
        <v>3434</v>
      </c>
      <c r="C30">
        <v>36663</v>
      </c>
      <c r="D30" s="34" t="s">
        <v>3859</v>
      </c>
      <c r="E30" s="3">
        <v>44431.083333333299</v>
      </c>
      <c r="F30" s="35">
        <f t="shared" ca="1" si="0"/>
        <v>4</v>
      </c>
      <c r="G30" s="42" cm="1">
        <f t="array" aca="1" ref="G30" ca="1">SUMPRODUCT((BRON!$A$2:$A$1214=Table1[[#This Row],[Personeelsnummer]])*(BRON!$T$2:$T$1214&gt;=DATE(YEAR(TODAY())-1,MONTH(TODAY()),DAY(TODAY())))*(BRON!$T$2:$T$1214&lt;=TODAY()))</f>
        <v>3</v>
      </c>
      <c r="I30" s="40">
        <v>27</v>
      </c>
      <c r="J30" s="37">
        <v>0.33333333333333331</v>
      </c>
    </row>
    <row r="31" spans="1:10" x14ac:dyDescent="0.25">
      <c r="A31" s="34" t="s">
        <v>1884</v>
      </c>
      <c r="B31" s="34" t="s">
        <v>1883</v>
      </c>
      <c r="C31">
        <v>36428</v>
      </c>
      <c r="D31" s="34" t="s">
        <v>3855</v>
      </c>
      <c r="E31" s="3">
        <v>44312.083333333299</v>
      </c>
      <c r="F31" s="35">
        <f t="shared" ca="1" si="0"/>
        <v>4</v>
      </c>
      <c r="G31" s="42" cm="1">
        <f t="array" aca="1" ref="G31" ca="1">SUMPRODUCT((BRON!$A$2:$A$1214=Table1[[#This Row],[Personeelsnummer]])*(BRON!$T$2:$T$1214&gt;=DATE(YEAR(TODAY())-1,MONTH(TODAY()),DAY(TODAY())))*(BRON!$T$2:$T$1214&lt;=TODAY()))</f>
        <v>3</v>
      </c>
      <c r="I31" s="40">
        <v>28</v>
      </c>
      <c r="J31" s="37">
        <v>0.75</v>
      </c>
    </row>
    <row r="32" spans="1:10" x14ac:dyDescent="0.25">
      <c r="A32" s="34" t="s">
        <v>3601</v>
      </c>
      <c r="B32" s="34" t="s">
        <v>3863</v>
      </c>
      <c r="C32">
        <v>36569</v>
      </c>
      <c r="D32" s="34" t="s">
        <v>3856</v>
      </c>
      <c r="E32" s="3">
        <v>44347.083333333299</v>
      </c>
      <c r="F32" s="35">
        <f t="shared" ca="1" si="0"/>
        <v>4</v>
      </c>
      <c r="G32" s="42" cm="1">
        <f t="array" aca="1" ref="G32" ca="1">SUMPRODUCT((BRON!$A$2:$A$1214=Table1[[#This Row],[Personeelsnummer]])*(BRON!$T$2:$T$1214&gt;=DATE(YEAR(TODAY())-1,MONTH(TODAY()),DAY(TODAY())))*(BRON!$T$2:$T$1214&lt;=TODAY()))</f>
        <v>3</v>
      </c>
      <c r="I32" s="40">
        <v>29</v>
      </c>
      <c r="J32" s="37">
        <v>0.4</v>
      </c>
    </row>
    <row r="33" spans="1:10" x14ac:dyDescent="0.25">
      <c r="A33" s="34" t="s">
        <v>1435</v>
      </c>
      <c r="B33" s="34" t="s">
        <v>1434</v>
      </c>
      <c r="C33">
        <v>35645</v>
      </c>
      <c r="D33" s="34" t="s">
        <v>3858</v>
      </c>
      <c r="E33" s="3">
        <v>44070.083333333299</v>
      </c>
      <c r="F33" s="35">
        <f t="shared" ca="1" si="0"/>
        <v>5</v>
      </c>
      <c r="G33" s="42" cm="1">
        <f t="array" aca="1" ref="G33" ca="1">SUMPRODUCT((BRON!$A$2:$A$1214=Table1[[#This Row],[Personeelsnummer]])*(BRON!$T$2:$T$1214&gt;=DATE(YEAR(TODAY())-1,MONTH(TODAY()),DAY(TODAY())))*(BRON!$T$2:$T$1214&lt;=TODAY()))</f>
        <v>3</v>
      </c>
      <c r="I33" s="40">
        <v>30</v>
      </c>
      <c r="J33" s="37">
        <v>1</v>
      </c>
    </row>
    <row r="34" spans="1:10" x14ac:dyDescent="0.25">
      <c r="A34" s="34" t="s">
        <v>3339</v>
      </c>
      <c r="B34" s="34" t="s">
        <v>3338</v>
      </c>
      <c r="C34">
        <v>29746</v>
      </c>
      <c r="D34" s="34" t="s">
        <v>3854</v>
      </c>
      <c r="E34" s="3">
        <v>42093.083333333299</v>
      </c>
      <c r="F34" s="35">
        <f t="shared" ca="1" si="0"/>
        <v>10</v>
      </c>
      <c r="G34" s="42" cm="1">
        <f t="array" aca="1" ref="G34" ca="1">SUMPRODUCT((BRON!$A$2:$A$1214=Table1[[#This Row],[Personeelsnummer]])*(BRON!$T$2:$T$1214&gt;=DATE(YEAR(TODAY())-1,MONTH(TODAY()),DAY(TODAY())))*(BRON!$T$2:$T$1214&lt;=TODAY()))</f>
        <v>3</v>
      </c>
      <c r="I34" s="40">
        <v>32</v>
      </c>
      <c r="J34" s="37">
        <v>1</v>
      </c>
    </row>
    <row r="35" spans="1:10" x14ac:dyDescent="0.25">
      <c r="A35" s="34" t="s">
        <v>2159</v>
      </c>
      <c r="B35" s="34" t="s">
        <v>2158</v>
      </c>
      <c r="C35">
        <v>28737</v>
      </c>
      <c r="D35" s="34" t="s">
        <v>3855</v>
      </c>
      <c r="E35" s="3">
        <v>41680.041666666701</v>
      </c>
      <c r="F35" s="35">
        <f t="shared" ca="1" si="0"/>
        <v>11</v>
      </c>
      <c r="G35" s="42" cm="1">
        <f t="array" aca="1" ref="G35" ca="1">SUMPRODUCT((BRON!$A$2:$A$1214=Table1[[#This Row],[Personeelsnummer]])*(BRON!$T$2:$T$1214&gt;=DATE(YEAR(TODAY())-1,MONTH(TODAY()),DAY(TODAY())))*(BRON!$T$2:$T$1214&lt;=TODAY()))</f>
        <v>3</v>
      </c>
      <c r="I35" s="40">
        <v>33</v>
      </c>
      <c r="J35" s="37">
        <v>0</v>
      </c>
    </row>
    <row r="36" spans="1:10" x14ac:dyDescent="0.25">
      <c r="A36" s="34" t="s">
        <v>1666</v>
      </c>
      <c r="B36" s="34" t="s">
        <v>1665</v>
      </c>
      <c r="C36">
        <v>25487</v>
      </c>
      <c r="D36" s="34" t="s">
        <v>3858</v>
      </c>
      <c r="E36" s="3">
        <v>40385.083333333299</v>
      </c>
      <c r="F36" s="35">
        <f t="shared" ca="1" si="0"/>
        <v>15</v>
      </c>
      <c r="G36" s="42" cm="1">
        <f t="array" aca="1" ref="G36" ca="1">SUMPRODUCT((BRON!$A$2:$A$1214=Table1[[#This Row],[Personeelsnummer]])*(BRON!$T$2:$T$1214&gt;=DATE(YEAR(TODAY())-1,MONTH(TODAY()),DAY(TODAY())))*(BRON!$T$2:$T$1214&lt;=TODAY()))</f>
        <v>3</v>
      </c>
      <c r="I36" s="40">
        <v>34</v>
      </c>
      <c r="J36" s="37">
        <v>0.5</v>
      </c>
    </row>
    <row r="37" spans="1:10" x14ac:dyDescent="0.25">
      <c r="A37" s="34" t="s">
        <v>2420</v>
      </c>
      <c r="B37" s="34" t="s">
        <v>2419</v>
      </c>
      <c r="C37">
        <v>21509</v>
      </c>
      <c r="D37" s="34" t="s">
        <v>3859</v>
      </c>
      <c r="E37" s="3">
        <v>39405.041666666701</v>
      </c>
      <c r="F37" s="35">
        <f t="shared" ca="1" si="0"/>
        <v>18</v>
      </c>
      <c r="G37" s="42" cm="1">
        <f t="array" aca="1" ref="G37" ca="1">SUMPRODUCT((BRON!$A$2:$A$1214=Table1[[#This Row],[Personeelsnummer]])*(BRON!$T$2:$T$1214&gt;=DATE(YEAR(TODAY())-1,MONTH(TODAY()),DAY(TODAY())))*(BRON!$T$2:$T$1214&lt;=TODAY()))</f>
        <v>3</v>
      </c>
      <c r="I37" s="40">
        <v>36</v>
      </c>
      <c r="J37" s="37">
        <v>1</v>
      </c>
    </row>
    <row r="38" spans="1:10" x14ac:dyDescent="0.25">
      <c r="A38" s="34" t="s">
        <v>2879</v>
      </c>
      <c r="B38" s="34" t="s">
        <v>2882</v>
      </c>
      <c r="C38">
        <v>18051</v>
      </c>
      <c r="D38" s="34" t="s">
        <v>3853</v>
      </c>
      <c r="E38" s="3">
        <v>38446.083333333299</v>
      </c>
      <c r="F38" s="35">
        <f t="shared" ca="1" si="0"/>
        <v>20</v>
      </c>
      <c r="G38" s="42" cm="1">
        <f t="array" aca="1" ref="G38" ca="1">SUMPRODUCT((BRON!$A$2:$A$1214=Table1[[#This Row],[Personeelsnummer]])*(BRON!$T$2:$T$1214&gt;=DATE(YEAR(TODAY())-1,MONTH(TODAY()),DAY(TODAY())))*(BRON!$T$2:$T$1214&lt;=TODAY()))</f>
        <v>3</v>
      </c>
      <c r="I38" s="40">
        <v>37</v>
      </c>
      <c r="J38" s="37">
        <v>4</v>
      </c>
    </row>
    <row r="39" spans="1:10" x14ac:dyDescent="0.25">
      <c r="A39" s="34" t="s">
        <v>2968</v>
      </c>
      <c r="B39" s="34" t="s">
        <v>2967</v>
      </c>
      <c r="C39">
        <v>4419</v>
      </c>
      <c r="D39" s="34" t="s">
        <v>3855</v>
      </c>
      <c r="E39" s="3">
        <v>32223.041666666701</v>
      </c>
      <c r="F39" s="35">
        <f t="shared" ca="1" si="0"/>
        <v>37</v>
      </c>
      <c r="G39" s="42" cm="1">
        <f t="array" aca="1" ref="G39" ca="1">SUMPRODUCT((BRON!$A$2:$A$1214=Table1[[#This Row],[Personeelsnummer]])*(BRON!$T$2:$T$1214&gt;=DATE(YEAR(TODAY())-1,MONTH(TODAY()),DAY(TODAY())))*(BRON!$T$2:$T$1214&lt;=TODAY()))</f>
        <v>4</v>
      </c>
      <c r="I39" s="40" t="s">
        <v>65</v>
      </c>
      <c r="J39" s="37">
        <v>1.2139303482587065</v>
      </c>
    </row>
    <row r="40" spans="1:10" x14ac:dyDescent="0.25">
      <c r="A40" s="34" t="s">
        <v>1399</v>
      </c>
      <c r="B40" s="34" t="s">
        <v>1398</v>
      </c>
      <c r="C40">
        <v>41588</v>
      </c>
      <c r="D40" s="34" t="s">
        <v>3851</v>
      </c>
      <c r="E40" s="3">
        <v>45749.083333333299</v>
      </c>
      <c r="F40" s="35">
        <f t="shared" ca="1" si="0"/>
        <v>0</v>
      </c>
      <c r="G40" s="42" cm="1">
        <f t="array" aca="1" ref="G40" ca="1">SUMPRODUCT((BRON!$A$2:$A$1214=Table1[[#This Row],[Personeelsnummer]])*(BRON!$T$2:$T$1214&gt;=DATE(YEAR(TODAY())-1,MONTH(TODAY()),DAY(TODAY())))*(BRON!$T$2:$T$1214&lt;=TODAY()))</f>
        <v>2</v>
      </c>
    </row>
    <row r="41" spans="1:10" x14ac:dyDescent="0.25">
      <c r="A41" s="34" t="s">
        <v>2691</v>
      </c>
      <c r="B41" s="34" t="s">
        <v>2690</v>
      </c>
      <c r="C41">
        <v>41871</v>
      </c>
      <c r="D41" s="34" t="s">
        <v>3859</v>
      </c>
      <c r="E41" s="3">
        <v>45798.083333333299</v>
      </c>
      <c r="F41" s="35">
        <f t="shared" ca="1" si="0"/>
        <v>0</v>
      </c>
      <c r="G41" s="42" cm="1">
        <f t="array" aca="1" ref="G41" ca="1">SUMPRODUCT((BRON!$A$2:$A$1214=Table1[[#This Row],[Personeelsnummer]])*(BRON!$T$2:$T$1214&gt;=DATE(YEAR(TODAY())-1,MONTH(TODAY()),DAY(TODAY())))*(BRON!$T$2:$T$1214&lt;=TODAY()))</f>
        <v>2</v>
      </c>
    </row>
    <row r="42" spans="1:10" x14ac:dyDescent="0.25">
      <c r="A42" s="34" t="s">
        <v>1452</v>
      </c>
      <c r="B42" s="34" t="s">
        <v>1464</v>
      </c>
      <c r="C42">
        <v>41948</v>
      </c>
      <c r="D42" s="34" t="s">
        <v>3857</v>
      </c>
      <c r="E42" s="3">
        <v>45831.083333333299</v>
      </c>
      <c r="F42" s="35">
        <f t="shared" ca="1" si="0"/>
        <v>0</v>
      </c>
      <c r="G42" s="42" cm="1">
        <f t="array" aca="1" ref="G42" ca="1">SUMPRODUCT((BRON!$A$2:$A$1214=Table1[[#This Row],[Personeelsnummer]])*(BRON!$T$2:$T$1214&gt;=DATE(YEAR(TODAY())-1,MONTH(TODAY()),DAY(TODAY())))*(BRON!$T$2:$T$1214&lt;=TODAY()))</f>
        <v>2</v>
      </c>
    </row>
    <row r="43" spans="1:10" x14ac:dyDescent="0.25">
      <c r="A43" s="34" t="s">
        <v>2453</v>
      </c>
      <c r="B43" s="34" t="s">
        <v>2452</v>
      </c>
      <c r="C43">
        <v>42002</v>
      </c>
      <c r="D43" s="34" t="s">
        <v>3856</v>
      </c>
      <c r="E43" s="3">
        <v>45814.083333333299</v>
      </c>
      <c r="F43" s="35">
        <f t="shared" ca="1" si="0"/>
        <v>0</v>
      </c>
      <c r="G43" s="42" cm="1">
        <f t="array" aca="1" ref="G43" ca="1">SUMPRODUCT((BRON!$A$2:$A$1214=Table1[[#This Row],[Personeelsnummer]])*(BRON!$T$2:$T$1214&gt;=DATE(YEAR(TODAY())-1,MONTH(TODAY()),DAY(TODAY())))*(BRON!$T$2:$T$1214&lt;=TODAY()))</f>
        <v>3</v>
      </c>
    </row>
    <row r="44" spans="1:10" x14ac:dyDescent="0.25">
      <c r="A44" s="34" t="s">
        <v>1682</v>
      </c>
      <c r="B44" s="34" t="s">
        <v>1681</v>
      </c>
      <c r="C44">
        <v>42145</v>
      </c>
      <c r="D44" s="34" t="s">
        <v>3858</v>
      </c>
      <c r="E44" s="3">
        <v>45874.083333333299</v>
      </c>
      <c r="F44" s="35">
        <f t="shared" ca="1" si="0"/>
        <v>0</v>
      </c>
      <c r="G44" s="42" cm="1">
        <f t="array" aca="1" ref="G44" ca="1">SUMPRODUCT((BRON!$A$2:$A$1214=Table1[[#This Row],[Personeelsnummer]])*(BRON!$T$2:$T$1214&gt;=DATE(YEAR(TODAY())-1,MONTH(TODAY()),DAY(TODAY())))*(BRON!$T$2:$T$1214&lt;=TODAY()))</f>
        <v>2</v>
      </c>
    </row>
    <row r="45" spans="1:10" x14ac:dyDescent="0.25">
      <c r="A45" s="34" t="s">
        <v>2649</v>
      </c>
      <c r="B45" s="34" t="s">
        <v>1406</v>
      </c>
      <c r="C45">
        <v>33085</v>
      </c>
      <c r="D45" s="34" t="s">
        <v>3851</v>
      </c>
      <c r="E45" s="3">
        <v>45460.083333333299</v>
      </c>
      <c r="F45" s="35">
        <f t="shared" ca="1" si="0"/>
        <v>1</v>
      </c>
      <c r="G45" s="42" cm="1">
        <f t="array" aca="1" ref="G45" ca="1">SUMPRODUCT((BRON!$A$2:$A$1214=Table1[[#This Row],[Personeelsnummer]])*(BRON!$T$2:$T$1214&gt;=DATE(YEAR(TODAY())-1,MONTH(TODAY()),DAY(TODAY())))*(BRON!$T$2:$T$1214&lt;=TODAY()))</f>
        <v>2</v>
      </c>
    </row>
    <row r="46" spans="1:10" x14ac:dyDescent="0.25">
      <c r="A46" s="34" t="s">
        <v>1478</v>
      </c>
      <c r="B46" s="34" t="s">
        <v>1477</v>
      </c>
      <c r="C46">
        <v>39850</v>
      </c>
      <c r="D46" s="34" t="s">
        <v>3859</v>
      </c>
      <c r="E46" s="3">
        <v>45264.041666666701</v>
      </c>
      <c r="F46" s="35">
        <f t="shared" ca="1" si="0"/>
        <v>2</v>
      </c>
      <c r="G46" s="42" cm="1">
        <f t="array" aca="1" ref="G46" ca="1">SUMPRODUCT((BRON!$A$2:$A$1214=Table1[[#This Row],[Personeelsnummer]])*(BRON!$T$2:$T$1214&gt;=DATE(YEAR(TODAY())-1,MONTH(TODAY()),DAY(TODAY())))*(BRON!$T$2:$T$1214&lt;=TODAY()))</f>
        <v>2</v>
      </c>
    </row>
    <row r="47" spans="1:10" x14ac:dyDescent="0.25">
      <c r="A47" s="34" t="s">
        <v>3269</v>
      </c>
      <c r="B47" s="34" t="s">
        <v>3268</v>
      </c>
      <c r="C47">
        <v>39856</v>
      </c>
      <c r="D47" s="34" t="s">
        <v>3851</v>
      </c>
      <c r="E47" s="3">
        <v>45264.041666666701</v>
      </c>
      <c r="F47" s="35">
        <f t="shared" ca="1" si="0"/>
        <v>2</v>
      </c>
      <c r="G47" s="42" cm="1">
        <f t="array" aca="1" ref="G47" ca="1">SUMPRODUCT((BRON!$A$2:$A$1214=Table1[[#This Row],[Personeelsnummer]])*(BRON!$T$2:$T$1214&gt;=DATE(YEAR(TODAY())-1,MONTH(TODAY()),DAY(TODAY())))*(BRON!$T$2:$T$1214&lt;=TODAY()))</f>
        <v>2</v>
      </c>
    </row>
    <row r="48" spans="1:10" x14ac:dyDescent="0.25">
      <c r="A48" s="34" t="s">
        <v>3370</v>
      </c>
      <c r="B48" s="34" t="s">
        <v>3369</v>
      </c>
      <c r="C48">
        <v>40055</v>
      </c>
      <c r="D48" s="34" t="s">
        <v>3856</v>
      </c>
      <c r="E48" s="3">
        <v>45321.041666666701</v>
      </c>
      <c r="F48" s="35">
        <f t="shared" ca="1" si="0"/>
        <v>1</v>
      </c>
      <c r="G48" s="42" cm="1">
        <f t="array" aca="1" ref="G48" ca="1">SUMPRODUCT((BRON!$A$2:$A$1214=Table1[[#This Row],[Personeelsnummer]])*(BRON!$T$2:$T$1214&gt;=DATE(YEAR(TODAY())-1,MONTH(TODAY()),DAY(TODAY())))*(BRON!$T$2:$T$1214&lt;=TODAY()))</f>
        <v>2</v>
      </c>
    </row>
    <row r="49" spans="1:7" x14ac:dyDescent="0.25">
      <c r="A49" s="34" t="s">
        <v>2311</v>
      </c>
      <c r="B49" s="34" t="s">
        <v>2310</v>
      </c>
      <c r="C49">
        <v>40591</v>
      </c>
      <c r="D49" s="34" t="s">
        <v>3859</v>
      </c>
      <c r="E49" s="3">
        <v>45450.083333333299</v>
      </c>
      <c r="F49" s="35">
        <f t="shared" ca="1" si="0"/>
        <v>1</v>
      </c>
      <c r="G49" s="42" cm="1">
        <f t="array" aca="1" ref="G49" ca="1">SUMPRODUCT((BRON!$A$2:$A$1214=Table1[[#This Row],[Personeelsnummer]])*(BRON!$T$2:$T$1214&gt;=DATE(YEAR(TODAY())-1,MONTH(TODAY()),DAY(TODAY())))*(BRON!$T$2:$T$1214&lt;=TODAY()))</f>
        <v>2</v>
      </c>
    </row>
    <row r="50" spans="1:7" x14ac:dyDescent="0.25">
      <c r="A50" s="34" t="s">
        <v>2623</v>
      </c>
      <c r="B50" s="34" t="s">
        <v>2622</v>
      </c>
      <c r="C50">
        <v>40645</v>
      </c>
      <c r="D50" s="34" t="s">
        <v>3857</v>
      </c>
      <c r="E50" s="3">
        <v>45544.083333333299</v>
      </c>
      <c r="F50" s="35">
        <f t="shared" ca="1" si="0"/>
        <v>1</v>
      </c>
      <c r="G50" s="42" cm="1">
        <f t="array" aca="1" ref="G50" ca="1">SUMPRODUCT((BRON!$A$2:$A$1214=Table1[[#This Row],[Personeelsnummer]])*(BRON!$T$2:$T$1214&gt;=DATE(YEAR(TODAY())-1,MONTH(TODAY()),DAY(TODAY())))*(BRON!$T$2:$T$1214&lt;=TODAY()))</f>
        <v>2</v>
      </c>
    </row>
    <row r="51" spans="1:7" x14ac:dyDescent="0.25">
      <c r="A51" s="34" t="s">
        <v>1413</v>
      </c>
      <c r="B51" s="34" t="s">
        <v>1412</v>
      </c>
      <c r="C51">
        <v>41012</v>
      </c>
      <c r="D51" s="34" t="s">
        <v>3856</v>
      </c>
      <c r="E51" s="3">
        <v>45574.083333333299</v>
      </c>
      <c r="F51" s="35">
        <f t="shared" ca="1" si="0"/>
        <v>1</v>
      </c>
      <c r="G51" s="42" cm="1">
        <f t="array" aca="1" ref="G51" ca="1">SUMPRODUCT((BRON!$A$2:$A$1214=Table1[[#This Row],[Personeelsnummer]])*(BRON!$T$2:$T$1214&gt;=DATE(YEAR(TODAY())-1,MONTH(TODAY()),DAY(TODAY())))*(BRON!$T$2:$T$1214&lt;=TODAY()))</f>
        <v>2</v>
      </c>
    </row>
    <row r="52" spans="1:7" x14ac:dyDescent="0.25">
      <c r="A52" s="34" t="s">
        <v>3314</v>
      </c>
      <c r="B52" s="34" t="s">
        <v>3313</v>
      </c>
      <c r="C52">
        <v>41064</v>
      </c>
      <c r="D52" s="34" t="s">
        <v>3859</v>
      </c>
      <c r="E52" s="3">
        <v>45588.083333333299</v>
      </c>
      <c r="F52" s="35">
        <f t="shared" ca="1" si="0"/>
        <v>1</v>
      </c>
      <c r="G52" s="42" cm="1">
        <f t="array" aca="1" ref="G52" ca="1">SUMPRODUCT((BRON!$A$2:$A$1214=Table1[[#This Row],[Personeelsnummer]])*(BRON!$T$2:$T$1214&gt;=DATE(YEAR(TODAY())-1,MONTH(TODAY()),DAY(TODAY())))*(BRON!$T$2:$T$1214&lt;=TODAY()))</f>
        <v>2</v>
      </c>
    </row>
    <row r="53" spans="1:7" x14ac:dyDescent="0.25">
      <c r="A53" s="34" t="s">
        <v>1612</v>
      </c>
      <c r="B53" s="34" t="s">
        <v>1611</v>
      </c>
      <c r="C53">
        <v>41091</v>
      </c>
      <c r="D53" s="34" t="s">
        <v>3859</v>
      </c>
      <c r="E53" s="3">
        <v>45603.041666666701</v>
      </c>
      <c r="F53" s="35">
        <f t="shared" ca="1" si="0"/>
        <v>1</v>
      </c>
      <c r="G53" s="42" cm="1">
        <f t="array" aca="1" ref="G53" ca="1">SUMPRODUCT((BRON!$A$2:$A$1214=Table1[[#This Row],[Personeelsnummer]])*(BRON!$T$2:$T$1214&gt;=DATE(YEAR(TODAY())-1,MONTH(TODAY()),DAY(TODAY())))*(BRON!$T$2:$T$1214&lt;=TODAY()))</f>
        <v>2</v>
      </c>
    </row>
    <row r="54" spans="1:7" x14ac:dyDescent="0.25">
      <c r="A54" s="34" t="s">
        <v>1351</v>
      </c>
      <c r="B54" s="34" t="s">
        <v>3279</v>
      </c>
      <c r="C54">
        <v>41230</v>
      </c>
      <c r="D54" s="34" t="s">
        <v>3859</v>
      </c>
      <c r="E54" s="3">
        <v>45603.041666666701</v>
      </c>
      <c r="F54" s="35">
        <f t="shared" ca="1" si="0"/>
        <v>1</v>
      </c>
      <c r="G54" s="42" cm="1">
        <f t="array" aca="1" ref="G54" ca="1">SUMPRODUCT((BRON!$A$2:$A$1214=Table1[[#This Row],[Personeelsnummer]])*(BRON!$T$2:$T$1214&gt;=DATE(YEAR(TODAY())-1,MONTH(TODAY()),DAY(TODAY())))*(BRON!$T$2:$T$1214&lt;=TODAY()))</f>
        <v>2</v>
      </c>
    </row>
    <row r="55" spans="1:7" x14ac:dyDescent="0.25">
      <c r="A55" s="34" t="s">
        <v>3177</v>
      </c>
      <c r="B55" s="34" t="s">
        <v>3176</v>
      </c>
      <c r="C55">
        <v>40058</v>
      </c>
      <c r="D55" s="34" t="s">
        <v>3853</v>
      </c>
      <c r="E55" s="3">
        <v>45321.041666666701</v>
      </c>
      <c r="F55" s="35">
        <f t="shared" ca="1" si="0"/>
        <v>1</v>
      </c>
      <c r="G55" s="42" cm="1">
        <f t="array" aca="1" ref="G55" ca="1">SUMPRODUCT((BRON!$A$2:$A$1214=Table1[[#This Row],[Personeelsnummer]])*(BRON!$T$2:$T$1214&gt;=DATE(YEAR(TODAY())-1,MONTH(TODAY()),DAY(TODAY())))*(BRON!$T$2:$T$1214&lt;=TODAY()))</f>
        <v>2</v>
      </c>
    </row>
    <row r="56" spans="1:7" x14ac:dyDescent="0.25">
      <c r="A56" s="34" t="s">
        <v>1422</v>
      </c>
      <c r="B56" s="34" t="s">
        <v>1421</v>
      </c>
      <c r="C56">
        <v>40266</v>
      </c>
      <c r="D56" s="34" t="s">
        <v>3853</v>
      </c>
      <c r="E56" s="3">
        <v>45394.083333333299</v>
      </c>
      <c r="F56" s="35">
        <f t="shared" ca="1" si="0"/>
        <v>1</v>
      </c>
      <c r="G56" s="42" cm="1">
        <f t="array" aca="1" ref="G56" ca="1">SUMPRODUCT((BRON!$A$2:$A$1214=Table1[[#This Row],[Personeelsnummer]])*(BRON!$T$2:$T$1214&gt;=DATE(YEAR(TODAY())-1,MONTH(TODAY()),DAY(TODAY())))*(BRON!$T$2:$T$1214&lt;=TODAY()))</f>
        <v>2</v>
      </c>
    </row>
    <row r="57" spans="1:7" x14ac:dyDescent="0.25">
      <c r="A57" s="34" t="s">
        <v>2199</v>
      </c>
      <c r="B57" s="34" t="s">
        <v>2198</v>
      </c>
      <c r="C57">
        <v>40403</v>
      </c>
      <c r="D57" s="34" t="s">
        <v>3859</v>
      </c>
      <c r="E57" s="3">
        <v>45481.083333333299</v>
      </c>
      <c r="F57" s="35">
        <f t="shared" ca="1" si="0"/>
        <v>1</v>
      </c>
      <c r="G57" s="42" cm="1">
        <f t="array" aca="1" ref="G57" ca="1">SUMPRODUCT((BRON!$A$2:$A$1214=Table1[[#This Row],[Personeelsnummer]])*(BRON!$T$2:$T$1214&gt;=DATE(YEAR(TODAY())-1,MONTH(TODAY()),DAY(TODAY())))*(BRON!$T$2:$T$1214&lt;=TODAY()))</f>
        <v>2</v>
      </c>
    </row>
    <row r="58" spans="1:7" x14ac:dyDescent="0.25">
      <c r="A58" s="34" t="s">
        <v>1983</v>
      </c>
      <c r="B58" s="34" t="s">
        <v>1982</v>
      </c>
      <c r="C58">
        <v>39529</v>
      </c>
      <c r="D58" s="34" t="s">
        <v>3853</v>
      </c>
      <c r="E58" s="3">
        <v>45286.041666666701</v>
      </c>
      <c r="F58" s="35">
        <f t="shared" ca="1" si="0"/>
        <v>1</v>
      </c>
      <c r="G58" s="42" cm="1">
        <f t="array" aca="1" ref="G58" ca="1">SUMPRODUCT((BRON!$A$2:$A$1214=Table1[[#This Row],[Personeelsnummer]])*(BRON!$T$2:$T$1214&gt;=DATE(YEAR(TODAY())-1,MONTH(TODAY()),DAY(TODAY())))*(BRON!$T$2:$T$1214&lt;=TODAY()))</f>
        <v>3</v>
      </c>
    </row>
    <row r="59" spans="1:7" x14ac:dyDescent="0.25">
      <c r="A59" s="34" t="s">
        <v>1686</v>
      </c>
      <c r="B59" s="34" t="s">
        <v>1689</v>
      </c>
      <c r="C59">
        <v>40134</v>
      </c>
      <c r="D59" s="34" t="s">
        <v>3859</v>
      </c>
      <c r="E59" s="3">
        <v>45364.041666666701</v>
      </c>
      <c r="F59" s="35">
        <f t="shared" ca="1" si="0"/>
        <v>1</v>
      </c>
      <c r="G59" s="42" cm="1">
        <f t="array" aca="1" ref="G59" ca="1">SUMPRODUCT((BRON!$A$2:$A$1214=Table1[[#This Row],[Personeelsnummer]])*(BRON!$T$2:$T$1214&gt;=DATE(YEAR(TODAY())-1,MONTH(TODAY()),DAY(TODAY())))*(BRON!$T$2:$T$1214&lt;=TODAY()))</f>
        <v>2</v>
      </c>
    </row>
    <row r="60" spans="1:7" x14ac:dyDescent="0.25">
      <c r="A60" s="34" t="s">
        <v>3374</v>
      </c>
      <c r="B60" s="34" t="s">
        <v>3373</v>
      </c>
      <c r="C60">
        <v>40478</v>
      </c>
      <c r="D60" s="34" t="s">
        <v>3854</v>
      </c>
      <c r="E60" s="3">
        <v>45442.083333333299</v>
      </c>
      <c r="F60" s="35">
        <f t="shared" ca="1" si="0"/>
        <v>1</v>
      </c>
      <c r="G60" s="42" cm="1">
        <f t="array" aca="1" ref="G60" ca="1">SUMPRODUCT((BRON!$A$2:$A$1214=Table1[[#This Row],[Personeelsnummer]])*(BRON!$T$2:$T$1214&gt;=DATE(YEAR(TODAY())-1,MONTH(TODAY()),DAY(TODAY())))*(BRON!$T$2:$T$1214&lt;=TODAY()))</f>
        <v>2</v>
      </c>
    </row>
    <row r="61" spans="1:7" x14ac:dyDescent="0.25">
      <c r="A61" s="34" t="s">
        <v>3469</v>
      </c>
      <c r="B61" s="34" t="s">
        <v>3468</v>
      </c>
      <c r="C61">
        <v>40859</v>
      </c>
      <c r="D61" s="34" t="s">
        <v>3856</v>
      </c>
      <c r="E61" s="3">
        <v>45544.083333333299</v>
      </c>
      <c r="F61" s="35">
        <f t="shared" ca="1" si="0"/>
        <v>1</v>
      </c>
      <c r="G61" s="42" cm="1">
        <f t="array" aca="1" ref="G61" ca="1">SUMPRODUCT((BRON!$A$2:$A$1214=Table1[[#This Row],[Personeelsnummer]])*(BRON!$T$2:$T$1214&gt;=DATE(YEAR(TODAY())-1,MONTH(TODAY()),DAY(TODAY())))*(BRON!$T$2:$T$1214&lt;=TODAY()))</f>
        <v>2</v>
      </c>
    </row>
    <row r="62" spans="1:7" x14ac:dyDescent="0.25">
      <c r="A62" s="34" t="s">
        <v>1532</v>
      </c>
      <c r="B62" s="34" t="s">
        <v>1531</v>
      </c>
      <c r="C62">
        <v>40744</v>
      </c>
      <c r="D62" s="34" t="s">
        <v>3854</v>
      </c>
      <c r="E62" s="3">
        <v>45484.083333333299</v>
      </c>
      <c r="F62" s="35">
        <f t="shared" ca="1" si="0"/>
        <v>1</v>
      </c>
      <c r="G62" s="42" cm="1">
        <f t="array" aca="1" ref="G62" ca="1">SUMPRODUCT((BRON!$A$2:$A$1214=Table1[[#This Row],[Personeelsnummer]])*(BRON!$T$2:$T$1214&gt;=DATE(YEAR(TODAY())-1,MONTH(TODAY()),DAY(TODAY())))*(BRON!$T$2:$T$1214&lt;=TODAY()))</f>
        <v>4</v>
      </c>
    </row>
    <row r="63" spans="1:7" x14ac:dyDescent="0.25">
      <c r="A63" s="34" t="s">
        <v>2269</v>
      </c>
      <c r="B63" s="34" t="s">
        <v>2268</v>
      </c>
      <c r="C63">
        <v>39929</v>
      </c>
      <c r="D63" s="34" t="s">
        <v>3853</v>
      </c>
      <c r="E63" s="3">
        <v>45299.041666666701</v>
      </c>
      <c r="F63" s="35">
        <f t="shared" ca="1" si="0"/>
        <v>1</v>
      </c>
      <c r="G63" s="42" cm="1">
        <f t="array" aca="1" ref="G63" ca="1">SUMPRODUCT((BRON!$A$2:$A$1214=Table1[[#This Row],[Personeelsnummer]])*(BRON!$T$2:$T$1214&gt;=DATE(YEAR(TODAY())-1,MONTH(TODAY()),DAY(TODAY())))*(BRON!$T$2:$T$1214&lt;=TODAY()))</f>
        <v>2</v>
      </c>
    </row>
    <row r="64" spans="1:7" x14ac:dyDescent="0.25">
      <c r="A64" s="34" t="s">
        <v>3335</v>
      </c>
      <c r="B64" s="34" t="s">
        <v>3334</v>
      </c>
      <c r="C64">
        <v>38740</v>
      </c>
      <c r="D64" s="34" t="s">
        <v>3853</v>
      </c>
      <c r="E64" s="3">
        <v>45027.083333333299</v>
      </c>
      <c r="F64" s="35">
        <f t="shared" ca="1" si="0"/>
        <v>2</v>
      </c>
      <c r="G64" s="42" cm="1">
        <f t="array" aca="1" ref="G64" ca="1">SUMPRODUCT((BRON!$A$2:$A$1214=Table1[[#This Row],[Personeelsnummer]])*(BRON!$T$2:$T$1214&gt;=DATE(YEAR(TODAY())-1,MONTH(TODAY()),DAY(TODAY())))*(BRON!$T$2:$T$1214&lt;=TODAY()))</f>
        <v>2</v>
      </c>
    </row>
    <row r="65" spans="1:7" x14ac:dyDescent="0.25">
      <c r="A65" s="34" t="s">
        <v>2245</v>
      </c>
      <c r="B65" s="34" t="s">
        <v>2244</v>
      </c>
      <c r="C65">
        <v>38633</v>
      </c>
      <c r="D65" s="34" t="s">
        <v>3857</v>
      </c>
      <c r="E65" s="3">
        <v>44970.041666666701</v>
      </c>
      <c r="F65" s="35">
        <f t="shared" ca="1" si="0"/>
        <v>2</v>
      </c>
      <c r="G65" s="42" cm="1">
        <f t="array" aca="1" ref="G65" ca="1">SUMPRODUCT((BRON!$A$2:$A$1214=Table1[[#This Row],[Personeelsnummer]])*(BRON!$T$2:$T$1214&gt;=DATE(YEAR(TODAY())-1,MONTH(TODAY()),DAY(TODAY())))*(BRON!$T$2:$T$1214&lt;=TODAY()))</f>
        <v>2</v>
      </c>
    </row>
    <row r="66" spans="1:7" x14ac:dyDescent="0.25">
      <c r="A66" s="34" t="s">
        <v>2390</v>
      </c>
      <c r="B66" s="34" t="s">
        <v>2389</v>
      </c>
      <c r="C66">
        <v>39014</v>
      </c>
      <c r="D66" s="34" t="s">
        <v>3854</v>
      </c>
      <c r="E66" s="3">
        <v>45076.083333333299</v>
      </c>
      <c r="F66" s="35">
        <f t="shared" ref="F66:F129" ca="1" si="1">YEAR(TODAY()) - YEAR(E66) - (IF(DATE(YEAR(TODAY()), MONTH(E66), DAY(E66)) &gt; TODAY(), 1, 0))</f>
        <v>2</v>
      </c>
      <c r="G66" s="42" cm="1">
        <f t="array" aca="1" ref="G66" ca="1">SUMPRODUCT((BRON!$A$2:$A$1214=Table1[[#This Row],[Personeelsnummer]])*(BRON!$T$2:$T$1214&gt;=DATE(YEAR(TODAY())-1,MONTH(TODAY()),DAY(TODAY())))*(BRON!$T$2:$T$1214&lt;=TODAY()))</f>
        <v>2</v>
      </c>
    </row>
    <row r="67" spans="1:7" x14ac:dyDescent="0.25">
      <c r="A67" s="34" t="s">
        <v>2495</v>
      </c>
      <c r="B67" s="34" t="s">
        <v>1964</v>
      </c>
      <c r="C67">
        <v>38475</v>
      </c>
      <c r="D67" s="34" t="s">
        <v>3857</v>
      </c>
      <c r="E67" s="3">
        <v>44942.041666666701</v>
      </c>
      <c r="F67" s="35">
        <f t="shared" ca="1" si="1"/>
        <v>2</v>
      </c>
      <c r="G67" s="42" cm="1">
        <f t="array" aca="1" ref="G67" ca="1">SUMPRODUCT((BRON!$A$2:$A$1214=Table1[[#This Row],[Personeelsnummer]])*(BRON!$T$2:$T$1214&gt;=DATE(YEAR(TODAY())-1,MONTH(TODAY()),DAY(TODAY())))*(BRON!$T$2:$T$1214&lt;=TODAY()))</f>
        <v>2</v>
      </c>
    </row>
    <row r="68" spans="1:7" x14ac:dyDescent="0.25">
      <c r="A68" s="34" t="s">
        <v>2129</v>
      </c>
      <c r="B68" s="34" t="s">
        <v>2128</v>
      </c>
      <c r="C68">
        <v>38648</v>
      </c>
      <c r="D68" s="34" t="s">
        <v>3855</v>
      </c>
      <c r="E68" s="3">
        <v>45027.083333333299</v>
      </c>
      <c r="F68" s="35">
        <f t="shared" ca="1" si="1"/>
        <v>2</v>
      </c>
      <c r="G68" s="42" cm="1">
        <f t="array" aca="1" ref="G68" ca="1">SUMPRODUCT((BRON!$A$2:$A$1214=Table1[[#This Row],[Personeelsnummer]])*(BRON!$T$2:$T$1214&gt;=DATE(YEAR(TODAY())-1,MONTH(TODAY()),DAY(TODAY())))*(BRON!$T$2:$T$1214&lt;=TODAY()))</f>
        <v>2</v>
      </c>
    </row>
    <row r="69" spans="1:7" x14ac:dyDescent="0.25">
      <c r="A69" s="34" t="s">
        <v>2584</v>
      </c>
      <c r="B69" s="34" t="s">
        <v>2583</v>
      </c>
      <c r="C69">
        <v>39358</v>
      </c>
      <c r="D69" s="34" t="s">
        <v>3853</v>
      </c>
      <c r="E69" s="3">
        <v>45124.083333333299</v>
      </c>
      <c r="F69" s="35">
        <f t="shared" ca="1" si="1"/>
        <v>2</v>
      </c>
      <c r="G69" s="42" cm="1">
        <f t="array" aca="1" ref="G69" ca="1">SUMPRODUCT((BRON!$A$2:$A$1214=Table1[[#This Row],[Personeelsnummer]])*(BRON!$T$2:$T$1214&gt;=DATE(YEAR(TODAY())-1,MONTH(TODAY()),DAY(TODAY())))*(BRON!$T$2:$T$1214&lt;=TODAY()))</f>
        <v>2</v>
      </c>
    </row>
    <row r="70" spans="1:7" x14ac:dyDescent="0.25">
      <c r="A70" s="34" t="s">
        <v>2370</v>
      </c>
      <c r="B70" s="34" t="s">
        <v>2369</v>
      </c>
      <c r="C70">
        <v>39581</v>
      </c>
      <c r="D70" s="34" t="s">
        <v>3857</v>
      </c>
      <c r="E70" s="3">
        <v>45194.083333333299</v>
      </c>
      <c r="F70" s="35">
        <f t="shared" ca="1" si="1"/>
        <v>2</v>
      </c>
      <c r="G70" s="42" cm="1">
        <f t="array" aca="1" ref="G70" ca="1">SUMPRODUCT((BRON!$A$2:$A$1214=Table1[[#This Row],[Personeelsnummer]])*(BRON!$T$2:$T$1214&gt;=DATE(YEAR(TODAY())-1,MONTH(TODAY()),DAY(TODAY())))*(BRON!$T$2:$T$1214&lt;=TODAY()))</f>
        <v>2</v>
      </c>
    </row>
    <row r="71" spans="1:7" x14ac:dyDescent="0.25">
      <c r="A71" s="34" t="s">
        <v>2030</v>
      </c>
      <c r="B71" s="34" t="s">
        <v>2029</v>
      </c>
      <c r="C71">
        <v>39532</v>
      </c>
      <c r="D71" s="34" t="s">
        <v>3853</v>
      </c>
      <c r="E71" s="3">
        <v>45208.083333333299</v>
      </c>
      <c r="F71" s="35">
        <f t="shared" ca="1" si="1"/>
        <v>2</v>
      </c>
      <c r="G71" s="42" cm="1">
        <f t="array" aca="1" ref="G71" ca="1">SUMPRODUCT((BRON!$A$2:$A$1214=Table1[[#This Row],[Personeelsnummer]])*(BRON!$T$2:$T$1214&gt;=DATE(YEAR(TODAY())-1,MONTH(TODAY()),DAY(TODAY())))*(BRON!$T$2:$T$1214&lt;=TODAY()))</f>
        <v>2</v>
      </c>
    </row>
    <row r="72" spans="1:7" x14ac:dyDescent="0.25">
      <c r="A72" s="34" t="s">
        <v>2762</v>
      </c>
      <c r="B72" s="34" t="s">
        <v>2761</v>
      </c>
      <c r="C72">
        <v>38938</v>
      </c>
      <c r="D72" s="34" t="s">
        <v>3855</v>
      </c>
      <c r="E72" s="3">
        <v>45061.083333333299</v>
      </c>
      <c r="F72" s="35">
        <f t="shared" ca="1" si="1"/>
        <v>2</v>
      </c>
      <c r="G72" s="42" cm="1">
        <f t="array" aca="1" ref="G72" ca="1">SUMPRODUCT((BRON!$A$2:$A$1214=Table1[[#This Row],[Personeelsnummer]])*(BRON!$T$2:$T$1214&gt;=DATE(YEAR(TODAY())-1,MONTH(TODAY()),DAY(TODAY())))*(BRON!$T$2:$T$1214&lt;=TODAY()))</f>
        <v>5</v>
      </c>
    </row>
    <row r="73" spans="1:7" x14ac:dyDescent="0.25">
      <c r="A73" s="34" t="s">
        <v>2133</v>
      </c>
      <c r="B73" s="34" t="s">
        <v>2132</v>
      </c>
      <c r="C73">
        <v>39779</v>
      </c>
      <c r="D73" s="34" t="s">
        <v>3854</v>
      </c>
      <c r="E73" s="3">
        <v>45250.041666666701</v>
      </c>
      <c r="F73" s="35">
        <f t="shared" ca="1" si="1"/>
        <v>2</v>
      </c>
      <c r="G73" s="42" cm="1">
        <f t="array" aca="1" ref="G73" ca="1">SUMPRODUCT((BRON!$A$2:$A$1214=Table1[[#This Row],[Personeelsnummer]])*(BRON!$T$2:$T$1214&gt;=DATE(YEAR(TODAY())-1,MONTH(TODAY()),DAY(TODAY())))*(BRON!$T$2:$T$1214&lt;=TODAY()))</f>
        <v>2</v>
      </c>
    </row>
    <row r="74" spans="1:7" x14ac:dyDescent="0.25">
      <c r="A74" s="34" t="s">
        <v>2917</v>
      </c>
      <c r="B74" s="34" t="s">
        <v>2916</v>
      </c>
      <c r="C74">
        <v>37132</v>
      </c>
      <c r="D74" s="34" t="s">
        <v>3859</v>
      </c>
      <c r="E74" s="3">
        <v>44599.041666666701</v>
      </c>
      <c r="F74" s="35">
        <f t="shared" ca="1" si="1"/>
        <v>3</v>
      </c>
      <c r="G74" s="42" cm="1">
        <f t="array" aca="1" ref="G74" ca="1">SUMPRODUCT((BRON!$A$2:$A$1214=Table1[[#This Row],[Personeelsnummer]])*(BRON!$T$2:$T$1214&gt;=DATE(YEAR(TODAY())-1,MONTH(TODAY()),DAY(TODAY())))*(BRON!$T$2:$T$1214&lt;=TODAY()))</f>
        <v>2</v>
      </c>
    </row>
    <row r="75" spans="1:7" x14ac:dyDescent="0.25">
      <c r="A75" s="34" t="s">
        <v>1869</v>
      </c>
      <c r="B75" s="34" t="s">
        <v>1868</v>
      </c>
      <c r="C75">
        <v>37345</v>
      </c>
      <c r="D75" s="34" t="s">
        <v>3855</v>
      </c>
      <c r="E75" s="3">
        <v>44655.083333333299</v>
      </c>
      <c r="F75" s="35">
        <f t="shared" ca="1" si="1"/>
        <v>3</v>
      </c>
      <c r="G75" s="42" cm="1">
        <f t="array" aca="1" ref="G75" ca="1">SUMPRODUCT((BRON!$A$2:$A$1214=Table1[[#This Row],[Personeelsnummer]])*(BRON!$T$2:$T$1214&gt;=DATE(YEAR(TODAY())-1,MONTH(TODAY()),DAY(TODAY())))*(BRON!$T$2:$T$1214&lt;=TODAY()))</f>
        <v>2</v>
      </c>
    </row>
    <row r="76" spans="1:7" x14ac:dyDescent="0.25">
      <c r="A76" s="34" t="s">
        <v>1797</v>
      </c>
      <c r="B76" s="34" t="s">
        <v>1796</v>
      </c>
      <c r="C76">
        <v>37509</v>
      </c>
      <c r="D76" s="34" t="s">
        <v>3854</v>
      </c>
      <c r="E76" s="3">
        <v>44670.083333333299</v>
      </c>
      <c r="F76" s="35">
        <f t="shared" ca="1" si="1"/>
        <v>3</v>
      </c>
      <c r="G76" s="42" cm="1">
        <f t="array" aca="1" ref="G76" ca="1">SUMPRODUCT((BRON!$A$2:$A$1214=Table1[[#This Row],[Personeelsnummer]])*(BRON!$T$2:$T$1214&gt;=DATE(YEAR(TODAY())-1,MONTH(TODAY()),DAY(TODAY())))*(BRON!$T$2:$T$1214&lt;=TODAY()))</f>
        <v>2</v>
      </c>
    </row>
    <row r="77" spans="1:7" x14ac:dyDescent="0.25">
      <c r="A77" s="34" t="s">
        <v>1474</v>
      </c>
      <c r="B77" s="34" t="s">
        <v>1473</v>
      </c>
      <c r="C77">
        <v>37496</v>
      </c>
      <c r="D77" s="34" t="s">
        <v>3859</v>
      </c>
      <c r="E77" s="3">
        <v>44700.083333333299</v>
      </c>
      <c r="F77" s="35">
        <f t="shared" ca="1" si="1"/>
        <v>3</v>
      </c>
      <c r="G77" s="42" cm="1">
        <f t="array" aca="1" ref="G77" ca="1">SUMPRODUCT((BRON!$A$2:$A$1214=Table1[[#This Row],[Personeelsnummer]])*(BRON!$T$2:$T$1214&gt;=DATE(YEAR(TODAY())-1,MONTH(TODAY()),DAY(TODAY())))*(BRON!$T$2:$T$1214&lt;=TODAY()))</f>
        <v>2</v>
      </c>
    </row>
    <row r="78" spans="1:7" x14ac:dyDescent="0.25">
      <c r="A78" s="34" t="s">
        <v>3228</v>
      </c>
      <c r="B78" s="34" t="s">
        <v>3227</v>
      </c>
      <c r="C78">
        <v>37543</v>
      </c>
      <c r="D78" s="34" t="s">
        <v>3851</v>
      </c>
      <c r="E78" s="3">
        <v>44683.083333333299</v>
      </c>
      <c r="F78" s="35">
        <f t="shared" ca="1" si="1"/>
        <v>3</v>
      </c>
      <c r="G78" s="42" cm="1">
        <f t="array" aca="1" ref="G78" ca="1">SUMPRODUCT((BRON!$A$2:$A$1214=Table1[[#This Row],[Personeelsnummer]])*(BRON!$T$2:$T$1214&gt;=DATE(YEAR(TODAY())-1,MONTH(TODAY()),DAY(TODAY())))*(BRON!$T$2:$T$1214&lt;=TODAY()))</f>
        <v>2</v>
      </c>
    </row>
    <row r="79" spans="1:7" x14ac:dyDescent="0.25">
      <c r="A79" s="34" t="s">
        <v>1647</v>
      </c>
      <c r="B79" s="34" t="s">
        <v>1646</v>
      </c>
      <c r="C79">
        <v>36289</v>
      </c>
      <c r="D79" s="34" t="s">
        <v>3856</v>
      </c>
      <c r="E79" s="3">
        <v>44284.083333333299</v>
      </c>
      <c r="F79" s="35">
        <f t="shared" ca="1" si="1"/>
        <v>4</v>
      </c>
      <c r="G79" s="42" cm="1">
        <f t="array" aca="1" ref="G79" ca="1">SUMPRODUCT((BRON!$A$2:$A$1214=Table1[[#This Row],[Personeelsnummer]])*(BRON!$T$2:$T$1214&gt;=DATE(YEAR(TODAY())-1,MONTH(TODAY()),DAY(TODAY())))*(BRON!$T$2:$T$1214&lt;=TODAY()))</f>
        <v>2</v>
      </c>
    </row>
    <row r="80" spans="1:7" x14ac:dyDescent="0.25">
      <c r="A80" s="34" t="s">
        <v>3220</v>
      </c>
      <c r="B80" s="34" t="s">
        <v>3219</v>
      </c>
      <c r="C80">
        <v>36438</v>
      </c>
      <c r="D80" s="34" t="s">
        <v>3854</v>
      </c>
      <c r="E80" s="3">
        <v>44298.083333333299</v>
      </c>
      <c r="F80" s="35">
        <f t="shared" ca="1" si="1"/>
        <v>4</v>
      </c>
      <c r="G80" s="42" cm="1">
        <f t="array" aca="1" ref="G80" ca="1">SUMPRODUCT((BRON!$A$2:$A$1214=Table1[[#This Row],[Personeelsnummer]])*(BRON!$T$2:$T$1214&gt;=DATE(YEAR(TODAY())-1,MONTH(TODAY()),DAY(TODAY())))*(BRON!$T$2:$T$1214&lt;=TODAY()))</f>
        <v>2</v>
      </c>
    </row>
    <row r="81" spans="1:7" x14ac:dyDescent="0.25">
      <c r="A81" s="34" t="s">
        <v>3195</v>
      </c>
      <c r="B81" s="34" t="s">
        <v>3194</v>
      </c>
      <c r="C81">
        <v>36512</v>
      </c>
      <c r="D81" s="34" t="s">
        <v>3858</v>
      </c>
      <c r="E81" s="3">
        <v>44333.083333333299</v>
      </c>
      <c r="F81" s="35">
        <f t="shared" ca="1" si="1"/>
        <v>4</v>
      </c>
      <c r="G81" s="42" cm="1">
        <f t="array" aca="1" ref="G81" ca="1">SUMPRODUCT((BRON!$A$2:$A$1214=Table1[[#This Row],[Personeelsnummer]])*(BRON!$T$2:$T$1214&gt;=DATE(YEAR(TODAY())-1,MONTH(TODAY()),DAY(TODAY())))*(BRON!$T$2:$T$1214&lt;=TODAY()))</f>
        <v>2</v>
      </c>
    </row>
    <row r="82" spans="1:7" x14ac:dyDescent="0.25">
      <c r="A82" s="34" t="s">
        <v>2702</v>
      </c>
      <c r="B82" s="34" t="s">
        <v>2701</v>
      </c>
      <c r="C82">
        <v>36635</v>
      </c>
      <c r="D82" s="34" t="s">
        <v>3851</v>
      </c>
      <c r="E82" s="3">
        <v>44417.083333333299</v>
      </c>
      <c r="F82" s="35">
        <f t="shared" ca="1" si="1"/>
        <v>4</v>
      </c>
      <c r="G82" s="42" cm="1">
        <f t="array" aca="1" ref="G82" ca="1">SUMPRODUCT((BRON!$A$2:$A$1214=Table1[[#This Row],[Personeelsnummer]])*(BRON!$T$2:$T$1214&gt;=DATE(YEAR(TODAY())-1,MONTH(TODAY()),DAY(TODAY())))*(BRON!$T$2:$T$1214&lt;=TODAY()))</f>
        <v>2</v>
      </c>
    </row>
    <row r="83" spans="1:7" x14ac:dyDescent="0.25">
      <c r="A83" s="34" t="s">
        <v>2405</v>
      </c>
      <c r="B83" s="34" t="s">
        <v>3070</v>
      </c>
      <c r="C83">
        <v>36627</v>
      </c>
      <c r="D83" s="34" t="s">
        <v>3857</v>
      </c>
      <c r="E83" s="3">
        <v>44384.083333333299</v>
      </c>
      <c r="F83" s="35">
        <f t="shared" ca="1" si="1"/>
        <v>4</v>
      </c>
      <c r="G83" s="42" cm="1">
        <f t="array" aca="1" ref="G83" ca="1">SUMPRODUCT((BRON!$A$2:$A$1214=Table1[[#This Row],[Personeelsnummer]])*(BRON!$T$2:$T$1214&gt;=DATE(YEAR(TODAY())-1,MONTH(TODAY()),DAY(TODAY())))*(BRON!$T$2:$T$1214&lt;=TODAY()))</f>
        <v>3</v>
      </c>
    </row>
    <row r="84" spans="1:7" x14ac:dyDescent="0.25">
      <c r="A84" s="34" t="s">
        <v>2524</v>
      </c>
      <c r="B84" s="34" t="s">
        <v>2523</v>
      </c>
      <c r="C84">
        <v>36626</v>
      </c>
      <c r="D84" s="34" t="s">
        <v>3857</v>
      </c>
      <c r="E84" s="3">
        <v>44389.083333333299</v>
      </c>
      <c r="F84" s="35">
        <f t="shared" ca="1" si="1"/>
        <v>4</v>
      </c>
      <c r="G84" s="42" cm="1">
        <f t="array" aca="1" ref="G84" ca="1">SUMPRODUCT((BRON!$A$2:$A$1214=Table1[[#This Row],[Personeelsnummer]])*(BRON!$T$2:$T$1214&gt;=DATE(YEAR(TODAY())-1,MONTH(TODAY()),DAY(TODAY())))*(BRON!$T$2:$T$1214&lt;=TODAY()))</f>
        <v>2</v>
      </c>
    </row>
    <row r="85" spans="1:7" x14ac:dyDescent="0.25">
      <c r="A85" s="34" t="s">
        <v>3408</v>
      </c>
      <c r="B85" s="34" t="s">
        <v>3407</v>
      </c>
      <c r="C85">
        <v>35397</v>
      </c>
      <c r="D85" s="34" t="s">
        <v>3855</v>
      </c>
      <c r="E85" s="3">
        <v>43984.083333333299</v>
      </c>
      <c r="F85" s="35">
        <f t="shared" ca="1" si="1"/>
        <v>5</v>
      </c>
      <c r="G85" s="42" cm="1">
        <f t="array" aca="1" ref="G85" ca="1">SUMPRODUCT((BRON!$A$2:$A$1214=Table1[[#This Row],[Personeelsnummer]])*(BRON!$T$2:$T$1214&gt;=DATE(YEAR(TODAY())-1,MONTH(TODAY()),DAY(TODAY())))*(BRON!$T$2:$T$1214&lt;=TODAY()))</f>
        <v>2</v>
      </c>
    </row>
    <row r="86" spans="1:7" x14ac:dyDescent="0.25">
      <c r="A86" s="34" t="s">
        <v>1394</v>
      </c>
      <c r="B86" s="34" t="s">
        <v>1393</v>
      </c>
      <c r="C86">
        <v>35491</v>
      </c>
      <c r="D86" s="34" t="s">
        <v>3856</v>
      </c>
      <c r="E86" s="3">
        <v>44025.083333333299</v>
      </c>
      <c r="F86" s="35">
        <f t="shared" ca="1" si="1"/>
        <v>5</v>
      </c>
      <c r="G86" s="42" cm="1">
        <f t="array" aca="1" ref="G86" ca="1">SUMPRODUCT((BRON!$A$2:$A$1214=Table1[[#This Row],[Personeelsnummer]])*(BRON!$T$2:$T$1214&gt;=DATE(YEAR(TODAY())-1,MONTH(TODAY()),DAY(TODAY())))*(BRON!$T$2:$T$1214&lt;=TODAY()))</f>
        <v>2</v>
      </c>
    </row>
    <row r="87" spans="1:7" x14ac:dyDescent="0.25">
      <c r="A87" s="34" t="s">
        <v>2841</v>
      </c>
      <c r="B87" s="34" t="s">
        <v>2840</v>
      </c>
      <c r="C87">
        <v>36021</v>
      </c>
      <c r="D87" s="34" t="s">
        <v>3855</v>
      </c>
      <c r="E87" s="3">
        <v>44151.041666666701</v>
      </c>
      <c r="F87" s="35">
        <f t="shared" ca="1" si="1"/>
        <v>5</v>
      </c>
      <c r="G87" s="42" cm="1">
        <f t="array" aca="1" ref="G87" ca="1">SUMPRODUCT((BRON!$A$2:$A$1214=Table1[[#This Row],[Personeelsnummer]])*(BRON!$T$2:$T$1214&gt;=DATE(YEAR(TODAY())-1,MONTH(TODAY()),DAY(TODAY())))*(BRON!$T$2:$T$1214&lt;=TODAY()))</f>
        <v>3</v>
      </c>
    </row>
    <row r="88" spans="1:7" x14ac:dyDescent="0.25">
      <c r="A88" s="34" t="s">
        <v>2792</v>
      </c>
      <c r="B88" s="34" t="s">
        <v>2068</v>
      </c>
      <c r="C88">
        <v>35588</v>
      </c>
      <c r="D88" s="34" t="s">
        <v>3855</v>
      </c>
      <c r="E88" s="3">
        <v>44039.083333333299</v>
      </c>
      <c r="F88" s="35">
        <f t="shared" ca="1" si="1"/>
        <v>5</v>
      </c>
      <c r="G88" s="42" cm="1">
        <f t="array" aca="1" ref="G88" ca="1">SUMPRODUCT((BRON!$A$2:$A$1214=Table1[[#This Row],[Personeelsnummer]])*(BRON!$T$2:$T$1214&gt;=DATE(YEAR(TODAY())-1,MONTH(TODAY()),DAY(TODAY())))*(BRON!$T$2:$T$1214&lt;=TODAY()))</f>
        <v>2</v>
      </c>
    </row>
    <row r="89" spans="1:7" x14ac:dyDescent="0.25">
      <c r="A89" s="34" t="s">
        <v>2007</v>
      </c>
      <c r="B89" s="34" t="s">
        <v>2006</v>
      </c>
      <c r="C89">
        <v>32611</v>
      </c>
      <c r="D89" s="34" t="s">
        <v>3851</v>
      </c>
      <c r="E89" s="3">
        <v>43178.041666666701</v>
      </c>
      <c r="F89" s="35">
        <f t="shared" ca="1" si="1"/>
        <v>7</v>
      </c>
      <c r="G89" s="42" cm="1">
        <f t="array" aca="1" ref="G89" ca="1">SUMPRODUCT((BRON!$A$2:$A$1214=Table1[[#This Row],[Personeelsnummer]])*(BRON!$T$2:$T$1214&gt;=DATE(YEAR(TODAY())-1,MONTH(TODAY()),DAY(TODAY())))*(BRON!$T$2:$T$1214&lt;=TODAY()))</f>
        <v>2</v>
      </c>
    </row>
    <row r="90" spans="1:7" x14ac:dyDescent="0.25">
      <c r="A90" s="34" t="s">
        <v>2964</v>
      </c>
      <c r="B90" s="34" t="s">
        <v>2963</v>
      </c>
      <c r="C90">
        <v>32620</v>
      </c>
      <c r="D90" s="34" t="s">
        <v>3856</v>
      </c>
      <c r="E90" s="3">
        <v>43193.083333333299</v>
      </c>
      <c r="F90" s="35">
        <f t="shared" ca="1" si="1"/>
        <v>7</v>
      </c>
      <c r="G90" s="42" cm="1">
        <f t="array" aca="1" ref="G90" ca="1">SUMPRODUCT((BRON!$A$2:$A$1214=Table1[[#This Row],[Personeelsnummer]])*(BRON!$T$2:$T$1214&gt;=DATE(YEAR(TODAY())-1,MONTH(TODAY()),DAY(TODAY())))*(BRON!$T$2:$T$1214&lt;=TODAY()))</f>
        <v>2</v>
      </c>
    </row>
    <row r="91" spans="1:7" x14ac:dyDescent="0.25">
      <c r="A91" s="34" t="s">
        <v>2737</v>
      </c>
      <c r="B91" s="34" t="s">
        <v>2736</v>
      </c>
      <c r="C91">
        <v>32002</v>
      </c>
      <c r="D91" s="34" t="s">
        <v>3858</v>
      </c>
      <c r="E91" s="3">
        <v>42989.083333333299</v>
      </c>
      <c r="F91" s="35">
        <f t="shared" ca="1" si="1"/>
        <v>8</v>
      </c>
      <c r="G91" s="42" cm="1">
        <f t="array" aca="1" ref="G91" ca="1">SUMPRODUCT((BRON!$A$2:$A$1214=Table1[[#This Row],[Personeelsnummer]])*(BRON!$T$2:$T$1214&gt;=DATE(YEAR(TODAY())-1,MONTH(TODAY()),DAY(TODAY())))*(BRON!$T$2:$T$1214&lt;=TODAY()))</f>
        <v>2</v>
      </c>
    </row>
    <row r="92" spans="1:7" x14ac:dyDescent="0.25">
      <c r="A92" s="34" t="s">
        <v>2890</v>
      </c>
      <c r="B92" s="34" t="s">
        <v>2666</v>
      </c>
      <c r="C92">
        <v>31360</v>
      </c>
      <c r="D92" s="34" t="s">
        <v>3859</v>
      </c>
      <c r="E92" s="3">
        <v>42744.041666666701</v>
      </c>
      <c r="F92" s="35">
        <f t="shared" ca="1" si="1"/>
        <v>8</v>
      </c>
      <c r="G92" s="42" cm="1">
        <f t="array" aca="1" ref="G92" ca="1">SUMPRODUCT((BRON!$A$2:$A$1214=Table1[[#This Row],[Personeelsnummer]])*(BRON!$T$2:$T$1214&gt;=DATE(YEAR(TODAY())-1,MONTH(TODAY()),DAY(TODAY())))*(BRON!$T$2:$T$1214&lt;=TODAY()))</f>
        <v>2</v>
      </c>
    </row>
    <row r="93" spans="1:7" x14ac:dyDescent="0.25">
      <c r="A93" s="34" t="s">
        <v>2232</v>
      </c>
      <c r="B93" s="34" t="s">
        <v>2231</v>
      </c>
      <c r="C93">
        <v>31668</v>
      </c>
      <c r="D93" s="34" t="s">
        <v>3859</v>
      </c>
      <c r="E93" s="3">
        <v>42877.083333333299</v>
      </c>
      <c r="F93" s="35">
        <f t="shared" ca="1" si="1"/>
        <v>8</v>
      </c>
      <c r="G93" s="42" cm="1">
        <f t="array" aca="1" ref="G93" ca="1">SUMPRODUCT((BRON!$A$2:$A$1214=Table1[[#This Row],[Personeelsnummer]])*(BRON!$T$2:$T$1214&gt;=DATE(YEAR(TODAY())-1,MONTH(TODAY()),DAY(TODAY())))*(BRON!$T$2:$T$1214&lt;=TODAY()))</f>
        <v>2</v>
      </c>
    </row>
    <row r="94" spans="1:7" x14ac:dyDescent="0.25">
      <c r="A94" s="34" t="s">
        <v>1343</v>
      </c>
      <c r="B94" s="34" t="s">
        <v>2191</v>
      </c>
      <c r="C94">
        <v>31118</v>
      </c>
      <c r="D94" s="34" t="s">
        <v>3857</v>
      </c>
      <c r="E94" s="3">
        <v>42618.083333333299</v>
      </c>
      <c r="F94" s="35">
        <f t="shared" ca="1" si="1"/>
        <v>9</v>
      </c>
      <c r="G94" s="42" cm="1">
        <f t="array" aca="1" ref="G94" ca="1">SUMPRODUCT((BRON!$A$2:$A$1214=Table1[[#This Row],[Personeelsnummer]])*(BRON!$T$2:$T$1214&gt;=DATE(YEAR(TODAY())-1,MONTH(TODAY()),DAY(TODAY())))*(BRON!$T$2:$T$1214&lt;=TODAY()))</f>
        <v>2</v>
      </c>
    </row>
    <row r="95" spans="1:7" x14ac:dyDescent="0.25">
      <c r="A95" s="34" t="s">
        <v>2890</v>
      </c>
      <c r="B95" s="34" t="s">
        <v>2893</v>
      </c>
      <c r="C95">
        <v>30967</v>
      </c>
      <c r="D95" s="34" t="s">
        <v>3859</v>
      </c>
      <c r="E95" s="3">
        <v>42548.083333333299</v>
      </c>
      <c r="F95" s="35">
        <f t="shared" ca="1" si="1"/>
        <v>9</v>
      </c>
      <c r="G95" s="42" cm="1">
        <f t="array" aca="1" ref="G95" ca="1">SUMPRODUCT((BRON!$A$2:$A$1214=Table1[[#This Row],[Personeelsnummer]])*(BRON!$T$2:$T$1214&gt;=DATE(YEAR(TODAY())-1,MONTH(TODAY()),DAY(TODAY())))*(BRON!$T$2:$T$1214&lt;=TODAY()))</f>
        <v>2</v>
      </c>
    </row>
    <row r="96" spans="1:7" x14ac:dyDescent="0.25">
      <c r="A96" s="34" t="s">
        <v>2019</v>
      </c>
      <c r="B96" s="34" t="s">
        <v>2018</v>
      </c>
      <c r="C96">
        <v>28910</v>
      </c>
      <c r="D96" s="34" t="s">
        <v>3854</v>
      </c>
      <c r="E96" s="3">
        <v>41743.083333333299</v>
      </c>
      <c r="F96" s="35">
        <f t="shared" ca="1" si="1"/>
        <v>11</v>
      </c>
      <c r="G96" s="42" cm="1">
        <f t="array" aca="1" ref="G96" ca="1">SUMPRODUCT((BRON!$A$2:$A$1214=Table1[[#This Row],[Personeelsnummer]])*(BRON!$T$2:$T$1214&gt;=DATE(YEAR(TODAY())-1,MONTH(TODAY()),DAY(TODAY())))*(BRON!$T$2:$T$1214&lt;=TODAY()))</f>
        <v>2</v>
      </c>
    </row>
    <row r="97" spans="1:7" x14ac:dyDescent="0.25">
      <c r="A97" s="34" t="s">
        <v>1328</v>
      </c>
      <c r="B97" s="34" t="s">
        <v>1637</v>
      </c>
      <c r="C97">
        <v>27209</v>
      </c>
      <c r="D97" s="34" t="s">
        <v>3857</v>
      </c>
      <c r="E97" s="3">
        <v>40973.041666666701</v>
      </c>
      <c r="F97" s="35">
        <f t="shared" ca="1" si="1"/>
        <v>13</v>
      </c>
      <c r="G97" s="42" cm="1">
        <f t="array" aca="1" ref="G97" ca="1">SUMPRODUCT((BRON!$A$2:$A$1214=Table1[[#This Row],[Personeelsnummer]])*(BRON!$T$2:$T$1214&gt;=DATE(YEAR(TODAY())-1,MONTH(TODAY()),DAY(TODAY())))*(BRON!$T$2:$T$1214&lt;=TODAY()))</f>
        <v>2</v>
      </c>
    </row>
    <row r="98" spans="1:7" x14ac:dyDescent="0.25">
      <c r="A98" s="34" t="s">
        <v>2148</v>
      </c>
      <c r="B98" s="34" t="s">
        <v>1393</v>
      </c>
      <c r="C98">
        <v>26960</v>
      </c>
      <c r="D98" s="34" t="s">
        <v>3856</v>
      </c>
      <c r="E98" s="3">
        <v>40861.041666666701</v>
      </c>
      <c r="F98" s="35">
        <f t="shared" ca="1" si="1"/>
        <v>14</v>
      </c>
      <c r="G98" s="42" cm="1">
        <f t="array" aca="1" ref="G98" ca="1">SUMPRODUCT((BRON!$A$2:$A$1214=Table1[[#This Row],[Personeelsnummer]])*(BRON!$T$2:$T$1214&gt;=DATE(YEAR(TODAY())-1,MONTH(TODAY()),DAY(TODAY())))*(BRON!$T$2:$T$1214&lt;=TODAY()))</f>
        <v>2</v>
      </c>
    </row>
    <row r="99" spans="1:7" x14ac:dyDescent="0.25">
      <c r="A99" s="34" t="s">
        <v>1697</v>
      </c>
      <c r="B99" s="34" t="s">
        <v>1696</v>
      </c>
      <c r="C99">
        <v>25679</v>
      </c>
      <c r="D99" s="34" t="s">
        <v>3853</v>
      </c>
      <c r="E99" s="3">
        <v>40455.083333333299</v>
      </c>
      <c r="F99" s="35">
        <f t="shared" ca="1" si="1"/>
        <v>15</v>
      </c>
      <c r="G99" s="42" cm="1">
        <f t="array" aca="1" ref="G99" ca="1">SUMPRODUCT((BRON!$A$2:$A$1214=Table1[[#This Row],[Personeelsnummer]])*(BRON!$T$2:$T$1214&gt;=DATE(YEAR(TODAY())-1,MONTH(TODAY()),DAY(TODAY())))*(BRON!$T$2:$T$1214&lt;=TODAY()))</f>
        <v>2</v>
      </c>
    </row>
    <row r="100" spans="1:7" x14ac:dyDescent="0.25">
      <c r="A100" s="34" t="s">
        <v>3438</v>
      </c>
      <c r="B100" s="34" t="s">
        <v>2666</v>
      </c>
      <c r="C100">
        <v>25733</v>
      </c>
      <c r="D100" s="34" t="s">
        <v>3856</v>
      </c>
      <c r="E100" s="3">
        <v>40469.083333333299</v>
      </c>
      <c r="F100" s="35">
        <f t="shared" ca="1" si="1"/>
        <v>15</v>
      </c>
      <c r="G100" s="42" cm="1">
        <f t="array" aca="1" ref="G100" ca="1">SUMPRODUCT((BRON!$A$2:$A$1214=Table1[[#This Row],[Personeelsnummer]])*(BRON!$T$2:$T$1214&gt;=DATE(YEAR(TODAY())-1,MONTH(TODAY()),DAY(TODAY())))*(BRON!$T$2:$T$1214&lt;=TODAY()))</f>
        <v>2</v>
      </c>
    </row>
    <row r="101" spans="1:7" x14ac:dyDescent="0.25">
      <c r="A101" s="34" t="s">
        <v>3241</v>
      </c>
      <c r="B101" s="34" t="s">
        <v>3244</v>
      </c>
      <c r="C101">
        <v>23918</v>
      </c>
      <c r="D101" s="34" t="s">
        <v>3856</v>
      </c>
      <c r="E101" s="3">
        <v>39972.083333333299</v>
      </c>
      <c r="F101" s="35">
        <f t="shared" ca="1" si="1"/>
        <v>16</v>
      </c>
      <c r="G101" s="42" cm="1">
        <f t="array" aca="1" ref="G101" ca="1">SUMPRODUCT((BRON!$A$2:$A$1214=Table1[[#This Row],[Personeelsnummer]])*(BRON!$T$2:$T$1214&gt;=DATE(YEAR(TODAY())-1,MONTH(TODAY()),DAY(TODAY())))*(BRON!$T$2:$T$1214&lt;=TODAY()))</f>
        <v>2</v>
      </c>
    </row>
    <row r="102" spans="1:7" x14ac:dyDescent="0.25">
      <c r="A102" s="34" t="s">
        <v>2588</v>
      </c>
      <c r="B102" s="34" t="s">
        <v>2587</v>
      </c>
      <c r="C102">
        <v>21424</v>
      </c>
      <c r="D102" s="34" t="s">
        <v>3857</v>
      </c>
      <c r="E102" s="3">
        <v>39370.083333333299</v>
      </c>
      <c r="F102" s="35">
        <f t="shared" ca="1" si="1"/>
        <v>18</v>
      </c>
      <c r="G102" s="42" cm="1">
        <f t="array" aca="1" ref="G102" ca="1">SUMPRODUCT((BRON!$A$2:$A$1214=Table1[[#This Row],[Personeelsnummer]])*(BRON!$T$2:$T$1214&gt;=DATE(YEAR(TODAY())-1,MONTH(TODAY()),DAY(TODAY())))*(BRON!$T$2:$T$1214&lt;=TODAY()))</f>
        <v>2</v>
      </c>
    </row>
    <row r="103" spans="1:7" x14ac:dyDescent="0.25">
      <c r="A103" s="34" t="s">
        <v>2273</v>
      </c>
      <c r="B103" s="34" t="s">
        <v>2272</v>
      </c>
      <c r="C103">
        <v>20653</v>
      </c>
      <c r="D103" s="34" t="s">
        <v>3854</v>
      </c>
      <c r="E103" s="3">
        <v>39204.083333333299</v>
      </c>
      <c r="F103" s="35">
        <f t="shared" ca="1" si="1"/>
        <v>18</v>
      </c>
      <c r="G103" s="42" cm="1">
        <f t="array" aca="1" ref="G103" ca="1">SUMPRODUCT((BRON!$A$2:$A$1214=Table1[[#This Row],[Personeelsnummer]])*(BRON!$T$2:$T$1214&gt;=DATE(YEAR(TODAY())-1,MONTH(TODAY()),DAY(TODAY())))*(BRON!$T$2:$T$1214&lt;=TODAY()))</f>
        <v>2</v>
      </c>
    </row>
    <row r="104" spans="1:7" x14ac:dyDescent="0.25">
      <c r="A104" s="34" t="s">
        <v>2524</v>
      </c>
      <c r="B104" s="34" t="s">
        <v>2527</v>
      </c>
      <c r="C104">
        <v>19249</v>
      </c>
      <c r="D104" s="34" t="s">
        <v>3855</v>
      </c>
      <c r="E104" s="3">
        <v>38852.083333333299</v>
      </c>
      <c r="F104" s="35">
        <f t="shared" ca="1" si="1"/>
        <v>19</v>
      </c>
      <c r="G104" s="42" cm="1">
        <f t="array" aca="1" ref="G104" ca="1">SUMPRODUCT((BRON!$A$2:$A$1214=Table1[[#This Row],[Personeelsnummer]])*(BRON!$T$2:$T$1214&gt;=DATE(YEAR(TODAY())-1,MONTH(TODAY()),DAY(TODAY())))*(BRON!$T$2:$T$1214&lt;=TODAY()))</f>
        <v>2</v>
      </c>
    </row>
    <row r="105" spans="1:7" x14ac:dyDescent="0.25">
      <c r="A105" s="34" t="s">
        <v>2866</v>
      </c>
      <c r="B105" s="34" t="s">
        <v>2872</v>
      </c>
      <c r="C105">
        <v>15412</v>
      </c>
      <c r="D105" s="34" t="s">
        <v>3854</v>
      </c>
      <c r="E105" s="3">
        <v>37634.041666666701</v>
      </c>
      <c r="F105" s="35">
        <f t="shared" ca="1" si="1"/>
        <v>22</v>
      </c>
      <c r="G105" s="42" cm="1">
        <f t="array" aca="1" ref="G105" ca="1">SUMPRODUCT((BRON!$A$2:$A$1214=Table1[[#This Row],[Personeelsnummer]])*(BRON!$T$2:$T$1214&gt;=DATE(YEAR(TODAY())-1,MONTH(TODAY()),DAY(TODAY())))*(BRON!$T$2:$T$1214&lt;=TODAY()))</f>
        <v>2</v>
      </c>
    </row>
    <row r="106" spans="1:7" x14ac:dyDescent="0.25">
      <c r="A106" s="34" t="s">
        <v>2257</v>
      </c>
      <c r="B106" s="34" t="s">
        <v>2261</v>
      </c>
      <c r="C106">
        <v>12684</v>
      </c>
      <c r="D106" s="34" t="s">
        <v>3856</v>
      </c>
      <c r="E106" s="3">
        <v>36815.083333333299</v>
      </c>
      <c r="F106" s="35">
        <f t="shared" ca="1" si="1"/>
        <v>25</v>
      </c>
      <c r="G106" s="42" cm="1">
        <f t="array" aca="1" ref="G106" ca="1">SUMPRODUCT((BRON!$A$2:$A$1214=Table1[[#This Row],[Personeelsnummer]])*(BRON!$T$2:$T$1214&gt;=DATE(YEAR(TODAY())-1,MONTH(TODAY()),DAY(TODAY())))*(BRON!$T$2:$T$1214&lt;=TODAY()))</f>
        <v>2</v>
      </c>
    </row>
    <row r="107" spans="1:7" x14ac:dyDescent="0.25">
      <c r="A107" s="34" t="s">
        <v>2850</v>
      </c>
      <c r="B107" s="34" t="s">
        <v>1816</v>
      </c>
      <c r="C107">
        <v>11236</v>
      </c>
      <c r="D107" s="34" t="s">
        <v>3854</v>
      </c>
      <c r="E107" s="3">
        <v>36332.083333333299</v>
      </c>
      <c r="F107" s="35">
        <f t="shared" ca="1" si="1"/>
        <v>26</v>
      </c>
      <c r="G107" s="42" cm="1">
        <f t="array" aca="1" ref="G107" ca="1">SUMPRODUCT((BRON!$A$2:$A$1214=Table1[[#This Row],[Personeelsnummer]])*(BRON!$T$2:$T$1214&gt;=DATE(YEAR(TODAY())-1,MONTH(TODAY()),DAY(TODAY())))*(BRON!$T$2:$T$1214&lt;=TODAY()))</f>
        <v>2</v>
      </c>
    </row>
    <row r="108" spans="1:7" x14ac:dyDescent="0.25">
      <c r="A108" s="34" t="s">
        <v>3438</v>
      </c>
      <c r="B108" s="34" t="s">
        <v>3591</v>
      </c>
      <c r="C108">
        <v>39928</v>
      </c>
      <c r="D108" s="34" t="s">
        <v>3854</v>
      </c>
      <c r="E108" s="3">
        <v>45896.083333333299</v>
      </c>
      <c r="F108" s="35">
        <f t="shared" ca="1" si="1"/>
        <v>0</v>
      </c>
      <c r="G108" s="42" cm="1">
        <f t="array" aca="1" ref="G108" ca="1">SUMPRODUCT((BRON!$A$2:$A$1214=Table1[[#This Row],[Personeelsnummer]])*(BRON!$T$2:$T$1214&gt;=DATE(YEAR(TODAY())-1,MONTH(TODAY()),DAY(TODAY())))*(BRON!$T$2:$T$1214&lt;=TODAY()))</f>
        <v>1</v>
      </c>
    </row>
    <row r="109" spans="1:7" x14ac:dyDescent="0.25">
      <c r="A109" s="34" t="s">
        <v>1583</v>
      </c>
      <c r="B109" s="34" t="s">
        <v>1582</v>
      </c>
      <c r="C109">
        <v>41348</v>
      </c>
      <c r="D109" s="34" t="s">
        <v>3853</v>
      </c>
      <c r="E109" s="3">
        <v>45673.041666666701</v>
      </c>
      <c r="F109" s="35">
        <f t="shared" ca="1" si="1"/>
        <v>0</v>
      </c>
      <c r="G109" s="42" cm="1">
        <f t="array" aca="1" ref="G109" ca="1">SUMPRODUCT((BRON!$A$2:$A$1214=Table1[[#This Row],[Personeelsnummer]])*(BRON!$T$2:$T$1214&gt;=DATE(YEAR(TODAY())-1,MONTH(TODAY()),DAY(TODAY())))*(BRON!$T$2:$T$1214&lt;=TODAY()))</f>
        <v>1</v>
      </c>
    </row>
    <row r="110" spans="1:7" x14ac:dyDescent="0.25">
      <c r="A110" s="34" t="s">
        <v>1536</v>
      </c>
      <c r="B110" s="34" t="s">
        <v>1539</v>
      </c>
      <c r="C110">
        <v>41383</v>
      </c>
      <c r="D110" s="34" t="s">
        <v>3856</v>
      </c>
      <c r="E110" s="3">
        <v>45663.041666666701</v>
      </c>
      <c r="F110" s="35">
        <f t="shared" ca="1" si="1"/>
        <v>0</v>
      </c>
      <c r="G110" s="42" cm="1">
        <f t="array" aca="1" ref="G110" ca="1">SUMPRODUCT((BRON!$A$2:$A$1214=Table1[[#This Row],[Personeelsnummer]])*(BRON!$T$2:$T$1214&gt;=DATE(YEAR(TODAY())-1,MONTH(TODAY()),DAY(TODAY())))*(BRON!$T$2:$T$1214&lt;=TODAY()))</f>
        <v>1</v>
      </c>
    </row>
    <row r="111" spans="1:7" x14ac:dyDescent="0.25">
      <c r="A111" s="34" t="s">
        <v>1770</v>
      </c>
      <c r="B111" s="34" t="s">
        <v>1769</v>
      </c>
      <c r="C111">
        <v>41671</v>
      </c>
      <c r="D111" s="34" t="s">
        <v>3854</v>
      </c>
      <c r="E111" s="3">
        <v>45783.083333333299</v>
      </c>
      <c r="F111" s="35">
        <f t="shared" ca="1" si="1"/>
        <v>0</v>
      </c>
      <c r="G111" s="42" cm="1">
        <f t="array" aca="1" ref="G111" ca="1">SUMPRODUCT((BRON!$A$2:$A$1214=Table1[[#This Row],[Personeelsnummer]])*(BRON!$T$2:$T$1214&gt;=DATE(YEAR(TODAY())-1,MONTH(TODAY()),DAY(TODAY())))*(BRON!$T$2:$T$1214&lt;=TODAY()))</f>
        <v>1</v>
      </c>
    </row>
    <row r="112" spans="1:7" x14ac:dyDescent="0.25">
      <c r="A112" s="34" t="s">
        <v>2483</v>
      </c>
      <c r="B112" s="34" t="s">
        <v>2482</v>
      </c>
      <c r="C112">
        <v>41690</v>
      </c>
      <c r="D112" s="34" t="s">
        <v>3857</v>
      </c>
      <c r="E112" s="3">
        <v>45783.083333333299</v>
      </c>
      <c r="F112" s="35">
        <f t="shared" ca="1" si="1"/>
        <v>0</v>
      </c>
      <c r="G112" s="42" cm="1">
        <f t="array" aca="1" ref="G112" ca="1">SUMPRODUCT((BRON!$A$2:$A$1214=Table1[[#This Row],[Personeelsnummer]])*(BRON!$T$2:$T$1214&gt;=DATE(YEAR(TODAY())-1,MONTH(TODAY()),DAY(TODAY())))*(BRON!$T$2:$T$1214&lt;=TODAY()))</f>
        <v>1</v>
      </c>
    </row>
    <row r="113" spans="1:7" x14ac:dyDescent="0.25">
      <c r="A113" s="34" t="s">
        <v>2887</v>
      </c>
      <c r="B113" s="34" t="s">
        <v>2140</v>
      </c>
      <c r="C113">
        <v>41710</v>
      </c>
      <c r="D113" s="34" t="s">
        <v>3856</v>
      </c>
      <c r="E113" s="3">
        <v>45735.041666666701</v>
      </c>
      <c r="F113" s="35">
        <f t="shared" ca="1" si="1"/>
        <v>0</v>
      </c>
      <c r="G113" s="42" cm="1">
        <f t="array" aca="1" ref="G113" ca="1">SUMPRODUCT((BRON!$A$2:$A$1214=Table1[[#This Row],[Personeelsnummer]])*(BRON!$T$2:$T$1214&gt;=DATE(YEAR(TODAY())-1,MONTH(TODAY()),DAY(TODAY())))*(BRON!$T$2:$T$1214&lt;=TODAY()))</f>
        <v>1</v>
      </c>
    </row>
    <row r="114" spans="1:7" x14ac:dyDescent="0.25">
      <c r="A114" s="34" t="s">
        <v>1911</v>
      </c>
      <c r="B114" s="34" t="s">
        <v>1914</v>
      </c>
      <c r="C114">
        <v>41721</v>
      </c>
      <c r="D114" s="34" t="s">
        <v>3851</v>
      </c>
      <c r="E114" s="3">
        <v>45749.083333333299</v>
      </c>
      <c r="F114" s="35">
        <f t="shared" ca="1" si="1"/>
        <v>0</v>
      </c>
      <c r="G114" s="42" cm="1">
        <f t="array" aca="1" ref="G114" ca="1">SUMPRODUCT((BRON!$A$2:$A$1214=Table1[[#This Row],[Personeelsnummer]])*(BRON!$T$2:$T$1214&gt;=DATE(YEAR(TODAY())-1,MONTH(TODAY()),DAY(TODAY())))*(BRON!$T$2:$T$1214&lt;=TODAY()))</f>
        <v>1</v>
      </c>
    </row>
    <row r="115" spans="1:7" x14ac:dyDescent="0.25">
      <c r="A115" s="34" t="s">
        <v>2074</v>
      </c>
      <c r="B115" s="34" t="s">
        <v>3588</v>
      </c>
      <c r="C115">
        <v>41786</v>
      </c>
      <c r="D115" s="34" t="s">
        <v>3853</v>
      </c>
      <c r="E115" s="3">
        <v>45763.083333333299</v>
      </c>
      <c r="F115" s="35">
        <f t="shared" ca="1" si="1"/>
        <v>0</v>
      </c>
      <c r="G115" s="42" cm="1">
        <f t="array" aca="1" ref="G115" ca="1">SUMPRODUCT((BRON!$A$2:$A$1214=Table1[[#This Row],[Personeelsnummer]])*(BRON!$T$2:$T$1214&gt;=DATE(YEAR(TODAY())-1,MONTH(TODAY()),DAY(TODAY())))*(BRON!$T$2:$T$1214&lt;=TODAY()))</f>
        <v>1</v>
      </c>
    </row>
    <row r="116" spans="1:7" x14ac:dyDescent="0.25">
      <c r="A116" s="34" t="s">
        <v>1210</v>
      </c>
      <c r="B116" s="34" t="s">
        <v>1209</v>
      </c>
      <c r="C116">
        <v>41859</v>
      </c>
      <c r="D116" s="34" t="s">
        <v>3852</v>
      </c>
      <c r="E116" s="3">
        <v>45783.083333333299</v>
      </c>
      <c r="F116" s="35">
        <f t="shared" ca="1" si="1"/>
        <v>0</v>
      </c>
      <c r="G116" s="42" cm="1">
        <f t="array" aca="1" ref="G116" ca="1">SUMPRODUCT((BRON!$A$2:$A$1214=Table1[[#This Row],[Personeelsnummer]])*(BRON!$T$2:$T$1214&gt;=DATE(YEAR(TODAY())-1,MONTH(TODAY()),DAY(TODAY())))*(BRON!$T$2:$T$1214&lt;=TODAY()))</f>
        <v>1</v>
      </c>
    </row>
    <row r="117" spans="1:7" x14ac:dyDescent="0.25">
      <c r="A117" s="34" t="s">
        <v>1440</v>
      </c>
      <c r="B117" s="34" t="s">
        <v>1439</v>
      </c>
      <c r="C117">
        <v>41870</v>
      </c>
      <c r="D117" s="34" t="s">
        <v>3858</v>
      </c>
      <c r="E117" s="3">
        <v>45798.083333333299</v>
      </c>
      <c r="F117" s="35">
        <f t="shared" ca="1" si="1"/>
        <v>0</v>
      </c>
      <c r="G117" s="42" cm="1">
        <f t="array" aca="1" ref="G117" ca="1">SUMPRODUCT((BRON!$A$2:$A$1214=Table1[[#This Row],[Personeelsnummer]])*(BRON!$T$2:$T$1214&gt;=DATE(YEAR(TODAY())-1,MONTH(TODAY()),DAY(TODAY())))*(BRON!$T$2:$T$1214&lt;=TODAY()))</f>
        <v>1</v>
      </c>
    </row>
    <row r="118" spans="1:7" x14ac:dyDescent="0.25">
      <c r="A118" s="34" t="s">
        <v>1334</v>
      </c>
      <c r="B118" s="34" t="s">
        <v>3206</v>
      </c>
      <c r="C118">
        <v>41888</v>
      </c>
      <c r="D118" s="34" t="s">
        <v>3851</v>
      </c>
      <c r="E118" s="3">
        <v>45831.083333333299</v>
      </c>
      <c r="F118" s="35">
        <f t="shared" ca="1" si="1"/>
        <v>0</v>
      </c>
      <c r="G118" s="42" cm="1">
        <f t="array" aca="1" ref="G118" ca="1">SUMPRODUCT((BRON!$A$2:$A$1214=Table1[[#This Row],[Personeelsnummer]])*(BRON!$T$2:$T$1214&gt;=DATE(YEAR(TODAY())-1,MONTH(TODAY()),DAY(TODAY())))*(BRON!$T$2:$T$1214&lt;=TODAY()))</f>
        <v>1</v>
      </c>
    </row>
    <row r="119" spans="1:7" x14ac:dyDescent="0.25">
      <c r="A119" s="34" t="s">
        <v>1793</v>
      </c>
      <c r="B119" s="34" t="s">
        <v>1792</v>
      </c>
      <c r="C119">
        <v>41918</v>
      </c>
      <c r="D119" s="34" t="s">
        <v>3853</v>
      </c>
      <c r="E119" s="3">
        <v>45831.083333333299</v>
      </c>
      <c r="F119" s="35">
        <f t="shared" ca="1" si="1"/>
        <v>0</v>
      </c>
      <c r="G119" s="42" cm="1">
        <f t="array" aca="1" ref="G119" ca="1">SUMPRODUCT((BRON!$A$2:$A$1214=Table1[[#This Row],[Personeelsnummer]])*(BRON!$T$2:$T$1214&gt;=DATE(YEAR(TODAY())-1,MONTH(TODAY()),DAY(TODAY())))*(BRON!$T$2:$T$1214&lt;=TODAY()))</f>
        <v>1</v>
      </c>
    </row>
    <row r="120" spans="1:7" x14ac:dyDescent="0.25">
      <c r="A120" s="34" t="s">
        <v>3388</v>
      </c>
      <c r="B120" s="34" t="s">
        <v>3387</v>
      </c>
      <c r="C120">
        <v>42015</v>
      </c>
      <c r="D120" s="34" t="s">
        <v>3856</v>
      </c>
      <c r="E120" s="3">
        <v>45831.083333333299</v>
      </c>
      <c r="F120" s="35">
        <f t="shared" ca="1" si="1"/>
        <v>0</v>
      </c>
      <c r="G120" s="42" cm="1">
        <f t="array" aca="1" ref="G120" ca="1">SUMPRODUCT((BRON!$A$2:$A$1214=Table1[[#This Row],[Personeelsnummer]])*(BRON!$T$2:$T$1214&gt;=DATE(YEAR(TODAY())-1,MONTH(TODAY()),DAY(TODAY())))*(BRON!$T$2:$T$1214&lt;=TODAY()))</f>
        <v>1</v>
      </c>
    </row>
    <row r="121" spans="1:7" x14ac:dyDescent="0.25">
      <c r="A121" s="34" t="s">
        <v>2513</v>
      </c>
      <c r="B121" s="34" t="s">
        <v>2512</v>
      </c>
      <c r="C121">
        <v>42044</v>
      </c>
      <c r="D121" s="34" t="s">
        <v>3859</v>
      </c>
      <c r="E121" s="3">
        <v>45854.083333333299</v>
      </c>
      <c r="F121" s="35">
        <f t="shared" ca="1" si="1"/>
        <v>0</v>
      </c>
      <c r="G121" s="42" cm="1">
        <f t="array" aca="1" ref="G121" ca="1">SUMPRODUCT((BRON!$A$2:$A$1214=Table1[[#This Row],[Personeelsnummer]])*(BRON!$T$2:$T$1214&gt;=DATE(YEAR(TODAY())-1,MONTH(TODAY()),DAY(TODAY())))*(BRON!$T$2:$T$1214&lt;=TODAY()))</f>
        <v>1</v>
      </c>
    </row>
    <row r="122" spans="1:7" x14ac:dyDescent="0.25">
      <c r="A122" s="34" t="s">
        <v>2015</v>
      </c>
      <c r="B122" s="34" t="s">
        <v>2014</v>
      </c>
      <c r="C122">
        <v>42082</v>
      </c>
      <c r="D122" s="34" t="s">
        <v>3859</v>
      </c>
      <c r="E122" s="3">
        <v>45853.083333333299</v>
      </c>
      <c r="F122" s="35">
        <f t="shared" ca="1" si="1"/>
        <v>0</v>
      </c>
      <c r="G122" s="42" cm="1">
        <f t="array" aca="1" ref="G122" ca="1">SUMPRODUCT((BRON!$A$2:$A$1214=Table1[[#This Row],[Personeelsnummer]])*(BRON!$T$2:$T$1214&gt;=DATE(YEAR(TODAY())-1,MONTH(TODAY()),DAY(TODAY())))*(BRON!$T$2:$T$1214&lt;=TODAY()))</f>
        <v>1</v>
      </c>
    </row>
    <row r="123" spans="1:7" x14ac:dyDescent="0.25">
      <c r="A123" s="34" t="s">
        <v>2972</v>
      </c>
      <c r="B123" s="34" t="s">
        <v>2971</v>
      </c>
      <c r="C123">
        <v>42120</v>
      </c>
      <c r="D123" s="34" t="s">
        <v>3851</v>
      </c>
      <c r="E123" s="3">
        <v>45860.083333333299</v>
      </c>
      <c r="F123" s="35">
        <f t="shared" ca="1" si="1"/>
        <v>0</v>
      </c>
      <c r="G123" s="42" cm="1">
        <f t="array" aca="1" ref="G123" ca="1">SUMPRODUCT((BRON!$A$2:$A$1214=Table1[[#This Row],[Personeelsnummer]])*(BRON!$T$2:$T$1214&gt;=DATE(YEAR(TODAY())-1,MONTH(TODAY()),DAY(TODAY())))*(BRON!$T$2:$T$1214&lt;=TODAY()))</f>
        <v>1</v>
      </c>
    </row>
    <row r="124" spans="1:7" x14ac:dyDescent="0.25">
      <c r="A124" s="34" t="s">
        <v>3585</v>
      </c>
      <c r="B124" s="34" t="s">
        <v>3584</v>
      </c>
      <c r="C124">
        <v>42143</v>
      </c>
      <c r="D124" s="34" t="s">
        <v>3854</v>
      </c>
      <c r="E124" s="3">
        <v>45889.083333333299</v>
      </c>
      <c r="F124" s="35">
        <f t="shared" ca="1" si="1"/>
        <v>0</v>
      </c>
      <c r="G124" s="42" cm="1">
        <f t="array" aca="1" ref="G124" ca="1">SUMPRODUCT((BRON!$A$2:$A$1214=Table1[[#This Row],[Personeelsnummer]])*(BRON!$T$2:$T$1214&gt;=DATE(YEAR(TODAY())-1,MONTH(TODAY()),DAY(TODAY())))*(BRON!$T$2:$T$1214&lt;=TODAY()))</f>
        <v>1</v>
      </c>
    </row>
    <row r="125" spans="1:7" x14ac:dyDescent="0.25">
      <c r="A125" s="34" t="s">
        <v>3564</v>
      </c>
      <c r="B125" s="34" t="s">
        <v>2006</v>
      </c>
      <c r="C125">
        <v>42218</v>
      </c>
      <c r="D125" s="34" t="s">
        <v>3857</v>
      </c>
      <c r="E125" s="3">
        <v>45903.083333333299</v>
      </c>
      <c r="F125" s="35">
        <f t="shared" ca="1" si="1"/>
        <v>0</v>
      </c>
      <c r="G125" s="42" cm="1">
        <f t="array" aca="1" ref="G125" ca="1">SUMPRODUCT((BRON!$A$2:$A$1214=Table1[[#This Row],[Personeelsnummer]])*(BRON!$T$2:$T$1214&gt;=DATE(YEAR(TODAY())-1,MONTH(TODAY()),DAY(TODAY())))*(BRON!$T$2:$T$1214&lt;=TODAY()))</f>
        <v>1</v>
      </c>
    </row>
    <row r="126" spans="1:7" x14ac:dyDescent="0.25">
      <c r="A126" s="34" t="s">
        <v>1662</v>
      </c>
      <c r="B126" s="34" t="s">
        <v>3561</v>
      </c>
      <c r="C126">
        <v>42249</v>
      </c>
      <c r="D126" s="34" t="s">
        <v>3851</v>
      </c>
      <c r="E126" s="3">
        <v>45903.083333333299</v>
      </c>
      <c r="F126" s="35">
        <f t="shared" ca="1" si="1"/>
        <v>0</v>
      </c>
      <c r="G126" s="42" cm="1">
        <f t="array" aca="1" ref="G126" ca="1">SUMPRODUCT((BRON!$A$2:$A$1214=Table1[[#This Row],[Personeelsnummer]])*(BRON!$T$2:$T$1214&gt;=DATE(YEAR(TODAY())-1,MONTH(TODAY()),DAY(TODAY())))*(BRON!$T$2:$T$1214&lt;=TODAY()))</f>
        <v>1</v>
      </c>
    </row>
    <row r="127" spans="1:7" x14ac:dyDescent="0.25">
      <c r="A127" s="34" t="s">
        <v>3553</v>
      </c>
      <c r="B127" s="34" t="s">
        <v>3552</v>
      </c>
      <c r="C127">
        <v>42277</v>
      </c>
      <c r="D127" s="34" t="s">
        <v>3859</v>
      </c>
      <c r="E127" s="3">
        <v>45918.083333333299</v>
      </c>
      <c r="F127" s="35">
        <f t="shared" ca="1" si="1"/>
        <v>0</v>
      </c>
      <c r="G127" s="42" cm="1">
        <f t="array" aca="1" ref="G127" ca="1">SUMPRODUCT((BRON!$A$2:$A$1214=Table1[[#This Row],[Personeelsnummer]])*(BRON!$T$2:$T$1214&gt;=DATE(YEAR(TODAY())-1,MONTH(TODAY()),DAY(TODAY())))*(BRON!$T$2:$T$1214&lt;=TODAY()))</f>
        <v>1</v>
      </c>
    </row>
    <row r="128" spans="1:7" x14ac:dyDescent="0.25">
      <c r="A128" s="34" t="s">
        <v>3548</v>
      </c>
      <c r="B128" s="34" t="s">
        <v>3547</v>
      </c>
      <c r="C128">
        <v>42336</v>
      </c>
      <c r="D128" s="34" t="s">
        <v>3855</v>
      </c>
      <c r="E128" s="3">
        <v>45918.083333333299</v>
      </c>
      <c r="F128" s="35">
        <f t="shared" ca="1" si="1"/>
        <v>0</v>
      </c>
      <c r="G128" s="42" cm="1">
        <f t="array" aca="1" ref="G128" ca="1">SUMPRODUCT((BRON!$A$2:$A$1214=Table1[[#This Row],[Personeelsnummer]])*(BRON!$T$2:$T$1214&gt;=DATE(YEAR(TODAY())-1,MONTH(TODAY()),DAY(TODAY())))*(BRON!$T$2:$T$1214&lt;=TODAY()))</f>
        <v>1</v>
      </c>
    </row>
    <row r="129" spans="1:7" x14ac:dyDescent="0.25">
      <c r="A129" s="34" t="s">
        <v>2816</v>
      </c>
      <c r="B129" s="34" t="s">
        <v>2815</v>
      </c>
      <c r="C129">
        <v>29674</v>
      </c>
      <c r="D129" s="34" t="s">
        <v>3859</v>
      </c>
      <c r="E129" s="3">
        <v>45341.041666666701</v>
      </c>
      <c r="F129" s="35">
        <f t="shared" ca="1" si="1"/>
        <v>1</v>
      </c>
      <c r="G129" s="42" cm="1">
        <f t="array" aca="1" ref="G129" ca="1">SUMPRODUCT((BRON!$A$2:$A$1214=Table1[[#This Row],[Personeelsnummer]])*(BRON!$T$2:$T$1214&gt;=DATE(YEAR(TODAY())-1,MONTH(TODAY()),DAY(TODAY())))*(BRON!$T$2:$T$1214&lt;=TODAY()))</f>
        <v>1</v>
      </c>
    </row>
    <row r="130" spans="1:7" x14ac:dyDescent="0.25">
      <c r="A130" s="34" t="s">
        <v>2121</v>
      </c>
      <c r="B130" s="34" t="s">
        <v>2120</v>
      </c>
      <c r="C130">
        <v>39831</v>
      </c>
      <c r="D130" s="34" t="s">
        <v>3857</v>
      </c>
      <c r="E130" s="3">
        <v>45264.041666666701</v>
      </c>
      <c r="F130" s="35">
        <f t="shared" ref="F130:F193" ca="1" si="2">YEAR(TODAY()) - YEAR(E130) - (IF(DATE(YEAR(TODAY()), MONTH(E130), DAY(E130)) &gt; TODAY(), 1, 0))</f>
        <v>2</v>
      </c>
      <c r="G130" s="42" cm="1">
        <f t="array" aca="1" ref="G130" ca="1">SUMPRODUCT((BRON!$A$2:$A$1214=Table1[[#This Row],[Personeelsnummer]])*(BRON!$T$2:$T$1214&gt;=DATE(YEAR(TODAY())-1,MONTH(TODAY()),DAY(TODAY())))*(BRON!$T$2:$T$1214&lt;=TODAY()))</f>
        <v>1</v>
      </c>
    </row>
    <row r="131" spans="1:7" x14ac:dyDescent="0.25">
      <c r="A131" s="34" t="s">
        <v>2646</v>
      </c>
      <c r="B131" s="34" t="s">
        <v>2645</v>
      </c>
      <c r="C131">
        <v>39901</v>
      </c>
      <c r="D131" s="34" t="s">
        <v>3853</v>
      </c>
      <c r="E131" s="3">
        <v>45307.041666666701</v>
      </c>
      <c r="F131" s="35">
        <f t="shared" ca="1" si="2"/>
        <v>1</v>
      </c>
      <c r="G131" s="42" cm="1">
        <f t="array" aca="1" ref="G131" ca="1">SUMPRODUCT((BRON!$A$2:$A$1214=Table1[[#This Row],[Personeelsnummer]])*(BRON!$T$2:$T$1214&gt;=DATE(YEAR(TODAY())-1,MONTH(TODAY()),DAY(TODAY())))*(BRON!$T$2:$T$1214&lt;=TODAY()))</f>
        <v>1</v>
      </c>
    </row>
    <row r="132" spans="1:7" x14ac:dyDescent="0.25">
      <c r="A132" s="34" t="s">
        <v>2913</v>
      </c>
      <c r="B132" s="34" t="s">
        <v>2912</v>
      </c>
      <c r="C132">
        <v>40393</v>
      </c>
      <c r="D132" s="34" t="s">
        <v>3859</v>
      </c>
      <c r="E132" s="3">
        <v>45408.083333333299</v>
      </c>
      <c r="F132" s="35">
        <f t="shared" ca="1" si="2"/>
        <v>1</v>
      </c>
      <c r="G132" s="42" cm="1">
        <f t="array" aca="1" ref="G132" ca="1">SUMPRODUCT((BRON!$A$2:$A$1214=Table1[[#This Row],[Personeelsnummer]])*(BRON!$T$2:$T$1214&gt;=DATE(YEAR(TODAY())-1,MONTH(TODAY()),DAY(TODAY())))*(BRON!$T$2:$T$1214&lt;=TODAY()))</f>
        <v>1</v>
      </c>
    </row>
    <row r="133" spans="1:7" x14ac:dyDescent="0.25">
      <c r="A133" s="34" t="s">
        <v>2311</v>
      </c>
      <c r="B133" s="34" t="s">
        <v>2314</v>
      </c>
      <c r="C133">
        <v>40443</v>
      </c>
      <c r="D133" s="34" t="s">
        <v>3854</v>
      </c>
      <c r="E133" s="3">
        <v>45408.083333333299</v>
      </c>
      <c r="F133" s="35">
        <f t="shared" ca="1" si="2"/>
        <v>1</v>
      </c>
      <c r="G133" s="42" cm="1">
        <f t="array" aca="1" ref="G133" ca="1">SUMPRODUCT((BRON!$A$2:$A$1214=Table1[[#This Row],[Personeelsnummer]])*(BRON!$T$2:$T$1214&gt;=DATE(YEAR(TODAY())-1,MONTH(TODAY()),DAY(TODAY())))*(BRON!$T$2:$T$1214&lt;=TODAY()))</f>
        <v>1</v>
      </c>
    </row>
    <row r="134" spans="1:7" x14ac:dyDescent="0.25">
      <c r="A134" s="34" t="s">
        <v>2792</v>
      </c>
      <c r="B134" s="34" t="s">
        <v>1959</v>
      </c>
      <c r="C134">
        <v>40444</v>
      </c>
      <c r="D134" s="34" t="s">
        <v>3857</v>
      </c>
      <c r="E134" s="3">
        <v>45408.083333333299</v>
      </c>
      <c r="F134" s="35">
        <f t="shared" ca="1" si="2"/>
        <v>1</v>
      </c>
      <c r="G134" s="42" cm="1">
        <f t="array" aca="1" ref="G134" ca="1">SUMPRODUCT((BRON!$A$2:$A$1214=Table1[[#This Row],[Personeelsnummer]])*(BRON!$T$2:$T$1214&gt;=DATE(YEAR(TODAY())-1,MONTH(TODAY()),DAY(TODAY())))*(BRON!$T$2:$T$1214&lt;=TODAY()))</f>
        <v>1</v>
      </c>
    </row>
    <row r="135" spans="1:7" x14ac:dyDescent="0.25">
      <c r="A135" s="34" t="s">
        <v>2657</v>
      </c>
      <c r="B135" s="34" t="s">
        <v>2656</v>
      </c>
      <c r="C135">
        <v>40745</v>
      </c>
      <c r="D135" s="34" t="s">
        <v>3854</v>
      </c>
      <c r="E135" s="3">
        <v>45498.083333333299</v>
      </c>
      <c r="F135" s="35">
        <f t="shared" ca="1" si="2"/>
        <v>1</v>
      </c>
      <c r="G135" s="42" cm="1">
        <f t="array" aca="1" ref="G135" ca="1">SUMPRODUCT((BRON!$A$2:$A$1214=Table1[[#This Row],[Personeelsnummer]])*(BRON!$T$2:$T$1214&gt;=DATE(YEAR(TODAY())-1,MONTH(TODAY()),DAY(TODAY())))*(BRON!$T$2:$T$1214&lt;=TODAY()))</f>
        <v>1</v>
      </c>
    </row>
    <row r="136" spans="1:7" x14ac:dyDescent="0.25">
      <c r="A136" s="34" t="s">
        <v>1241</v>
      </c>
      <c r="B136" s="34" t="s">
        <v>1240</v>
      </c>
      <c r="C136">
        <v>41007</v>
      </c>
      <c r="D136" s="34" t="s">
        <v>3852</v>
      </c>
      <c r="E136" s="3">
        <v>45559.083333333299</v>
      </c>
      <c r="F136" s="35">
        <f t="shared" ca="1" si="2"/>
        <v>1</v>
      </c>
      <c r="G136" s="42" cm="1">
        <f t="array" aca="1" ref="G136" ca="1">SUMPRODUCT((BRON!$A$2:$A$1214=Table1[[#This Row],[Personeelsnummer]])*(BRON!$T$2:$T$1214&gt;=DATE(YEAR(TODAY())-1,MONTH(TODAY()),DAY(TODAY())))*(BRON!$T$2:$T$1214&lt;=TODAY()))</f>
        <v>1</v>
      </c>
    </row>
    <row r="137" spans="1:7" x14ac:dyDescent="0.25">
      <c r="A137" s="34" t="s">
        <v>1710</v>
      </c>
      <c r="B137" s="34" t="s">
        <v>1709</v>
      </c>
      <c r="C137">
        <v>41101</v>
      </c>
      <c r="D137" s="34" t="s">
        <v>3859</v>
      </c>
      <c r="E137" s="3">
        <v>45618.041666666701</v>
      </c>
      <c r="F137" s="35">
        <f t="shared" ca="1" si="2"/>
        <v>1</v>
      </c>
      <c r="G137" s="42" cm="1">
        <f t="array" aca="1" ref="G137" ca="1">SUMPRODUCT((BRON!$A$2:$A$1214=Table1[[#This Row],[Personeelsnummer]])*(BRON!$T$2:$T$1214&gt;=DATE(YEAR(TODAY())-1,MONTH(TODAY()),DAY(TODAY())))*(BRON!$T$2:$T$1214&lt;=TODAY()))</f>
        <v>1</v>
      </c>
    </row>
    <row r="138" spans="1:7" x14ac:dyDescent="0.25">
      <c r="A138" s="34" t="s">
        <v>3015</v>
      </c>
      <c r="B138" s="34" t="s">
        <v>3018</v>
      </c>
      <c r="C138">
        <v>41137</v>
      </c>
      <c r="D138" s="34" t="s">
        <v>3859</v>
      </c>
      <c r="E138" s="3">
        <v>45616.041666666701</v>
      </c>
      <c r="F138" s="35">
        <f t="shared" ca="1" si="2"/>
        <v>1</v>
      </c>
      <c r="G138" s="42" cm="1">
        <f t="array" aca="1" ref="G138" ca="1">SUMPRODUCT((BRON!$A$2:$A$1214=Table1[[#This Row],[Personeelsnummer]])*(BRON!$T$2:$T$1214&gt;=DATE(YEAR(TODAY())-1,MONTH(TODAY()),DAY(TODAY())))*(BRON!$T$2:$T$1214&lt;=TODAY()))</f>
        <v>1</v>
      </c>
    </row>
    <row r="139" spans="1:7" x14ac:dyDescent="0.25">
      <c r="A139" s="34" t="s">
        <v>1693</v>
      </c>
      <c r="B139" s="34" t="s">
        <v>1692</v>
      </c>
      <c r="C139">
        <v>39829</v>
      </c>
      <c r="D139" s="34" t="s">
        <v>3855</v>
      </c>
      <c r="E139" s="3">
        <v>45264.041666666701</v>
      </c>
      <c r="F139" s="35">
        <f t="shared" ca="1" si="2"/>
        <v>2</v>
      </c>
      <c r="G139" s="42" cm="1">
        <f t="array" aca="1" ref="G139" ca="1">SUMPRODUCT((BRON!$A$2:$A$1214=Table1[[#This Row],[Personeelsnummer]])*(BRON!$T$2:$T$1214&gt;=DATE(YEAR(TODAY())-1,MONTH(TODAY()),DAY(TODAY())))*(BRON!$T$2:$T$1214&lt;=TODAY()))</f>
        <v>1</v>
      </c>
    </row>
    <row r="140" spans="1:7" x14ac:dyDescent="0.25">
      <c r="A140" s="34" t="s">
        <v>2953</v>
      </c>
      <c r="B140" s="34" t="s">
        <v>2952</v>
      </c>
      <c r="C140">
        <v>39858</v>
      </c>
      <c r="D140" s="34" t="s">
        <v>3857</v>
      </c>
      <c r="E140" s="3">
        <v>45264.041666666701</v>
      </c>
      <c r="F140" s="35">
        <f t="shared" ca="1" si="2"/>
        <v>2</v>
      </c>
      <c r="G140" s="42" cm="1">
        <f t="array" aca="1" ref="G140" ca="1">SUMPRODUCT((BRON!$A$2:$A$1214=Table1[[#This Row],[Personeelsnummer]])*(BRON!$T$2:$T$1214&gt;=DATE(YEAR(TODAY())-1,MONTH(TODAY()),DAY(TODAY())))*(BRON!$T$2:$T$1214&lt;=TODAY()))</f>
        <v>1</v>
      </c>
    </row>
    <row r="141" spans="1:7" x14ac:dyDescent="0.25">
      <c r="A141" s="34" t="s">
        <v>2546</v>
      </c>
      <c r="B141" s="34" t="s">
        <v>2545</v>
      </c>
      <c r="C141">
        <v>39927</v>
      </c>
      <c r="D141" s="34" t="s">
        <v>3853</v>
      </c>
      <c r="E141" s="3">
        <v>45307.041666666701</v>
      </c>
      <c r="F141" s="35">
        <f t="shared" ca="1" si="2"/>
        <v>1</v>
      </c>
      <c r="G141" s="42" cm="1">
        <f t="array" aca="1" ref="G141" ca="1">SUMPRODUCT((BRON!$A$2:$A$1214=Table1[[#This Row],[Personeelsnummer]])*(BRON!$T$2:$T$1214&gt;=DATE(YEAR(TODAY())-1,MONTH(TODAY()),DAY(TODAY())))*(BRON!$T$2:$T$1214&lt;=TODAY()))</f>
        <v>1</v>
      </c>
    </row>
    <row r="142" spans="1:7" x14ac:dyDescent="0.25">
      <c r="A142" s="34" t="s">
        <v>1918</v>
      </c>
      <c r="B142" s="34" t="s">
        <v>1917</v>
      </c>
      <c r="C142">
        <v>40005</v>
      </c>
      <c r="D142" s="34" t="s">
        <v>3853</v>
      </c>
      <c r="E142" s="3">
        <v>45307.041666666701</v>
      </c>
      <c r="F142" s="35">
        <f t="shared" ca="1" si="2"/>
        <v>1</v>
      </c>
      <c r="G142" s="42" cm="1">
        <f t="array" aca="1" ref="G142" ca="1">SUMPRODUCT((BRON!$A$2:$A$1214=Table1[[#This Row],[Personeelsnummer]])*(BRON!$T$2:$T$1214&gt;=DATE(YEAR(TODAY())-1,MONTH(TODAY()),DAY(TODAY())))*(BRON!$T$2:$T$1214&lt;=TODAY()))</f>
        <v>2</v>
      </c>
    </row>
    <row r="143" spans="1:7" x14ac:dyDescent="0.25">
      <c r="A143" s="34" t="s">
        <v>2049</v>
      </c>
      <c r="B143" s="34" t="s">
        <v>2048</v>
      </c>
      <c r="C143">
        <v>40036</v>
      </c>
      <c r="D143" s="34" t="s">
        <v>3859</v>
      </c>
      <c r="E143" s="3">
        <v>45364.041666666701</v>
      </c>
      <c r="F143" s="35">
        <f t="shared" ca="1" si="2"/>
        <v>1</v>
      </c>
      <c r="G143" s="42" cm="1">
        <f t="array" aca="1" ref="G143" ca="1">SUMPRODUCT((BRON!$A$2:$A$1214=Table1[[#This Row],[Personeelsnummer]])*(BRON!$T$2:$T$1214&gt;=DATE(YEAR(TODAY())-1,MONTH(TODAY()),DAY(TODAY())))*(BRON!$T$2:$T$1214&lt;=TODAY()))</f>
        <v>1</v>
      </c>
    </row>
    <row r="144" spans="1:7" x14ac:dyDescent="0.25">
      <c r="A144" s="34" t="s">
        <v>2053</v>
      </c>
      <c r="B144" s="34" t="s">
        <v>2052</v>
      </c>
      <c r="C144">
        <v>41296</v>
      </c>
      <c r="D144" s="34" t="s">
        <v>3853</v>
      </c>
      <c r="E144" s="3">
        <v>45618.041666666701</v>
      </c>
      <c r="F144" s="35">
        <f t="shared" ca="1" si="2"/>
        <v>1</v>
      </c>
      <c r="G144" s="42" cm="1">
        <f t="array" aca="1" ref="G144" ca="1">SUMPRODUCT((BRON!$A$2:$A$1214=Table1[[#This Row],[Personeelsnummer]])*(BRON!$T$2:$T$1214&gt;=DATE(YEAR(TODAY())-1,MONTH(TODAY()),DAY(TODAY())))*(BRON!$T$2:$T$1214&lt;=TODAY()))</f>
        <v>2</v>
      </c>
    </row>
    <row r="145" spans="1:7" x14ac:dyDescent="0.25">
      <c r="A145" s="34" t="s">
        <v>2307</v>
      </c>
      <c r="B145" s="34" t="s">
        <v>2306</v>
      </c>
      <c r="C145">
        <v>38555</v>
      </c>
      <c r="D145" s="34" t="s">
        <v>3856</v>
      </c>
      <c r="E145" s="3">
        <v>44984.041666666701</v>
      </c>
      <c r="F145" s="35">
        <f t="shared" ca="1" si="2"/>
        <v>2</v>
      </c>
      <c r="G145" s="42" cm="1">
        <f t="array" aca="1" ref="G145" ca="1">SUMPRODUCT((BRON!$A$2:$A$1214=Table1[[#This Row],[Personeelsnummer]])*(BRON!$T$2:$T$1214&gt;=DATE(YEAR(TODAY())-1,MONTH(TODAY()),DAY(TODAY())))*(BRON!$T$2:$T$1214&lt;=TODAY()))</f>
        <v>1</v>
      </c>
    </row>
    <row r="146" spans="1:7" x14ac:dyDescent="0.25">
      <c r="A146" s="34" t="s">
        <v>1763</v>
      </c>
      <c r="B146" s="34" t="s">
        <v>1762</v>
      </c>
      <c r="C146">
        <v>38580</v>
      </c>
      <c r="D146" s="34" t="s">
        <v>3857</v>
      </c>
      <c r="E146" s="3">
        <v>44998.041666666701</v>
      </c>
      <c r="F146" s="35">
        <f t="shared" ca="1" si="2"/>
        <v>2</v>
      </c>
      <c r="G146" s="42" cm="1">
        <f t="array" aca="1" ref="G146" ca="1">SUMPRODUCT((BRON!$A$2:$A$1214=Table1[[#This Row],[Personeelsnummer]])*(BRON!$T$2:$T$1214&gt;=DATE(YEAR(TODAY())-1,MONTH(TODAY()),DAY(TODAY())))*(BRON!$T$2:$T$1214&lt;=TODAY()))</f>
        <v>1</v>
      </c>
    </row>
    <row r="147" spans="1:7" x14ac:dyDescent="0.25">
      <c r="A147" s="34" t="s">
        <v>1756</v>
      </c>
      <c r="B147" s="34" t="s">
        <v>1755</v>
      </c>
      <c r="C147">
        <v>38731</v>
      </c>
      <c r="D147" s="34" t="s">
        <v>3853</v>
      </c>
      <c r="E147" s="3">
        <v>45062.083333333299</v>
      </c>
      <c r="F147" s="35">
        <f t="shared" ca="1" si="2"/>
        <v>2</v>
      </c>
      <c r="G147" s="42" cm="1">
        <f t="array" aca="1" ref="G147" ca="1">SUMPRODUCT((BRON!$A$2:$A$1214=Table1[[#This Row],[Personeelsnummer]])*(BRON!$T$2:$T$1214&gt;=DATE(YEAR(TODAY())-1,MONTH(TODAY()),DAY(TODAY())))*(BRON!$T$2:$T$1214&lt;=TODAY()))</f>
        <v>1</v>
      </c>
    </row>
    <row r="148" spans="1:7" x14ac:dyDescent="0.25">
      <c r="A148" s="34" t="s">
        <v>2604</v>
      </c>
      <c r="B148" s="34" t="s">
        <v>1443</v>
      </c>
      <c r="C148">
        <v>39267</v>
      </c>
      <c r="D148" s="34" t="s">
        <v>3853</v>
      </c>
      <c r="E148" s="3">
        <v>45173.083333333299</v>
      </c>
      <c r="F148" s="35">
        <f t="shared" ca="1" si="2"/>
        <v>2</v>
      </c>
      <c r="G148" s="42" cm="1">
        <f t="array" aca="1" ref="G148" ca="1">SUMPRODUCT((BRON!$A$2:$A$1214=Table1[[#This Row],[Personeelsnummer]])*(BRON!$T$2:$T$1214&gt;=DATE(YEAR(TODAY())-1,MONTH(TODAY()),DAY(TODAY())))*(BRON!$T$2:$T$1214&lt;=TODAY()))</f>
        <v>1</v>
      </c>
    </row>
    <row r="149" spans="1:7" x14ac:dyDescent="0.25">
      <c r="A149" s="34" t="s">
        <v>2575</v>
      </c>
      <c r="B149" s="34" t="s">
        <v>2574</v>
      </c>
      <c r="C149">
        <v>39677</v>
      </c>
      <c r="D149" s="34" t="s">
        <v>3851</v>
      </c>
      <c r="E149" s="3">
        <v>45222.083333333299</v>
      </c>
      <c r="F149" s="35">
        <f t="shared" ca="1" si="2"/>
        <v>2</v>
      </c>
      <c r="G149" s="42" cm="1">
        <f t="array" aca="1" ref="G149" ca="1">SUMPRODUCT((BRON!$A$2:$A$1214=Table1[[#This Row],[Personeelsnummer]])*(BRON!$T$2:$T$1214&gt;=DATE(YEAR(TODAY())-1,MONTH(TODAY()),DAY(TODAY())))*(BRON!$T$2:$T$1214&lt;=TODAY()))</f>
        <v>1</v>
      </c>
    </row>
    <row r="150" spans="1:7" x14ac:dyDescent="0.25">
      <c r="A150" s="34" t="s">
        <v>3136</v>
      </c>
      <c r="B150" s="34" t="s">
        <v>3139</v>
      </c>
      <c r="C150">
        <v>23700</v>
      </c>
      <c r="D150" s="34" t="s">
        <v>3859</v>
      </c>
      <c r="E150" s="3">
        <v>45181.083333333299</v>
      </c>
      <c r="F150" s="35">
        <f t="shared" ca="1" si="2"/>
        <v>2</v>
      </c>
      <c r="G150" s="42" cm="1">
        <f t="array" aca="1" ref="G150" ca="1">SUMPRODUCT((BRON!$A$2:$A$1214=Table1[[#This Row],[Personeelsnummer]])*(BRON!$T$2:$T$1214&gt;=DATE(YEAR(TODAY())-1,MONTH(TODAY()),DAY(TODAY())))*(BRON!$T$2:$T$1214&lt;=TODAY()))</f>
        <v>1</v>
      </c>
    </row>
    <row r="151" spans="1:7" x14ac:dyDescent="0.25">
      <c r="A151" s="34" t="s">
        <v>2151</v>
      </c>
      <c r="B151" s="34" t="s">
        <v>2150</v>
      </c>
      <c r="C151">
        <v>39379</v>
      </c>
      <c r="D151" s="34" t="s">
        <v>3853</v>
      </c>
      <c r="E151" s="3">
        <v>45194.083333333299</v>
      </c>
      <c r="F151" s="35">
        <f t="shared" ca="1" si="2"/>
        <v>2</v>
      </c>
      <c r="G151" s="42" cm="1">
        <f t="array" aca="1" ref="G151" ca="1">SUMPRODUCT((BRON!$A$2:$A$1214=Table1[[#This Row],[Personeelsnummer]])*(BRON!$T$2:$T$1214&gt;=DATE(YEAR(TODAY())-1,MONTH(TODAY()),DAY(TODAY())))*(BRON!$T$2:$T$1214&lt;=TODAY()))</f>
        <v>1</v>
      </c>
    </row>
    <row r="152" spans="1:7" x14ac:dyDescent="0.25">
      <c r="A152" s="34" t="s">
        <v>3169</v>
      </c>
      <c r="B152" s="34" t="s">
        <v>2975</v>
      </c>
      <c r="C152">
        <v>39558</v>
      </c>
      <c r="D152" s="34" t="s">
        <v>3858</v>
      </c>
      <c r="E152" s="3">
        <v>45208.083333333299</v>
      </c>
      <c r="F152" s="35">
        <f t="shared" ca="1" si="2"/>
        <v>2</v>
      </c>
      <c r="G152" s="42" cm="1">
        <f t="array" aca="1" ref="G152" ca="1">SUMPRODUCT((BRON!$A$2:$A$1214=Table1[[#This Row],[Personeelsnummer]])*(BRON!$T$2:$T$1214&gt;=DATE(YEAR(TODAY())-1,MONTH(TODAY()),DAY(TODAY())))*(BRON!$T$2:$T$1214&lt;=TODAY()))</f>
        <v>1</v>
      </c>
    </row>
    <row r="153" spans="1:7" x14ac:dyDescent="0.25">
      <c r="A153" s="34" t="s">
        <v>2366</v>
      </c>
      <c r="B153" s="34" t="s">
        <v>2365</v>
      </c>
      <c r="C153">
        <v>39654</v>
      </c>
      <c r="D153" s="34" t="s">
        <v>3851</v>
      </c>
      <c r="E153" s="3">
        <v>45222.083333333299</v>
      </c>
      <c r="F153" s="35">
        <f t="shared" ca="1" si="2"/>
        <v>2</v>
      </c>
      <c r="G153" s="42" cm="1">
        <f t="array" aca="1" ref="G153" ca="1">SUMPRODUCT((BRON!$A$2:$A$1214=Table1[[#This Row],[Personeelsnummer]])*(BRON!$T$2:$T$1214&gt;=DATE(YEAR(TODAY())-1,MONTH(TODAY()),DAY(TODAY())))*(BRON!$T$2:$T$1214&lt;=TODAY()))</f>
        <v>1</v>
      </c>
    </row>
    <row r="154" spans="1:7" x14ac:dyDescent="0.25">
      <c r="A154" s="34" t="s">
        <v>3295</v>
      </c>
      <c r="B154" s="34" t="s">
        <v>3294</v>
      </c>
      <c r="C154">
        <v>39728</v>
      </c>
      <c r="D154" s="34" t="s">
        <v>3855</v>
      </c>
      <c r="E154" s="3">
        <v>45250.041666666701</v>
      </c>
      <c r="F154" s="35">
        <f t="shared" ca="1" si="2"/>
        <v>2</v>
      </c>
      <c r="G154" s="42" cm="1">
        <f t="array" aca="1" ref="G154" ca="1">SUMPRODUCT((BRON!$A$2:$A$1214=Table1[[#This Row],[Personeelsnummer]])*(BRON!$T$2:$T$1214&gt;=DATE(YEAR(TODAY())-1,MONTH(TODAY()),DAY(TODAY())))*(BRON!$T$2:$T$1214&lt;=TODAY()))</f>
        <v>1</v>
      </c>
    </row>
    <row r="155" spans="1:7" x14ac:dyDescent="0.25">
      <c r="A155" s="34" t="s">
        <v>3047</v>
      </c>
      <c r="B155" s="34" t="s">
        <v>2765</v>
      </c>
      <c r="C155">
        <v>38481</v>
      </c>
      <c r="D155" s="34" t="s">
        <v>3851</v>
      </c>
      <c r="E155" s="3">
        <v>44970.041666666701</v>
      </c>
      <c r="F155" s="35">
        <f t="shared" ca="1" si="2"/>
        <v>2</v>
      </c>
      <c r="G155" s="42" cm="1">
        <f t="array" aca="1" ref="G155" ca="1">SUMPRODUCT((BRON!$A$2:$A$1214=Table1[[#This Row],[Personeelsnummer]])*(BRON!$T$2:$T$1214&gt;=DATE(YEAR(TODAY())-1,MONTH(TODAY()),DAY(TODAY())))*(BRON!$T$2:$T$1214&lt;=TODAY()))</f>
        <v>1</v>
      </c>
    </row>
    <row r="156" spans="1:7" x14ac:dyDescent="0.25">
      <c r="A156" s="34" t="s">
        <v>1384</v>
      </c>
      <c r="B156" s="34" t="s">
        <v>1383</v>
      </c>
      <c r="C156">
        <v>38634</v>
      </c>
      <c r="D156" s="34" t="s">
        <v>3854</v>
      </c>
      <c r="E156" s="3">
        <v>45012.083333333299</v>
      </c>
      <c r="F156" s="35">
        <f t="shared" ca="1" si="2"/>
        <v>2</v>
      </c>
      <c r="G156" s="42" cm="1">
        <f t="array" aca="1" ref="G156" ca="1">SUMPRODUCT((BRON!$A$2:$A$1214=Table1[[#This Row],[Personeelsnummer]])*(BRON!$T$2:$T$1214&gt;=DATE(YEAR(TODAY())-1,MONTH(TODAY()),DAY(TODAY())))*(BRON!$T$2:$T$1214&lt;=TODAY()))</f>
        <v>1</v>
      </c>
    </row>
    <row r="157" spans="1:7" x14ac:dyDescent="0.25">
      <c r="A157" s="34" t="s">
        <v>1706</v>
      </c>
      <c r="B157" s="34" t="s">
        <v>1705</v>
      </c>
      <c r="C157">
        <v>38688</v>
      </c>
      <c r="D157" s="34" t="s">
        <v>3857</v>
      </c>
      <c r="E157" s="3">
        <v>45027.083333333299</v>
      </c>
      <c r="F157" s="35">
        <f t="shared" ca="1" si="2"/>
        <v>2</v>
      </c>
      <c r="G157" s="42" cm="1">
        <f t="array" aca="1" ref="G157" ca="1">SUMPRODUCT((BRON!$A$2:$A$1214=Table1[[#This Row],[Personeelsnummer]])*(BRON!$T$2:$T$1214&gt;=DATE(YEAR(TODAY())-1,MONTH(TODAY()),DAY(TODAY())))*(BRON!$T$2:$T$1214&lt;=TODAY()))</f>
        <v>1</v>
      </c>
    </row>
    <row r="158" spans="1:7" x14ac:dyDescent="0.25">
      <c r="A158" s="34" t="s">
        <v>2909</v>
      </c>
      <c r="B158" s="34" t="s">
        <v>2908</v>
      </c>
      <c r="C158">
        <v>38931</v>
      </c>
      <c r="D158" s="34" t="s">
        <v>3854</v>
      </c>
      <c r="E158" s="3">
        <v>45040.083333333299</v>
      </c>
      <c r="F158" s="35">
        <f t="shared" ca="1" si="2"/>
        <v>2</v>
      </c>
      <c r="G158" s="42" cm="1">
        <f t="array" aca="1" ref="G158" ca="1">SUMPRODUCT((BRON!$A$2:$A$1214=Table1[[#This Row],[Personeelsnummer]])*(BRON!$T$2:$T$1214&gt;=DATE(YEAR(TODAY())-1,MONTH(TODAY()),DAY(TODAY())))*(BRON!$T$2:$T$1214&lt;=TODAY()))</f>
        <v>1</v>
      </c>
    </row>
    <row r="159" spans="1:7" x14ac:dyDescent="0.25">
      <c r="A159" s="34" t="s">
        <v>1903</v>
      </c>
      <c r="B159" s="34" t="s">
        <v>1902</v>
      </c>
      <c r="C159">
        <v>39528</v>
      </c>
      <c r="D159" s="34" t="s">
        <v>3853</v>
      </c>
      <c r="E159" s="3">
        <v>45236.041666666701</v>
      </c>
      <c r="F159" s="35">
        <f t="shared" ca="1" si="2"/>
        <v>2</v>
      </c>
      <c r="G159" s="42" cm="1">
        <f t="array" aca="1" ref="G159" ca="1">SUMPRODUCT((BRON!$A$2:$A$1214=Table1[[#This Row],[Personeelsnummer]])*(BRON!$T$2:$T$1214&gt;=DATE(YEAR(TODAY())-1,MONTH(TODAY()),DAY(TODAY())))*(BRON!$T$2:$T$1214&lt;=TODAY()))</f>
        <v>1</v>
      </c>
    </row>
    <row r="160" spans="1:7" x14ac:dyDescent="0.25">
      <c r="A160" s="34" t="s">
        <v>1210</v>
      </c>
      <c r="B160" s="34" t="s">
        <v>1048</v>
      </c>
      <c r="C160">
        <v>39712</v>
      </c>
      <c r="D160" s="34" t="s">
        <v>3854</v>
      </c>
      <c r="E160" s="3">
        <v>45236.041666666701</v>
      </c>
      <c r="F160" s="35">
        <f t="shared" ca="1" si="2"/>
        <v>2</v>
      </c>
      <c r="G160" s="42" cm="1">
        <f t="array" aca="1" ref="G160" ca="1">SUMPRODUCT((BRON!$A$2:$A$1214=Table1[[#This Row],[Personeelsnummer]])*(BRON!$T$2:$T$1214&gt;=DATE(YEAR(TODAY())-1,MONTH(TODAY()),DAY(TODAY())))*(BRON!$T$2:$T$1214&lt;=TODAY()))</f>
        <v>1</v>
      </c>
    </row>
    <row r="161" spans="1:7" x14ac:dyDescent="0.25">
      <c r="A161" s="34" t="s">
        <v>2249</v>
      </c>
      <c r="B161" s="34" t="s">
        <v>2248</v>
      </c>
      <c r="C161">
        <v>34325</v>
      </c>
      <c r="D161" s="34" t="s">
        <v>3858</v>
      </c>
      <c r="E161" s="3">
        <v>44971.041666666701</v>
      </c>
      <c r="F161" s="35">
        <f t="shared" ca="1" si="2"/>
        <v>2</v>
      </c>
      <c r="G161" s="42" cm="1">
        <f t="array" aca="1" ref="G161" ca="1">SUMPRODUCT((BRON!$A$2:$A$1214=Table1[[#This Row],[Personeelsnummer]])*(BRON!$T$2:$T$1214&gt;=DATE(YEAR(TODAY())-1,MONTH(TODAY()),DAY(TODAY())))*(BRON!$T$2:$T$1214&lt;=TODAY()))</f>
        <v>1</v>
      </c>
    </row>
    <row r="162" spans="1:7" x14ac:dyDescent="0.25">
      <c r="A162" s="34" t="s">
        <v>2631</v>
      </c>
      <c r="B162" s="34" t="s">
        <v>2630</v>
      </c>
      <c r="C162">
        <v>38529</v>
      </c>
      <c r="D162" s="34" t="s">
        <v>3857</v>
      </c>
      <c r="E162" s="3">
        <v>44956.041666666701</v>
      </c>
      <c r="F162" s="35">
        <f t="shared" ca="1" si="2"/>
        <v>2</v>
      </c>
      <c r="G162" s="42" cm="1">
        <f t="array" aca="1" ref="G162" ca="1">SUMPRODUCT((BRON!$A$2:$A$1214=Table1[[#This Row],[Personeelsnummer]])*(BRON!$T$2:$T$1214&gt;=DATE(YEAR(TODAY())-1,MONTH(TODAY()),DAY(TODAY())))*(BRON!$T$2:$T$1214&lt;=TODAY()))</f>
        <v>1</v>
      </c>
    </row>
    <row r="163" spans="1:7" x14ac:dyDescent="0.25">
      <c r="A163" s="34" t="s">
        <v>2604</v>
      </c>
      <c r="B163" s="34" t="s">
        <v>2607</v>
      </c>
      <c r="C163">
        <v>38808</v>
      </c>
      <c r="D163" s="34" t="s">
        <v>3857</v>
      </c>
      <c r="E163" s="3">
        <v>45090.083333333299</v>
      </c>
      <c r="F163" s="35">
        <f t="shared" ca="1" si="2"/>
        <v>2</v>
      </c>
      <c r="G163" s="42" cm="1">
        <f t="array" aca="1" ref="G163" ca="1">SUMPRODUCT((BRON!$A$2:$A$1214=Table1[[#This Row],[Personeelsnummer]])*(BRON!$T$2:$T$1214&gt;=DATE(YEAR(TODAY())-1,MONTH(TODAY()),DAY(TODAY())))*(BRON!$T$2:$T$1214&lt;=TODAY()))</f>
        <v>1</v>
      </c>
    </row>
    <row r="164" spans="1:7" x14ac:dyDescent="0.25">
      <c r="A164" s="34" t="s">
        <v>2789</v>
      </c>
      <c r="B164" s="34" t="s">
        <v>2788</v>
      </c>
      <c r="C164">
        <v>37208</v>
      </c>
      <c r="D164" s="34" t="s">
        <v>3851</v>
      </c>
      <c r="E164" s="3">
        <v>44641.041666666701</v>
      </c>
      <c r="F164" s="35">
        <f t="shared" ca="1" si="2"/>
        <v>3</v>
      </c>
      <c r="G164" s="42" cm="1">
        <f t="array" aca="1" ref="G164" ca="1">SUMPRODUCT((BRON!$A$2:$A$1214=Table1[[#This Row],[Personeelsnummer]])*(BRON!$T$2:$T$1214&gt;=DATE(YEAR(TODAY())-1,MONTH(TODAY()),DAY(TODAY())))*(BRON!$T$2:$T$1214&lt;=TODAY()))</f>
        <v>1</v>
      </c>
    </row>
    <row r="165" spans="1:7" x14ac:dyDescent="0.25">
      <c r="A165" s="34" t="s">
        <v>1326</v>
      </c>
      <c r="B165" s="34" t="s">
        <v>2992</v>
      </c>
      <c r="C165">
        <v>37222</v>
      </c>
      <c r="D165" s="34" t="s">
        <v>3855</v>
      </c>
      <c r="E165" s="3">
        <v>44599.041666666701</v>
      </c>
      <c r="F165" s="35">
        <f t="shared" ca="1" si="2"/>
        <v>3</v>
      </c>
      <c r="G165" s="42" cm="1">
        <f t="array" aca="1" ref="G165" ca="1">SUMPRODUCT((BRON!$A$2:$A$1214=Table1[[#This Row],[Personeelsnummer]])*(BRON!$T$2:$T$1214&gt;=DATE(YEAR(TODAY())-1,MONTH(TODAY()),DAY(TODAY())))*(BRON!$T$2:$T$1214&lt;=TODAY()))</f>
        <v>1</v>
      </c>
    </row>
    <row r="166" spans="1:7" x14ac:dyDescent="0.25">
      <c r="A166" s="34" t="s">
        <v>2866</v>
      </c>
      <c r="B166" s="34" t="s">
        <v>1811</v>
      </c>
      <c r="C166">
        <v>37744</v>
      </c>
      <c r="D166" s="34" t="s">
        <v>3859</v>
      </c>
      <c r="E166" s="3">
        <v>44753.083333333299</v>
      </c>
      <c r="F166" s="35">
        <f t="shared" ca="1" si="2"/>
        <v>3</v>
      </c>
      <c r="G166" s="42" cm="1">
        <f t="array" aca="1" ref="G166" ca="1">SUMPRODUCT((BRON!$A$2:$A$1214=Table1[[#This Row],[Personeelsnummer]])*(BRON!$T$2:$T$1214&gt;=DATE(YEAR(TODAY())-1,MONTH(TODAY()),DAY(TODAY())))*(BRON!$T$2:$T$1214&lt;=TODAY()))</f>
        <v>1</v>
      </c>
    </row>
    <row r="167" spans="1:7" x14ac:dyDescent="0.25">
      <c r="A167" s="34" t="s">
        <v>2203</v>
      </c>
      <c r="B167" s="34" t="s">
        <v>2206</v>
      </c>
      <c r="C167">
        <v>37908</v>
      </c>
      <c r="D167" s="34" t="s">
        <v>3858</v>
      </c>
      <c r="E167" s="3">
        <v>44823.083333333299</v>
      </c>
      <c r="F167" s="35">
        <f t="shared" ca="1" si="2"/>
        <v>3</v>
      </c>
      <c r="G167" s="42" cm="1">
        <f t="array" aca="1" ref="G167" ca="1">SUMPRODUCT((BRON!$A$2:$A$1214=Table1[[#This Row],[Personeelsnummer]])*(BRON!$T$2:$T$1214&gt;=DATE(YEAR(TODAY())-1,MONTH(TODAY()),DAY(TODAY())))*(BRON!$T$2:$T$1214&lt;=TODAY()))</f>
        <v>1</v>
      </c>
    </row>
    <row r="168" spans="1:7" x14ac:dyDescent="0.25">
      <c r="A168" s="34" t="s">
        <v>2667</v>
      </c>
      <c r="B168" s="34" t="s">
        <v>2666</v>
      </c>
      <c r="C168">
        <v>38035</v>
      </c>
      <c r="D168" s="34" t="s">
        <v>3854</v>
      </c>
      <c r="E168" s="3">
        <v>44837.083333333299</v>
      </c>
      <c r="F168" s="35">
        <f t="shared" ca="1" si="2"/>
        <v>3</v>
      </c>
      <c r="G168" s="42" cm="1">
        <f t="array" aca="1" ref="G168" ca="1">SUMPRODUCT((BRON!$A$2:$A$1214=Table1[[#This Row],[Personeelsnummer]])*(BRON!$T$2:$T$1214&gt;=DATE(YEAR(TODAY())-1,MONTH(TODAY()),DAY(TODAY())))*(BRON!$T$2:$T$1214&lt;=TODAY()))</f>
        <v>1</v>
      </c>
    </row>
    <row r="169" spans="1:7" x14ac:dyDescent="0.25">
      <c r="A169" s="34" t="s">
        <v>2137</v>
      </c>
      <c r="B169" s="34" t="s">
        <v>2136</v>
      </c>
      <c r="C169">
        <v>37179</v>
      </c>
      <c r="D169" s="34" t="s">
        <v>3854</v>
      </c>
      <c r="E169" s="3">
        <v>44571.041666666701</v>
      </c>
      <c r="F169" s="35">
        <f t="shared" ca="1" si="2"/>
        <v>3</v>
      </c>
      <c r="G169" s="42" cm="1">
        <f t="array" aca="1" ref="G169" ca="1">SUMPRODUCT((BRON!$A$2:$A$1214=Table1[[#This Row],[Personeelsnummer]])*(BRON!$T$2:$T$1214&gt;=DATE(YEAR(TODAY())-1,MONTH(TODAY()),DAY(TODAY())))*(BRON!$T$2:$T$1214&lt;=TODAY()))</f>
        <v>1</v>
      </c>
    </row>
    <row r="170" spans="1:7" x14ac:dyDescent="0.25">
      <c r="A170" s="34" t="s">
        <v>1877</v>
      </c>
      <c r="B170" s="34" t="s">
        <v>1876</v>
      </c>
      <c r="C170">
        <v>37254</v>
      </c>
      <c r="D170" s="34" t="s">
        <v>3851</v>
      </c>
      <c r="E170" s="3">
        <v>44585.041666666701</v>
      </c>
      <c r="F170" s="35">
        <f t="shared" ca="1" si="2"/>
        <v>3</v>
      </c>
      <c r="G170" s="42" cm="1">
        <f t="array" aca="1" ref="G170" ca="1">SUMPRODUCT((BRON!$A$2:$A$1214=Table1[[#This Row],[Personeelsnummer]])*(BRON!$T$2:$T$1214&gt;=DATE(YEAR(TODAY())-1,MONTH(TODAY()),DAY(TODAY())))*(BRON!$T$2:$T$1214&lt;=TODAY()))</f>
        <v>1</v>
      </c>
    </row>
    <row r="171" spans="1:7" x14ac:dyDescent="0.25">
      <c r="A171" s="34" t="s">
        <v>3388</v>
      </c>
      <c r="B171" s="34" t="s">
        <v>3391</v>
      </c>
      <c r="C171">
        <v>37936</v>
      </c>
      <c r="D171" s="34" t="s">
        <v>3858</v>
      </c>
      <c r="E171" s="3">
        <v>44837.083333333299</v>
      </c>
      <c r="F171" s="35">
        <f t="shared" ca="1" si="2"/>
        <v>3</v>
      </c>
      <c r="G171" s="42" cm="1">
        <f t="array" aca="1" ref="G171" ca="1">SUMPRODUCT((BRON!$A$2:$A$1214=Table1[[#This Row],[Personeelsnummer]])*(BRON!$T$2:$T$1214&gt;=DATE(YEAR(TODAY())-1,MONTH(TODAY()),DAY(TODAY())))*(BRON!$T$2:$T$1214&lt;=TODAY()))</f>
        <v>1</v>
      </c>
    </row>
    <row r="172" spans="1:7" x14ac:dyDescent="0.25">
      <c r="A172" s="34" t="s">
        <v>2462</v>
      </c>
      <c r="B172" s="34" t="s">
        <v>1557</v>
      </c>
      <c r="C172">
        <v>37809</v>
      </c>
      <c r="D172" s="34" t="s">
        <v>3858</v>
      </c>
      <c r="E172" s="3">
        <v>44809.083333333299</v>
      </c>
      <c r="F172" s="35">
        <f t="shared" ca="1" si="2"/>
        <v>3</v>
      </c>
      <c r="G172" s="42" cm="1">
        <f t="array" aca="1" ref="G172" ca="1">SUMPRODUCT((BRON!$A$2:$A$1214=Table1[[#This Row],[Personeelsnummer]])*(BRON!$T$2:$T$1214&gt;=DATE(YEAR(TODAY())-1,MONTH(TODAY()),DAY(TODAY())))*(BRON!$T$2:$T$1214&lt;=TODAY()))</f>
        <v>1</v>
      </c>
    </row>
    <row r="173" spans="1:7" x14ac:dyDescent="0.25">
      <c r="A173" s="34" t="s">
        <v>3181</v>
      </c>
      <c r="B173" s="34" t="s">
        <v>3184</v>
      </c>
      <c r="C173">
        <v>37950</v>
      </c>
      <c r="D173" s="34" t="s">
        <v>3859</v>
      </c>
      <c r="E173" s="3">
        <v>44809.083333333299</v>
      </c>
      <c r="F173" s="35">
        <f t="shared" ca="1" si="2"/>
        <v>3</v>
      </c>
      <c r="G173" s="42" cm="1">
        <f t="array" aca="1" ref="G173" ca="1">SUMPRODUCT((BRON!$A$2:$A$1214=Table1[[#This Row],[Personeelsnummer]])*(BRON!$T$2:$T$1214&gt;=DATE(YEAR(TODAY())-1,MONTH(TODAY()),DAY(TODAY())))*(BRON!$T$2:$T$1214&lt;=TODAY()))</f>
        <v>1</v>
      </c>
    </row>
    <row r="174" spans="1:7" x14ac:dyDescent="0.25">
      <c r="A174" s="34" t="s">
        <v>2093</v>
      </c>
      <c r="B174" s="34" t="s">
        <v>2099</v>
      </c>
      <c r="C174">
        <v>37439</v>
      </c>
      <c r="D174" s="34" t="s">
        <v>3851</v>
      </c>
      <c r="E174" s="3">
        <v>44655.083333333299</v>
      </c>
      <c r="F174" s="35">
        <f t="shared" ca="1" si="2"/>
        <v>3</v>
      </c>
      <c r="G174" s="42" cm="1">
        <f t="array" aca="1" ref="G174" ca="1">SUMPRODUCT((BRON!$A$2:$A$1214=Table1[[#This Row],[Personeelsnummer]])*(BRON!$T$2:$T$1214&gt;=DATE(YEAR(TODAY())-1,MONTH(TODAY()),DAY(TODAY())))*(BRON!$T$2:$T$1214&lt;=TODAY()))</f>
        <v>1</v>
      </c>
    </row>
    <row r="175" spans="1:7" x14ac:dyDescent="0.25">
      <c r="A175" s="34" t="s">
        <v>2754</v>
      </c>
      <c r="B175" s="34" t="s">
        <v>2753</v>
      </c>
      <c r="C175">
        <v>37542</v>
      </c>
      <c r="D175" s="34" t="s">
        <v>3854</v>
      </c>
      <c r="E175" s="3">
        <v>44683.083333333299</v>
      </c>
      <c r="F175" s="35">
        <f t="shared" ca="1" si="2"/>
        <v>3</v>
      </c>
      <c r="G175" s="42" cm="1">
        <f t="array" aca="1" ref="G175" ca="1">SUMPRODUCT((BRON!$A$2:$A$1214=Table1[[#This Row],[Personeelsnummer]])*(BRON!$T$2:$T$1214&gt;=DATE(YEAR(TODAY())-1,MONTH(TODAY()),DAY(TODAY())))*(BRON!$T$2:$T$1214&lt;=TODAY()))</f>
        <v>1</v>
      </c>
    </row>
    <row r="176" spans="1:7" x14ac:dyDescent="0.25">
      <c r="A176" s="34" t="s">
        <v>1616</v>
      </c>
      <c r="B176" s="34" t="s">
        <v>1495</v>
      </c>
      <c r="C176">
        <v>36154</v>
      </c>
      <c r="D176" s="34" t="s">
        <v>3855</v>
      </c>
      <c r="E176" s="3">
        <v>44214.041666666701</v>
      </c>
      <c r="F176" s="35">
        <f t="shared" ca="1" si="2"/>
        <v>4</v>
      </c>
      <c r="G176" s="42" cm="1">
        <f t="array" aca="1" ref="G176" ca="1">SUMPRODUCT((BRON!$A$2:$A$1214=Table1[[#This Row],[Personeelsnummer]])*(BRON!$T$2:$T$1214&gt;=DATE(YEAR(TODAY())-1,MONTH(TODAY()),DAY(TODAY())))*(BRON!$T$2:$T$1214&lt;=TODAY()))</f>
        <v>1</v>
      </c>
    </row>
    <row r="177" spans="1:7" x14ac:dyDescent="0.25">
      <c r="A177" s="34" t="s">
        <v>1812</v>
      </c>
      <c r="B177" s="34" t="s">
        <v>1811</v>
      </c>
      <c r="C177">
        <v>36505</v>
      </c>
      <c r="D177" s="34" t="s">
        <v>3851</v>
      </c>
      <c r="E177" s="3">
        <v>44333.083333333299</v>
      </c>
      <c r="F177" s="35">
        <f t="shared" ca="1" si="2"/>
        <v>4</v>
      </c>
      <c r="G177" s="42" cm="1">
        <f t="array" aca="1" ref="G177" ca="1">SUMPRODUCT((BRON!$A$2:$A$1214=Table1[[#This Row],[Personeelsnummer]])*(BRON!$T$2:$T$1214&gt;=DATE(YEAR(TODAY())-1,MONTH(TODAY()),DAY(TODAY())))*(BRON!$T$2:$T$1214&lt;=TODAY()))</f>
        <v>1</v>
      </c>
    </row>
    <row r="178" spans="1:7" x14ac:dyDescent="0.25">
      <c r="A178" s="34" t="s">
        <v>2257</v>
      </c>
      <c r="B178" s="34" t="s">
        <v>2256</v>
      </c>
      <c r="C178">
        <v>36577</v>
      </c>
      <c r="D178" s="34" t="s">
        <v>3857</v>
      </c>
      <c r="E178" s="3">
        <v>44389.083333333299</v>
      </c>
      <c r="F178" s="35">
        <f t="shared" ca="1" si="2"/>
        <v>4</v>
      </c>
      <c r="G178" s="42" cm="1">
        <f t="array" aca="1" ref="G178" ca="1">SUMPRODUCT((BRON!$A$2:$A$1214=Table1[[#This Row],[Personeelsnummer]])*(BRON!$T$2:$T$1214&gt;=DATE(YEAR(TODAY())-1,MONTH(TODAY()),DAY(TODAY())))*(BRON!$T$2:$T$1214&lt;=TODAY()))</f>
        <v>1</v>
      </c>
    </row>
    <row r="179" spans="1:7" x14ac:dyDescent="0.25">
      <c r="A179" s="34" t="s">
        <v>1918</v>
      </c>
      <c r="B179" s="34" t="s">
        <v>1922</v>
      </c>
      <c r="C179">
        <v>36820</v>
      </c>
      <c r="D179" s="34" t="s">
        <v>3858</v>
      </c>
      <c r="E179" s="3">
        <v>44473.083333333299</v>
      </c>
      <c r="F179" s="35">
        <f t="shared" ca="1" si="2"/>
        <v>4</v>
      </c>
      <c r="G179" s="42" cm="1">
        <f t="array" aca="1" ref="G179" ca="1">SUMPRODUCT((BRON!$A$2:$A$1214=Table1[[#This Row],[Personeelsnummer]])*(BRON!$T$2:$T$1214&gt;=DATE(YEAR(TODAY())-1,MONTH(TODAY()),DAY(TODAY())))*(BRON!$T$2:$T$1214&lt;=TODAY()))</f>
        <v>1</v>
      </c>
    </row>
    <row r="180" spans="1:7" x14ac:dyDescent="0.25">
      <c r="A180" s="34" t="s">
        <v>2663</v>
      </c>
      <c r="B180" s="34" t="s">
        <v>2662</v>
      </c>
      <c r="C180">
        <v>30321</v>
      </c>
      <c r="D180" s="34" t="s">
        <v>3851</v>
      </c>
      <c r="E180" s="3">
        <v>44348.083333333299</v>
      </c>
      <c r="F180" s="35">
        <f t="shared" ca="1" si="2"/>
        <v>4</v>
      </c>
      <c r="G180" s="42" cm="1">
        <f t="array" aca="1" ref="G180" ca="1">SUMPRODUCT((BRON!$A$2:$A$1214=Table1[[#This Row],[Personeelsnummer]])*(BRON!$T$2:$T$1214&gt;=DATE(YEAR(TODAY())-1,MONTH(TODAY()),DAY(TODAY())))*(BRON!$T$2:$T$1214&lt;=TODAY()))</f>
        <v>1</v>
      </c>
    </row>
    <row r="181" spans="1:7" x14ac:dyDescent="0.25">
      <c r="A181" s="34" t="s">
        <v>2957</v>
      </c>
      <c r="B181" s="34" t="s">
        <v>2956</v>
      </c>
      <c r="C181">
        <v>36358</v>
      </c>
      <c r="D181" s="34" t="s">
        <v>3857</v>
      </c>
      <c r="E181" s="3">
        <v>44270.041666666701</v>
      </c>
      <c r="F181" s="35">
        <f t="shared" ca="1" si="2"/>
        <v>4</v>
      </c>
      <c r="G181" s="42" cm="1">
        <f t="array" aca="1" ref="G181" ca="1">SUMPRODUCT((BRON!$A$2:$A$1214=Table1[[#This Row],[Personeelsnummer]])*(BRON!$T$2:$T$1214&gt;=DATE(YEAR(TODAY())-1,MONTH(TODAY()),DAY(TODAY())))*(BRON!$T$2:$T$1214&lt;=TODAY()))</f>
        <v>2</v>
      </c>
    </row>
    <row r="182" spans="1:7" x14ac:dyDescent="0.25">
      <c r="A182" s="34" t="s">
        <v>1733</v>
      </c>
      <c r="B182" s="34" t="s">
        <v>1741</v>
      </c>
      <c r="C182">
        <v>36559</v>
      </c>
      <c r="D182" s="34" t="s">
        <v>3851</v>
      </c>
      <c r="E182" s="3">
        <v>44347.083333333299</v>
      </c>
      <c r="F182" s="35">
        <f t="shared" ca="1" si="2"/>
        <v>4</v>
      </c>
      <c r="G182" s="42" cm="1">
        <f t="array" aca="1" ref="G182" ca="1">SUMPRODUCT((BRON!$A$2:$A$1214=Table1[[#This Row],[Personeelsnummer]])*(BRON!$T$2:$T$1214&gt;=DATE(YEAR(TODAY())-1,MONTH(TODAY()),DAY(TODAY())))*(BRON!$T$2:$T$1214&lt;=TODAY()))</f>
        <v>1</v>
      </c>
    </row>
    <row r="183" spans="1:7" x14ac:dyDescent="0.25">
      <c r="A183" s="34" t="s">
        <v>2394</v>
      </c>
      <c r="B183" s="34" t="s">
        <v>2397</v>
      </c>
      <c r="C183">
        <v>36624</v>
      </c>
      <c r="D183" s="34" t="s">
        <v>3859</v>
      </c>
      <c r="E183" s="3">
        <v>44375.083333333299</v>
      </c>
      <c r="F183" s="35">
        <f t="shared" ca="1" si="2"/>
        <v>4</v>
      </c>
      <c r="G183" s="42" cm="1">
        <f t="array" aca="1" ref="G183" ca="1">SUMPRODUCT((BRON!$A$2:$A$1214=Table1[[#This Row],[Personeelsnummer]])*(BRON!$T$2:$T$1214&gt;=DATE(YEAR(TODAY())-1,MONTH(TODAY()),DAY(TODAY())))*(BRON!$T$2:$T$1214&lt;=TODAY()))</f>
        <v>1</v>
      </c>
    </row>
    <row r="184" spans="1:7" x14ac:dyDescent="0.25">
      <c r="A184" s="34" t="s">
        <v>2220</v>
      </c>
      <c r="B184" s="34" t="s">
        <v>2219</v>
      </c>
      <c r="C184">
        <v>35216</v>
      </c>
      <c r="D184" s="34" t="s">
        <v>3855</v>
      </c>
      <c r="E184" s="3">
        <v>43892.041666666701</v>
      </c>
      <c r="F184" s="35">
        <f t="shared" ca="1" si="2"/>
        <v>5</v>
      </c>
      <c r="G184" s="42" cm="1">
        <f t="array" aca="1" ref="G184" ca="1">SUMPRODUCT((BRON!$A$2:$A$1214=Table1[[#This Row],[Personeelsnummer]])*(BRON!$T$2:$T$1214&gt;=DATE(YEAR(TODAY())-1,MONTH(TODAY()),DAY(TODAY())))*(BRON!$T$2:$T$1214&lt;=TODAY()))</f>
        <v>1</v>
      </c>
    </row>
    <row r="185" spans="1:7" x14ac:dyDescent="0.25">
      <c r="A185" s="34" t="s">
        <v>3191</v>
      </c>
      <c r="B185" s="34" t="s">
        <v>3190</v>
      </c>
      <c r="C185">
        <v>35490</v>
      </c>
      <c r="D185" s="34" t="s">
        <v>3858</v>
      </c>
      <c r="E185" s="3">
        <v>44025.083333333299</v>
      </c>
      <c r="F185" s="35">
        <f t="shared" ca="1" si="2"/>
        <v>5</v>
      </c>
      <c r="G185" s="42" cm="1">
        <f t="array" aca="1" ref="G185" ca="1">SUMPRODUCT((BRON!$A$2:$A$1214=Table1[[#This Row],[Personeelsnummer]])*(BRON!$T$2:$T$1214&gt;=DATE(YEAR(TODAY())-1,MONTH(TODAY()),DAY(TODAY())))*(BRON!$T$2:$T$1214&lt;=TODAY()))</f>
        <v>1</v>
      </c>
    </row>
    <row r="186" spans="1:7" x14ac:dyDescent="0.25">
      <c r="A186" s="34" t="s">
        <v>2311</v>
      </c>
      <c r="B186" s="34" t="s">
        <v>2320</v>
      </c>
      <c r="C186">
        <v>35495</v>
      </c>
      <c r="D186" s="34" t="s">
        <v>3851</v>
      </c>
      <c r="E186" s="3">
        <v>44025.083333333299</v>
      </c>
      <c r="F186" s="35">
        <f t="shared" ca="1" si="2"/>
        <v>5</v>
      </c>
      <c r="G186" s="42" cm="1">
        <f t="array" aca="1" ref="G186" ca="1">SUMPRODUCT((BRON!$A$2:$A$1214=Table1[[#This Row],[Personeelsnummer]])*(BRON!$T$2:$T$1214&gt;=DATE(YEAR(TODAY())-1,MONTH(TODAY()),DAY(TODAY())))*(BRON!$T$2:$T$1214&lt;=TODAY()))</f>
        <v>1</v>
      </c>
    </row>
    <row r="187" spans="1:7" x14ac:dyDescent="0.25">
      <c r="A187" s="34" t="s">
        <v>1389</v>
      </c>
      <c r="B187" s="34" t="s">
        <v>1388</v>
      </c>
      <c r="C187">
        <v>35619</v>
      </c>
      <c r="D187" s="34" t="s">
        <v>3858</v>
      </c>
      <c r="E187" s="3">
        <v>44067.083333333299</v>
      </c>
      <c r="F187" s="35">
        <f t="shared" ca="1" si="2"/>
        <v>5</v>
      </c>
      <c r="G187" s="42" cm="1">
        <f t="array" aca="1" ref="G187" ca="1">SUMPRODUCT((BRON!$A$2:$A$1214=Table1[[#This Row],[Personeelsnummer]])*(BRON!$T$2:$T$1214&gt;=DATE(YEAR(TODAY())-1,MONTH(TODAY()),DAY(TODAY())))*(BRON!$T$2:$T$1214&lt;=TODAY()))</f>
        <v>1</v>
      </c>
    </row>
    <row r="188" spans="1:7" x14ac:dyDescent="0.25">
      <c r="A188" s="34" t="s">
        <v>2516</v>
      </c>
      <c r="B188" s="34" t="s">
        <v>1255</v>
      </c>
      <c r="C188">
        <v>35246</v>
      </c>
      <c r="D188" s="34" t="s">
        <v>3856</v>
      </c>
      <c r="E188" s="3">
        <v>43906.041666666701</v>
      </c>
      <c r="F188" s="35">
        <f t="shared" ca="1" si="2"/>
        <v>5</v>
      </c>
      <c r="G188" s="42" cm="1">
        <f t="array" aca="1" ref="G188" ca="1">SUMPRODUCT((BRON!$A$2:$A$1214=Table1[[#This Row],[Personeelsnummer]])*(BRON!$T$2:$T$1214&gt;=DATE(YEAR(TODAY())-1,MONTH(TODAY()),DAY(TODAY())))*(BRON!$T$2:$T$1214&lt;=TODAY()))</f>
        <v>1</v>
      </c>
    </row>
    <row r="189" spans="1:7" x14ac:dyDescent="0.25">
      <c r="A189" s="34" t="s">
        <v>1766</v>
      </c>
      <c r="B189" s="34" t="s">
        <v>1490</v>
      </c>
      <c r="C189">
        <v>35379</v>
      </c>
      <c r="D189" s="34" t="s">
        <v>3856</v>
      </c>
      <c r="E189" s="3">
        <v>43969.083333333299</v>
      </c>
      <c r="F189" s="35">
        <f t="shared" ca="1" si="2"/>
        <v>5</v>
      </c>
      <c r="G189" s="42" cm="1">
        <f t="array" aca="1" ref="G189" ca="1">SUMPRODUCT((BRON!$A$2:$A$1214=Table1[[#This Row],[Personeelsnummer]])*(BRON!$T$2:$T$1214&gt;=DATE(YEAR(TODAY())-1,MONTH(TODAY()),DAY(TODAY())))*(BRON!$T$2:$T$1214&lt;=TODAY()))</f>
        <v>2</v>
      </c>
    </row>
    <row r="190" spans="1:7" x14ac:dyDescent="0.25">
      <c r="A190" s="34" t="s">
        <v>2745</v>
      </c>
      <c r="B190" s="34" t="s">
        <v>2744</v>
      </c>
      <c r="C190">
        <v>35395</v>
      </c>
      <c r="D190" s="34" t="s">
        <v>3858</v>
      </c>
      <c r="E190" s="3">
        <v>43980.083333333299</v>
      </c>
      <c r="F190" s="35">
        <f t="shared" ca="1" si="2"/>
        <v>5</v>
      </c>
      <c r="G190" s="42" cm="1">
        <f t="array" aca="1" ref="G190" ca="1">SUMPRODUCT((BRON!$A$2:$A$1214=Table1[[#This Row],[Personeelsnummer]])*(BRON!$T$2:$T$1214&gt;=DATE(YEAR(TODAY())-1,MONTH(TODAY()),DAY(TODAY())))*(BRON!$T$2:$T$1214&lt;=TODAY()))</f>
        <v>1</v>
      </c>
    </row>
    <row r="191" spans="1:7" x14ac:dyDescent="0.25">
      <c r="A191" s="34" t="s">
        <v>3015</v>
      </c>
      <c r="B191" s="34" t="s">
        <v>3021</v>
      </c>
      <c r="C191">
        <v>35430</v>
      </c>
      <c r="D191" s="34" t="s">
        <v>3856</v>
      </c>
      <c r="E191" s="3">
        <v>44011.083333333299</v>
      </c>
      <c r="F191" s="35">
        <f t="shared" ca="1" si="2"/>
        <v>5</v>
      </c>
      <c r="G191" s="42" cm="1">
        <f t="array" aca="1" ref="G191" ca="1">SUMPRODUCT((BRON!$A$2:$A$1214=Table1[[#This Row],[Personeelsnummer]])*(BRON!$T$2:$T$1214&gt;=DATE(YEAR(TODAY())-1,MONTH(TODAY()),DAY(TODAY())))*(BRON!$T$2:$T$1214&lt;=TODAY()))</f>
        <v>1</v>
      </c>
    </row>
    <row r="192" spans="1:7" x14ac:dyDescent="0.25">
      <c r="A192" s="34" t="s">
        <v>2706</v>
      </c>
      <c r="B192" s="34" t="s">
        <v>2705</v>
      </c>
      <c r="C192">
        <v>35450</v>
      </c>
      <c r="D192" s="34" t="s">
        <v>3857</v>
      </c>
      <c r="E192" s="3">
        <v>43997.083333333299</v>
      </c>
      <c r="F192" s="35">
        <f t="shared" ca="1" si="2"/>
        <v>5</v>
      </c>
      <c r="G192" s="42" cm="1">
        <f t="array" aca="1" ref="G192" ca="1">SUMPRODUCT((BRON!$A$2:$A$1214=Table1[[#This Row],[Personeelsnummer]])*(BRON!$T$2:$T$1214&gt;=DATE(YEAR(TODAY())-1,MONTH(TODAY()),DAY(TODAY())))*(BRON!$T$2:$T$1214&lt;=TODAY()))</f>
        <v>1</v>
      </c>
    </row>
    <row r="193" spans="1:7" x14ac:dyDescent="0.25">
      <c r="A193" s="34" t="s">
        <v>1550</v>
      </c>
      <c r="B193" s="34" t="s">
        <v>1554</v>
      </c>
      <c r="C193">
        <v>35463</v>
      </c>
      <c r="D193" s="34" t="s">
        <v>3859</v>
      </c>
      <c r="E193" s="3">
        <v>44025.083333333299</v>
      </c>
      <c r="F193" s="35">
        <f t="shared" ca="1" si="2"/>
        <v>5</v>
      </c>
      <c r="G193" s="42" cm="1">
        <f t="array" aca="1" ref="G193" ca="1">SUMPRODUCT((BRON!$A$2:$A$1214=Table1[[#This Row],[Personeelsnummer]])*(BRON!$T$2:$T$1214&gt;=DATE(YEAR(TODAY())-1,MONTH(TODAY()),DAY(TODAY())))*(BRON!$T$2:$T$1214&lt;=TODAY()))</f>
        <v>1</v>
      </c>
    </row>
    <row r="194" spans="1:7" x14ac:dyDescent="0.25">
      <c r="A194" s="34" t="s">
        <v>1960</v>
      </c>
      <c r="B194" s="34" t="s">
        <v>1964</v>
      </c>
      <c r="C194">
        <v>33640</v>
      </c>
      <c r="D194" s="34" t="s">
        <v>3858</v>
      </c>
      <c r="E194" s="3">
        <v>43528.041666666701</v>
      </c>
      <c r="F194" s="35">
        <f t="shared" ref="F194:F257" ca="1" si="3">YEAR(TODAY()) - YEAR(E194) - (IF(DATE(YEAR(TODAY()), MONTH(E194), DAY(E194)) &gt; TODAY(), 1, 0))</f>
        <v>6</v>
      </c>
      <c r="G194" s="42" cm="1">
        <f t="array" aca="1" ref="G194" ca="1">SUMPRODUCT((BRON!$A$2:$A$1214=Table1[[#This Row],[Personeelsnummer]])*(BRON!$T$2:$T$1214&gt;=DATE(YEAR(TODAY())-1,MONTH(TODAY()),DAY(TODAY())))*(BRON!$T$2:$T$1214&lt;=TODAY()))</f>
        <v>1</v>
      </c>
    </row>
    <row r="195" spans="1:7" x14ac:dyDescent="0.25">
      <c r="A195" s="34" t="s">
        <v>1550</v>
      </c>
      <c r="B195" s="34" t="s">
        <v>1560</v>
      </c>
      <c r="C195">
        <v>34019</v>
      </c>
      <c r="D195" s="34" t="s">
        <v>3853</v>
      </c>
      <c r="E195" s="3">
        <v>43627.083333333299</v>
      </c>
      <c r="F195" s="35">
        <f t="shared" ca="1" si="3"/>
        <v>6</v>
      </c>
      <c r="G195" s="42" cm="1">
        <f t="array" aca="1" ref="G195" ca="1">SUMPRODUCT((BRON!$A$2:$A$1214=Table1[[#This Row],[Personeelsnummer]])*(BRON!$T$2:$T$1214&gt;=DATE(YEAR(TODAY())-1,MONTH(TODAY()),DAY(TODAY())))*(BRON!$T$2:$T$1214&lt;=TODAY()))</f>
        <v>1</v>
      </c>
    </row>
    <row r="196" spans="1:7" x14ac:dyDescent="0.25">
      <c r="A196" s="34" t="s">
        <v>1956</v>
      </c>
      <c r="B196" s="34" t="s">
        <v>1955</v>
      </c>
      <c r="C196">
        <v>33488</v>
      </c>
      <c r="D196" s="34" t="s">
        <v>3856</v>
      </c>
      <c r="E196" s="3">
        <v>43486.041666666701</v>
      </c>
      <c r="F196" s="35">
        <f t="shared" ca="1" si="3"/>
        <v>6</v>
      </c>
      <c r="G196" s="42" cm="1">
        <f t="array" aca="1" ref="G196" ca="1">SUMPRODUCT((BRON!$A$2:$A$1214=Table1[[#This Row],[Personeelsnummer]])*(BRON!$T$2:$T$1214&gt;=DATE(YEAR(TODAY())-1,MONTH(TODAY()),DAY(TODAY())))*(BRON!$T$2:$T$1214&lt;=TODAY()))</f>
        <v>1</v>
      </c>
    </row>
    <row r="197" spans="1:7" x14ac:dyDescent="0.25">
      <c r="A197" s="34" t="s">
        <v>1575</v>
      </c>
      <c r="B197" s="34" t="s">
        <v>1574</v>
      </c>
      <c r="C197">
        <v>34198</v>
      </c>
      <c r="D197" s="34" t="s">
        <v>3856</v>
      </c>
      <c r="E197" s="3">
        <v>43669.083333333299</v>
      </c>
      <c r="F197" s="35">
        <f t="shared" ca="1" si="3"/>
        <v>6</v>
      </c>
      <c r="G197" s="42" cm="1">
        <f t="array" aca="1" ref="G197" ca="1">SUMPRODUCT((BRON!$A$2:$A$1214=Table1[[#This Row],[Personeelsnummer]])*(BRON!$T$2:$T$1214&gt;=DATE(YEAR(TODAY())-1,MONTH(TODAY()),DAY(TODAY())))*(BRON!$T$2:$T$1214&lt;=TODAY()))</f>
        <v>1</v>
      </c>
    </row>
    <row r="198" spans="1:7" x14ac:dyDescent="0.25">
      <c r="A198" s="34" t="s">
        <v>3116</v>
      </c>
      <c r="B198" s="34" t="s">
        <v>3115</v>
      </c>
      <c r="C198">
        <v>33400</v>
      </c>
      <c r="D198" s="34" t="s">
        <v>3853</v>
      </c>
      <c r="E198" s="3">
        <v>43444.041666666701</v>
      </c>
      <c r="F198" s="35">
        <f t="shared" ca="1" si="3"/>
        <v>6</v>
      </c>
      <c r="G198" s="42" cm="1">
        <f t="array" aca="1" ref="G198" ca="1">SUMPRODUCT((BRON!$A$2:$A$1214=Table1[[#This Row],[Personeelsnummer]])*(BRON!$T$2:$T$1214&gt;=DATE(YEAR(TODAY())-1,MONTH(TODAY()),DAY(TODAY())))*(BRON!$T$2:$T$1214&lt;=TODAY()))</f>
        <v>2</v>
      </c>
    </row>
    <row r="199" spans="1:7" x14ac:dyDescent="0.25">
      <c r="A199" s="34" t="s">
        <v>3038</v>
      </c>
      <c r="B199" s="34" t="s">
        <v>3037</v>
      </c>
      <c r="C199">
        <v>34351</v>
      </c>
      <c r="D199" s="34" t="s">
        <v>3856</v>
      </c>
      <c r="E199" s="3">
        <v>43710.083333333299</v>
      </c>
      <c r="F199" s="35">
        <f t="shared" ca="1" si="3"/>
        <v>6</v>
      </c>
      <c r="G199" s="42" cm="1">
        <f t="array" aca="1" ref="G199" ca="1">SUMPRODUCT((BRON!$A$2:$A$1214=Table1[[#This Row],[Personeelsnummer]])*(BRON!$T$2:$T$1214&gt;=DATE(YEAR(TODAY())-1,MONTH(TODAY()),DAY(TODAY())))*(BRON!$T$2:$T$1214&lt;=TODAY()))</f>
        <v>1</v>
      </c>
    </row>
    <row r="200" spans="1:7" x14ac:dyDescent="0.25">
      <c r="A200" s="34" t="s">
        <v>2125</v>
      </c>
      <c r="B200" s="34" t="s">
        <v>2124</v>
      </c>
      <c r="C200">
        <v>33986</v>
      </c>
      <c r="D200" s="34" t="s">
        <v>3851</v>
      </c>
      <c r="E200" s="3">
        <v>43605.083333333299</v>
      </c>
      <c r="F200" s="35">
        <f t="shared" ca="1" si="3"/>
        <v>6</v>
      </c>
      <c r="G200" s="42" cm="1">
        <f t="array" aca="1" ref="G200" ca="1">SUMPRODUCT((BRON!$A$2:$A$1214=Table1[[#This Row],[Personeelsnummer]])*(BRON!$T$2:$T$1214&gt;=DATE(YEAR(TODAY())-1,MONTH(TODAY()),DAY(TODAY())))*(BRON!$T$2:$T$1214&lt;=TODAY()))</f>
        <v>1</v>
      </c>
    </row>
    <row r="201" spans="1:7" x14ac:dyDescent="0.25">
      <c r="A201" s="34" t="s">
        <v>2531</v>
      </c>
      <c r="B201" s="34" t="s">
        <v>2530</v>
      </c>
      <c r="C201">
        <v>34328</v>
      </c>
      <c r="D201" s="34" t="s">
        <v>3851</v>
      </c>
      <c r="E201" s="3">
        <v>43710.083333333299</v>
      </c>
      <c r="F201" s="35">
        <f t="shared" ca="1" si="3"/>
        <v>6</v>
      </c>
      <c r="G201" s="42" cm="1">
        <f t="array" aca="1" ref="G201" ca="1">SUMPRODUCT((BRON!$A$2:$A$1214=Table1[[#This Row],[Personeelsnummer]])*(BRON!$T$2:$T$1214&gt;=DATE(YEAR(TODAY())-1,MONTH(TODAY()),DAY(TODAY())))*(BRON!$T$2:$T$1214&lt;=TODAY()))</f>
        <v>1</v>
      </c>
    </row>
    <row r="202" spans="1:7" x14ac:dyDescent="0.25">
      <c r="A202" s="34" t="s">
        <v>2683</v>
      </c>
      <c r="B202" s="34" t="s">
        <v>2682</v>
      </c>
      <c r="C202">
        <v>34445</v>
      </c>
      <c r="D202" s="34" t="s">
        <v>3859</v>
      </c>
      <c r="E202" s="3">
        <v>43752.083333333299</v>
      </c>
      <c r="F202" s="35">
        <f t="shared" ca="1" si="3"/>
        <v>6</v>
      </c>
      <c r="G202" s="42" cm="1">
        <f t="array" aca="1" ref="G202" ca="1">SUMPRODUCT((BRON!$A$2:$A$1214=Table1[[#This Row],[Personeelsnummer]])*(BRON!$T$2:$T$1214&gt;=DATE(YEAR(TODAY())-1,MONTH(TODAY()),DAY(TODAY())))*(BRON!$T$2:$T$1214&lt;=TODAY()))</f>
        <v>1</v>
      </c>
    </row>
    <row r="203" spans="1:7" x14ac:dyDescent="0.25">
      <c r="A203" s="34" t="s">
        <v>3236</v>
      </c>
      <c r="B203" s="34" t="s">
        <v>3235</v>
      </c>
      <c r="C203">
        <v>32245</v>
      </c>
      <c r="D203" s="34" t="s">
        <v>3856</v>
      </c>
      <c r="E203" s="3">
        <v>43073.041666666701</v>
      </c>
      <c r="F203" s="35">
        <f t="shared" ca="1" si="3"/>
        <v>8</v>
      </c>
      <c r="G203" s="42" cm="1">
        <f t="array" aca="1" ref="G203" ca="1">SUMPRODUCT((BRON!$A$2:$A$1214=Table1[[#This Row],[Personeelsnummer]])*(BRON!$T$2:$T$1214&gt;=DATE(YEAR(TODAY())-1,MONTH(TODAY()),DAY(TODAY())))*(BRON!$T$2:$T$1214&lt;=TODAY()))</f>
        <v>2</v>
      </c>
    </row>
    <row r="204" spans="1:7" x14ac:dyDescent="0.25">
      <c r="A204" s="34" t="s">
        <v>3465</v>
      </c>
      <c r="B204" s="34" t="s">
        <v>3464</v>
      </c>
      <c r="C204">
        <v>32528</v>
      </c>
      <c r="D204" s="34" t="s">
        <v>3858</v>
      </c>
      <c r="E204" s="3">
        <v>43164.041666666701</v>
      </c>
      <c r="F204" s="35">
        <f t="shared" ca="1" si="3"/>
        <v>7</v>
      </c>
      <c r="G204" s="42" cm="1">
        <f t="array" aca="1" ref="G204" ca="1">SUMPRODUCT((BRON!$A$2:$A$1214=Table1[[#This Row],[Personeelsnummer]])*(BRON!$T$2:$T$1214&gt;=DATE(YEAR(TODAY())-1,MONTH(TODAY()),DAY(TODAY())))*(BRON!$T$2:$T$1214&lt;=TODAY()))</f>
        <v>1</v>
      </c>
    </row>
    <row r="205" spans="1:7" x14ac:dyDescent="0.25">
      <c r="A205" s="34" t="s">
        <v>2725</v>
      </c>
      <c r="B205" s="34" t="s">
        <v>2724</v>
      </c>
      <c r="C205">
        <v>32387</v>
      </c>
      <c r="D205" s="34" t="s">
        <v>3858</v>
      </c>
      <c r="E205" s="3">
        <v>43108.041666666701</v>
      </c>
      <c r="F205" s="35">
        <f t="shared" ca="1" si="3"/>
        <v>7</v>
      </c>
      <c r="G205" s="42" cm="1">
        <f t="array" aca="1" ref="G205" ca="1">SUMPRODUCT((BRON!$A$2:$A$1214=Table1[[#This Row],[Personeelsnummer]])*(BRON!$T$2:$T$1214&gt;=DATE(YEAR(TODAY())-1,MONTH(TODAY()),DAY(TODAY())))*(BRON!$T$2:$T$1214&lt;=TODAY()))</f>
        <v>2</v>
      </c>
    </row>
    <row r="206" spans="1:7" x14ac:dyDescent="0.25">
      <c r="A206" s="34" t="s">
        <v>1674</v>
      </c>
      <c r="B206" s="34" t="s">
        <v>1673</v>
      </c>
      <c r="C206">
        <v>32951</v>
      </c>
      <c r="D206" s="34" t="s">
        <v>3855</v>
      </c>
      <c r="E206" s="3">
        <v>43304.083333333299</v>
      </c>
      <c r="F206" s="35">
        <f t="shared" ca="1" si="3"/>
        <v>7</v>
      </c>
      <c r="G206" s="42" cm="1">
        <f t="array" aca="1" ref="G206" ca="1">SUMPRODUCT((BRON!$A$2:$A$1214=Table1[[#This Row],[Personeelsnummer]])*(BRON!$T$2:$T$1214&gt;=DATE(YEAR(TODAY())-1,MONTH(TODAY()),DAY(TODAY())))*(BRON!$T$2:$T$1214&lt;=TODAY()))</f>
        <v>1</v>
      </c>
    </row>
    <row r="207" spans="1:7" x14ac:dyDescent="0.25">
      <c r="A207" s="34" t="s">
        <v>2034</v>
      </c>
      <c r="B207" s="34" t="s">
        <v>2033</v>
      </c>
      <c r="C207">
        <v>31634</v>
      </c>
      <c r="D207" s="34" t="s">
        <v>3856</v>
      </c>
      <c r="E207" s="3">
        <v>42863.083333333299</v>
      </c>
      <c r="F207" s="35">
        <f t="shared" ca="1" si="3"/>
        <v>8</v>
      </c>
      <c r="G207" s="42" cm="1">
        <f t="array" aca="1" ref="G207" ca="1">SUMPRODUCT((BRON!$A$2:$A$1214=Table1[[#This Row],[Personeelsnummer]])*(BRON!$T$2:$T$1214&gt;=DATE(YEAR(TODAY())-1,MONTH(TODAY()),DAY(TODAY())))*(BRON!$T$2:$T$1214&lt;=TODAY()))</f>
        <v>1</v>
      </c>
    </row>
    <row r="208" spans="1:7" x14ac:dyDescent="0.25">
      <c r="A208" s="34" t="s">
        <v>1647</v>
      </c>
      <c r="B208" s="34" t="s">
        <v>1650</v>
      </c>
      <c r="C208">
        <v>31776</v>
      </c>
      <c r="D208" s="34" t="s">
        <v>3859</v>
      </c>
      <c r="E208" s="3">
        <v>42933.083333333299</v>
      </c>
      <c r="F208" s="35">
        <f t="shared" ca="1" si="3"/>
        <v>8</v>
      </c>
      <c r="G208" s="42" cm="1">
        <f t="array" aca="1" ref="G208" ca="1">SUMPRODUCT((BRON!$A$2:$A$1214=Table1[[#This Row],[Personeelsnummer]])*(BRON!$T$2:$T$1214&gt;=DATE(YEAR(TODAY())-1,MONTH(TODAY()),DAY(TODAY())))*(BRON!$T$2:$T$1214&lt;=TODAY()))</f>
        <v>1</v>
      </c>
    </row>
    <row r="209" spans="1:7" x14ac:dyDescent="0.25">
      <c r="A209" s="34" t="s">
        <v>2940</v>
      </c>
      <c r="B209" s="34" t="s">
        <v>2939</v>
      </c>
      <c r="C209">
        <v>32091</v>
      </c>
      <c r="D209" s="34" t="s">
        <v>3851</v>
      </c>
      <c r="E209" s="3">
        <v>43003.083333333299</v>
      </c>
      <c r="F209" s="35">
        <f t="shared" ca="1" si="3"/>
        <v>8</v>
      </c>
      <c r="G209" s="42" cm="1">
        <f t="array" aca="1" ref="G209" ca="1">SUMPRODUCT((BRON!$A$2:$A$1214=Table1[[#This Row],[Personeelsnummer]])*(BRON!$T$2:$T$1214&gt;=DATE(YEAR(TODAY())-1,MONTH(TODAY()),DAY(TODAY())))*(BRON!$T$2:$T$1214&lt;=TODAY()))</f>
        <v>1</v>
      </c>
    </row>
    <row r="210" spans="1:7" x14ac:dyDescent="0.25">
      <c r="A210" s="34" t="s">
        <v>1550</v>
      </c>
      <c r="B210" s="34" t="s">
        <v>1563</v>
      </c>
      <c r="C210">
        <v>31600</v>
      </c>
      <c r="D210" s="34" t="s">
        <v>3857</v>
      </c>
      <c r="E210" s="3">
        <v>42843.083333333299</v>
      </c>
      <c r="F210" s="35">
        <f t="shared" ca="1" si="3"/>
        <v>8</v>
      </c>
      <c r="G210" s="42" cm="1">
        <f t="array" aca="1" ref="G210" ca="1">SUMPRODUCT((BRON!$A$2:$A$1214=Table1[[#This Row],[Personeelsnummer]])*(BRON!$T$2:$T$1214&gt;=DATE(YEAR(TODAY())-1,MONTH(TODAY()),DAY(TODAY())))*(BRON!$T$2:$T$1214&lt;=TODAY()))</f>
        <v>1</v>
      </c>
    </row>
    <row r="211" spans="1:7" x14ac:dyDescent="0.25">
      <c r="A211" s="34" t="s">
        <v>2155</v>
      </c>
      <c r="B211" s="34" t="s">
        <v>2154</v>
      </c>
      <c r="C211">
        <v>31150</v>
      </c>
      <c r="D211" s="34" t="s">
        <v>3851</v>
      </c>
      <c r="E211" s="3">
        <v>42643.083333333299</v>
      </c>
      <c r="F211" s="35">
        <f t="shared" ca="1" si="3"/>
        <v>9</v>
      </c>
      <c r="G211" s="42" cm="1">
        <f t="array" aca="1" ref="G211" ca="1">SUMPRODUCT((BRON!$A$2:$A$1214=Table1[[#This Row],[Personeelsnummer]])*(BRON!$T$2:$T$1214&gt;=DATE(YEAR(TODAY())-1,MONTH(TODAY()),DAY(TODAY())))*(BRON!$T$2:$T$1214&lt;=TODAY()))</f>
        <v>1</v>
      </c>
    </row>
    <row r="212" spans="1:7" x14ac:dyDescent="0.25">
      <c r="A212" s="34" t="s">
        <v>2093</v>
      </c>
      <c r="B212" s="34" t="s">
        <v>2018</v>
      </c>
      <c r="C212">
        <v>30623</v>
      </c>
      <c r="D212" s="34" t="s">
        <v>3851</v>
      </c>
      <c r="E212" s="3">
        <v>42429.041666666701</v>
      </c>
      <c r="F212" s="35">
        <f t="shared" ca="1" si="3"/>
        <v>9</v>
      </c>
      <c r="G212" s="42" cm="1">
        <f t="array" aca="1" ref="G212" ca="1">SUMPRODUCT((BRON!$A$2:$A$1214=Table1[[#This Row],[Personeelsnummer]])*(BRON!$T$2:$T$1214&gt;=DATE(YEAR(TODAY())-1,MONTH(TODAY()),DAY(TODAY())))*(BRON!$T$2:$T$1214&lt;=TODAY()))</f>
        <v>1</v>
      </c>
    </row>
    <row r="213" spans="1:7" x14ac:dyDescent="0.25">
      <c r="A213" s="34" t="s">
        <v>1729</v>
      </c>
      <c r="B213" s="34" t="s">
        <v>1728</v>
      </c>
      <c r="C213">
        <v>31165</v>
      </c>
      <c r="D213" s="34" t="s">
        <v>3855</v>
      </c>
      <c r="E213" s="3">
        <v>42646.083333333299</v>
      </c>
      <c r="F213" s="35">
        <f t="shared" ca="1" si="3"/>
        <v>9</v>
      </c>
      <c r="G213" s="42" cm="1">
        <f t="array" aca="1" ref="G213" ca="1">SUMPRODUCT((BRON!$A$2:$A$1214=Table1[[#This Row],[Personeelsnummer]])*(BRON!$T$2:$T$1214&gt;=DATE(YEAR(TODAY())-1,MONTH(TODAY()),DAY(TODAY())))*(BRON!$T$2:$T$1214&lt;=TODAY()))</f>
        <v>1</v>
      </c>
    </row>
    <row r="214" spans="1:7" x14ac:dyDescent="0.25">
      <c r="A214" s="34" t="s">
        <v>2972</v>
      </c>
      <c r="B214" s="34" t="s">
        <v>2978</v>
      </c>
      <c r="C214">
        <v>31231</v>
      </c>
      <c r="D214" s="34" t="s">
        <v>3856</v>
      </c>
      <c r="E214" s="3">
        <v>42674.041666666701</v>
      </c>
      <c r="F214" s="35">
        <f t="shared" ca="1" si="3"/>
        <v>9</v>
      </c>
      <c r="G214" s="42" cm="1">
        <f t="array" aca="1" ref="G214" ca="1">SUMPRODUCT((BRON!$A$2:$A$1214=Table1[[#This Row],[Personeelsnummer]])*(BRON!$T$2:$T$1214&gt;=DATE(YEAR(TODAY())-1,MONTH(TODAY()),DAY(TODAY())))*(BRON!$T$2:$T$1214&lt;=TODAY()))</f>
        <v>1</v>
      </c>
    </row>
    <row r="215" spans="1:7" x14ac:dyDescent="0.25">
      <c r="A215" s="34" t="s">
        <v>2213</v>
      </c>
      <c r="B215" s="34" t="s">
        <v>2006</v>
      </c>
      <c r="C215">
        <v>29646</v>
      </c>
      <c r="D215" s="34" t="s">
        <v>3859</v>
      </c>
      <c r="E215" s="3">
        <v>42051.041666666701</v>
      </c>
      <c r="F215" s="35">
        <f t="shared" ca="1" si="3"/>
        <v>10</v>
      </c>
      <c r="G215" s="42" cm="1">
        <f t="array" aca="1" ref="G215" ca="1">SUMPRODUCT((BRON!$A$2:$A$1214=Table1[[#This Row],[Personeelsnummer]])*(BRON!$T$2:$T$1214&gt;=DATE(YEAR(TODAY())-1,MONTH(TODAY()),DAY(TODAY())))*(BRON!$T$2:$T$1214&lt;=TODAY()))</f>
        <v>1</v>
      </c>
    </row>
    <row r="216" spans="1:7" x14ac:dyDescent="0.25">
      <c r="A216" s="34" t="s">
        <v>2596</v>
      </c>
      <c r="B216" s="34" t="s">
        <v>1940</v>
      </c>
      <c r="C216">
        <v>30271</v>
      </c>
      <c r="D216" s="34" t="s">
        <v>3857</v>
      </c>
      <c r="E216" s="3">
        <v>42268.083333333299</v>
      </c>
      <c r="F216" s="35">
        <f t="shared" ca="1" si="3"/>
        <v>10</v>
      </c>
      <c r="G216" s="42" cm="1">
        <f t="array" aca="1" ref="G216" ca="1">SUMPRODUCT((BRON!$A$2:$A$1214=Table1[[#This Row],[Personeelsnummer]])*(BRON!$T$2:$T$1214&gt;=DATE(YEAR(TODAY())-1,MONTH(TODAY()),DAY(TODAY())))*(BRON!$T$2:$T$1214&lt;=TODAY()))</f>
        <v>1</v>
      </c>
    </row>
    <row r="217" spans="1:7" x14ac:dyDescent="0.25">
      <c r="A217" s="34" t="s">
        <v>1550</v>
      </c>
      <c r="B217" s="34" t="s">
        <v>1567</v>
      </c>
      <c r="C217">
        <v>30119</v>
      </c>
      <c r="D217" s="34" t="s">
        <v>3859</v>
      </c>
      <c r="E217" s="3">
        <v>42198.083333333299</v>
      </c>
      <c r="F217" s="35">
        <f t="shared" ca="1" si="3"/>
        <v>10</v>
      </c>
      <c r="G217" s="42" cm="1">
        <f t="array" aca="1" ref="G217" ca="1">SUMPRODUCT((BRON!$A$2:$A$1214=Table1[[#This Row],[Personeelsnummer]])*(BRON!$T$2:$T$1214&gt;=DATE(YEAR(TODAY())-1,MONTH(TODAY()),DAY(TODAY())))*(BRON!$T$2:$T$1214&lt;=TODAY()))</f>
        <v>1</v>
      </c>
    </row>
    <row r="218" spans="1:7" x14ac:dyDescent="0.25">
      <c r="A218" s="34" t="s">
        <v>3358</v>
      </c>
      <c r="B218" s="34" t="s">
        <v>3357</v>
      </c>
      <c r="C218">
        <v>30121</v>
      </c>
      <c r="D218" s="34" t="s">
        <v>3853</v>
      </c>
      <c r="E218" s="3">
        <v>42198.083333333299</v>
      </c>
      <c r="F218" s="35">
        <f t="shared" ca="1" si="3"/>
        <v>10</v>
      </c>
      <c r="G218" s="42" cm="1">
        <f t="array" aca="1" ref="G218" ca="1">SUMPRODUCT((BRON!$A$2:$A$1214=Table1[[#This Row],[Personeelsnummer]])*(BRON!$T$2:$T$1214&gt;=DATE(YEAR(TODAY())-1,MONTH(TODAY()),DAY(TODAY())))*(BRON!$T$2:$T$1214&lt;=TODAY()))</f>
        <v>1</v>
      </c>
    </row>
    <row r="219" spans="1:7" x14ac:dyDescent="0.25">
      <c r="A219" s="34" t="s">
        <v>2879</v>
      </c>
      <c r="B219" s="34" t="s">
        <v>1542</v>
      </c>
      <c r="C219">
        <v>29271</v>
      </c>
      <c r="D219" s="34" t="s">
        <v>3857</v>
      </c>
      <c r="E219" s="3">
        <v>41855.083333333299</v>
      </c>
      <c r="F219" s="35">
        <f t="shared" ca="1" si="3"/>
        <v>11</v>
      </c>
      <c r="G219" s="42" cm="1">
        <f t="array" aca="1" ref="G219" ca="1">SUMPRODUCT((BRON!$A$2:$A$1214=Table1[[#This Row],[Personeelsnummer]])*(BRON!$T$2:$T$1214&gt;=DATE(YEAR(TODAY())-1,MONTH(TODAY()),DAY(TODAY())))*(BRON!$T$2:$T$1214&lt;=TODAY()))</f>
        <v>1</v>
      </c>
    </row>
    <row r="220" spans="1:7" x14ac:dyDescent="0.25">
      <c r="A220" s="34" t="s">
        <v>2741</v>
      </c>
      <c r="B220" s="34" t="s">
        <v>2740</v>
      </c>
      <c r="C220">
        <v>29478</v>
      </c>
      <c r="D220" s="34" t="s">
        <v>3857</v>
      </c>
      <c r="E220" s="3">
        <v>41946.041666666701</v>
      </c>
      <c r="F220" s="35">
        <f t="shared" ca="1" si="3"/>
        <v>11</v>
      </c>
      <c r="G220" s="42" cm="1">
        <f t="array" aca="1" ref="G220" ca="1">SUMPRODUCT((BRON!$A$2:$A$1214=Table1[[#This Row],[Personeelsnummer]])*(BRON!$T$2:$T$1214&gt;=DATE(YEAR(TODAY())-1,MONTH(TODAY()),DAY(TODAY())))*(BRON!$T$2:$T$1214&lt;=TODAY()))</f>
        <v>1</v>
      </c>
    </row>
    <row r="221" spans="1:7" x14ac:dyDescent="0.25">
      <c r="A221" s="34" t="s">
        <v>2382</v>
      </c>
      <c r="B221" s="34" t="s">
        <v>2381</v>
      </c>
      <c r="C221">
        <v>27865</v>
      </c>
      <c r="D221" s="34" t="s">
        <v>3857</v>
      </c>
      <c r="E221" s="3">
        <v>41313.041666666701</v>
      </c>
      <c r="F221" s="35">
        <f t="shared" ca="1" si="3"/>
        <v>12</v>
      </c>
      <c r="G221" s="42" cm="1">
        <f t="array" aca="1" ref="G221" ca="1">SUMPRODUCT((BRON!$A$2:$A$1214=Table1[[#This Row],[Personeelsnummer]])*(BRON!$T$2:$T$1214&gt;=DATE(YEAR(TODAY())-1,MONTH(TODAY()),DAY(TODAY())))*(BRON!$T$2:$T$1214&lt;=TODAY()))</f>
        <v>1</v>
      </c>
    </row>
    <row r="222" spans="1:7" x14ac:dyDescent="0.25">
      <c r="A222" s="34" t="s">
        <v>1513</v>
      </c>
      <c r="B222" s="34" t="s">
        <v>1512</v>
      </c>
      <c r="C222">
        <v>27672</v>
      </c>
      <c r="D222" s="34" t="s">
        <v>3858</v>
      </c>
      <c r="E222" s="3">
        <v>41204.083333333299</v>
      </c>
      <c r="F222" s="35">
        <f t="shared" ca="1" si="3"/>
        <v>13</v>
      </c>
      <c r="G222" s="42" cm="1">
        <f t="array" aca="1" ref="G222" ca="1">SUMPRODUCT((BRON!$A$2:$A$1214=Table1[[#This Row],[Personeelsnummer]])*(BRON!$T$2:$T$1214&gt;=DATE(YEAR(TODAY())-1,MONTH(TODAY()),DAY(TODAY())))*(BRON!$T$2:$T$1214&lt;=TODAY()))</f>
        <v>1</v>
      </c>
    </row>
    <row r="223" spans="1:7" x14ac:dyDescent="0.25">
      <c r="A223" s="34" t="s">
        <v>2427</v>
      </c>
      <c r="B223" s="34" t="s">
        <v>2426</v>
      </c>
      <c r="C223">
        <v>27673</v>
      </c>
      <c r="D223" s="34" t="s">
        <v>3853</v>
      </c>
      <c r="E223" s="3">
        <v>41204.083333333299</v>
      </c>
      <c r="F223" s="35">
        <f t="shared" ca="1" si="3"/>
        <v>13</v>
      </c>
      <c r="G223" s="42" cm="1">
        <f t="array" aca="1" ref="G223" ca="1">SUMPRODUCT((BRON!$A$2:$A$1214=Table1[[#This Row],[Personeelsnummer]])*(BRON!$T$2:$T$1214&gt;=DATE(YEAR(TODAY())-1,MONTH(TODAY()),DAY(TODAY())))*(BRON!$T$2:$T$1214&lt;=TODAY()))</f>
        <v>1</v>
      </c>
    </row>
    <row r="224" spans="1:7" x14ac:dyDescent="0.25">
      <c r="A224" s="34" t="s">
        <v>1601</v>
      </c>
      <c r="B224" s="34" t="s">
        <v>1600</v>
      </c>
      <c r="C224">
        <v>27153</v>
      </c>
      <c r="D224" s="34" t="s">
        <v>3853</v>
      </c>
      <c r="E224" s="3">
        <v>40952.041666666701</v>
      </c>
      <c r="F224" s="35">
        <f t="shared" ca="1" si="3"/>
        <v>13</v>
      </c>
      <c r="G224" s="42" cm="1">
        <f t="array" aca="1" ref="G224" ca="1">SUMPRODUCT((BRON!$A$2:$A$1214=Table1[[#This Row],[Personeelsnummer]])*(BRON!$T$2:$T$1214&gt;=DATE(YEAR(TODAY())-1,MONTH(TODAY()),DAY(TODAY())))*(BRON!$T$2:$T$1214&lt;=TODAY()))</f>
        <v>1</v>
      </c>
    </row>
    <row r="225" spans="1:7" x14ac:dyDescent="0.25">
      <c r="A225" s="34" t="s">
        <v>2023</v>
      </c>
      <c r="B225" s="34" t="s">
        <v>2026</v>
      </c>
      <c r="C225">
        <v>25873</v>
      </c>
      <c r="D225" s="34" t="s">
        <v>3856</v>
      </c>
      <c r="E225" s="3">
        <v>40525.041666666701</v>
      </c>
      <c r="F225" s="35">
        <f t="shared" ca="1" si="3"/>
        <v>14</v>
      </c>
      <c r="G225" s="42" cm="1">
        <f t="array" aca="1" ref="G225" ca="1">SUMPRODUCT((BRON!$A$2:$A$1214=Table1[[#This Row],[Personeelsnummer]])*(BRON!$T$2:$T$1214&gt;=DATE(YEAR(TODAY())-1,MONTH(TODAY()),DAY(TODAY())))*(BRON!$T$2:$T$1214&lt;=TODAY()))</f>
        <v>1</v>
      </c>
    </row>
    <row r="226" spans="1:7" x14ac:dyDescent="0.25">
      <c r="A226" s="34" t="s">
        <v>2857</v>
      </c>
      <c r="B226" s="34" t="s">
        <v>2860</v>
      </c>
      <c r="C226">
        <v>26199</v>
      </c>
      <c r="D226" s="34" t="s">
        <v>3856</v>
      </c>
      <c r="E226" s="3">
        <v>40637.083333333299</v>
      </c>
      <c r="F226" s="35">
        <f t="shared" ca="1" si="3"/>
        <v>14</v>
      </c>
      <c r="G226" s="42" cm="1">
        <f t="array" aca="1" ref="G226" ca="1">SUMPRODUCT((BRON!$A$2:$A$1214=Table1[[#This Row],[Personeelsnummer]])*(BRON!$T$2:$T$1214&gt;=DATE(YEAR(TODAY())-1,MONTH(TODAY()),DAY(TODAY())))*(BRON!$T$2:$T$1214&lt;=TODAY()))</f>
        <v>1</v>
      </c>
    </row>
    <row r="227" spans="1:7" x14ac:dyDescent="0.25">
      <c r="A227" s="34" t="s">
        <v>3116</v>
      </c>
      <c r="B227" s="34" t="s">
        <v>1990</v>
      </c>
      <c r="C227">
        <v>26524</v>
      </c>
      <c r="D227" s="34" t="s">
        <v>3856</v>
      </c>
      <c r="E227" s="3">
        <v>40728.083333333299</v>
      </c>
      <c r="F227" s="35">
        <f t="shared" ca="1" si="3"/>
        <v>14</v>
      </c>
      <c r="G227" s="42" cm="1">
        <f t="array" aca="1" ref="G227" ca="1">SUMPRODUCT((BRON!$A$2:$A$1214=Table1[[#This Row],[Personeelsnummer]])*(BRON!$T$2:$T$1214&gt;=DATE(YEAR(TODAY())-1,MONTH(TODAY()),DAY(TODAY())))*(BRON!$T$2:$T$1214&lt;=TODAY()))</f>
        <v>1</v>
      </c>
    </row>
    <row r="228" spans="1:7" x14ac:dyDescent="0.25">
      <c r="A228" s="34" t="s">
        <v>1491</v>
      </c>
      <c r="B228" s="34" t="s">
        <v>1490</v>
      </c>
      <c r="C228">
        <v>26639</v>
      </c>
      <c r="D228" s="34" t="s">
        <v>3851</v>
      </c>
      <c r="E228" s="3">
        <v>40749.083333333299</v>
      </c>
      <c r="F228" s="35">
        <f t="shared" ca="1" si="3"/>
        <v>14</v>
      </c>
      <c r="G228" s="42" cm="1">
        <f t="array" aca="1" ref="G228" ca="1">SUMPRODUCT((BRON!$A$2:$A$1214=Table1[[#This Row],[Personeelsnummer]])*(BRON!$T$2:$T$1214&gt;=DATE(YEAR(TODAY())-1,MONTH(TODAY()),DAY(TODAY())))*(BRON!$T$2:$T$1214&lt;=TODAY()))</f>
        <v>1</v>
      </c>
    </row>
    <row r="229" spans="1:7" x14ac:dyDescent="0.25">
      <c r="A229" s="34" t="s">
        <v>2184</v>
      </c>
      <c r="B229" s="34" t="s">
        <v>2183</v>
      </c>
      <c r="C229">
        <v>26695</v>
      </c>
      <c r="D229" s="34" t="s">
        <v>3853</v>
      </c>
      <c r="E229" s="3">
        <v>40771.083333333299</v>
      </c>
      <c r="F229" s="35">
        <f t="shared" ca="1" si="3"/>
        <v>14</v>
      </c>
      <c r="G229" s="42" cm="1">
        <f t="array" aca="1" ref="G229" ca="1">SUMPRODUCT((BRON!$A$2:$A$1214=Table1[[#This Row],[Personeelsnummer]])*(BRON!$T$2:$T$1214&gt;=DATE(YEAR(TODAY())-1,MONTH(TODAY()),DAY(TODAY())))*(BRON!$T$2:$T$1214&lt;=TODAY()))</f>
        <v>2</v>
      </c>
    </row>
    <row r="230" spans="1:7" x14ac:dyDescent="0.25">
      <c r="A230" s="34" t="s">
        <v>2405</v>
      </c>
      <c r="B230" s="34" t="s">
        <v>2568</v>
      </c>
      <c r="C230">
        <v>26847</v>
      </c>
      <c r="D230" s="34" t="s">
        <v>3854</v>
      </c>
      <c r="E230" s="3">
        <v>40826.083333333299</v>
      </c>
      <c r="F230" s="35">
        <f t="shared" ca="1" si="3"/>
        <v>14</v>
      </c>
      <c r="G230" s="42" cm="1">
        <f t="array" aca="1" ref="G230" ca="1">SUMPRODUCT((BRON!$A$2:$A$1214=Table1[[#This Row],[Personeelsnummer]])*(BRON!$T$2:$T$1214&gt;=DATE(YEAR(TODAY())-1,MONTH(TODAY()),DAY(TODAY())))*(BRON!$T$2:$T$1214&lt;=TODAY()))</f>
        <v>2</v>
      </c>
    </row>
    <row r="231" spans="1:7" x14ac:dyDescent="0.25">
      <c r="A231" s="34" t="s">
        <v>1991</v>
      </c>
      <c r="B231" s="34" t="s">
        <v>2000</v>
      </c>
      <c r="C231">
        <v>26331</v>
      </c>
      <c r="D231" s="34" t="s">
        <v>3854</v>
      </c>
      <c r="E231" s="3">
        <v>40679.083333333299</v>
      </c>
      <c r="F231" s="35">
        <f t="shared" ca="1" si="3"/>
        <v>14</v>
      </c>
      <c r="G231" s="42" cm="1">
        <f t="array" aca="1" ref="G231" ca="1">SUMPRODUCT((BRON!$A$2:$A$1214=Table1[[#This Row],[Personeelsnummer]])*(BRON!$T$2:$T$1214&gt;=DATE(YEAR(TODAY())-1,MONTH(TODAY()),DAY(TODAY())))*(BRON!$T$2:$T$1214&lt;=TODAY()))</f>
        <v>1</v>
      </c>
    </row>
    <row r="232" spans="1:7" x14ac:dyDescent="0.25">
      <c r="A232" s="34" t="s">
        <v>1842</v>
      </c>
      <c r="B232" s="34" t="s">
        <v>1845</v>
      </c>
      <c r="C232">
        <v>26137</v>
      </c>
      <c r="D232" s="34" t="s">
        <v>3858</v>
      </c>
      <c r="E232" s="3">
        <v>40623.041666666701</v>
      </c>
      <c r="F232" s="35">
        <f t="shared" ca="1" si="3"/>
        <v>14</v>
      </c>
      <c r="G232" s="42" cm="1">
        <f t="array" aca="1" ref="G232" ca="1">SUMPRODUCT((BRON!$A$2:$A$1214=Table1[[#This Row],[Personeelsnummer]])*(BRON!$T$2:$T$1214&gt;=DATE(YEAR(TODAY())-1,MONTH(TODAY()),DAY(TODAY())))*(BRON!$T$2:$T$1214&lt;=TODAY()))</f>
        <v>1</v>
      </c>
    </row>
    <row r="233" spans="1:7" x14ac:dyDescent="0.25">
      <c r="A233" s="34" t="s">
        <v>1351</v>
      </c>
      <c r="B233" s="34" t="s">
        <v>2610</v>
      </c>
      <c r="C233">
        <v>25486</v>
      </c>
      <c r="D233" s="34" t="s">
        <v>3853</v>
      </c>
      <c r="E233" s="3">
        <v>40385.083333333299</v>
      </c>
      <c r="F233" s="35">
        <f t="shared" ca="1" si="3"/>
        <v>15</v>
      </c>
      <c r="G233" s="42" cm="1">
        <f t="array" aca="1" ref="G233" ca="1">SUMPRODUCT((BRON!$A$2:$A$1214=Table1[[#This Row],[Personeelsnummer]])*(BRON!$T$2:$T$1214&gt;=DATE(YEAR(TODAY())-1,MONTH(TODAY()),DAY(TODAY())))*(BRON!$T$2:$T$1214&lt;=TODAY()))</f>
        <v>1</v>
      </c>
    </row>
    <row r="234" spans="1:7" x14ac:dyDescent="0.25">
      <c r="A234" s="34" t="s">
        <v>1860</v>
      </c>
      <c r="B234" s="34" t="s">
        <v>3414</v>
      </c>
      <c r="C234">
        <v>25829</v>
      </c>
      <c r="D234" s="34" t="s">
        <v>3858</v>
      </c>
      <c r="E234" s="3">
        <v>40497.041666666701</v>
      </c>
      <c r="F234" s="35">
        <f t="shared" ca="1" si="3"/>
        <v>15</v>
      </c>
      <c r="G234" s="42" cm="1">
        <f t="array" aca="1" ref="G234" ca="1">SUMPRODUCT((BRON!$A$2:$A$1214=Table1[[#This Row],[Personeelsnummer]])*(BRON!$T$2:$T$1214&gt;=DATE(YEAR(TODAY())-1,MONTH(TODAY()),DAY(TODAY())))*(BRON!$T$2:$T$1214&lt;=TODAY()))</f>
        <v>1</v>
      </c>
    </row>
    <row r="235" spans="1:7" x14ac:dyDescent="0.25">
      <c r="A235" s="34" t="s">
        <v>2427</v>
      </c>
      <c r="B235" s="34" t="s">
        <v>2430</v>
      </c>
      <c r="C235">
        <v>24155</v>
      </c>
      <c r="D235" s="34" t="s">
        <v>3856</v>
      </c>
      <c r="E235" s="3">
        <v>40000.083333333299</v>
      </c>
      <c r="F235" s="35">
        <f t="shared" ca="1" si="3"/>
        <v>16</v>
      </c>
      <c r="G235" s="42" cm="1">
        <f t="array" aca="1" ref="G235" ca="1">SUMPRODUCT((BRON!$A$2:$A$1214=Table1[[#This Row],[Personeelsnummer]])*(BRON!$T$2:$T$1214&gt;=DATE(YEAR(TODAY())-1,MONTH(TODAY()),DAY(TODAY())))*(BRON!$T$2:$T$1214&lt;=TODAY()))</f>
        <v>1</v>
      </c>
    </row>
    <row r="236" spans="1:7" x14ac:dyDescent="0.25">
      <c r="A236" s="34" t="s">
        <v>3378</v>
      </c>
      <c r="B236" s="34" t="s">
        <v>3384</v>
      </c>
      <c r="C236">
        <v>24367</v>
      </c>
      <c r="D236" s="34" t="s">
        <v>3854</v>
      </c>
      <c r="E236" s="3">
        <v>40035.083333333299</v>
      </c>
      <c r="F236" s="35">
        <f t="shared" ca="1" si="3"/>
        <v>16</v>
      </c>
      <c r="G236" s="42" cm="1">
        <f t="array" aca="1" ref="G236" ca="1">SUMPRODUCT((BRON!$A$2:$A$1214=Table1[[#This Row],[Personeelsnummer]])*(BRON!$T$2:$T$1214&gt;=DATE(YEAR(TODAY())-1,MONTH(TODAY()),DAY(TODAY())))*(BRON!$T$2:$T$1214&lt;=TODAY()))</f>
        <v>2</v>
      </c>
    </row>
    <row r="237" spans="1:7" x14ac:dyDescent="0.25">
      <c r="A237" s="34" t="s">
        <v>1929</v>
      </c>
      <c r="B237" s="34" t="s">
        <v>1637</v>
      </c>
      <c r="C237">
        <v>22052</v>
      </c>
      <c r="D237" s="34" t="s">
        <v>3857</v>
      </c>
      <c r="E237" s="3">
        <v>39538.083333333299</v>
      </c>
      <c r="F237" s="35">
        <f t="shared" ca="1" si="3"/>
        <v>17</v>
      </c>
      <c r="G237" s="42" cm="1">
        <f t="array" aca="1" ref="G237" ca="1">SUMPRODUCT((BRON!$A$2:$A$1214=Table1[[#This Row],[Personeelsnummer]])*(BRON!$T$2:$T$1214&gt;=DATE(YEAR(TODAY())-1,MONTH(TODAY()),DAY(TODAY())))*(BRON!$T$2:$T$1214&lt;=TODAY()))</f>
        <v>1</v>
      </c>
    </row>
    <row r="238" spans="1:7" x14ac:dyDescent="0.25">
      <c r="A238" s="34" t="s">
        <v>1991</v>
      </c>
      <c r="B238" s="34" t="s">
        <v>2003</v>
      </c>
      <c r="C238">
        <v>22202</v>
      </c>
      <c r="D238" s="34" t="s">
        <v>3858</v>
      </c>
      <c r="E238" s="3">
        <v>39573.083333333299</v>
      </c>
      <c r="F238" s="35">
        <f t="shared" ca="1" si="3"/>
        <v>17</v>
      </c>
      <c r="G238" s="42" cm="1">
        <f t="array" aca="1" ref="G238" ca="1">SUMPRODUCT((BRON!$A$2:$A$1214=Table1[[#This Row],[Personeelsnummer]])*(BRON!$T$2:$T$1214&gt;=DATE(YEAR(TODAY())-1,MONTH(TODAY()),DAY(TODAY())))*(BRON!$T$2:$T$1214&lt;=TODAY()))</f>
        <v>1</v>
      </c>
    </row>
    <row r="239" spans="1:7" x14ac:dyDescent="0.25">
      <c r="A239" s="34" t="s">
        <v>3450</v>
      </c>
      <c r="B239" s="34" t="s">
        <v>3449</v>
      </c>
      <c r="C239">
        <v>22416</v>
      </c>
      <c r="D239" s="34" t="s">
        <v>3853</v>
      </c>
      <c r="E239" s="3">
        <v>39615.083333333299</v>
      </c>
      <c r="F239" s="35">
        <f t="shared" ca="1" si="3"/>
        <v>17</v>
      </c>
      <c r="G239" s="42" cm="1">
        <f t="array" aca="1" ref="G239" ca="1">SUMPRODUCT((BRON!$A$2:$A$1214=Table1[[#This Row],[Personeelsnummer]])*(BRON!$T$2:$T$1214&gt;=DATE(YEAR(TODAY())-1,MONTH(TODAY()),DAY(TODAY())))*(BRON!$T$2:$T$1214&lt;=TODAY()))</f>
        <v>1</v>
      </c>
    </row>
    <row r="240" spans="1:7" x14ac:dyDescent="0.25">
      <c r="A240" s="34" t="s">
        <v>2773</v>
      </c>
      <c r="B240" s="34" t="s">
        <v>1439</v>
      </c>
      <c r="C240">
        <v>22877</v>
      </c>
      <c r="D240" s="34" t="s">
        <v>3857</v>
      </c>
      <c r="E240" s="3">
        <v>39706.083333333299</v>
      </c>
      <c r="F240" s="35">
        <f t="shared" ca="1" si="3"/>
        <v>17</v>
      </c>
      <c r="G240" s="42" cm="1">
        <f t="array" aca="1" ref="G240" ca="1">SUMPRODUCT((BRON!$A$2:$A$1214=Table1[[#This Row],[Personeelsnummer]])*(BRON!$T$2:$T$1214&gt;=DATE(YEAR(TODAY())-1,MONTH(TODAY()),DAY(TODAY())))*(BRON!$T$2:$T$1214&lt;=TODAY()))</f>
        <v>1</v>
      </c>
    </row>
    <row r="241" spans="1:7" x14ac:dyDescent="0.25">
      <c r="A241" s="34" t="s">
        <v>2857</v>
      </c>
      <c r="B241" s="34" t="s">
        <v>2863</v>
      </c>
      <c r="C241">
        <v>21581</v>
      </c>
      <c r="D241" s="34" t="s">
        <v>3855</v>
      </c>
      <c r="E241" s="3">
        <v>39433.041666666701</v>
      </c>
      <c r="F241" s="35">
        <f t="shared" ca="1" si="3"/>
        <v>17</v>
      </c>
      <c r="G241" s="42" cm="1">
        <f t="array" aca="1" ref="G241" ca="1">SUMPRODUCT((BRON!$A$2:$A$1214=Table1[[#This Row],[Personeelsnummer]])*(BRON!$T$2:$T$1214&gt;=DATE(YEAR(TODAY())-1,MONTH(TODAY()),DAY(TODAY())))*(BRON!$T$2:$T$1214&lt;=TODAY()))</f>
        <v>1</v>
      </c>
    </row>
    <row r="242" spans="1:7" x14ac:dyDescent="0.25">
      <c r="A242" s="34" t="s">
        <v>1647</v>
      </c>
      <c r="B242" s="34" t="s">
        <v>1653</v>
      </c>
      <c r="C242">
        <v>21892</v>
      </c>
      <c r="D242" s="34" t="s">
        <v>3858</v>
      </c>
      <c r="E242" s="3">
        <v>39524.041666666701</v>
      </c>
      <c r="F242" s="35">
        <f t="shared" ca="1" si="3"/>
        <v>17</v>
      </c>
      <c r="G242" s="42" cm="1">
        <f t="array" aca="1" ref="G242" ca="1">SUMPRODUCT((BRON!$A$2:$A$1214=Table1[[#This Row],[Personeelsnummer]])*(BRON!$T$2:$T$1214&gt;=DATE(YEAR(TODAY())-1,MONTH(TODAY()),DAY(TODAY())))*(BRON!$T$2:$T$1214&lt;=TODAY()))</f>
        <v>1</v>
      </c>
    </row>
    <row r="243" spans="1:7" x14ac:dyDescent="0.25">
      <c r="A243" s="34" t="s">
        <v>2506</v>
      </c>
      <c r="B243" s="34" t="s">
        <v>2505</v>
      </c>
      <c r="C243">
        <v>22240</v>
      </c>
      <c r="D243" s="34" t="s">
        <v>3857</v>
      </c>
      <c r="E243" s="3">
        <v>39587.083333333299</v>
      </c>
      <c r="F243" s="35">
        <f t="shared" ca="1" si="3"/>
        <v>17</v>
      </c>
      <c r="G243" s="42" cm="1">
        <f t="array" aca="1" ref="G243" ca="1">SUMPRODUCT((BRON!$A$2:$A$1214=Table1[[#This Row],[Personeelsnummer]])*(BRON!$T$2:$T$1214&gt;=DATE(YEAR(TODAY())-1,MONTH(TODAY()),DAY(TODAY())))*(BRON!$T$2:$T$1214&lt;=TODAY()))</f>
        <v>1</v>
      </c>
    </row>
    <row r="244" spans="1:7" x14ac:dyDescent="0.25">
      <c r="A244" s="34" t="s">
        <v>1626</v>
      </c>
      <c r="B244" s="34" t="s">
        <v>1625</v>
      </c>
      <c r="C244">
        <v>22244</v>
      </c>
      <c r="D244" s="34" t="s">
        <v>3853</v>
      </c>
      <c r="E244" s="3">
        <v>39587.083333333299</v>
      </c>
      <c r="F244" s="35">
        <f t="shared" ca="1" si="3"/>
        <v>17</v>
      </c>
      <c r="G244" s="42" cm="1">
        <f t="array" aca="1" ref="G244" ca="1">SUMPRODUCT((BRON!$A$2:$A$1214=Table1[[#This Row],[Personeelsnummer]])*(BRON!$T$2:$T$1214&gt;=DATE(YEAR(TODAY())-1,MONTH(TODAY()),DAY(TODAY())))*(BRON!$T$2:$T$1214&lt;=TODAY()))</f>
        <v>1</v>
      </c>
    </row>
    <row r="245" spans="1:7" x14ac:dyDescent="0.25">
      <c r="A245" s="34" t="s">
        <v>2944</v>
      </c>
      <c r="B245" s="34" t="s">
        <v>2943</v>
      </c>
      <c r="C245">
        <v>20542</v>
      </c>
      <c r="D245" s="34" t="s">
        <v>3857</v>
      </c>
      <c r="E245" s="3">
        <v>39174.083333333299</v>
      </c>
      <c r="F245" s="35">
        <f t="shared" ca="1" si="3"/>
        <v>18</v>
      </c>
      <c r="G245" s="42" cm="1">
        <f t="array" aca="1" ref="G245" ca="1">SUMPRODUCT((BRON!$A$2:$A$1214=Table1[[#This Row],[Personeelsnummer]])*(BRON!$T$2:$T$1214&gt;=DATE(YEAR(TODAY())-1,MONTH(TODAY()),DAY(TODAY())))*(BRON!$T$2:$T$1214&lt;=TODAY()))</f>
        <v>1</v>
      </c>
    </row>
    <row r="246" spans="1:7" x14ac:dyDescent="0.25">
      <c r="A246" s="34" t="s">
        <v>2687</v>
      </c>
      <c r="B246" s="34" t="s">
        <v>2686</v>
      </c>
      <c r="C246">
        <v>20543</v>
      </c>
      <c r="D246" s="34" t="s">
        <v>3851</v>
      </c>
      <c r="E246" s="3">
        <v>39174.083333333299</v>
      </c>
      <c r="F246" s="35">
        <f t="shared" ca="1" si="3"/>
        <v>18</v>
      </c>
      <c r="G246" s="42" cm="1">
        <f t="array" aca="1" ref="G246" ca="1">SUMPRODUCT((BRON!$A$2:$A$1214=Table1[[#This Row],[Personeelsnummer]])*(BRON!$T$2:$T$1214&gt;=DATE(YEAR(TODAY())-1,MONTH(TODAY()),DAY(TODAY())))*(BRON!$T$2:$T$1214&lt;=TODAY()))</f>
        <v>1</v>
      </c>
    </row>
    <row r="247" spans="1:7" x14ac:dyDescent="0.25">
      <c r="A247" s="34" t="s">
        <v>1351</v>
      </c>
      <c r="B247" s="34" t="s">
        <v>1744</v>
      </c>
      <c r="C247">
        <v>20656</v>
      </c>
      <c r="D247" s="34" t="s">
        <v>3856</v>
      </c>
      <c r="E247" s="3">
        <v>39204.083333333299</v>
      </c>
      <c r="F247" s="35">
        <f t="shared" ca="1" si="3"/>
        <v>18</v>
      </c>
      <c r="G247" s="42" cm="1">
        <f t="array" aca="1" ref="G247" ca="1">SUMPRODUCT((BRON!$A$2:$A$1214=Table1[[#This Row],[Personeelsnummer]])*(BRON!$T$2:$T$1214&gt;=DATE(YEAR(TODAY())-1,MONTH(TODAY()),DAY(TODAY())))*(BRON!$T$2:$T$1214&lt;=TODAY()))</f>
        <v>1</v>
      </c>
    </row>
    <row r="248" spans="1:7" x14ac:dyDescent="0.25">
      <c r="A248" s="34" t="s">
        <v>2420</v>
      </c>
      <c r="B248" s="34" t="s">
        <v>2423</v>
      </c>
      <c r="C248">
        <v>19520</v>
      </c>
      <c r="D248" s="34" t="s">
        <v>3857</v>
      </c>
      <c r="E248" s="3">
        <v>38908.083333333299</v>
      </c>
      <c r="F248" s="35">
        <f t="shared" ca="1" si="3"/>
        <v>19</v>
      </c>
      <c r="G248" s="42" cm="1">
        <f t="array" aca="1" ref="G248" ca="1">SUMPRODUCT((BRON!$A$2:$A$1214=Table1[[#This Row],[Personeelsnummer]])*(BRON!$T$2:$T$1214&gt;=DATE(YEAR(TODAY())-1,MONTH(TODAY()),DAY(TODAY())))*(BRON!$T$2:$T$1214&lt;=TODAY()))</f>
        <v>1</v>
      </c>
    </row>
    <row r="249" spans="1:7" x14ac:dyDescent="0.25">
      <c r="A249" s="34" t="s">
        <v>3860</v>
      </c>
      <c r="B249" s="34" t="s">
        <v>3009</v>
      </c>
      <c r="C249">
        <v>18987</v>
      </c>
      <c r="D249" s="34" t="s">
        <v>3858</v>
      </c>
      <c r="E249" s="3">
        <v>38754.041666666701</v>
      </c>
      <c r="F249" s="35">
        <f t="shared" ca="1" si="3"/>
        <v>19</v>
      </c>
      <c r="G249" s="42" cm="1">
        <f t="array" aca="1" ref="G249" ca="1">SUMPRODUCT((BRON!$A$2:$A$1214=Table1[[#This Row],[Personeelsnummer]])*(BRON!$T$2:$T$1214&gt;=DATE(YEAR(TODAY())-1,MONTH(TODAY()),DAY(TODAY())))*(BRON!$T$2:$T$1214&lt;=TODAY()))</f>
        <v>1</v>
      </c>
    </row>
    <row r="250" spans="1:7" x14ac:dyDescent="0.25">
      <c r="A250" s="34" t="s">
        <v>3128</v>
      </c>
      <c r="B250" s="34" t="s">
        <v>3127</v>
      </c>
      <c r="C250">
        <v>17951</v>
      </c>
      <c r="D250" s="34" t="s">
        <v>3854</v>
      </c>
      <c r="E250" s="3">
        <v>38404.041666666701</v>
      </c>
      <c r="F250" s="35">
        <f t="shared" ca="1" si="3"/>
        <v>20</v>
      </c>
      <c r="G250" s="42" cm="1">
        <f t="array" aca="1" ref="G250" ca="1">SUMPRODUCT((BRON!$A$2:$A$1214=Table1[[#This Row],[Personeelsnummer]])*(BRON!$T$2:$T$1214&gt;=DATE(YEAR(TODAY())-1,MONTH(TODAY()),DAY(TODAY())))*(BRON!$T$2:$T$1214&lt;=TODAY()))</f>
        <v>1</v>
      </c>
    </row>
    <row r="251" spans="1:7" x14ac:dyDescent="0.25">
      <c r="A251" s="34" t="s">
        <v>2921</v>
      </c>
      <c r="B251" s="34" t="s">
        <v>2920</v>
      </c>
      <c r="C251">
        <v>16545</v>
      </c>
      <c r="D251" s="34" t="s">
        <v>3854</v>
      </c>
      <c r="E251" s="3">
        <v>37991.041666666701</v>
      </c>
      <c r="F251" s="35">
        <f t="shared" ca="1" si="3"/>
        <v>21</v>
      </c>
      <c r="G251" s="42" cm="1">
        <f t="array" aca="1" ref="G251" ca="1">SUMPRODUCT((BRON!$A$2:$A$1214=Table1[[#This Row],[Personeelsnummer]])*(BRON!$T$2:$T$1214&gt;=DATE(YEAR(TODAY())-1,MONTH(TODAY()),DAY(TODAY())))*(BRON!$T$2:$T$1214&lt;=TODAY()))</f>
        <v>1</v>
      </c>
    </row>
    <row r="252" spans="1:7" x14ac:dyDescent="0.25">
      <c r="A252" s="34" t="s">
        <v>3347</v>
      </c>
      <c r="B252" s="34" t="s">
        <v>3087</v>
      </c>
      <c r="C252">
        <v>16897</v>
      </c>
      <c r="D252" s="34" t="s">
        <v>3858</v>
      </c>
      <c r="E252" s="3">
        <v>38103.083333333299</v>
      </c>
      <c r="F252" s="35">
        <f t="shared" ca="1" si="3"/>
        <v>21</v>
      </c>
      <c r="G252" s="42" cm="1">
        <f t="array" aca="1" ref="G252" ca="1">SUMPRODUCT((BRON!$A$2:$A$1214=Table1[[#This Row],[Personeelsnummer]])*(BRON!$T$2:$T$1214&gt;=DATE(YEAR(TODAY())-1,MONTH(TODAY()),DAY(TODAY())))*(BRON!$T$2:$T$1214&lt;=TODAY()))</f>
        <v>2</v>
      </c>
    </row>
    <row r="253" spans="1:7" x14ac:dyDescent="0.25">
      <c r="A253" s="34" t="s">
        <v>1873</v>
      </c>
      <c r="B253" s="34" t="s">
        <v>1872</v>
      </c>
      <c r="C253">
        <v>17566</v>
      </c>
      <c r="D253" s="34" t="s">
        <v>3854</v>
      </c>
      <c r="E253" s="3">
        <v>38222.083333333299</v>
      </c>
      <c r="F253" s="35">
        <f t="shared" ca="1" si="3"/>
        <v>21</v>
      </c>
      <c r="G253" s="42" cm="1">
        <f t="array" aca="1" ref="G253" ca="1">SUMPRODUCT((BRON!$A$2:$A$1214=Table1[[#This Row],[Personeelsnummer]])*(BRON!$T$2:$T$1214&gt;=DATE(YEAR(TODAY())-1,MONTH(TODAY()),DAY(TODAY())))*(BRON!$T$2:$T$1214&lt;=TODAY()))</f>
        <v>1</v>
      </c>
    </row>
    <row r="254" spans="1:7" x14ac:dyDescent="0.25">
      <c r="A254" s="34" t="s">
        <v>1960</v>
      </c>
      <c r="B254" s="34" t="s">
        <v>1976</v>
      </c>
      <c r="C254">
        <v>16275</v>
      </c>
      <c r="D254" s="34" t="s">
        <v>3857</v>
      </c>
      <c r="E254" s="3">
        <v>37886.083333333299</v>
      </c>
      <c r="F254" s="35">
        <f t="shared" ca="1" si="3"/>
        <v>22</v>
      </c>
      <c r="G254" s="42" cm="1">
        <f t="array" aca="1" ref="G254" ca="1">SUMPRODUCT((BRON!$A$2:$A$1214=Table1[[#This Row],[Personeelsnummer]])*(BRON!$T$2:$T$1214&gt;=DATE(YEAR(TODAY())-1,MONTH(TODAY()),DAY(TODAY())))*(BRON!$T$2:$T$1214&lt;=TODAY()))</f>
        <v>1</v>
      </c>
    </row>
    <row r="255" spans="1:7" x14ac:dyDescent="0.25">
      <c r="A255" s="34" t="s">
        <v>1504</v>
      </c>
      <c r="B255" s="34" t="s">
        <v>1503</v>
      </c>
      <c r="C255">
        <v>14625</v>
      </c>
      <c r="D255" s="34" t="s">
        <v>3855</v>
      </c>
      <c r="E255" s="3">
        <v>37397.083333333299</v>
      </c>
      <c r="F255" s="35">
        <f t="shared" ca="1" si="3"/>
        <v>23</v>
      </c>
      <c r="G255" s="42" cm="1">
        <f t="array" aca="1" ref="G255" ca="1">SUMPRODUCT((BRON!$A$2:$A$1214=Table1[[#This Row],[Personeelsnummer]])*(BRON!$T$2:$T$1214&gt;=DATE(YEAR(TODAY())-1,MONTH(TODAY()),DAY(TODAY())))*(BRON!$T$2:$T$1214&lt;=TODAY()))</f>
        <v>1</v>
      </c>
    </row>
    <row r="256" spans="1:7" x14ac:dyDescent="0.25">
      <c r="A256" s="34" t="s">
        <v>1929</v>
      </c>
      <c r="B256" s="34" t="s">
        <v>1943</v>
      </c>
      <c r="C256">
        <v>15219</v>
      </c>
      <c r="D256" s="34" t="s">
        <v>3854</v>
      </c>
      <c r="E256" s="3">
        <v>37543.083333333299</v>
      </c>
      <c r="F256" s="35">
        <f t="shared" ca="1" si="3"/>
        <v>23</v>
      </c>
      <c r="G256" s="42" cm="1">
        <f t="array" aca="1" ref="G256" ca="1">SUMPRODUCT((BRON!$A$2:$A$1214=Table1[[#This Row],[Personeelsnummer]])*(BRON!$T$2:$T$1214&gt;=DATE(YEAR(TODAY())-1,MONTH(TODAY()),DAY(TODAY())))*(BRON!$T$2:$T$1214&lt;=TODAY()))</f>
        <v>1</v>
      </c>
    </row>
    <row r="257" spans="1:7" x14ac:dyDescent="0.25">
      <c r="A257" s="34" t="s">
        <v>2495</v>
      </c>
      <c r="B257" s="34" t="s">
        <v>2498</v>
      </c>
      <c r="C257">
        <v>15220</v>
      </c>
      <c r="D257" s="34" t="s">
        <v>3859</v>
      </c>
      <c r="E257" s="3">
        <v>37543.083333333299</v>
      </c>
      <c r="F257" s="35">
        <f t="shared" ca="1" si="3"/>
        <v>23</v>
      </c>
      <c r="G257" s="42" cm="1">
        <f t="array" aca="1" ref="G257" ca="1">SUMPRODUCT((BRON!$A$2:$A$1214=Table1[[#This Row],[Personeelsnummer]])*(BRON!$T$2:$T$1214&gt;=DATE(YEAR(TODAY())-1,MONTH(TODAY()),DAY(TODAY())))*(BRON!$T$2:$T$1214&lt;=TODAY()))</f>
        <v>1</v>
      </c>
    </row>
    <row r="258" spans="1:7" x14ac:dyDescent="0.25">
      <c r="A258" s="34" t="s">
        <v>3015</v>
      </c>
      <c r="B258" s="34" t="s">
        <v>3027</v>
      </c>
      <c r="C258">
        <v>15088</v>
      </c>
      <c r="D258" s="34" t="s">
        <v>3856</v>
      </c>
      <c r="E258" s="3">
        <v>37501.083333333299</v>
      </c>
      <c r="F258" s="35">
        <f t="shared" ref="F258:F321" ca="1" si="4">YEAR(TODAY()) - YEAR(E258) - (IF(DATE(YEAR(TODAY()), MONTH(E258), DAY(E258)) &gt; TODAY(), 1, 0))</f>
        <v>23</v>
      </c>
      <c r="G258" s="42" cm="1">
        <f t="array" aca="1" ref="G258" ca="1">SUMPRODUCT((BRON!$A$2:$A$1214=Table1[[#This Row],[Personeelsnummer]])*(BRON!$T$2:$T$1214&gt;=DATE(YEAR(TODAY())-1,MONTH(TODAY()),DAY(TODAY())))*(BRON!$T$2:$T$1214&lt;=TODAY()))</f>
        <v>1</v>
      </c>
    </row>
    <row r="259" spans="1:7" x14ac:dyDescent="0.25">
      <c r="A259" s="34" t="s">
        <v>2409</v>
      </c>
      <c r="B259" s="34" t="s">
        <v>2408</v>
      </c>
      <c r="C259">
        <v>15282</v>
      </c>
      <c r="D259" s="34" t="s">
        <v>3851</v>
      </c>
      <c r="E259" s="3">
        <v>37564.041666666701</v>
      </c>
      <c r="F259" s="35">
        <f t="shared" ca="1" si="4"/>
        <v>23</v>
      </c>
      <c r="G259" s="42" cm="1">
        <f t="array" aca="1" ref="G259" ca="1">SUMPRODUCT((BRON!$A$2:$A$1214=Table1[[#This Row],[Personeelsnummer]])*(BRON!$T$2:$T$1214&gt;=DATE(YEAR(TODAY())-1,MONTH(TODAY()),DAY(TODAY())))*(BRON!$T$2:$T$1214&lt;=TODAY()))</f>
        <v>1</v>
      </c>
    </row>
    <row r="260" spans="1:7" x14ac:dyDescent="0.25">
      <c r="A260" s="34" t="s">
        <v>2631</v>
      </c>
      <c r="B260" s="34" t="s">
        <v>1473</v>
      </c>
      <c r="C260">
        <v>13089</v>
      </c>
      <c r="D260" s="34" t="s">
        <v>3853</v>
      </c>
      <c r="E260" s="3">
        <v>36948.041666666701</v>
      </c>
      <c r="F260" s="35">
        <f t="shared" ca="1" si="4"/>
        <v>24</v>
      </c>
      <c r="G260" s="42" cm="1">
        <f t="array" aca="1" ref="G260" ca="1">SUMPRODUCT((BRON!$A$2:$A$1214=Table1[[#This Row],[Personeelsnummer]])*(BRON!$T$2:$T$1214&gt;=DATE(YEAR(TODAY())-1,MONTH(TODAY()),DAY(TODAY())))*(BRON!$T$2:$T$1214&lt;=TODAY()))</f>
        <v>1</v>
      </c>
    </row>
    <row r="261" spans="1:7" x14ac:dyDescent="0.25">
      <c r="A261" s="34" t="s">
        <v>1210</v>
      </c>
      <c r="B261" s="34" t="s">
        <v>1625</v>
      </c>
      <c r="C261">
        <v>13398</v>
      </c>
      <c r="D261" s="34" t="s">
        <v>3859</v>
      </c>
      <c r="E261" s="3">
        <v>37047.083333333299</v>
      </c>
      <c r="F261" s="35">
        <f t="shared" ca="1" si="4"/>
        <v>24</v>
      </c>
      <c r="G261" s="42" cm="1">
        <f t="array" aca="1" ref="G261" ca="1">SUMPRODUCT((BRON!$A$2:$A$1214=Table1[[#This Row],[Personeelsnummer]])*(BRON!$T$2:$T$1214&gt;=DATE(YEAR(TODAY())-1,MONTH(TODAY()),DAY(TODAY())))*(BRON!$T$2:$T$1214&lt;=TODAY()))</f>
        <v>1</v>
      </c>
    </row>
    <row r="262" spans="1:7" x14ac:dyDescent="0.25">
      <c r="A262" s="34" t="s">
        <v>2427</v>
      </c>
      <c r="B262" s="34" t="s">
        <v>2433</v>
      </c>
      <c r="C262">
        <v>14072</v>
      </c>
      <c r="D262" s="34" t="s">
        <v>3855</v>
      </c>
      <c r="E262" s="3">
        <v>37214.041666666701</v>
      </c>
      <c r="F262" s="35">
        <f t="shared" ca="1" si="4"/>
        <v>24</v>
      </c>
      <c r="G262" s="42" cm="1">
        <f t="array" aca="1" ref="G262" ca="1">SUMPRODUCT((BRON!$A$2:$A$1214=Table1[[#This Row],[Personeelsnummer]])*(BRON!$T$2:$T$1214&gt;=DATE(YEAR(TODAY())-1,MONTH(TODAY()),DAY(TODAY())))*(BRON!$T$2:$T$1214&lt;=TODAY()))</f>
        <v>1</v>
      </c>
    </row>
    <row r="263" spans="1:7" x14ac:dyDescent="0.25">
      <c r="A263" s="34" t="s">
        <v>2394</v>
      </c>
      <c r="B263" s="34" t="s">
        <v>2393</v>
      </c>
      <c r="C263">
        <v>12024</v>
      </c>
      <c r="D263" s="34" t="s">
        <v>3855</v>
      </c>
      <c r="E263" s="3">
        <v>36612.083333333299</v>
      </c>
      <c r="F263" s="35">
        <f t="shared" ca="1" si="4"/>
        <v>25</v>
      </c>
      <c r="G263" s="42" cm="1">
        <f t="array" aca="1" ref="G263" ca="1">SUMPRODUCT((BRON!$A$2:$A$1214=Table1[[#This Row],[Personeelsnummer]])*(BRON!$T$2:$T$1214&gt;=DATE(YEAR(TODAY())-1,MONTH(TODAY()),DAY(TODAY())))*(BRON!$T$2:$T$1214&lt;=TODAY()))</f>
        <v>1</v>
      </c>
    </row>
    <row r="264" spans="1:7" x14ac:dyDescent="0.25">
      <c r="A264" s="34" t="s">
        <v>1341</v>
      </c>
      <c r="B264" s="34" t="s">
        <v>2256</v>
      </c>
      <c r="C264">
        <v>12514</v>
      </c>
      <c r="D264" s="34" t="s">
        <v>3855</v>
      </c>
      <c r="E264" s="3">
        <v>36759.083333333299</v>
      </c>
      <c r="F264" s="35">
        <f t="shared" ca="1" si="4"/>
        <v>25</v>
      </c>
      <c r="G264" s="42" cm="1">
        <f t="array" aca="1" ref="G264" ca="1">SUMPRODUCT((BRON!$A$2:$A$1214=Table1[[#This Row],[Personeelsnummer]])*(BRON!$T$2:$T$1214&gt;=DATE(YEAR(TODAY())-1,MONTH(TODAY()),DAY(TODAY())))*(BRON!$T$2:$T$1214&lt;=TODAY()))</f>
        <v>1</v>
      </c>
    </row>
    <row r="265" spans="1:7" x14ac:dyDescent="0.25">
      <c r="A265" s="34" t="s">
        <v>2405</v>
      </c>
      <c r="B265" s="34" t="s">
        <v>3081</v>
      </c>
      <c r="C265">
        <v>12819</v>
      </c>
      <c r="D265" s="34" t="s">
        <v>3854</v>
      </c>
      <c r="E265" s="3">
        <v>36853.041666666701</v>
      </c>
      <c r="F265" s="35">
        <f t="shared" ca="1" si="4"/>
        <v>25</v>
      </c>
      <c r="G265" s="42" cm="1">
        <f t="array" aca="1" ref="G265" ca="1">SUMPRODUCT((BRON!$A$2:$A$1214=Table1[[#This Row],[Personeelsnummer]])*(BRON!$T$2:$T$1214&gt;=DATE(YEAR(TODAY())-1,MONTH(TODAY()),DAY(TODAY())))*(BRON!$T$2:$T$1214&lt;=TODAY()))</f>
        <v>1</v>
      </c>
    </row>
    <row r="266" spans="1:7" x14ac:dyDescent="0.25">
      <c r="A266" s="34" t="s">
        <v>1550</v>
      </c>
      <c r="B266" s="34" t="s">
        <v>1549</v>
      </c>
      <c r="C266">
        <v>12124</v>
      </c>
      <c r="D266" s="34" t="s">
        <v>3858</v>
      </c>
      <c r="E266" s="3">
        <v>36654.083333333299</v>
      </c>
      <c r="F266" s="35">
        <f t="shared" ca="1" si="4"/>
        <v>25</v>
      </c>
      <c r="G266" s="42" cm="1">
        <f t="array" aca="1" ref="G266" ca="1">SUMPRODUCT((BRON!$A$2:$A$1214=Table1[[#This Row],[Personeelsnummer]])*(BRON!$T$2:$T$1214&gt;=DATE(YEAR(TODAY())-1,MONTH(TODAY()),DAY(TODAY())))*(BRON!$T$2:$T$1214&lt;=TODAY()))</f>
        <v>2</v>
      </c>
    </row>
    <row r="267" spans="1:7" x14ac:dyDescent="0.25">
      <c r="A267" s="34" t="s">
        <v>2265</v>
      </c>
      <c r="B267" s="34" t="s">
        <v>2264</v>
      </c>
      <c r="C267">
        <v>11021</v>
      </c>
      <c r="D267" s="34" t="s">
        <v>3858</v>
      </c>
      <c r="E267" s="3">
        <v>36227.041666666701</v>
      </c>
      <c r="F267" s="35">
        <f t="shared" ca="1" si="4"/>
        <v>26</v>
      </c>
      <c r="G267" s="42" cm="1">
        <f t="array" aca="1" ref="G267" ca="1">SUMPRODUCT((BRON!$A$2:$A$1214=Table1[[#This Row],[Personeelsnummer]])*(BRON!$T$2:$T$1214&gt;=DATE(YEAR(TODAY())-1,MONTH(TODAY()),DAY(TODAY())))*(BRON!$T$2:$T$1214&lt;=TODAY()))</f>
        <v>1</v>
      </c>
    </row>
    <row r="268" spans="1:7" x14ac:dyDescent="0.25">
      <c r="A268" s="34" t="s">
        <v>2611</v>
      </c>
      <c r="B268" s="34" t="s">
        <v>2610</v>
      </c>
      <c r="C268">
        <v>11023</v>
      </c>
      <c r="D268" s="34" t="s">
        <v>3856</v>
      </c>
      <c r="E268" s="3">
        <v>36227.041666666701</v>
      </c>
      <c r="F268" s="35">
        <f t="shared" ca="1" si="4"/>
        <v>26</v>
      </c>
      <c r="G268" s="42" cm="1">
        <f t="array" aca="1" ref="G268" ca="1">SUMPRODUCT((BRON!$A$2:$A$1214=Table1[[#This Row],[Personeelsnummer]])*(BRON!$T$2:$T$1214&gt;=DATE(YEAR(TODAY())-1,MONTH(TODAY()),DAY(TODAY())))*(BRON!$T$2:$T$1214&lt;=TODAY()))</f>
        <v>1</v>
      </c>
    </row>
    <row r="269" spans="1:7" x14ac:dyDescent="0.25">
      <c r="A269" s="34" t="s">
        <v>2347</v>
      </c>
      <c r="B269" s="34" t="s">
        <v>2346</v>
      </c>
      <c r="C269">
        <v>11120</v>
      </c>
      <c r="D269" s="34" t="s">
        <v>3855</v>
      </c>
      <c r="E269" s="3">
        <v>36262.083333333299</v>
      </c>
      <c r="F269" s="35">
        <f t="shared" ca="1" si="4"/>
        <v>26</v>
      </c>
      <c r="G269" s="42" cm="1">
        <f t="array" aca="1" ref="G269" ca="1">SUMPRODUCT((BRON!$A$2:$A$1214=Table1[[#This Row],[Personeelsnummer]])*(BRON!$T$2:$T$1214&gt;=DATE(YEAR(TODAY())-1,MONTH(TODAY()),DAY(TODAY())))*(BRON!$T$2:$T$1214&lt;=TODAY()))</f>
        <v>1</v>
      </c>
    </row>
    <row r="270" spans="1:7" x14ac:dyDescent="0.25">
      <c r="A270" s="34" t="s">
        <v>2781</v>
      </c>
      <c r="B270" s="34" t="s">
        <v>2780</v>
      </c>
      <c r="C270">
        <v>11213</v>
      </c>
      <c r="D270" s="34" t="s">
        <v>3854</v>
      </c>
      <c r="E270" s="3">
        <v>36311.083333333299</v>
      </c>
      <c r="F270" s="35">
        <f t="shared" ca="1" si="4"/>
        <v>26</v>
      </c>
      <c r="G270" s="42" cm="1">
        <f t="array" aca="1" ref="G270" ca="1">SUMPRODUCT((BRON!$A$2:$A$1214=Table1[[#This Row],[Personeelsnummer]])*(BRON!$T$2:$T$1214&gt;=DATE(YEAR(TODAY())-1,MONTH(TODAY()),DAY(TODAY())))*(BRON!$T$2:$T$1214&lt;=TODAY()))</f>
        <v>1</v>
      </c>
    </row>
    <row r="271" spans="1:7" x14ac:dyDescent="0.25">
      <c r="A271" s="34" t="s">
        <v>2679</v>
      </c>
      <c r="B271" s="34" t="s">
        <v>2678</v>
      </c>
      <c r="C271">
        <v>10782</v>
      </c>
      <c r="D271" s="34" t="s">
        <v>3851</v>
      </c>
      <c r="E271" s="3">
        <v>36080.083333333299</v>
      </c>
      <c r="F271" s="35">
        <f t="shared" ca="1" si="4"/>
        <v>27</v>
      </c>
      <c r="G271" s="42" cm="1">
        <f t="array" aca="1" ref="G271" ca="1">SUMPRODUCT((BRON!$A$2:$A$1214=Table1[[#This Row],[Personeelsnummer]])*(BRON!$T$2:$T$1214&gt;=DATE(YEAR(TODAY())-1,MONTH(TODAY()),DAY(TODAY())))*(BRON!$T$2:$T$1214&lt;=TODAY()))</f>
        <v>1</v>
      </c>
    </row>
    <row r="272" spans="1:7" x14ac:dyDescent="0.25">
      <c r="A272" s="34" t="s">
        <v>3055</v>
      </c>
      <c r="B272" s="34" t="s">
        <v>3054</v>
      </c>
      <c r="C272">
        <v>9062</v>
      </c>
      <c r="D272" s="34" t="s">
        <v>3851</v>
      </c>
      <c r="E272" s="3">
        <v>35478.041666666701</v>
      </c>
      <c r="F272" s="35">
        <f t="shared" ca="1" si="4"/>
        <v>28</v>
      </c>
      <c r="G272" s="42" cm="1">
        <f t="array" aca="1" ref="G272" ca="1">SUMPRODUCT((BRON!$A$2:$A$1214=Table1[[#This Row],[Personeelsnummer]])*(BRON!$T$2:$T$1214&gt;=DATE(YEAR(TODAY())-1,MONTH(TODAY()),DAY(TODAY())))*(BRON!$T$2:$T$1214&lt;=TODAY()))</f>
        <v>1</v>
      </c>
    </row>
    <row r="273" spans="1:7" x14ac:dyDescent="0.25">
      <c r="A273" s="34" t="s">
        <v>1824</v>
      </c>
      <c r="B273" s="34" t="s">
        <v>979</v>
      </c>
      <c r="C273">
        <v>9158</v>
      </c>
      <c r="D273" s="34" t="s">
        <v>3858</v>
      </c>
      <c r="E273" s="3">
        <v>35513.041666666701</v>
      </c>
      <c r="F273" s="35">
        <f t="shared" ca="1" si="4"/>
        <v>28</v>
      </c>
      <c r="G273" s="42" cm="1">
        <f t="array" aca="1" ref="G273" ca="1">SUMPRODUCT((BRON!$A$2:$A$1214=Table1[[#This Row],[Personeelsnummer]])*(BRON!$T$2:$T$1214&gt;=DATE(YEAR(TODAY())-1,MONTH(TODAY()),DAY(TODAY())))*(BRON!$T$2:$T$1214&lt;=TODAY()))</f>
        <v>1</v>
      </c>
    </row>
    <row r="274" spans="1:7" x14ac:dyDescent="0.25">
      <c r="A274" s="34" t="s">
        <v>2931</v>
      </c>
      <c r="B274" s="34" t="s">
        <v>2397</v>
      </c>
      <c r="C274">
        <v>9824</v>
      </c>
      <c r="D274" s="34" t="s">
        <v>3858</v>
      </c>
      <c r="E274" s="3">
        <v>35723.083333333299</v>
      </c>
      <c r="F274" s="35">
        <f t="shared" ca="1" si="4"/>
        <v>28</v>
      </c>
      <c r="G274" s="42" cm="1">
        <f t="array" aca="1" ref="G274" ca="1">SUMPRODUCT((BRON!$A$2:$A$1214=Table1[[#This Row],[Personeelsnummer]])*(BRON!$T$2:$T$1214&gt;=DATE(YEAR(TODAY())-1,MONTH(TODAY()),DAY(TODAY())))*(BRON!$T$2:$T$1214&lt;=TODAY()))</f>
        <v>1</v>
      </c>
    </row>
    <row r="275" spans="1:7" x14ac:dyDescent="0.25">
      <c r="A275" s="34" t="s">
        <v>2296</v>
      </c>
      <c r="B275" s="34" t="s">
        <v>2295</v>
      </c>
      <c r="C275">
        <v>8918</v>
      </c>
      <c r="D275" s="34" t="s">
        <v>3851</v>
      </c>
      <c r="E275" s="3">
        <v>35394.041666666701</v>
      </c>
      <c r="F275" s="35">
        <f t="shared" ca="1" si="4"/>
        <v>29</v>
      </c>
      <c r="G275" s="42" cm="1">
        <f t="array" aca="1" ref="G275" ca="1">SUMPRODUCT((BRON!$A$2:$A$1214=Table1[[#This Row],[Personeelsnummer]])*(BRON!$T$2:$T$1214&gt;=DATE(YEAR(TODAY())-1,MONTH(TODAY()),DAY(TODAY())))*(BRON!$T$2:$T$1214&lt;=TODAY()))</f>
        <v>1</v>
      </c>
    </row>
    <row r="276" spans="1:7" x14ac:dyDescent="0.25">
      <c r="A276" s="34" t="s">
        <v>3329</v>
      </c>
      <c r="B276" s="34" t="s">
        <v>3328</v>
      </c>
      <c r="C276">
        <v>8394</v>
      </c>
      <c r="D276" s="34" t="s">
        <v>3855</v>
      </c>
      <c r="E276" s="3">
        <v>35219.083333333299</v>
      </c>
      <c r="F276" s="35">
        <f t="shared" ca="1" si="4"/>
        <v>29</v>
      </c>
      <c r="G276" s="42" cm="1">
        <f t="array" aca="1" ref="G276" ca="1">SUMPRODUCT((BRON!$A$2:$A$1214=Table1[[#This Row],[Personeelsnummer]])*(BRON!$T$2:$T$1214&gt;=DATE(YEAR(TODAY())-1,MONTH(TODAY()),DAY(TODAY())))*(BRON!$T$2:$T$1214&lt;=TODAY()))</f>
        <v>1</v>
      </c>
    </row>
    <row r="277" spans="1:7" x14ac:dyDescent="0.25">
      <c r="A277" s="34" t="s">
        <v>3045</v>
      </c>
      <c r="B277" s="34" t="s">
        <v>2350</v>
      </c>
      <c r="C277">
        <v>7746</v>
      </c>
      <c r="D277" s="34" t="s">
        <v>3853</v>
      </c>
      <c r="E277" s="3">
        <v>34932.083333333299</v>
      </c>
      <c r="F277" s="35">
        <f t="shared" ca="1" si="4"/>
        <v>30</v>
      </c>
      <c r="G277" s="42" cm="1">
        <f t="array" aca="1" ref="G277" ca="1">SUMPRODUCT((BRON!$A$2:$A$1214=Table1[[#This Row],[Personeelsnummer]])*(BRON!$T$2:$T$1214&gt;=DATE(YEAR(TODAY())-1,MONTH(TODAY()),DAY(TODAY())))*(BRON!$T$2:$T$1214&lt;=TODAY()))</f>
        <v>1</v>
      </c>
    </row>
    <row r="278" spans="1:7" x14ac:dyDescent="0.25">
      <c r="A278" s="34" t="s">
        <v>3329</v>
      </c>
      <c r="B278" s="34" t="s">
        <v>1255</v>
      </c>
      <c r="C278">
        <v>6229</v>
      </c>
      <c r="D278" s="34" t="s">
        <v>3856</v>
      </c>
      <c r="E278" s="3">
        <v>34008.041666666701</v>
      </c>
      <c r="F278" s="35">
        <f t="shared" ca="1" si="4"/>
        <v>32</v>
      </c>
      <c r="G278" s="42" cm="1">
        <f t="array" aca="1" ref="G278" ca="1">SUMPRODUCT((BRON!$A$2:$A$1214=Table1[[#This Row],[Personeelsnummer]])*(BRON!$T$2:$T$1214&gt;=DATE(YEAR(TODAY())-1,MONTH(TODAY()),DAY(TODAY())))*(BRON!$T$2:$T$1214&lt;=TODAY()))</f>
        <v>1</v>
      </c>
    </row>
    <row r="279" spans="1:7" x14ac:dyDescent="0.25">
      <c r="A279" s="34" t="s">
        <v>1605</v>
      </c>
      <c r="B279" s="34" t="s">
        <v>1560</v>
      </c>
      <c r="C279">
        <v>5559</v>
      </c>
      <c r="D279" s="34" t="s">
        <v>3858</v>
      </c>
      <c r="E279" s="3">
        <v>33546.041666666701</v>
      </c>
      <c r="F279" s="35">
        <f t="shared" ca="1" si="4"/>
        <v>34</v>
      </c>
      <c r="G279" s="42" cm="1">
        <f t="array" aca="1" ref="G279" ca="1">SUMPRODUCT((BRON!$A$2:$A$1214=Table1[[#This Row],[Personeelsnummer]])*(BRON!$T$2:$T$1214&gt;=DATE(YEAR(TODAY())-1,MONTH(TODAY()),DAY(TODAY())))*(BRON!$T$2:$T$1214&lt;=TODAY()))</f>
        <v>1</v>
      </c>
    </row>
    <row r="280" spans="1:7" x14ac:dyDescent="0.25">
      <c r="A280" s="34" t="s">
        <v>2562</v>
      </c>
      <c r="B280" s="34" t="s">
        <v>2561</v>
      </c>
      <c r="C280">
        <v>4608</v>
      </c>
      <c r="D280" s="34" t="s">
        <v>3855</v>
      </c>
      <c r="E280" s="3">
        <v>32644.083333333299</v>
      </c>
      <c r="F280" s="35">
        <f t="shared" ca="1" si="4"/>
        <v>36</v>
      </c>
      <c r="G280" s="42" cm="1">
        <f t="array" aca="1" ref="G280" ca="1">SUMPRODUCT((BRON!$A$2:$A$1214=Table1[[#This Row],[Personeelsnummer]])*(BRON!$T$2:$T$1214&gt;=DATE(YEAR(TODAY())-1,MONTH(TODAY()),DAY(TODAY())))*(BRON!$T$2:$T$1214&lt;=TODAY()))</f>
        <v>1</v>
      </c>
    </row>
    <row r="281" spans="1:7" x14ac:dyDescent="0.25">
      <c r="A281" s="34" t="s">
        <v>2581</v>
      </c>
      <c r="B281" s="34" t="s">
        <v>1950</v>
      </c>
      <c r="C281">
        <v>4720</v>
      </c>
      <c r="D281" s="34" t="s">
        <v>3856</v>
      </c>
      <c r="E281" s="3">
        <v>32797.083333333299</v>
      </c>
      <c r="F281" s="35">
        <f t="shared" ca="1" si="4"/>
        <v>36</v>
      </c>
      <c r="G281" s="42" cm="1">
        <f t="array" aca="1" ref="G281" ca="1">SUMPRODUCT((BRON!$A$2:$A$1214=Table1[[#This Row],[Personeelsnummer]])*(BRON!$T$2:$T$1214&gt;=DATE(YEAR(TODAY())-1,MONTH(TODAY()),DAY(TODAY())))*(BRON!$T$2:$T$1214&lt;=TODAY()))</f>
        <v>1</v>
      </c>
    </row>
    <row r="282" spans="1:7" x14ac:dyDescent="0.25">
      <c r="A282" s="34" t="s">
        <v>1853</v>
      </c>
      <c r="B282" s="34" t="s">
        <v>1852</v>
      </c>
      <c r="C282">
        <v>39889</v>
      </c>
      <c r="D282" s="34" t="s">
        <v>3858</v>
      </c>
      <c r="E282" s="3">
        <v>45293.041666666701</v>
      </c>
      <c r="F282" s="35">
        <f t="shared" ca="1" si="4"/>
        <v>1</v>
      </c>
      <c r="G282" s="42" cm="1">
        <f t="array" aca="1" ref="G282" ca="1">SUMPRODUCT((BRON!$A$2:$A$1214=Table1[[#This Row],[Personeelsnummer]])*(BRON!$T$2:$T$1214&gt;=DATE(YEAR(TODAY())-1,MONTH(TODAY()),DAY(TODAY())))*(BRON!$T$2:$T$1214&lt;=TODAY()))</f>
        <v>0</v>
      </c>
    </row>
    <row r="283" spans="1:7" x14ac:dyDescent="0.25">
      <c r="A283" s="34" t="s">
        <v>3453</v>
      </c>
      <c r="B283" s="34" t="s">
        <v>3264</v>
      </c>
      <c r="C283">
        <v>39899</v>
      </c>
      <c r="D283" s="34" t="s">
        <v>3853</v>
      </c>
      <c r="E283" s="3">
        <v>45315.041666666701</v>
      </c>
      <c r="F283" s="35">
        <f t="shared" ca="1" si="4"/>
        <v>1</v>
      </c>
      <c r="G283" s="42" cm="1">
        <f t="array" aca="1" ref="G283" ca="1">SUMPRODUCT((BRON!$A$2:$A$1214=Table1[[#This Row],[Personeelsnummer]])*(BRON!$T$2:$T$1214&gt;=DATE(YEAR(TODAY())-1,MONTH(TODAY()),DAY(TODAY())))*(BRON!$T$2:$T$1214&lt;=TODAY()))</f>
        <v>0</v>
      </c>
    </row>
    <row r="284" spans="1:7" x14ac:dyDescent="0.25">
      <c r="A284" s="34" t="s">
        <v>3216</v>
      </c>
      <c r="B284" s="34" t="s">
        <v>3215</v>
      </c>
      <c r="C284">
        <v>39907</v>
      </c>
      <c r="D284" s="34" t="s">
        <v>3851</v>
      </c>
      <c r="E284" s="3">
        <v>45299.041666666701</v>
      </c>
      <c r="F284" s="35">
        <f t="shared" ca="1" si="4"/>
        <v>1</v>
      </c>
      <c r="G284" s="42" cm="1">
        <f t="array" aca="1" ref="G284" ca="1">SUMPRODUCT((BRON!$A$2:$A$1214=Table1[[#This Row],[Personeelsnummer]])*(BRON!$T$2:$T$1214&gt;=DATE(YEAR(TODAY())-1,MONTH(TODAY()),DAY(TODAY())))*(BRON!$T$2:$T$1214&lt;=TODAY()))</f>
        <v>0</v>
      </c>
    </row>
    <row r="285" spans="1:7" x14ac:dyDescent="0.25">
      <c r="A285" s="34" t="s">
        <v>3251</v>
      </c>
      <c r="B285" s="34" t="s">
        <v>3101</v>
      </c>
      <c r="C285">
        <v>40006</v>
      </c>
      <c r="D285" s="34" t="s">
        <v>3853</v>
      </c>
      <c r="E285" s="3">
        <v>45307.041666666701</v>
      </c>
      <c r="F285" s="35">
        <f t="shared" ca="1" si="4"/>
        <v>1</v>
      </c>
      <c r="G285" s="42" cm="1">
        <f t="array" aca="1" ref="G285" ca="1">SUMPRODUCT((BRON!$A$2:$A$1214=Table1[[#This Row],[Personeelsnummer]])*(BRON!$T$2:$T$1214&gt;=DATE(YEAR(TODAY())-1,MONTH(TODAY()),DAY(TODAY())))*(BRON!$T$2:$T$1214&lt;=TODAY()))</f>
        <v>0</v>
      </c>
    </row>
    <row r="286" spans="1:7" x14ac:dyDescent="0.25">
      <c r="A286" s="34" t="s">
        <v>3325</v>
      </c>
      <c r="B286" s="34" t="s">
        <v>3324</v>
      </c>
      <c r="C286">
        <v>40294</v>
      </c>
      <c r="D286" s="34" t="s">
        <v>3853</v>
      </c>
      <c r="E286" s="3">
        <v>45404.083333333299</v>
      </c>
      <c r="F286" s="35">
        <f t="shared" ca="1" si="4"/>
        <v>1</v>
      </c>
      <c r="G286" s="42" cm="1">
        <f t="array" aca="1" ref="G286" ca="1">SUMPRODUCT((BRON!$A$2:$A$1214=Table1[[#This Row],[Personeelsnummer]])*(BRON!$T$2:$T$1214&gt;=DATE(YEAR(TODAY())-1,MONTH(TODAY()),DAY(TODAY())))*(BRON!$T$2:$T$1214&lt;=TODAY()))</f>
        <v>1</v>
      </c>
    </row>
    <row r="287" spans="1:7" x14ac:dyDescent="0.25">
      <c r="A287" s="34" t="s">
        <v>2441</v>
      </c>
      <c r="B287" s="34" t="s">
        <v>2440</v>
      </c>
      <c r="C287">
        <v>40414</v>
      </c>
      <c r="D287" s="34" t="s">
        <v>3858</v>
      </c>
      <c r="E287" s="3">
        <v>45408.083333333299</v>
      </c>
      <c r="F287" s="35">
        <f t="shared" ca="1" si="4"/>
        <v>1</v>
      </c>
      <c r="G287" s="42" cm="1">
        <f t="array" aca="1" ref="G287" ca="1">SUMPRODUCT((BRON!$A$2:$A$1214=Table1[[#This Row],[Personeelsnummer]])*(BRON!$T$2:$T$1214&gt;=DATE(YEAR(TODAY())-1,MONTH(TODAY()),DAY(TODAY())))*(BRON!$T$2:$T$1214&lt;=TODAY()))</f>
        <v>1</v>
      </c>
    </row>
    <row r="288" spans="1:7" x14ac:dyDescent="0.25">
      <c r="A288" s="34" t="s">
        <v>2292</v>
      </c>
      <c r="B288" s="34" t="s">
        <v>2291</v>
      </c>
      <c r="C288">
        <v>40486</v>
      </c>
      <c r="D288" s="34" t="s">
        <v>3853</v>
      </c>
      <c r="E288" s="3">
        <v>45427.083333333299</v>
      </c>
      <c r="F288" s="35">
        <f t="shared" ca="1" si="4"/>
        <v>1</v>
      </c>
      <c r="G288" s="42" cm="1">
        <f t="array" aca="1" ref="G288" ca="1">SUMPRODUCT((BRON!$A$2:$A$1214=Table1[[#This Row],[Personeelsnummer]])*(BRON!$T$2:$T$1214&gt;=DATE(YEAR(TODAY())-1,MONTH(TODAY()),DAY(TODAY())))*(BRON!$T$2:$T$1214&lt;=TODAY()))</f>
        <v>0</v>
      </c>
    </row>
    <row r="289" spans="1:7" x14ac:dyDescent="0.25">
      <c r="A289" s="34" t="s">
        <v>3006</v>
      </c>
      <c r="B289" s="34" t="s">
        <v>3005</v>
      </c>
      <c r="C289">
        <v>40608</v>
      </c>
      <c r="D289" s="34" t="s">
        <v>3855</v>
      </c>
      <c r="E289" s="3">
        <v>45456.083333333299</v>
      </c>
      <c r="F289" s="35">
        <f t="shared" ca="1" si="4"/>
        <v>1</v>
      </c>
      <c r="G289" s="42" cm="1">
        <f t="array" aca="1" ref="G289" ca="1">SUMPRODUCT((BRON!$A$2:$A$1214=Table1[[#This Row],[Personeelsnummer]])*(BRON!$T$2:$T$1214&gt;=DATE(YEAR(TODAY())-1,MONTH(TODAY()),DAY(TODAY())))*(BRON!$T$2:$T$1214&lt;=TODAY()))</f>
        <v>0</v>
      </c>
    </row>
    <row r="290" spans="1:7" x14ac:dyDescent="0.25">
      <c r="A290" s="34" t="s">
        <v>1452</v>
      </c>
      <c r="B290" s="34" t="s">
        <v>1467</v>
      </c>
      <c r="C290">
        <v>40761</v>
      </c>
      <c r="D290" s="34" t="s">
        <v>3851</v>
      </c>
      <c r="E290" s="3">
        <v>45498.083333333299</v>
      </c>
      <c r="F290" s="35">
        <f t="shared" ca="1" si="4"/>
        <v>1</v>
      </c>
      <c r="G290" s="42" cm="1">
        <f t="array" aca="1" ref="G290" ca="1">SUMPRODUCT((BRON!$A$2:$A$1214=Table1[[#This Row],[Personeelsnummer]])*(BRON!$T$2:$T$1214&gt;=DATE(YEAR(TODAY())-1,MONTH(TODAY()),DAY(TODAY())))*(BRON!$T$2:$T$1214&lt;=TODAY()))</f>
        <v>0</v>
      </c>
    </row>
    <row r="291" spans="1:7" x14ac:dyDescent="0.25">
      <c r="A291" s="34" t="s">
        <v>3347</v>
      </c>
      <c r="B291" s="34" t="s">
        <v>3349</v>
      </c>
      <c r="C291">
        <v>33551</v>
      </c>
      <c r="D291" s="34" t="s">
        <v>3856</v>
      </c>
      <c r="E291" s="3">
        <v>45372.041666666701</v>
      </c>
      <c r="F291" s="35">
        <f t="shared" ca="1" si="4"/>
        <v>1</v>
      </c>
      <c r="G291" s="42" cm="1">
        <f t="array" aca="1" ref="G291" ca="1">SUMPRODUCT((BRON!$A$2:$A$1214=Table1[[#This Row],[Personeelsnummer]])*(BRON!$T$2:$T$1214&gt;=DATE(YEAR(TODAY())-1,MONTH(TODAY()),DAY(TODAY())))*(BRON!$T$2:$T$1214&lt;=TODAY()))</f>
        <v>0</v>
      </c>
    </row>
    <row r="292" spans="1:7" x14ac:dyDescent="0.25">
      <c r="A292" s="34" t="s">
        <v>1895</v>
      </c>
      <c r="B292" s="34" t="s">
        <v>1894</v>
      </c>
      <c r="C292">
        <v>39930</v>
      </c>
      <c r="D292" s="34" t="s">
        <v>3853</v>
      </c>
      <c r="E292" s="3">
        <v>45307.041666666701</v>
      </c>
      <c r="F292" s="35">
        <f t="shared" ca="1" si="4"/>
        <v>1</v>
      </c>
      <c r="G292" s="42" cm="1">
        <f t="array" aca="1" ref="G292" ca="1">SUMPRODUCT((BRON!$A$2:$A$1214=Table1[[#This Row],[Personeelsnummer]])*(BRON!$T$2:$T$1214&gt;=DATE(YEAR(TODAY())-1,MONTH(TODAY()),DAY(TODAY())))*(BRON!$T$2:$T$1214&lt;=TODAY()))</f>
        <v>0</v>
      </c>
    </row>
    <row r="293" spans="1:7" x14ac:dyDescent="0.25">
      <c r="A293" s="34" t="s">
        <v>2445</v>
      </c>
      <c r="B293" s="34" t="s">
        <v>2444</v>
      </c>
      <c r="C293">
        <v>40200</v>
      </c>
      <c r="D293" s="34" t="s">
        <v>3859</v>
      </c>
      <c r="E293" s="3">
        <v>45345.041666666701</v>
      </c>
      <c r="F293" s="35">
        <f t="shared" ca="1" si="4"/>
        <v>1</v>
      </c>
      <c r="G293" s="42" cm="1">
        <f t="array" aca="1" ref="G293" ca="1">SUMPRODUCT((BRON!$A$2:$A$1214=Table1[[#This Row],[Personeelsnummer]])*(BRON!$T$2:$T$1214&gt;=DATE(YEAR(TODAY())-1,MONTH(TODAY()),DAY(TODAY())))*(BRON!$T$2:$T$1214&lt;=TODAY()))</f>
        <v>0</v>
      </c>
    </row>
    <row r="294" spans="1:7" x14ac:dyDescent="0.25">
      <c r="A294" s="34" t="s">
        <v>1686</v>
      </c>
      <c r="B294" s="34" t="s">
        <v>1685</v>
      </c>
      <c r="C294">
        <v>40222</v>
      </c>
      <c r="D294" s="34" t="s">
        <v>3859</v>
      </c>
      <c r="E294" s="3">
        <v>45349.041666666701</v>
      </c>
      <c r="F294" s="35">
        <f t="shared" ca="1" si="4"/>
        <v>1</v>
      </c>
      <c r="G294" s="42" cm="1">
        <f t="array" aca="1" ref="G294" ca="1">SUMPRODUCT((BRON!$A$2:$A$1214=Table1[[#This Row],[Personeelsnummer]])*(BRON!$T$2:$T$1214&gt;=DATE(YEAR(TODAY())-1,MONTH(TODAY()),DAY(TODAY())))*(BRON!$T$2:$T$1214&lt;=TODAY()))</f>
        <v>0</v>
      </c>
    </row>
    <row r="295" spans="1:7" x14ac:dyDescent="0.25">
      <c r="A295" s="34" t="s">
        <v>3378</v>
      </c>
      <c r="B295" s="34" t="s">
        <v>3377</v>
      </c>
      <c r="C295">
        <v>40521</v>
      </c>
      <c r="D295" s="34" t="s">
        <v>3855</v>
      </c>
      <c r="E295" s="3">
        <v>45419.083333333299</v>
      </c>
      <c r="F295" s="35">
        <f t="shared" ca="1" si="4"/>
        <v>1</v>
      </c>
      <c r="G295" s="42" cm="1">
        <f t="array" aca="1" ref="G295" ca="1">SUMPRODUCT((BRON!$A$2:$A$1214=Table1[[#This Row],[Personeelsnummer]])*(BRON!$T$2:$T$1214&gt;=DATE(YEAR(TODAY())-1,MONTH(TODAY()),DAY(TODAY())))*(BRON!$T$2:$T$1214&lt;=TODAY()))</f>
        <v>0</v>
      </c>
    </row>
    <row r="296" spans="1:7" x14ac:dyDescent="0.25">
      <c r="A296" s="34" t="s">
        <v>2483</v>
      </c>
      <c r="B296" s="34" t="s">
        <v>2486</v>
      </c>
      <c r="C296">
        <v>39859</v>
      </c>
      <c r="D296" s="34" t="s">
        <v>3854</v>
      </c>
      <c r="E296" s="3">
        <v>45264.041666666701</v>
      </c>
      <c r="F296" s="35">
        <f t="shared" ca="1" si="4"/>
        <v>2</v>
      </c>
      <c r="G296" s="42" cm="1">
        <f t="array" aca="1" ref="G296" ca="1">SUMPRODUCT((BRON!$A$2:$A$1214=Table1[[#This Row],[Personeelsnummer]])*(BRON!$T$2:$T$1214&gt;=DATE(YEAR(TODAY())-1,MONTH(TODAY()),DAY(TODAY())))*(BRON!$T$2:$T$1214&lt;=TODAY()))</f>
        <v>1</v>
      </c>
    </row>
    <row r="297" spans="1:7" x14ac:dyDescent="0.25">
      <c r="A297" s="34" t="s">
        <v>2014</v>
      </c>
      <c r="B297" s="34" t="s">
        <v>3431</v>
      </c>
      <c r="C297">
        <v>38551</v>
      </c>
      <c r="D297" s="34" t="s">
        <v>3854</v>
      </c>
      <c r="E297" s="3">
        <v>44970.041666666701</v>
      </c>
      <c r="F297" s="35">
        <f t="shared" ca="1" si="4"/>
        <v>2</v>
      </c>
      <c r="G297" s="42" cm="1">
        <f t="array" aca="1" ref="G297" ca="1">SUMPRODUCT((BRON!$A$2:$A$1214=Table1[[#This Row],[Personeelsnummer]])*(BRON!$T$2:$T$1214&gt;=DATE(YEAR(TODAY())-1,MONTH(TODAY()),DAY(TODAY())))*(BRON!$T$2:$T$1214&lt;=TODAY()))</f>
        <v>0</v>
      </c>
    </row>
    <row r="298" spans="1:7" x14ac:dyDescent="0.25">
      <c r="A298" s="34" t="s">
        <v>1616</v>
      </c>
      <c r="B298" s="34" t="s">
        <v>1615</v>
      </c>
      <c r="C298">
        <v>38579</v>
      </c>
      <c r="D298" s="34" t="s">
        <v>3857</v>
      </c>
      <c r="E298" s="3">
        <v>45035.083333333299</v>
      </c>
      <c r="F298" s="35">
        <f t="shared" ca="1" si="4"/>
        <v>2</v>
      </c>
      <c r="G298" s="42" cm="1">
        <f t="array" aca="1" ref="G298" ca="1">SUMPRODUCT((BRON!$A$2:$A$1214=Table1[[#This Row],[Personeelsnummer]])*(BRON!$T$2:$T$1214&gt;=DATE(YEAR(TODAY())-1,MONTH(TODAY()),DAY(TODAY())))*(BRON!$T$2:$T$1214&lt;=TODAY()))</f>
        <v>0</v>
      </c>
    </row>
    <row r="299" spans="1:7" x14ac:dyDescent="0.25">
      <c r="A299" s="34" t="s">
        <v>1789</v>
      </c>
      <c r="B299" s="34" t="s">
        <v>1788</v>
      </c>
      <c r="C299">
        <v>39145</v>
      </c>
      <c r="D299" s="34" t="s">
        <v>3853</v>
      </c>
      <c r="E299" s="3">
        <v>45166.083333333299</v>
      </c>
      <c r="F299" s="35">
        <f t="shared" ca="1" si="4"/>
        <v>2</v>
      </c>
      <c r="G299" s="42" cm="1">
        <f t="array" aca="1" ref="G299" ca="1">SUMPRODUCT((BRON!$A$2:$A$1214=Table1[[#This Row],[Personeelsnummer]])*(BRON!$T$2:$T$1214&gt;=DATE(YEAR(TODAY())-1,MONTH(TODAY()),DAY(TODAY())))*(BRON!$T$2:$T$1214&lt;=TODAY()))</f>
        <v>0</v>
      </c>
    </row>
    <row r="300" spans="1:7" x14ac:dyDescent="0.25">
      <c r="A300" s="34" t="s">
        <v>3273</v>
      </c>
      <c r="B300" s="34" t="s">
        <v>3272</v>
      </c>
      <c r="C300">
        <v>39610</v>
      </c>
      <c r="D300" s="34" t="s">
        <v>3854</v>
      </c>
      <c r="E300" s="3">
        <v>45208.083333333299</v>
      </c>
      <c r="F300" s="35">
        <f t="shared" ca="1" si="4"/>
        <v>2</v>
      </c>
      <c r="G300" s="42" cm="1">
        <f t="array" aca="1" ref="G300" ca="1">SUMPRODUCT((BRON!$A$2:$A$1214=Table1[[#This Row],[Personeelsnummer]])*(BRON!$T$2:$T$1214&gt;=DATE(YEAR(TODAY())-1,MONTH(TODAY()),DAY(TODAY())))*(BRON!$T$2:$T$1214&lt;=TODAY()))</f>
        <v>0</v>
      </c>
    </row>
    <row r="301" spans="1:7" x14ac:dyDescent="0.25">
      <c r="A301" s="34" t="s">
        <v>2897</v>
      </c>
      <c r="B301" s="34" t="s">
        <v>2896</v>
      </c>
      <c r="C301">
        <v>27186</v>
      </c>
      <c r="D301" s="34" t="s">
        <v>3853</v>
      </c>
      <c r="E301" s="3">
        <v>45139.083333333299</v>
      </c>
      <c r="F301" s="35">
        <f t="shared" ca="1" si="4"/>
        <v>2</v>
      </c>
      <c r="G301" s="42" cm="1">
        <f t="array" aca="1" ref="G301" ca="1">SUMPRODUCT((BRON!$A$2:$A$1214=Table1[[#This Row],[Personeelsnummer]])*(BRON!$T$2:$T$1214&gt;=DATE(YEAR(TODAY())-1,MONTH(TODAY()),DAY(TODAY())))*(BRON!$T$2:$T$1214&lt;=TODAY()))</f>
        <v>0</v>
      </c>
    </row>
    <row r="302" spans="1:7" x14ac:dyDescent="0.25">
      <c r="A302" s="34" t="s">
        <v>2483</v>
      </c>
      <c r="B302" s="34" t="s">
        <v>2489</v>
      </c>
      <c r="C302">
        <v>39019</v>
      </c>
      <c r="D302" s="34" t="s">
        <v>3855</v>
      </c>
      <c r="E302" s="3">
        <v>45061.083333333299</v>
      </c>
      <c r="F302" s="35">
        <f t="shared" ca="1" si="4"/>
        <v>2</v>
      </c>
      <c r="G302" s="42" cm="1">
        <f t="array" aca="1" ref="G302" ca="1">SUMPRODUCT((BRON!$A$2:$A$1214=Table1[[#This Row],[Personeelsnummer]])*(BRON!$T$2:$T$1214&gt;=DATE(YEAR(TODAY())-1,MONTH(TODAY()),DAY(TODAY())))*(BRON!$T$2:$T$1214&lt;=TODAY()))</f>
        <v>0</v>
      </c>
    </row>
    <row r="303" spans="1:7" x14ac:dyDescent="0.25">
      <c r="A303" s="34" t="s">
        <v>1427</v>
      </c>
      <c r="B303" s="34" t="s">
        <v>1426</v>
      </c>
      <c r="C303">
        <v>39184</v>
      </c>
      <c r="D303" s="34" t="s">
        <v>3853</v>
      </c>
      <c r="E303" s="3">
        <v>45097.083333333299</v>
      </c>
      <c r="F303" s="35">
        <f t="shared" ca="1" si="4"/>
        <v>2</v>
      </c>
      <c r="G303" s="42" cm="1">
        <f t="array" aca="1" ref="G303" ca="1">SUMPRODUCT((BRON!$A$2:$A$1214=Table1[[#This Row],[Personeelsnummer]])*(BRON!$T$2:$T$1214&gt;=DATE(YEAR(TODAY())-1,MONTH(TODAY()),DAY(TODAY())))*(BRON!$T$2:$T$1214&lt;=TODAY()))</f>
        <v>1</v>
      </c>
    </row>
    <row r="304" spans="1:7" x14ac:dyDescent="0.25">
      <c r="A304" s="34" t="s">
        <v>2770</v>
      </c>
      <c r="B304" s="34" t="s">
        <v>2769</v>
      </c>
      <c r="C304">
        <v>39013</v>
      </c>
      <c r="D304" s="34" t="s">
        <v>3857</v>
      </c>
      <c r="E304" s="3">
        <v>45076.083333333299</v>
      </c>
      <c r="F304" s="35">
        <f t="shared" ca="1" si="4"/>
        <v>2</v>
      </c>
      <c r="G304" s="42" cm="1">
        <f t="array" aca="1" ref="G304" ca="1">SUMPRODUCT((BRON!$A$2:$A$1214=Table1[[#This Row],[Personeelsnummer]])*(BRON!$T$2:$T$1214&gt;=DATE(YEAR(TODAY())-1,MONTH(TODAY()),DAY(TODAY())))*(BRON!$T$2:$T$1214&lt;=TODAY()))</f>
        <v>0</v>
      </c>
    </row>
    <row r="305" spans="1:7" x14ac:dyDescent="0.25">
      <c r="A305" s="34" t="s">
        <v>3395</v>
      </c>
      <c r="B305" s="34" t="s">
        <v>3394</v>
      </c>
      <c r="C305">
        <v>39146</v>
      </c>
      <c r="D305" s="34" t="s">
        <v>3857</v>
      </c>
      <c r="E305" s="3">
        <v>45090.083333333299</v>
      </c>
      <c r="F305" s="35">
        <f t="shared" ca="1" si="4"/>
        <v>2</v>
      </c>
      <c r="G305" s="42" cm="1">
        <f t="array" aca="1" ref="G305" ca="1">SUMPRODUCT((BRON!$A$2:$A$1214=Table1[[#This Row],[Personeelsnummer]])*(BRON!$T$2:$T$1214&gt;=DATE(YEAR(TODAY())-1,MONTH(TODAY()),DAY(TODAY())))*(BRON!$T$2:$T$1214&lt;=TODAY()))</f>
        <v>0</v>
      </c>
    </row>
    <row r="306" spans="1:7" x14ac:dyDescent="0.25">
      <c r="A306" s="34" t="s">
        <v>3362</v>
      </c>
      <c r="B306" s="34" t="s">
        <v>3361</v>
      </c>
      <c r="C306">
        <v>39183</v>
      </c>
      <c r="D306" s="34" t="s">
        <v>3853</v>
      </c>
      <c r="E306" s="3">
        <v>45103.083333333299</v>
      </c>
      <c r="F306" s="35">
        <f t="shared" ca="1" si="4"/>
        <v>2</v>
      </c>
      <c r="G306" s="42" cm="1">
        <f t="array" aca="1" ref="G306" ca="1">SUMPRODUCT((BRON!$A$2:$A$1214=Table1[[#This Row],[Personeelsnummer]])*(BRON!$T$2:$T$1214&gt;=DATE(YEAR(TODAY())-1,MONTH(TODAY()),DAY(TODAY())))*(BRON!$T$2:$T$1214&lt;=TODAY()))</f>
        <v>0</v>
      </c>
    </row>
    <row r="307" spans="1:7" x14ac:dyDescent="0.25">
      <c r="A307" s="34" t="s">
        <v>1662</v>
      </c>
      <c r="B307" s="34" t="s">
        <v>1661</v>
      </c>
      <c r="C307">
        <v>37216</v>
      </c>
      <c r="D307" s="34" t="s">
        <v>3851</v>
      </c>
      <c r="E307" s="3">
        <v>44664.083333333299</v>
      </c>
      <c r="F307" s="35">
        <f t="shared" ca="1" si="4"/>
        <v>3</v>
      </c>
      <c r="G307" s="42" cm="1">
        <f t="array" aca="1" ref="G307" ca="1">SUMPRODUCT((BRON!$A$2:$A$1214=Table1[[#This Row],[Personeelsnummer]])*(BRON!$T$2:$T$1214&gt;=DATE(YEAR(TODAY())-1,MONTH(TODAY()),DAY(TODAY())))*(BRON!$T$2:$T$1214&lt;=TODAY()))</f>
        <v>0</v>
      </c>
    </row>
    <row r="308" spans="1:7" x14ac:dyDescent="0.25">
      <c r="A308" s="34" t="s">
        <v>2228</v>
      </c>
      <c r="B308" s="34" t="s">
        <v>2227</v>
      </c>
      <c r="C308">
        <v>37313</v>
      </c>
      <c r="D308" s="34" t="s">
        <v>3854</v>
      </c>
      <c r="E308" s="3">
        <v>44704.083333333299</v>
      </c>
      <c r="F308" s="35">
        <f t="shared" ca="1" si="4"/>
        <v>3</v>
      </c>
      <c r="G308" s="42" cm="1">
        <f t="array" aca="1" ref="G308" ca="1">SUMPRODUCT((BRON!$A$2:$A$1214=Table1[[#This Row],[Personeelsnummer]])*(BRON!$T$2:$T$1214&gt;=DATE(YEAR(TODAY())-1,MONTH(TODAY()),DAY(TODAY())))*(BRON!$T$2:$T$1214&lt;=TODAY()))</f>
        <v>0</v>
      </c>
    </row>
    <row r="309" spans="1:7" x14ac:dyDescent="0.25">
      <c r="A309" s="34" t="s">
        <v>2085</v>
      </c>
      <c r="B309" s="34" t="s">
        <v>2084</v>
      </c>
      <c r="C309">
        <v>37564</v>
      </c>
      <c r="D309" s="34" t="s">
        <v>3856</v>
      </c>
      <c r="E309" s="3">
        <v>44683.083333333299</v>
      </c>
      <c r="F309" s="35">
        <f t="shared" ca="1" si="4"/>
        <v>3</v>
      </c>
      <c r="G309" s="42" cm="1">
        <f t="array" aca="1" ref="G309" ca="1">SUMPRODUCT((BRON!$A$2:$A$1214=Table1[[#This Row],[Personeelsnummer]])*(BRON!$T$2:$T$1214&gt;=DATE(YEAR(TODAY())-1,MONTH(TODAY()),DAY(TODAY())))*(BRON!$T$2:$T$1214&lt;=TODAY()))</f>
        <v>0</v>
      </c>
    </row>
    <row r="310" spans="1:7" x14ac:dyDescent="0.25">
      <c r="A310" s="34" t="s">
        <v>3157</v>
      </c>
      <c r="B310" s="34" t="s">
        <v>2327</v>
      </c>
      <c r="C310">
        <v>37683</v>
      </c>
      <c r="D310" s="34" t="s">
        <v>3858</v>
      </c>
      <c r="E310" s="3">
        <v>44739.083333333299</v>
      </c>
      <c r="F310" s="35">
        <f t="shared" ca="1" si="4"/>
        <v>3</v>
      </c>
      <c r="G310" s="42" cm="1">
        <f t="array" aca="1" ref="G310" ca="1">SUMPRODUCT((BRON!$A$2:$A$1214=Table1[[#This Row],[Personeelsnummer]])*(BRON!$T$2:$T$1214&gt;=DATE(YEAR(TODAY())-1,MONTH(TODAY()),DAY(TODAY())))*(BRON!$T$2:$T$1214&lt;=TODAY()))</f>
        <v>0</v>
      </c>
    </row>
    <row r="311" spans="1:7" x14ac:dyDescent="0.25">
      <c r="A311" s="34" t="s">
        <v>2492</v>
      </c>
      <c r="B311" s="34" t="s">
        <v>1692</v>
      </c>
      <c r="C311">
        <v>37794</v>
      </c>
      <c r="D311" s="34" t="s">
        <v>3858</v>
      </c>
      <c r="E311" s="3">
        <v>44790.083333333299</v>
      </c>
      <c r="F311" s="35">
        <f t="shared" ca="1" si="4"/>
        <v>3</v>
      </c>
      <c r="G311" s="42" cm="1">
        <f t="array" aca="1" ref="G311" ca="1">SUMPRODUCT((BRON!$A$2:$A$1214=Table1[[#This Row],[Personeelsnummer]])*(BRON!$T$2:$T$1214&gt;=DATE(YEAR(TODAY())-1,MONTH(TODAY()),DAY(TODAY())))*(BRON!$T$2:$T$1214&lt;=TODAY()))</f>
        <v>1</v>
      </c>
    </row>
    <row r="312" spans="1:7" x14ac:dyDescent="0.25">
      <c r="A312" s="34" t="s">
        <v>2093</v>
      </c>
      <c r="B312" s="34" t="s">
        <v>2096</v>
      </c>
      <c r="C312">
        <v>37808</v>
      </c>
      <c r="D312" s="34" t="s">
        <v>3856</v>
      </c>
      <c r="E312" s="3">
        <v>44795.083333333299</v>
      </c>
      <c r="F312" s="35">
        <f t="shared" ca="1" si="4"/>
        <v>3</v>
      </c>
      <c r="G312" s="42" cm="1">
        <f t="array" aca="1" ref="G312" ca="1">SUMPRODUCT((BRON!$A$2:$A$1214=Table1[[#This Row],[Personeelsnummer]])*(BRON!$T$2:$T$1214&gt;=DATE(YEAR(TODAY())-1,MONTH(TODAY()),DAY(TODAY())))*(BRON!$T$2:$T$1214&lt;=TODAY()))</f>
        <v>0</v>
      </c>
    </row>
    <row r="313" spans="1:7" x14ac:dyDescent="0.25">
      <c r="A313" s="34" t="s">
        <v>3132</v>
      </c>
      <c r="B313" s="34" t="s">
        <v>3131</v>
      </c>
      <c r="C313">
        <v>37951</v>
      </c>
      <c r="D313" s="34" t="s">
        <v>3855</v>
      </c>
      <c r="E313" s="3">
        <v>44837.083333333299</v>
      </c>
      <c r="F313" s="35">
        <f t="shared" ca="1" si="4"/>
        <v>3</v>
      </c>
      <c r="G313" s="42" cm="1">
        <f t="array" aca="1" ref="G313" ca="1">SUMPRODUCT((BRON!$A$2:$A$1214=Table1[[#This Row],[Personeelsnummer]])*(BRON!$T$2:$T$1214&gt;=DATE(YEAR(TODAY())-1,MONTH(TODAY()),DAY(TODAY())))*(BRON!$T$2:$T$1214&lt;=TODAY()))</f>
        <v>0</v>
      </c>
    </row>
    <row r="314" spans="1:7" x14ac:dyDescent="0.25">
      <c r="A314" s="34" t="s">
        <v>1860</v>
      </c>
      <c r="B314" s="34" t="s">
        <v>3411</v>
      </c>
      <c r="C314">
        <v>38013</v>
      </c>
      <c r="D314" s="34" t="s">
        <v>3855</v>
      </c>
      <c r="E314" s="3">
        <v>44837.083333333299</v>
      </c>
      <c r="F314" s="35">
        <f t="shared" ca="1" si="4"/>
        <v>3</v>
      </c>
      <c r="G314" s="42" cm="1">
        <f t="array" aca="1" ref="G314" ca="1">SUMPRODUCT((BRON!$A$2:$A$1214=Table1[[#This Row],[Personeelsnummer]])*(BRON!$T$2:$T$1214&gt;=DATE(YEAR(TODAY())-1,MONTH(TODAY()),DAY(TODAY())))*(BRON!$T$2:$T$1214&lt;=TODAY()))</f>
        <v>0</v>
      </c>
    </row>
    <row r="315" spans="1:7" x14ac:dyDescent="0.25">
      <c r="A315" s="34" t="s">
        <v>3255</v>
      </c>
      <c r="B315" s="34" t="s">
        <v>3254</v>
      </c>
      <c r="C315">
        <v>36275</v>
      </c>
      <c r="D315" s="34" t="s">
        <v>3859</v>
      </c>
      <c r="E315" s="3">
        <v>44687.083333333299</v>
      </c>
      <c r="F315" s="35">
        <f t="shared" ca="1" si="4"/>
        <v>3</v>
      </c>
      <c r="G315" s="42" cm="1">
        <f t="array" aca="1" ref="G315" ca="1">SUMPRODUCT((BRON!$A$2:$A$1214=Table1[[#This Row],[Personeelsnummer]])*(BRON!$T$2:$T$1214&gt;=DATE(YEAR(TODAY())-1,MONTH(TODAY()),DAY(TODAY())))*(BRON!$T$2:$T$1214&lt;=TODAY()))</f>
        <v>0</v>
      </c>
    </row>
    <row r="316" spans="1:7" x14ac:dyDescent="0.25">
      <c r="A316" s="34" t="s">
        <v>2224</v>
      </c>
      <c r="B316" s="34" t="s">
        <v>2223</v>
      </c>
      <c r="C316">
        <v>37131</v>
      </c>
      <c r="D316" s="34" t="s">
        <v>3851</v>
      </c>
      <c r="E316" s="3">
        <v>44585.041666666701</v>
      </c>
      <c r="F316" s="35">
        <f t="shared" ca="1" si="4"/>
        <v>3</v>
      </c>
      <c r="G316" s="42" cm="1">
        <f t="array" aca="1" ref="G316" ca="1">SUMPRODUCT((BRON!$A$2:$A$1214=Table1[[#This Row],[Personeelsnummer]])*(BRON!$T$2:$T$1214&gt;=DATE(YEAR(TODAY())-1,MONTH(TODAY()),DAY(TODAY())))*(BRON!$T$2:$T$1214&lt;=TODAY()))</f>
        <v>0</v>
      </c>
    </row>
    <row r="317" spans="1:7" x14ac:dyDescent="0.25">
      <c r="A317" s="34" t="s">
        <v>2972</v>
      </c>
      <c r="B317" s="34" t="s">
        <v>2975</v>
      </c>
      <c r="C317">
        <v>37609</v>
      </c>
      <c r="D317" s="34" t="s">
        <v>3851</v>
      </c>
      <c r="E317" s="3">
        <v>44704.083333333299</v>
      </c>
      <c r="F317" s="35">
        <f t="shared" ca="1" si="4"/>
        <v>3</v>
      </c>
      <c r="G317" s="42" cm="1">
        <f t="array" aca="1" ref="G317" ca="1">SUMPRODUCT((BRON!$A$2:$A$1214=Table1[[#This Row],[Personeelsnummer]])*(BRON!$T$2:$T$1214&gt;=DATE(YEAR(TODAY())-1,MONTH(TODAY()),DAY(TODAY())))*(BRON!$T$2:$T$1214&lt;=TODAY()))</f>
        <v>0</v>
      </c>
    </row>
    <row r="318" spans="1:7" x14ac:dyDescent="0.25">
      <c r="A318" s="34" t="s">
        <v>1417</v>
      </c>
      <c r="B318" s="34" t="s">
        <v>1416</v>
      </c>
      <c r="C318">
        <v>37261</v>
      </c>
      <c r="D318" s="34" t="s">
        <v>3859</v>
      </c>
      <c r="E318" s="3">
        <v>44599.041666666701</v>
      </c>
      <c r="F318" s="35">
        <f t="shared" ca="1" si="4"/>
        <v>3</v>
      </c>
      <c r="G318" s="42" cm="1">
        <f t="array" aca="1" ref="G318" ca="1">SUMPRODUCT((BRON!$A$2:$A$1214=Table1[[#This Row],[Personeelsnummer]])*(BRON!$T$2:$T$1214&gt;=DATE(YEAR(TODAY())-1,MONTH(TODAY()),DAY(TODAY())))*(BRON!$T$2:$T$1214&lt;=TODAY()))</f>
        <v>0</v>
      </c>
    </row>
    <row r="319" spans="1:7" x14ac:dyDescent="0.25">
      <c r="A319" s="34" t="s">
        <v>3318</v>
      </c>
      <c r="B319" s="34" t="s">
        <v>3317</v>
      </c>
      <c r="C319">
        <v>36228</v>
      </c>
      <c r="D319" s="34" t="s">
        <v>3856</v>
      </c>
      <c r="E319" s="3">
        <v>44256.041666666701</v>
      </c>
      <c r="F319" s="35">
        <f t="shared" ca="1" si="4"/>
        <v>4</v>
      </c>
      <c r="G319" s="42" cm="1">
        <f t="array" aca="1" ref="G319" ca="1">SUMPRODUCT((BRON!$A$2:$A$1214=Table1[[#This Row],[Personeelsnummer]])*(BRON!$T$2:$T$1214&gt;=DATE(YEAR(TODAY())-1,MONTH(TODAY()),DAY(TODAY())))*(BRON!$T$2:$T$1214&lt;=TODAY()))</f>
        <v>0</v>
      </c>
    </row>
    <row r="320" spans="1:7" x14ac:dyDescent="0.25">
      <c r="A320" s="34" t="s">
        <v>3105</v>
      </c>
      <c r="B320" s="34" t="s">
        <v>3104</v>
      </c>
      <c r="C320">
        <v>36337</v>
      </c>
      <c r="D320" s="34" t="s">
        <v>3851</v>
      </c>
      <c r="E320" s="3">
        <v>44284.083333333299</v>
      </c>
      <c r="F320" s="35">
        <f t="shared" ca="1" si="4"/>
        <v>4</v>
      </c>
      <c r="G320" s="42" cm="1">
        <f t="array" aca="1" ref="G320" ca="1">SUMPRODUCT((BRON!$A$2:$A$1214=Table1[[#This Row],[Personeelsnummer]])*(BRON!$T$2:$T$1214&gt;=DATE(YEAR(TODAY())-1,MONTH(TODAY()),DAY(TODAY())))*(BRON!$T$2:$T$1214&lt;=TODAY()))</f>
        <v>0</v>
      </c>
    </row>
    <row r="321" spans="1:7" x14ac:dyDescent="0.25">
      <c r="A321" s="34" t="s">
        <v>2449</v>
      </c>
      <c r="B321" s="34" t="s">
        <v>2448</v>
      </c>
      <c r="C321">
        <v>36429</v>
      </c>
      <c r="D321" s="34" t="s">
        <v>3851</v>
      </c>
      <c r="E321" s="3">
        <v>44312.083333333299</v>
      </c>
      <c r="F321" s="35">
        <f t="shared" ca="1" si="4"/>
        <v>4</v>
      </c>
      <c r="G321" s="42" cm="1">
        <f t="array" aca="1" ref="G321" ca="1">SUMPRODUCT((BRON!$A$2:$A$1214=Table1[[#This Row],[Personeelsnummer]])*(BRON!$T$2:$T$1214&gt;=DATE(YEAR(TODAY())-1,MONTH(TODAY()),DAY(TODAY())))*(BRON!$T$2:$T$1214&lt;=TODAY()))</f>
        <v>0</v>
      </c>
    </row>
    <row r="322" spans="1:7" x14ac:dyDescent="0.25">
      <c r="A322" s="34" t="s">
        <v>3034</v>
      </c>
      <c r="B322" s="34" t="s">
        <v>3033</v>
      </c>
      <c r="C322">
        <v>36503</v>
      </c>
      <c r="D322" s="34" t="s">
        <v>3853</v>
      </c>
      <c r="E322" s="3">
        <v>44333.083333333299</v>
      </c>
      <c r="F322" s="35">
        <f t="shared" ref="F322:F385" ca="1" si="5">YEAR(TODAY()) - YEAR(E322) - (IF(DATE(YEAR(TODAY()), MONTH(E322), DAY(E322)) &gt; TODAY(), 1, 0))</f>
        <v>4</v>
      </c>
      <c r="G322" s="42" cm="1">
        <f t="array" aca="1" ref="G322" ca="1">SUMPRODUCT((BRON!$A$2:$A$1214=Table1[[#This Row],[Personeelsnummer]])*(BRON!$T$2:$T$1214&gt;=DATE(YEAR(TODAY())-1,MONTH(TODAY()),DAY(TODAY())))*(BRON!$T$2:$T$1214&lt;=TODAY()))</f>
        <v>0</v>
      </c>
    </row>
    <row r="323" spans="1:7" x14ac:dyDescent="0.25">
      <c r="A323" s="34" t="s">
        <v>1880</v>
      </c>
      <c r="B323" s="34" t="s">
        <v>1240</v>
      </c>
      <c r="C323">
        <v>36513</v>
      </c>
      <c r="D323" s="34" t="s">
        <v>3851</v>
      </c>
      <c r="E323" s="3">
        <v>44333.083333333299</v>
      </c>
      <c r="F323" s="35">
        <f t="shared" ca="1" si="5"/>
        <v>4</v>
      </c>
      <c r="G323" s="42" cm="1">
        <f t="array" aca="1" ref="G323" ca="1">SUMPRODUCT((BRON!$A$2:$A$1214=Table1[[#This Row],[Personeelsnummer]])*(BRON!$T$2:$T$1214&gt;=DATE(YEAR(TODAY())-1,MONTH(TODAY()),DAY(TODAY())))*(BRON!$T$2:$T$1214&lt;=TODAY()))</f>
        <v>1</v>
      </c>
    </row>
    <row r="324" spans="1:7" x14ac:dyDescent="0.25">
      <c r="A324" s="34" t="s">
        <v>1407</v>
      </c>
      <c r="B324" s="34" t="s">
        <v>1406</v>
      </c>
      <c r="C324">
        <v>35006</v>
      </c>
      <c r="D324" s="34" t="s">
        <v>3851</v>
      </c>
      <c r="E324" s="3">
        <v>43906.041666666701</v>
      </c>
      <c r="F324" s="35">
        <f t="shared" ca="1" si="5"/>
        <v>5</v>
      </c>
      <c r="G324" s="42" cm="1">
        <f t="array" aca="1" ref="G324" ca="1">SUMPRODUCT((BRON!$A$2:$A$1214=Table1[[#This Row],[Personeelsnummer]])*(BRON!$T$2:$T$1214&gt;=DATE(YEAR(TODAY())-1,MONTH(TODAY()),DAY(TODAY())))*(BRON!$T$2:$T$1214&lt;=TODAY()))</f>
        <v>0</v>
      </c>
    </row>
    <row r="325" spans="1:7" x14ac:dyDescent="0.25">
      <c r="A325" s="34" t="s">
        <v>1326</v>
      </c>
      <c r="B325" s="34" t="s">
        <v>2995</v>
      </c>
      <c r="C325">
        <v>35107</v>
      </c>
      <c r="D325" s="34" t="s">
        <v>3854</v>
      </c>
      <c r="E325" s="3">
        <v>43864.041666666701</v>
      </c>
      <c r="F325" s="35">
        <f t="shared" ca="1" si="5"/>
        <v>5</v>
      </c>
      <c r="G325" s="42" cm="1">
        <f t="array" aca="1" ref="G325" ca="1">SUMPRODUCT((BRON!$A$2:$A$1214=Table1[[#This Row],[Personeelsnummer]])*(BRON!$T$2:$T$1214&gt;=DATE(YEAR(TODAY())-1,MONTH(TODAY()),DAY(TODAY())))*(BRON!$T$2:$T$1214&lt;=TODAY()))</f>
        <v>0</v>
      </c>
    </row>
    <row r="326" spans="1:7" x14ac:dyDescent="0.25">
      <c r="A326" s="34" t="s">
        <v>3105</v>
      </c>
      <c r="B326" s="34" t="s">
        <v>3108</v>
      </c>
      <c r="C326">
        <v>35120</v>
      </c>
      <c r="D326" s="34" t="s">
        <v>3857</v>
      </c>
      <c r="E326" s="3">
        <v>43878.041666666701</v>
      </c>
      <c r="F326" s="35">
        <f t="shared" ca="1" si="5"/>
        <v>5</v>
      </c>
      <c r="G326" s="42" cm="1">
        <f t="array" aca="1" ref="G326" ca="1">SUMPRODUCT((BRON!$A$2:$A$1214=Table1[[#This Row],[Personeelsnummer]])*(BRON!$T$2:$T$1214&gt;=DATE(YEAR(TODAY())-1,MONTH(TODAY()),DAY(TODAY())))*(BRON!$T$2:$T$1214&lt;=TODAY()))</f>
        <v>0</v>
      </c>
    </row>
    <row r="327" spans="1:7" x14ac:dyDescent="0.25">
      <c r="A327" s="34" t="s">
        <v>2931</v>
      </c>
      <c r="B327" s="34" t="s">
        <v>2936</v>
      </c>
      <c r="C327">
        <v>35187</v>
      </c>
      <c r="D327" s="34" t="s">
        <v>3855</v>
      </c>
      <c r="E327" s="3">
        <v>43891.041666666701</v>
      </c>
      <c r="F327" s="35">
        <f t="shared" ca="1" si="5"/>
        <v>5</v>
      </c>
      <c r="G327" s="42" cm="1">
        <f t="array" aca="1" ref="G327" ca="1">SUMPRODUCT((BRON!$A$2:$A$1214=Table1[[#This Row],[Personeelsnummer]])*(BRON!$T$2:$T$1214&gt;=DATE(YEAR(TODAY())-1,MONTH(TODAY()),DAY(TODAY())))*(BRON!$T$2:$T$1214&lt;=TODAY()))</f>
        <v>0</v>
      </c>
    </row>
    <row r="328" spans="1:7" x14ac:dyDescent="0.25">
      <c r="A328" s="34" t="s">
        <v>3299</v>
      </c>
      <c r="B328" s="34" t="s">
        <v>3298</v>
      </c>
      <c r="C328">
        <v>35434</v>
      </c>
      <c r="D328" s="34" t="s">
        <v>3859</v>
      </c>
      <c r="E328" s="3">
        <v>44081.083333333299</v>
      </c>
      <c r="F328" s="35">
        <f t="shared" ca="1" si="5"/>
        <v>5</v>
      </c>
      <c r="G328" s="42" cm="1">
        <f t="array" aca="1" ref="G328" ca="1">SUMPRODUCT((BRON!$A$2:$A$1214=Table1[[#This Row],[Personeelsnummer]])*(BRON!$T$2:$T$1214&gt;=DATE(YEAR(TODAY())-1,MONTH(TODAY()),DAY(TODAY())))*(BRON!$T$2:$T$1214&lt;=TODAY()))</f>
        <v>0</v>
      </c>
    </row>
    <row r="329" spans="1:7" x14ac:dyDescent="0.25">
      <c r="A329" s="34" t="s">
        <v>2288</v>
      </c>
      <c r="B329" s="34" t="s">
        <v>2287</v>
      </c>
      <c r="C329">
        <v>35493</v>
      </c>
      <c r="D329" s="34" t="s">
        <v>3855</v>
      </c>
      <c r="E329" s="3">
        <v>44039.083333333299</v>
      </c>
      <c r="F329" s="35">
        <f t="shared" ca="1" si="5"/>
        <v>5</v>
      </c>
      <c r="G329" s="42" cm="1">
        <f t="array" aca="1" ref="G329" ca="1">SUMPRODUCT((BRON!$A$2:$A$1214=Table1[[#This Row],[Personeelsnummer]])*(BRON!$T$2:$T$1214&gt;=DATE(YEAR(TODAY())-1,MONTH(TODAY()),DAY(TODAY())))*(BRON!$T$2:$T$1214&lt;=TODAY()))</f>
        <v>0</v>
      </c>
    </row>
    <row r="330" spans="1:7" x14ac:dyDescent="0.25">
      <c r="A330" s="34" t="s">
        <v>1448</v>
      </c>
      <c r="B330" s="34" t="s">
        <v>1447</v>
      </c>
      <c r="C330">
        <v>35598</v>
      </c>
      <c r="D330" s="34" t="s">
        <v>3859</v>
      </c>
      <c r="E330" s="3">
        <v>44039.083333333299</v>
      </c>
      <c r="F330" s="35">
        <f t="shared" ca="1" si="5"/>
        <v>5</v>
      </c>
      <c r="G330" s="42" cm="1">
        <f t="array" aca="1" ref="G330" ca="1">SUMPRODUCT((BRON!$A$2:$A$1214=Table1[[#This Row],[Personeelsnummer]])*(BRON!$T$2:$T$1214&gt;=DATE(YEAR(TODAY())-1,MONTH(TODAY()),DAY(TODAY())))*(BRON!$T$2:$T$1214&lt;=TODAY()))</f>
        <v>0</v>
      </c>
    </row>
    <row r="331" spans="1:7" x14ac:dyDescent="0.25">
      <c r="A331" s="34" t="s">
        <v>1760</v>
      </c>
      <c r="B331" s="34" t="s">
        <v>1759</v>
      </c>
      <c r="C331">
        <v>35709</v>
      </c>
      <c r="D331" s="34" t="s">
        <v>3856</v>
      </c>
      <c r="E331" s="3">
        <v>44075.083333333299</v>
      </c>
      <c r="F331" s="35">
        <f t="shared" ca="1" si="5"/>
        <v>5</v>
      </c>
      <c r="G331" s="42" cm="1">
        <f t="array" aca="1" ref="G331" ca="1">SUMPRODUCT((BRON!$A$2:$A$1214=Table1[[#This Row],[Personeelsnummer]])*(BRON!$T$2:$T$1214&gt;=DATE(YEAR(TODAY())-1,MONTH(TODAY()),DAY(TODAY())))*(BRON!$T$2:$T$1214&lt;=TODAY()))</f>
        <v>0</v>
      </c>
    </row>
    <row r="332" spans="1:7" x14ac:dyDescent="0.25">
      <c r="A332" s="34" t="s">
        <v>3442</v>
      </c>
      <c r="B332" s="34" t="s">
        <v>3441</v>
      </c>
      <c r="C332">
        <v>35055</v>
      </c>
      <c r="D332" s="34" t="s">
        <v>3856</v>
      </c>
      <c r="E332" s="3">
        <v>43864.041666666701</v>
      </c>
      <c r="F332" s="35">
        <f t="shared" ca="1" si="5"/>
        <v>5</v>
      </c>
      <c r="G332" s="42" cm="1">
        <f t="array" aca="1" ref="G332" ca="1">SUMPRODUCT((BRON!$A$2:$A$1214=Table1[[#This Row],[Personeelsnummer]])*(BRON!$T$2:$T$1214&gt;=DATE(YEAR(TODAY())-1,MONTH(TODAY()),DAY(TODAY())))*(BRON!$T$2:$T$1214&lt;=TODAY()))</f>
        <v>0</v>
      </c>
    </row>
    <row r="333" spans="1:7" x14ac:dyDescent="0.25">
      <c r="A333" s="34" t="s">
        <v>549</v>
      </c>
      <c r="B333" s="34" t="s">
        <v>1439</v>
      </c>
      <c r="C333">
        <v>34385</v>
      </c>
      <c r="D333" s="34" t="s">
        <v>3852</v>
      </c>
      <c r="E333" s="3">
        <v>43697.083333333299</v>
      </c>
      <c r="F333" s="35">
        <f t="shared" ca="1" si="5"/>
        <v>6</v>
      </c>
      <c r="G333" s="42" cm="1">
        <f t="array" aca="1" ref="G333" ca="1">SUMPRODUCT((BRON!$A$2:$A$1214=Table1[[#This Row],[Personeelsnummer]])*(BRON!$T$2:$T$1214&gt;=DATE(YEAR(TODAY())-1,MONTH(TODAY()),DAY(TODAY())))*(BRON!$T$2:$T$1214&lt;=TODAY()))</f>
        <v>0</v>
      </c>
    </row>
    <row r="334" spans="1:7" x14ac:dyDescent="0.25">
      <c r="A334" s="34" t="s">
        <v>3151</v>
      </c>
      <c r="B334" s="34" t="s">
        <v>3150</v>
      </c>
      <c r="C334">
        <v>33450</v>
      </c>
      <c r="D334" s="34" t="s">
        <v>3851</v>
      </c>
      <c r="E334" s="3">
        <v>43472.041666666701</v>
      </c>
      <c r="F334" s="35">
        <f t="shared" ca="1" si="5"/>
        <v>6</v>
      </c>
      <c r="G334" s="42" cm="1">
        <f t="array" aca="1" ref="G334" ca="1">SUMPRODUCT((BRON!$A$2:$A$1214=Table1[[#This Row],[Personeelsnummer]])*(BRON!$T$2:$T$1214&gt;=DATE(YEAR(TODAY())-1,MONTH(TODAY()),DAY(TODAY())))*(BRON!$T$2:$T$1214&lt;=TODAY()))</f>
        <v>1</v>
      </c>
    </row>
    <row r="335" spans="1:7" x14ac:dyDescent="0.25">
      <c r="A335" s="34" t="s">
        <v>2453</v>
      </c>
      <c r="B335" s="34" t="s">
        <v>2456</v>
      </c>
      <c r="C335">
        <v>34044</v>
      </c>
      <c r="D335" s="34" t="s">
        <v>3853</v>
      </c>
      <c r="E335" s="3">
        <v>43640.083333333299</v>
      </c>
      <c r="F335" s="35">
        <f t="shared" ca="1" si="5"/>
        <v>6</v>
      </c>
      <c r="G335" s="42" cm="1">
        <f t="array" aca="1" ref="G335" ca="1">SUMPRODUCT((BRON!$A$2:$A$1214=Table1[[#This Row],[Personeelsnummer]])*(BRON!$T$2:$T$1214&gt;=DATE(YEAR(TODAY())-1,MONTH(TODAY()),DAY(TODAY())))*(BRON!$T$2:$T$1214&lt;=TODAY()))</f>
        <v>0</v>
      </c>
    </row>
    <row r="336" spans="1:7" x14ac:dyDescent="0.25">
      <c r="A336" s="34" t="s">
        <v>2141</v>
      </c>
      <c r="B336" s="34" t="s">
        <v>2140</v>
      </c>
      <c r="C336">
        <v>34286</v>
      </c>
      <c r="D336" s="34" t="s">
        <v>3858</v>
      </c>
      <c r="E336" s="3">
        <v>43724.083333333299</v>
      </c>
      <c r="F336" s="35">
        <f t="shared" ca="1" si="5"/>
        <v>6</v>
      </c>
      <c r="G336" s="42" cm="1">
        <f t="array" aca="1" ref="G336" ca="1">SUMPRODUCT((BRON!$A$2:$A$1214=Table1[[#This Row],[Personeelsnummer]])*(BRON!$T$2:$T$1214&gt;=DATE(YEAR(TODAY())-1,MONTH(TODAY()),DAY(TODAY())))*(BRON!$T$2:$T$1214&lt;=TODAY()))</f>
        <v>0</v>
      </c>
    </row>
    <row r="337" spans="1:7" x14ac:dyDescent="0.25">
      <c r="A337" s="34" t="s">
        <v>1960</v>
      </c>
      <c r="B337" s="34" t="s">
        <v>1967</v>
      </c>
      <c r="C337">
        <v>32369</v>
      </c>
      <c r="D337" s="34" t="s">
        <v>3856</v>
      </c>
      <c r="E337" s="3">
        <v>43108.041666666701</v>
      </c>
      <c r="F337" s="35">
        <f t="shared" ca="1" si="5"/>
        <v>7</v>
      </c>
      <c r="G337" s="42" cm="1">
        <f t="array" aca="1" ref="G337" ca="1">SUMPRODUCT((BRON!$A$2:$A$1214=Table1[[#This Row],[Personeelsnummer]])*(BRON!$T$2:$T$1214&gt;=DATE(YEAR(TODAY())-1,MONTH(TODAY()),DAY(TODAY())))*(BRON!$T$2:$T$1214&lt;=TODAY()))</f>
        <v>0</v>
      </c>
    </row>
    <row r="338" spans="1:7" x14ac:dyDescent="0.25">
      <c r="A338" s="34" t="s">
        <v>2462</v>
      </c>
      <c r="B338" s="34" t="s">
        <v>2468</v>
      </c>
      <c r="C338">
        <v>32542</v>
      </c>
      <c r="D338" s="34" t="s">
        <v>3859</v>
      </c>
      <c r="E338" s="3">
        <v>43150.041666666701</v>
      </c>
      <c r="F338" s="35">
        <f t="shared" ca="1" si="5"/>
        <v>7</v>
      </c>
      <c r="G338" s="42" cm="1">
        <f t="array" aca="1" ref="G338" ca="1">SUMPRODUCT((BRON!$A$2:$A$1214=Table1[[#This Row],[Personeelsnummer]])*(BRON!$T$2:$T$1214&gt;=DATE(YEAR(TODAY())-1,MONTH(TODAY()),DAY(TODAY())))*(BRON!$T$2:$T$1214&lt;=TODAY()))</f>
        <v>1</v>
      </c>
    </row>
    <row r="339" spans="1:7" x14ac:dyDescent="0.25">
      <c r="A339" s="34" t="s">
        <v>2615</v>
      </c>
      <c r="B339" s="34" t="s">
        <v>2614</v>
      </c>
      <c r="C339">
        <v>31689</v>
      </c>
      <c r="D339" s="34" t="s">
        <v>3858</v>
      </c>
      <c r="E339" s="3">
        <v>42892.083333333299</v>
      </c>
      <c r="F339" s="35">
        <f t="shared" ca="1" si="5"/>
        <v>8</v>
      </c>
      <c r="G339" s="42" cm="1">
        <f t="array" aca="1" ref="G339" ca="1">SUMPRODUCT((BRON!$A$2:$A$1214=Table1[[#This Row],[Personeelsnummer]])*(BRON!$T$2:$T$1214&gt;=DATE(YEAR(TODAY())-1,MONTH(TODAY()),DAY(TODAY())))*(BRON!$T$2:$T$1214&lt;=TODAY()))</f>
        <v>0</v>
      </c>
    </row>
    <row r="340" spans="1:7" x14ac:dyDescent="0.25">
      <c r="A340" s="34" t="s">
        <v>1377</v>
      </c>
      <c r="B340" s="34" t="s">
        <v>1376</v>
      </c>
      <c r="C340">
        <v>32168</v>
      </c>
      <c r="D340" s="34" t="s">
        <v>3851</v>
      </c>
      <c r="E340" s="3">
        <v>43045.041666666701</v>
      </c>
      <c r="F340" s="35">
        <f t="shared" ca="1" si="5"/>
        <v>8</v>
      </c>
      <c r="G340" s="42" cm="1">
        <f t="array" aca="1" ref="G340" ca="1">SUMPRODUCT((BRON!$A$2:$A$1214=Table1[[#This Row],[Personeelsnummer]])*(BRON!$T$2:$T$1214&gt;=DATE(YEAR(TODAY())-1,MONTH(TODAY()),DAY(TODAY())))*(BRON!$T$2:$T$1214&lt;=TODAY()))</f>
        <v>0</v>
      </c>
    </row>
    <row r="341" spans="1:7" x14ac:dyDescent="0.25">
      <c r="A341" s="34" t="s">
        <v>2188</v>
      </c>
      <c r="B341" s="34" t="s">
        <v>2187</v>
      </c>
      <c r="C341">
        <v>31635</v>
      </c>
      <c r="D341" s="34" t="s">
        <v>3856</v>
      </c>
      <c r="E341" s="3">
        <v>42863.083333333299</v>
      </c>
      <c r="F341" s="35">
        <f t="shared" ca="1" si="5"/>
        <v>8</v>
      </c>
      <c r="G341" s="42" cm="1">
        <f t="array" aca="1" ref="G341" ca="1">SUMPRODUCT((BRON!$A$2:$A$1214=Table1[[#This Row],[Personeelsnummer]])*(BRON!$T$2:$T$1214&gt;=DATE(YEAR(TODAY())-1,MONTH(TODAY()),DAY(TODAY())))*(BRON!$T$2:$T$1214&lt;=TODAY()))</f>
        <v>0</v>
      </c>
    </row>
    <row r="342" spans="1:7" x14ac:dyDescent="0.25">
      <c r="A342" s="34" t="s">
        <v>2284</v>
      </c>
      <c r="B342" s="34" t="s">
        <v>2283</v>
      </c>
      <c r="C342">
        <v>31731</v>
      </c>
      <c r="D342" s="34" t="s">
        <v>3856</v>
      </c>
      <c r="E342" s="3">
        <v>42919.083333333299</v>
      </c>
      <c r="F342" s="35">
        <f t="shared" ca="1" si="5"/>
        <v>8</v>
      </c>
      <c r="G342" s="42" cm="1">
        <f t="array" aca="1" ref="G342" ca="1">SUMPRODUCT((BRON!$A$2:$A$1214=Table1[[#This Row],[Personeelsnummer]])*(BRON!$T$2:$T$1214&gt;=DATE(YEAR(TODAY())-1,MONTH(TODAY()),DAY(TODAY())))*(BRON!$T$2:$T$1214&lt;=TODAY()))</f>
        <v>0</v>
      </c>
    </row>
    <row r="343" spans="1:7" x14ac:dyDescent="0.25">
      <c r="A343" s="34" t="s">
        <v>1347</v>
      </c>
      <c r="B343" s="34" t="s">
        <v>2412</v>
      </c>
      <c r="C343">
        <v>31733</v>
      </c>
      <c r="D343" s="34" t="s">
        <v>3859</v>
      </c>
      <c r="E343" s="3">
        <v>42919.083333333299</v>
      </c>
      <c r="F343" s="35">
        <f t="shared" ca="1" si="5"/>
        <v>8</v>
      </c>
      <c r="G343" s="42" cm="1">
        <f t="array" aca="1" ref="G343" ca="1">SUMPRODUCT((BRON!$A$2:$A$1214=Table1[[#This Row],[Personeelsnummer]])*(BRON!$T$2:$T$1214&gt;=DATE(YEAR(TODAY())-1,MONTH(TODAY()),DAY(TODAY())))*(BRON!$T$2:$T$1214&lt;=TODAY()))</f>
        <v>0</v>
      </c>
    </row>
    <row r="344" spans="1:7" x14ac:dyDescent="0.25">
      <c r="A344" s="34" t="s">
        <v>2562</v>
      </c>
      <c r="B344" s="34" t="s">
        <v>2565</v>
      </c>
      <c r="C344">
        <v>30901</v>
      </c>
      <c r="D344" s="34" t="s">
        <v>3857</v>
      </c>
      <c r="E344" s="3">
        <v>42534.083333333299</v>
      </c>
      <c r="F344" s="35">
        <f t="shared" ca="1" si="5"/>
        <v>9</v>
      </c>
      <c r="G344" s="42" cm="1">
        <f t="array" aca="1" ref="G344" ca="1">SUMPRODUCT((BRON!$A$2:$A$1214=Table1[[#This Row],[Personeelsnummer]])*(BRON!$T$2:$T$1214&gt;=DATE(YEAR(TODAY())-1,MONTH(TODAY()),DAY(TODAY())))*(BRON!$T$2:$T$1214&lt;=TODAY()))</f>
        <v>0</v>
      </c>
    </row>
    <row r="345" spans="1:7" x14ac:dyDescent="0.25">
      <c r="A345" s="34" t="s">
        <v>2453</v>
      </c>
      <c r="B345" s="34" t="s">
        <v>2459</v>
      </c>
      <c r="C345">
        <v>31092</v>
      </c>
      <c r="D345" s="34" t="s">
        <v>3855</v>
      </c>
      <c r="E345" s="3">
        <v>42604.083333333299</v>
      </c>
      <c r="F345" s="35">
        <f t="shared" ca="1" si="5"/>
        <v>9</v>
      </c>
      <c r="G345" s="42" cm="1">
        <f t="array" aca="1" ref="G345" ca="1">SUMPRODUCT((BRON!$A$2:$A$1214=Table1[[#This Row],[Personeelsnummer]])*(BRON!$T$2:$T$1214&gt;=DATE(YEAR(TODAY())-1,MONTH(TODAY()),DAY(TODAY())))*(BRON!$T$2:$T$1214&lt;=TODAY()))</f>
        <v>0</v>
      </c>
    </row>
    <row r="346" spans="1:7" x14ac:dyDescent="0.25">
      <c r="A346" s="34" t="s">
        <v>2057</v>
      </c>
      <c r="B346" s="34" t="s">
        <v>2056</v>
      </c>
      <c r="C346">
        <v>31111</v>
      </c>
      <c r="D346" s="34" t="s">
        <v>3856</v>
      </c>
      <c r="E346" s="3">
        <v>42604.083333333299</v>
      </c>
      <c r="F346" s="35">
        <f t="shared" ca="1" si="5"/>
        <v>9</v>
      </c>
      <c r="G346" s="42" cm="1">
        <f t="array" aca="1" ref="G346" ca="1">SUMPRODUCT((BRON!$A$2:$A$1214=Table1[[#This Row],[Personeelsnummer]])*(BRON!$T$2:$T$1214&gt;=DATE(YEAR(TODAY())-1,MONTH(TODAY()),DAY(TODAY())))*(BRON!$T$2:$T$1214&lt;=TODAY()))</f>
        <v>0</v>
      </c>
    </row>
    <row r="347" spans="1:7" x14ac:dyDescent="0.25">
      <c r="A347" s="34" t="s">
        <v>2631</v>
      </c>
      <c r="B347" s="34" t="s">
        <v>2634</v>
      </c>
      <c r="C347">
        <v>29540</v>
      </c>
      <c r="D347" s="34" t="s">
        <v>3855</v>
      </c>
      <c r="E347" s="3">
        <v>41981.041666666701</v>
      </c>
      <c r="F347" s="35">
        <f t="shared" ca="1" si="5"/>
        <v>10</v>
      </c>
      <c r="G347" s="42" cm="1">
        <f t="array" aca="1" ref="G347" ca="1">SUMPRODUCT((BRON!$A$2:$A$1214=Table1[[#This Row],[Personeelsnummer]])*(BRON!$T$2:$T$1214&gt;=DATE(YEAR(TODAY())-1,MONTH(TODAY()),DAY(TODAY())))*(BRON!$T$2:$T$1214&lt;=TODAY()))</f>
        <v>0</v>
      </c>
    </row>
    <row r="348" spans="1:7" x14ac:dyDescent="0.25">
      <c r="A348" s="34" t="s">
        <v>2901</v>
      </c>
      <c r="B348" s="34" t="s">
        <v>2900</v>
      </c>
      <c r="C348">
        <v>29821</v>
      </c>
      <c r="D348" s="34" t="s">
        <v>3859</v>
      </c>
      <c r="E348" s="3">
        <v>42121.083333333299</v>
      </c>
      <c r="F348" s="35">
        <f t="shared" ca="1" si="5"/>
        <v>10</v>
      </c>
      <c r="G348" s="42" cm="1">
        <f t="array" aca="1" ref="G348" ca="1">SUMPRODUCT((BRON!$A$2:$A$1214=Table1[[#This Row],[Personeelsnummer]])*(BRON!$T$2:$T$1214&gt;=DATE(YEAR(TODAY())-1,MONTH(TODAY()),DAY(TODAY())))*(BRON!$T$2:$T$1214&lt;=TODAY()))</f>
        <v>0</v>
      </c>
    </row>
    <row r="349" spans="1:7" x14ac:dyDescent="0.25">
      <c r="A349" s="34" t="s">
        <v>1330</v>
      </c>
      <c r="B349" s="34" t="s">
        <v>2674</v>
      </c>
      <c r="C349">
        <v>28717</v>
      </c>
      <c r="D349" s="34" t="s">
        <v>3855</v>
      </c>
      <c r="E349" s="3">
        <v>41659.041666666701</v>
      </c>
      <c r="F349" s="35">
        <f t="shared" ca="1" si="5"/>
        <v>11</v>
      </c>
      <c r="G349" s="42" cm="1">
        <f t="array" aca="1" ref="G349" ca="1">SUMPRODUCT((BRON!$A$2:$A$1214=Table1[[#This Row],[Personeelsnummer]])*(BRON!$T$2:$T$1214&gt;=DATE(YEAR(TODAY())-1,MONTH(TODAY()),DAY(TODAY())))*(BRON!$T$2:$T$1214&lt;=TODAY()))</f>
        <v>0</v>
      </c>
    </row>
    <row r="350" spans="1:7" x14ac:dyDescent="0.25">
      <c r="A350" s="34" t="s">
        <v>2061</v>
      </c>
      <c r="B350" s="34" t="s">
        <v>2060</v>
      </c>
      <c r="C350">
        <v>28794</v>
      </c>
      <c r="D350" s="34" t="s">
        <v>3855</v>
      </c>
      <c r="E350" s="3">
        <v>41701.041666666701</v>
      </c>
      <c r="F350" s="35">
        <f t="shared" ca="1" si="5"/>
        <v>11</v>
      </c>
      <c r="G350" s="42" cm="1">
        <f t="array" aca="1" ref="G350" ca="1">SUMPRODUCT((BRON!$A$2:$A$1214=Table1[[#This Row],[Personeelsnummer]])*(BRON!$T$2:$T$1214&gt;=DATE(YEAR(TODAY())-1,MONTH(TODAY()),DAY(TODAY())))*(BRON!$T$2:$T$1214&lt;=TODAY()))</f>
        <v>0</v>
      </c>
    </row>
    <row r="351" spans="1:7" x14ac:dyDescent="0.25">
      <c r="A351" s="34" t="s">
        <v>2045</v>
      </c>
      <c r="B351" s="34" t="s">
        <v>2044</v>
      </c>
      <c r="C351">
        <v>28830</v>
      </c>
      <c r="D351" s="34" t="s">
        <v>3853</v>
      </c>
      <c r="E351" s="3">
        <v>41722.041666666701</v>
      </c>
      <c r="F351" s="35">
        <f t="shared" ca="1" si="5"/>
        <v>11</v>
      </c>
      <c r="G351" s="42" cm="1">
        <f t="array" aca="1" ref="G351" ca="1">SUMPRODUCT((BRON!$A$2:$A$1214=Table1[[#This Row],[Personeelsnummer]])*(BRON!$T$2:$T$1214&gt;=DATE(YEAR(TODAY())-1,MONTH(TODAY()),DAY(TODAY())))*(BRON!$T$2:$T$1214&lt;=TODAY()))</f>
        <v>0</v>
      </c>
    </row>
    <row r="352" spans="1:7" x14ac:dyDescent="0.25">
      <c r="A352" s="34" t="s">
        <v>3203</v>
      </c>
      <c r="B352" s="34" t="s">
        <v>3202</v>
      </c>
      <c r="C352">
        <v>29477</v>
      </c>
      <c r="D352" s="34" t="s">
        <v>3855</v>
      </c>
      <c r="E352" s="3">
        <v>41946.041666666701</v>
      </c>
      <c r="F352" s="35">
        <f t="shared" ca="1" si="5"/>
        <v>11</v>
      </c>
      <c r="G352" s="42" cm="1">
        <f t="array" aca="1" ref="G352" ca="1">SUMPRODUCT((BRON!$A$2:$A$1214=Table1[[#This Row],[Personeelsnummer]])*(BRON!$T$2:$T$1214&gt;=DATE(YEAR(TODAY())-1,MONTH(TODAY()),DAY(TODAY())))*(BRON!$T$2:$T$1214&lt;=TODAY()))</f>
        <v>1</v>
      </c>
    </row>
    <row r="353" spans="1:7" x14ac:dyDescent="0.25">
      <c r="A353" s="34" t="s">
        <v>2982</v>
      </c>
      <c r="B353" s="34" t="s">
        <v>2981</v>
      </c>
      <c r="C353">
        <v>29179</v>
      </c>
      <c r="D353" s="34" t="s">
        <v>3857</v>
      </c>
      <c r="E353" s="3">
        <v>41827.083333333299</v>
      </c>
      <c r="F353" s="35">
        <f t="shared" ca="1" si="5"/>
        <v>11</v>
      </c>
      <c r="G353" s="42" cm="1">
        <f t="array" aca="1" ref="G353" ca="1">SUMPRODUCT((BRON!$A$2:$A$1214=Table1[[#This Row],[Personeelsnummer]])*(BRON!$T$2:$T$1214&gt;=DATE(YEAR(TODAY())-1,MONTH(TODAY()),DAY(TODAY())))*(BRON!$T$2:$T$1214&lt;=TODAY()))</f>
        <v>1</v>
      </c>
    </row>
    <row r="354" spans="1:7" x14ac:dyDescent="0.25">
      <c r="A354" s="34" t="s">
        <v>3112</v>
      </c>
      <c r="B354" s="34" t="s">
        <v>3111</v>
      </c>
      <c r="C354">
        <v>27635</v>
      </c>
      <c r="D354" s="34" t="s">
        <v>3851</v>
      </c>
      <c r="E354" s="3">
        <v>41176.083333333299</v>
      </c>
      <c r="F354" s="35">
        <f t="shared" ca="1" si="5"/>
        <v>13</v>
      </c>
      <c r="G354" s="42" cm="1">
        <f t="array" aca="1" ref="G354" ca="1">SUMPRODUCT((BRON!$A$2:$A$1214=Table1[[#This Row],[Personeelsnummer]])*(BRON!$T$2:$T$1214&gt;=DATE(YEAR(TODAY())-1,MONTH(TODAY()),DAY(TODAY())))*(BRON!$T$2:$T$1214&lt;=TODAY()))</f>
        <v>0</v>
      </c>
    </row>
    <row r="355" spans="1:7" x14ac:dyDescent="0.25">
      <c r="A355" s="34" t="s">
        <v>1351</v>
      </c>
      <c r="B355" s="34" t="s">
        <v>3282</v>
      </c>
      <c r="C355">
        <v>27713</v>
      </c>
      <c r="D355" s="34" t="s">
        <v>3857</v>
      </c>
      <c r="E355" s="3">
        <v>41218.041666666701</v>
      </c>
      <c r="F355" s="35">
        <f t="shared" ca="1" si="5"/>
        <v>13</v>
      </c>
      <c r="G355" s="42" cm="1">
        <f t="array" aca="1" ref="G355" ca="1">SUMPRODUCT((BRON!$A$2:$A$1214=Table1[[#This Row],[Personeelsnummer]])*(BRON!$T$2:$T$1214&gt;=DATE(YEAR(TODAY())-1,MONTH(TODAY()),DAY(TODAY())))*(BRON!$T$2:$T$1214&lt;=TODAY()))</f>
        <v>0</v>
      </c>
    </row>
    <row r="356" spans="1:7" x14ac:dyDescent="0.25">
      <c r="A356" s="34" t="s">
        <v>3181</v>
      </c>
      <c r="B356" s="34" t="s">
        <v>3187</v>
      </c>
      <c r="C356">
        <v>25993</v>
      </c>
      <c r="D356" s="34" t="s">
        <v>3853</v>
      </c>
      <c r="E356" s="3">
        <v>40567.041666666701</v>
      </c>
      <c r="F356" s="35">
        <f t="shared" ca="1" si="5"/>
        <v>14</v>
      </c>
      <c r="G356" s="42" cm="1">
        <f t="array" aca="1" ref="G356" ca="1">SUMPRODUCT((BRON!$A$2:$A$1214=Table1[[#This Row],[Personeelsnummer]])*(BRON!$T$2:$T$1214&gt;=DATE(YEAR(TODAY())-1,MONTH(TODAY()),DAY(TODAY())))*(BRON!$T$2:$T$1214&lt;=TODAY()))</f>
        <v>0</v>
      </c>
    </row>
    <row r="357" spans="1:7" x14ac:dyDescent="0.25">
      <c r="A357" s="34" t="s">
        <v>2277</v>
      </c>
      <c r="B357" s="34" t="s">
        <v>2276</v>
      </c>
      <c r="C357">
        <v>25994</v>
      </c>
      <c r="D357" s="34" t="s">
        <v>3857</v>
      </c>
      <c r="E357" s="3">
        <v>40567.041666666701</v>
      </c>
      <c r="F357" s="35">
        <f t="shared" ca="1" si="5"/>
        <v>14</v>
      </c>
      <c r="G357" s="42" cm="1">
        <f t="array" aca="1" ref="G357" ca="1">SUMPRODUCT((BRON!$A$2:$A$1214=Table1[[#This Row],[Personeelsnummer]])*(BRON!$T$2:$T$1214&gt;=DATE(YEAR(TODAY())-1,MONTH(TODAY()),DAY(TODAY())))*(BRON!$T$2:$T$1214&lt;=TODAY()))</f>
        <v>0</v>
      </c>
    </row>
    <row r="358" spans="1:7" x14ac:dyDescent="0.25">
      <c r="A358" s="34" t="s">
        <v>2592</v>
      </c>
      <c r="B358" s="34" t="s">
        <v>2591</v>
      </c>
      <c r="C358">
        <v>26102</v>
      </c>
      <c r="D358" s="34" t="s">
        <v>3857</v>
      </c>
      <c r="E358" s="3">
        <v>40602.041666666701</v>
      </c>
      <c r="F358" s="35">
        <f t="shared" ca="1" si="5"/>
        <v>14</v>
      </c>
      <c r="G358" s="42" cm="1">
        <f t="array" aca="1" ref="G358" ca="1">SUMPRODUCT((BRON!$A$2:$A$1214=Table1[[#This Row],[Personeelsnummer]])*(BRON!$T$2:$T$1214&gt;=DATE(YEAR(TODAY())-1,MONTH(TODAY()),DAY(TODAY())))*(BRON!$T$2:$T$1214&lt;=TODAY()))</f>
        <v>0</v>
      </c>
    </row>
    <row r="359" spans="1:7" x14ac:dyDescent="0.25">
      <c r="A359" s="34" t="s">
        <v>2114</v>
      </c>
      <c r="B359" s="34" t="s">
        <v>2096</v>
      </c>
      <c r="C359">
        <v>26266</v>
      </c>
      <c r="D359" s="34" t="s">
        <v>3856</v>
      </c>
      <c r="E359" s="3">
        <v>40658.083333333299</v>
      </c>
      <c r="F359" s="35">
        <f t="shared" ca="1" si="5"/>
        <v>14</v>
      </c>
      <c r="G359" s="42" cm="1">
        <f t="array" aca="1" ref="G359" ca="1">SUMPRODUCT((BRON!$A$2:$A$1214=Table1[[#This Row],[Personeelsnummer]])*(BRON!$T$2:$T$1214&gt;=DATE(YEAR(TODAY())-1,MONTH(TODAY()),DAY(TODAY())))*(BRON!$T$2:$T$1214&lt;=TODAY()))</f>
        <v>0</v>
      </c>
    </row>
    <row r="360" spans="1:7" x14ac:dyDescent="0.25">
      <c r="A360" s="34" t="s">
        <v>1328</v>
      </c>
      <c r="B360" s="34" t="s">
        <v>1640</v>
      </c>
      <c r="C360">
        <v>26384</v>
      </c>
      <c r="D360" s="34" t="s">
        <v>3857</v>
      </c>
      <c r="E360" s="3">
        <v>40700.083333333299</v>
      </c>
      <c r="F360" s="35">
        <f t="shared" ca="1" si="5"/>
        <v>14</v>
      </c>
      <c r="G360" s="42" cm="1">
        <f t="array" aca="1" ref="G360" ca="1">SUMPRODUCT((BRON!$A$2:$A$1214=Table1[[#This Row],[Personeelsnummer]])*(BRON!$T$2:$T$1214&gt;=DATE(YEAR(TODAY())-1,MONTH(TODAY()),DAY(TODAY())))*(BRON!$T$2:$T$1214&lt;=TODAY()))</f>
        <v>0</v>
      </c>
    </row>
    <row r="361" spans="1:7" x14ac:dyDescent="0.25">
      <c r="A361" s="34" t="s">
        <v>1328</v>
      </c>
      <c r="B361" s="34" t="s">
        <v>1643</v>
      </c>
      <c r="C361">
        <v>26198</v>
      </c>
      <c r="D361" s="34" t="s">
        <v>3851</v>
      </c>
      <c r="E361" s="3">
        <v>40637.083333333299</v>
      </c>
      <c r="F361" s="35">
        <f t="shared" ca="1" si="5"/>
        <v>14</v>
      </c>
      <c r="G361" s="42" cm="1">
        <f t="array" aca="1" ref="G361" ca="1">SUMPRODUCT((BRON!$A$2:$A$1214=Table1[[#This Row],[Personeelsnummer]])*(BRON!$T$2:$T$1214&gt;=DATE(YEAR(TODAY())-1,MONTH(TODAY()),DAY(TODAY())))*(BRON!$T$2:$T$1214&lt;=TODAY()))</f>
        <v>0</v>
      </c>
    </row>
    <row r="362" spans="1:7" x14ac:dyDescent="0.25">
      <c r="A362" s="34" t="s">
        <v>3310</v>
      </c>
      <c r="B362" s="34" t="s">
        <v>3309</v>
      </c>
      <c r="C362">
        <v>23790</v>
      </c>
      <c r="D362" s="34" t="s">
        <v>3859</v>
      </c>
      <c r="E362" s="3">
        <v>39923.083333333299</v>
      </c>
      <c r="F362" s="35">
        <f t="shared" ca="1" si="5"/>
        <v>16</v>
      </c>
      <c r="G362" s="42" cm="1">
        <f t="array" aca="1" ref="G362" ca="1">SUMPRODUCT((BRON!$A$2:$A$1214=Table1[[#This Row],[Personeelsnummer]])*(BRON!$T$2:$T$1214&gt;=DATE(YEAR(TODAY())-1,MONTH(TODAY()),DAY(TODAY())))*(BRON!$T$2:$T$1214&lt;=TODAY()))</f>
        <v>0</v>
      </c>
    </row>
    <row r="363" spans="1:7" x14ac:dyDescent="0.25">
      <c r="A363" s="34" t="s">
        <v>3861</v>
      </c>
      <c r="B363" s="34" t="s">
        <v>3862</v>
      </c>
      <c r="C363">
        <v>23880</v>
      </c>
      <c r="D363" s="34" t="s">
        <v>3859</v>
      </c>
      <c r="E363" s="3">
        <v>39958.083333333299</v>
      </c>
      <c r="F363" s="35">
        <f t="shared" ca="1" si="5"/>
        <v>16</v>
      </c>
      <c r="G363" s="42" cm="1">
        <f t="array" aca="1" ref="G363" ca="1">SUMPRODUCT((BRON!$A$2:$A$1214=Table1[[#This Row],[Personeelsnummer]])*(BRON!$T$2:$T$1214&gt;=DATE(YEAR(TODAY())-1,MONTH(TODAY()),DAY(TODAY())))*(BRON!$T$2:$T$1214&lt;=TODAY()))</f>
        <v>0</v>
      </c>
    </row>
    <row r="364" spans="1:7" x14ac:dyDescent="0.25">
      <c r="A364" s="34" t="s">
        <v>3064</v>
      </c>
      <c r="B364" s="34" t="s">
        <v>2096</v>
      </c>
      <c r="C364">
        <v>24472</v>
      </c>
      <c r="D364" s="34" t="s">
        <v>3859</v>
      </c>
      <c r="E364" s="3">
        <v>40049.083333333299</v>
      </c>
      <c r="F364" s="35">
        <f t="shared" ca="1" si="5"/>
        <v>16</v>
      </c>
      <c r="G364" s="42" cm="1">
        <f t="array" aca="1" ref="G364" ca="1">SUMPRODUCT((BRON!$A$2:$A$1214=Table1[[#This Row],[Personeelsnummer]])*(BRON!$T$2:$T$1214&gt;=DATE(YEAR(TODAY())-1,MONTH(TODAY()),DAY(TODAY())))*(BRON!$T$2:$T$1214&lt;=TODAY()))</f>
        <v>0</v>
      </c>
    </row>
    <row r="365" spans="1:7" x14ac:dyDescent="0.25">
      <c r="A365" s="34" t="s">
        <v>2960</v>
      </c>
      <c r="B365" s="34" t="s">
        <v>2498</v>
      </c>
      <c r="C365">
        <v>21809</v>
      </c>
      <c r="D365" s="34" t="s">
        <v>3857</v>
      </c>
      <c r="E365" s="3">
        <v>39496.041666666701</v>
      </c>
      <c r="F365" s="35">
        <f t="shared" ca="1" si="5"/>
        <v>17</v>
      </c>
      <c r="G365" s="42" cm="1">
        <f t="array" aca="1" ref="G365" ca="1">SUMPRODUCT((BRON!$A$2:$A$1214=Table1[[#This Row],[Personeelsnummer]])*(BRON!$T$2:$T$1214&gt;=DATE(YEAR(TODAY())-1,MONTH(TODAY()),DAY(TODAY())))*(BRON!$T$2:$T$1214&lt;=TODAY()))</f>
        <v>0</v>
      </c>
    </row>
    <row r="366" spans="1:7" x14ac:dyDescent="0.25">
      <c r="A366" s="34" t="s">
        <v>1907</v>
      </c>
      <c r="B366" s="34" t="s">
        <v>1906</v>
      </c>
      <c r="C366">
        <v>22625</v>
      </c>
      <c r="D366" s="34" t="s">
        <v>3854</v>
      </c>
      <c r="E366" s="3">
        <v>39643.083333333299</v>
      </c>
      <c r="F366" s="35">
        <f t="shared" ca="1" si="5"/>
        <v>17</v>
      </c>
      <c r="G366" s="42" cm="1">
        <f t="array" aca="1" ref="G366" ca="1">SUMPRODUCT((BRON!$A$2:$A$1214=Table1[[#This Row],[Personeelsnummer]])*(BRON!$T$2:$T$1214&gt;=DATE(YEAR(TODAY())-1,MONTH(TODAY()),DAY(TODAY())))*(BRON!$T$2:$T$1214&lt;=TODAY()))</f>
        <v>0</v>
      </c>
    </row>
    <row r="367" spans="1:7" x14ac:dyDescent="0.25">
      <c r="A367" s="34" t="s">
        <v>2562</v>
      </c>
      <c r="B367" s="34" t="s">
        <v>2571</v>
      </c>
      <c r="C367">
        <v>22767</v>
      </c>
      <c r="D367" s="34" t="s">
        <v>3859</v>
      </c>
      <c r="E367" s="3">
        <v>39664.083333333299</v>
      </c>
      <c r="F367" s="35">
        <f t="shared" ca="1" si="5"/>
        <v>17</v>
      </c>
      <c r="G367" s="42" cm="1">
        <f t="array" aca="1" ref="G367" ca="1">SUMPRODUCT((BRON!$A$2:$A$1214=Table1[[#This Row],[Personeelsnummer]])*(BRON!$T$2:$T$1214&gt;=DATE(YEAR(TODAY())-1,MONTH(TODAY()),DAY(TODAY())))*(BRON!$T$2:$T$1214&lt;=TODAY()))</f>
        <v>1</v>
      </c>
    </row>
    <row r="368" spans="1:7" x14ac:dyDescent="0.25">
      <c r="A368" s="34" t="s">
        <v>2374</v>
      </c>
      <c r="B368" s="34" t="s">
        <v>2373</v>
      </c>
      <c r="C368">
        <v>20375</v>
      </c>
      <c r="D368" s="34" t="s">
        <v>3859</v>
      </c>
      <c r="E368" s="3">
        <v>39132.041666666701</v>
      </c>
      <c r="F368" s="35">
        <f t="shared" ca="1" si="5"/>
        <v>18</v>
      </c>
      <c r="G368" s="42" cm="1">
        <f t="array" aca="1" ref="G368" ca="1">SUMPRODUCT((BRON!$A$2:$A$1214=Table1[[#This Row],[Personeelsnummer]])*(BRON!$T$2:$T$1214&gt;=DATE(YEAR(TODAY())-1,MONTH(TODAY()),DAY(TODAY())))*(BRON!$T$2:$T$1214&lt;=TODAY()))</f>
        <v>0</v>
      </c>
    </row>
    <row r="369" spans="1:7" x14ac:dyDescent="0.25">
      <c r="A369" s="34" t="s">
        <v>1341</v>
      </c>
      <c r="B369" s="34" t="s">
        <v>2475</v>
      </c>
      <c r="C369">
        <v>20400</v>
      </c>
      <c r="D369" s="34" t="s">
        <v>3859</v>
      </c>
      <c r="E369" s="3">
        <v>39146.041666666701</v>
      </c>
      <c r="F369" s="35">
        <f t="shared" ca="1" si="5"/>
        <v>18</v>
      </c>
      <c r="G369" s="42" cm="1">
        <f t="array" aca="1" ref="G369" ca="1">SUMPRODUCT((BRON!$A$2:$A$1214=Table1[[#This Row],[Personeelsnummer]])*(BRON!$T$2:$T$1214&gt;=DATE(YEAR(TODAY())-1,MONTH(TODAY()),DAY(TODAY())))*(BRON!$T$2:$T$1214&lt;=TODAY()))</f>
        <v>0</v>
      </c>
    </row>
    <row r="370" spans="1:7" x14ac:dyDescent="0.25">
      <c r="A370" s="34" t="s">
        <v>3092</v>
      </c>
      <c r="B370" s="34" t="s">
        <v>3101</v>
      </c>
      <c r="C370">
        <v>21124</v>
      </c>
      <c r="D370" s="34" t="s">
        <v>3853</v>
      </c>
      <c r="E370" s="3">
        <v>39286.083333333299</v>
      </c>
      <c r="F370" s="35">
        <f t="shared" ca="1" si="5"/>
        <v>18</v>
      </c>
      <c r="G370" s="42" cm="1">
        <f t="array" aca="1" ref="G370" ca="1">SUMPRODUCT((BRON!$A$2:$A$1214=Table1[[#This Row],[Personeelsnummer]])*(BRON!$T$2:$T$1214&gt;=DATE(YEAR(TODAY())-1,MONTH(TODAY()),DAY(TODAY())))*(BRON!$T$2:$T$1214&lt;=TODAY()))</f>
        <v>0</v>
      </c>
    </row>
    <row r="371" spans="1:7" x14ac:dyDescent="0.25">
      <c r="A371" s="34" t="s">
        <v>2296</v>
      </c>
      <c r="B371" s="34" t="s">
        <v>2303</v>
      </c>
      <c r="C371">
        <v>21382</v>
      </c>
      <c r="D371" s="34" t="s">
        <v>3857</v>
      </c>
      <c r="E371" s="3">
        <v>39356.083333333299</v>
      </c>
      <c r="F371" s="35">
        <f t="shared" ca="1" si="5"/>
        <v>18</v>
      </c>
      <c r="G371" s="42" cm="1">
        <f t="array" aca="1" ref="G371" ca="1">SUMPRODUCT((BRON!$A$2:$A$1214=Table1[[#This Row],[Personeelsnummer]])*(BRON!$T$2:$T$1214&gt;=DATE(YEAR(TODAY())-1,MONTH(TODAY()),DAY(TODAY())))*(BRON!$T$2:$T$1214&lt;=TODAY()))</f>
        <v>0</v>
      </c>
    </row>
    <row r="372" spans="1:7" x14ac:dyDescent="0.25">
      <c r="A372" s="34" t="s">
        <v>1341</v>
      </c>
      <c r="B372" s="34" t="s">
        <v>1376</v>
      </c>
      <c r="C372">
        <v>20404</v>
      </c>
      <c r="D372" s="34" t="s">
        <v>3853</v>
      </c>
      <c r="E372" s="3">
        <v>39146.041666666701</v>
      </c>
      <c r="F372" s="35">
        <f t="shared" ca="1" si="5"/>
        <v>18</v>
      </c>
      <c r="G372" s="42" cm="1">
        <f t="array" aca="1" ref="G372" ca="1">SUMPRODUCT((BRON!$A$2:$A$1214=Table1[[#This Row],[Personeelsnummer]])*(BRON!$T$2:$T$1214&gt;=DATE(YEAR(TODAY())-1,MONTH(TODAY()),DAY(TODAY())))*(BRON!$T$2:$T$1214&lt;=TODAY()))</f>
        <v>0</v>
      </c>
    </row>
    <row r="373" spans="1:7" x14ac:dyDescent="0.25">
      <c r="A373" s="34" t="s">
        <v>2174</v>
      </c>
      <c r="B373" s="34" t="s">
        <v>2180</v>
      </c>
      <c r="C373">
        <v>21121</v>
      </c>
      <c r="D373" s="34" t="s">
        <v>3851</v>
      </c>
      <c r="E373" s="3">
        <v>39286.083333333299</v>
      </c>
      <c r="F373" s="35">
        <f t="shared" ca="1" si="5"/>
        <v>18</v>
      </c>
      <c r="G373" s="42" cm="1">
        <f t="array" aca="1" ref="G373" ca="1">SUMPRODUCT((BRON!$A$2:$A$1214=Table1[[#This Row],[Personeelsnummer]])*(BRON!$T$2:$T$1214&gt;=DATE(YEAR(TODAY())-1,MONTH(TODAY()),DAY(TODAY())))*(BRON!$T$2:$T$1214&lt;=TODAY()))</f>
        <v>0</v>
      </c>
    </row>
    <row r="374" spans="1:7" x14ac:dyDescent="0.25">
      <c r="A374" s="34" t="s">
        <v>1929</v>
      </c>
      <c r="B374" s="34" t="s">
        <v>1937</v>
      </c>
      <c r="C374">
        <v>19087</v>
      </c>
      <c r="D374" s="34" t="s">
        <v>3856</v>
      </c>
      <c r="E374" s="3">
        <v>38789.041666666701</v>
      </c>
      <c r="F374" s="35">
        <f t="shared" ca="1" si="5"/>
        <v>19</v>
      </c>
      <c r="G374" s="42" cm="1">
        <f t="array" aca="1" ref="G374" ca="1">SUMPRODUCT((BRON!$A$2:$A$1214=Table1[[#This Row],[Personeelsnummer]])*(BRON!$T$2:$T$1214&gt;=DATE(YEAR(TODAY())-1,MONTH(TODAY()),DAY(TODAY())))*(BRON!$T$2:$T$1214&lt;=TODAY()))</f>
        <v>0</v>
      </c>
    </row>
    <row r="375" spans="1:7" x14ac:dyDescent="0.25">
      <c r="A375" s="34" t="s">
        <v>2405</v>
      </c>
      <c r="B375" s="34" t="s">
        <v>3078</v>
      </c>
      <c r="C375">
        <v>19088</v>
      </c>
      <c r="D375" s="34" t="s">
        <v>3851</v>
      </c>
      <c r="E375" s="3">
        <v>38789.041666666701</v>
      </c>
      <c r="F375" s="35">
        <f t="shared" ca="1" si="5"/>
        <v>19</v>
      </c>
      <c r="G375" s="42" cm="1">
        <f t="array" aca="1" ref="G375" ca="1">SUMPRODUCT((BRON!$A$2:$A$1214=Table1[[#This Row],[Personeelsnummer]])*(BRON!$T$2:$T$1214&gt;=DATE(YEAR(TODAY())-1,MONTH(TODAY()),DAY(TODAY())))*(BRON!$T$2:$T$1214&lt;=TODAY()))</f>
        <v>0</v>
      </c>
    </row>
    <row r="376" spans="1:7" x14ac:dyDescent="0.25">
      <c r="A376" s="34" t="s">
        <v>2820</v>
      </c>
      <c r="B376" s="34" t="s">
        <v>2829</v>
      </c>
      <c r="C376">
        <v>19219</v>
      </c>
      <c r="D376" s="34" t="s">
        <v>3855</v>
      </c>
      <c r="E376" s="3">
        <v>38831.083333333299</v>
      </c>
      <c r="F376" s="35">
        <f t="shared" ca="1" si="5"/>
        <v>19</v>
      </c>
      <c r="G376" s="42" cm="1">
        <f t="array" aca="1" ref="G376" ca="1">SUMPRODUCT((BRON!$A$2:$A$1214=Table1[[#This Row],[Personeelsnummer]])*(BRON!$T$2:$T$1214&gt;=DATE(YEAR(TODAY())-1,MONTH(TODAY()),DAY(TODAY())))*(BRON!$T$2:$T$1214&lt;=TODAY()))</f>
        <v>0</v>
      </c>
    </row>
    <row r="377" spans="1:7" x14ac:dyDescent="0.25">
      <c r="A377" s="34" t="s">
        <v>1960</v>
      </c>
      <c r="B377" s="34" t="s">
        <v>1974</v>
      </c>
      <c r="C377">
        <v>19848</v>
      </c>
      <c r="D377" s="34" t="s">
        <v>3858</v>
      </c>
      <c r="E377" s="3">
        <v>38992.083333333299</v>
      </c>
      <c r="F377" s="35">
        <f t="shared" ca="1" si="5"/>
        <v>19</v>
      </c>
      <c r="G377" s="42" cm="1">
        <f t="array" aca="1" ref="G377" ca="1">SUMPRODUCT((BRON!$A$2:$A$1214=Table1[[#This Row],[Personeelsnummer]])*(BRON!$T$2:$T$1214&gt;=DATE(YEAR(TODAY())-1,MONTH(TODAY()),DAY(TODAY())))*(BRON!$T$2:$T$1214&lt;=TODAY()))</f>
        <v>0</v>
      </c>
    </row>
    <row r="378" spans="1:7" x14ac:dyDescent="0.25">
      <c r="A378" s="34" t="s">
        <v>2777</v>
      </c>
      <c r="B378" s="34" t="s">
        <v>2776</v>
      </c>
      <c r="C378">
        <v>18173</v>
      </c>
      <c r="D378" s="34" t="s">
        <v>3851</v>
      </c>
      <c r="E378" s="3">
        <v>38481.083333333299</v>
      </c>
      <c r="F378" s="35">
        <f t="shared" ca="1" si="5"/>
        <v>20</v>
      </c>
      <c r="G378" s="42" cm="1">
        <f t="array" aca="1" ref="G378" ca="1">SUMPRODUCT((BRON!$A$2:$A$1214=Table1[[#This Row],[Personeelsnummer]])*(BRON!$T$2:$T$1214&gt;=DATE(YEAR(TODAY())-1,MONTH(TODAY()),DAY(TODAY())))*(BRON!$T$2:$T$1214&lt;=TODAY()))</f>
        <v>1</v>
      </c>
    </row>
    <row r="379" spans="1:7" x14ac:dyDescent="0.25">
      <c r="A379" s="34" t="s">
        <v>2749</v>
      </c>
      <c r="B379" s="34" t="s">
        <v>2748</v>
      </c>
      <c r="C379">
        <v>17931</v>
      </c>
      <c r="D379" s="34" t="s">
        <v>3857</v>
      </c>
      <c r="E379" s="3">
        <v>38390.041666666701</v>
      </c>
      <c r="F379" s="35">
        <f t="shared" ca="1" si="5"/>
        <v>20</v>
      </c>
      <c r="G379" s="42" cm="1">
        <f t="array" aca="1" ref="G379" ca="1">SUMPRODUCT((BRON!$A$2:$A$1214=Table1[[#This Row],[Personeelsnummer]])*(BRON!$T$2:$T$1214&gt;=DATE(YEAR(TODAY())-1,MONTH(TODAY()),DAY(TODAY())))*(BRON!$T$2:$T$1214&lt;=TODAY()))</f>
        <v>0</v>
      </c>
    </row>
    <row r="380" spans="1:7" x14ac:dyDescent="0.25">
      <c r="A380" s="34" t="s">
        <v>1491</v>
      </c>
      <c r="B380" s="34" t="s">
        <v>1499</v>
      </c>
      <c r="C380">
        <v>17555</v>
      </c>
      <c r="D380" s="34" t="s">
        <v>3854</v>
      </c>
      <c r="E380" s="3">
        <v>38222.083333333299</v>
      </c>
      <c r="F380" s="35">
        <f t="shared" ca="1" si="5"/>
        <v>21</v>
      </c>
      <c r="G380" s="42" cm="1">
        <f t="array" aca="1" ref="G380" ca="1">SUMPRODUCT((BRON!$A$2:$A$1214=Table1[[#This Row],[Personeelsnummer]])*(BRON!$T$2:$T$1214&gt;=DATE(YEAR(TODAY())-1,MONTH(TODAY()),DAY(TODAY())))*(BRON!$T$2:$T$1214&lt;=TODAY()))</f>
        <v>1</v>
      </c>
    </row>
    <row r="381" spans="1:7" x14ac:dyDescent="0.25">
      <c r="A381" s="34" t="s">
        <v>1817</v>
      </c>
      <c r="B381" s="34" t="s">
        <v>1816</v>
      </c>
      <c r="C381">
        <v>16546</v>
      </c>
      <c r="D381" s="34" t="s">
        <v>3853</v>
      </c>
      <c r="E381" s="3">
        <v>37991.041666666701</v>
      </c>
      <c r="F381" s="35">
        <f t="shared" ca="1" si="5"/>
        <v>21</v>
      </c>
      <c r="G381" s="42" cm="1">
        <f t="array" aca="1" ref="G381" ca="1">SUMPRODUCT((BRON!$A$2:$A$1214=Table1[[#This Row],[Personeelsnummer]])*(BRON!$T$2:$T$1214&gt;=DATE(YEAR(TODAY())-1,MONTH(TODAY()),DAY(TODAY())))*(BRON!$T$2:$T$1214&lt;=TODAY()))</f>
        <v>2</v>
      </c>
    </row>
    <row r="382" spans="1:7" x14ac:dyDescent="0.25">
      <c r="A382" s="34" t="s">
        <v>1536</v>
      </c>
      <c r="B382" s="34" t="s">
        <v>1545</v>
      </c>
      <c r="C382">
        <v>15676</v>
      </c>
      <c r="D382" s="34" t="s">
        <v>3855</v>
      </c>
      <c r="E382" s="3">
        <v>37739.083333333299</v>
      </c>
      <c r="F382" s="35">
        <f t="shared" ca="1" si="5"/>
        <v>22</v>
      </c>
      <c r="G382" s="42" cm="1">
        <f t="array" aca="1" ref="G382" ca="1">SUMPRODUCT((BRON!$A$2:$A$1214=Table1[[#This Row],[Personeelsnummer]])*(BRON!$T$2:$T$1214&gt;=DATE(YEAR(TODAY())-1,MONTH(TODAY()),DAY(TODAY())))*(BRON!$T$2:$T$1214&lt;=TODAY()))</f>
        <v>0</v>
      </c>
    </row>
    <row r="383" spans="1:7" x14ac:dyDescent="0.25">
      <c r="A383" s="34" t="s">
        <v>1521</v>
      </c>
      <c r="B383" s="34" t="s">
        <v>1524</v>
      </c>
      <c r="C383">
        <v>15852</v>
      </c>
      <c r="D383" s="34" t="s">
        <v>3851</v>
      </c>
      <c r="E383" s="3">
        <v>37788.083333333299</v>
      </c>
      <c r="F383" s="35">
        <f t="shared" ca="1" si="5"/>
        <v>22</v>
      </c>
      <c r="G383" s="42" cm="1">
        <f t="array" aca="1" ref="G383" ca="1">SUMPRODUCT((BRON!$A$2:$A$1214=Table1[[#This Row],[Personeelsnummer]])*(BRON!$T$2:$T$1214&gt;=DATE(YEAR(TODAY())-1,MONTH(TODAY()),DAY(TODAY())))*(BRON!$T$2:$T$1214&lt;=TODAY()))</f>
        <v>0</v>
      </c>
    </row>
    <row r="384" spans="1:7" x14ac:dyDescent="0.25">
      <c r="A384" s="34" t="s">
        <v>1801</v>
      </c>
      <c r="B384" s="34" t="s">
        <v>1800</v>
      </c>
      <c r="C384">
        <v>16282</v>
      </c>
      <c r="D384" s="34" t="s">
        <v>3851</v>
      </c>
      <c r="E384" s="3">
        <v>37886.083333333299</v>
      </c>
      <c r="F384" s="35">
        <f t="shared" ca="1" si="5"/>
        <v>22</v>
      </c>
      <c r="G384" s="42" cm="1">
        <f t="array" aca="1" ref="G384" ca="1">SUMPRODUCT((BRON!$A$2:$A$1214=Table1[[#This Row],[Personeelsnummer]])*(BRON!$T$2:$T$1214&gt;=DATE(YEAR(TODAY())-1,MONTH(TODAY()),DAY(TODAY())))*(BRON!$T$2:$T$1214&lt;=TODAY()))</f>
        <v>0</v>
      </c>
    </row>
    <row r="385" spans="1:7" x14ac:dyDescent="0.25">
      <c r="A385" s="34" t="s">
        <v>1326</v>
      </c>
      <c r="B385" s="34" t="s">
        <v>2998</v>
      </c>
      <c r="C385">
        <v>15628</v>
      </c>
      <c r="D385" s="34" t="s">
        <v>3851</v>
      </c>
      <c r="E385" s="3">
        <v>37718.083333333299</v>
      </c>
      <c r="F385" s="35">
        <f t="shared" ca="1" si="5"/>
        <v>22</v>
      </c>
      <c r="G385" s="42" cm="1">
        <f t="array" aca="1" ref="G385" ca="1">SUMPRODUCT((BRON!$A$2:$A$1214=Table1[[#This Row],[Personeelsnummer]])*(BRON!$T$2:$T$1214&gt;=DATE(YEAR(TODAY())-1,MONTH(TODAY()),DAY(TODAY())))*(BRON!$T$2:$T$1214&lt;=TODAY()))</f>
        <v>1</v>
      </c>
    </row>
    <row r="386" spans="1:7" x14ac:dyDescent="0.25">
      <c r="A386" s="34" t="s">
        <v>2879</v>
      </c>
      <c r="B386" s="34" t="s">
        <v>2206</v>
      </c>
      <c r="C386">
        <v>15320</v>
      </c>
      <c r="D386" s="34" t="s">
        <v>3856</v>
      </c>
      <c r="E386" s="3">
        <v>37585.041666666701</v>
      </c>
      <c r="F386" s="35">
        <f t="shared" ref="F386:F403" ca="1" si="6">YEAR(TODAY()) - YEAR(E386) - (IF(DATE(YEAR(TODAY()), MONTH(E386), DAY(E386)) &gt; TODAY(), 1, 0))</f>
        <v>23</v>
      </c>
      <c r="G386" s="42" cm="1">
        <f t="array" aca="1" ref="G386" ca="1">SUMPRODUCT((BRON!$A$2:$A$1214=Table1[[#This Row],[Personeelsnummer]])*(BRON!$T$2:$T$1214&gt;=DATE(YEAR(TODAY())-1,MONTH(TODAY()),DAY(TODAY())))*(BRON!$T$2:$T$1214&lt;=TODAY()))</f>
        <v>1</v>
      </c>
    </row>
    <row r="387" spans="1:7" x14ac:dyDescent="0.25">
      <c r="A387" s="34" t="s">
        <v>1677</v>
      </c>
      <c r="B387" s="34" t="s">
        <v>1554</v>
      </c>
      <c r="C387">
        <v>14261</v>
      </c>
      <c r="D387" s="34" t="s">
        <v>3856</v>
      </c>
      <c r="E387" s="3">
        <v>37284.041666666701</v>
      </c>
      <c r="F387" s="35">
        <f t="shared" ca="1" si="6"/>
        <v>23</v>
      </c>
      <c r="G387" s="42" cm="1">
        <f t="array" aca="1" ref="G387" ca="1">SUMPRODUCT((BRON!$A$2:$A$1214=Table1[[#This Row],[Personeelsnummer]])*(BRON!$T$2:$T$1214&gt;=DATE(YEAR(TODAY())-1,MONTH(TODAY()),DAY(TODAY())))*(BRON!$T$2:$T$1214&lt;=TODAY()))</f>
        <v>0</v>
      </c>
    </row>
    <row r="388" spans="1:7" x14ac:dyDescent="0.25">
      <c r="A388" s="34" t="s">
        <v>1918</v>
      </c>
      <c r="B388" s="34" t="s">
        <v>1925</v>
      </c>
      <c r="C388">
        <v>14665</v>
      </c>
      <c r="D388" s="34" t="s">
        <v>3854</v>
      </c>
      <c r="E388" s="3">
        <v>37424.083333333299</v>
      </c>
      <c r="F388" s="35">
        <f t="shared" ca="1" si="6"/>
        <v>23</v>
      </c>
      <c r="G388" s="42" cm="1">
        <f t="array" aca="1" ref="G388" ca="1">SUMPRODUCT((BRON!$A$2:$A$1214=Table1[[#This Row],[Personeelsnummer]])*(BRON!$T$2:$T$1214&gt;=DATE(YEAR(TODAY())-1,MONTH(TODAY()),DAY(TODAY())))*(BRON!$T$2:$T$1214&lt;=TODAY()))</f>
        <v>0</v>
      </c>
    </row>
    <row r="389" spans="1:7" x14ac:dyDescent="0.25">
      <c r="A389" s="34" t="s">
        <v>3124</v>
      </c>
      <c r="B389" s="34" t="s">
        <v>3009</v>
      </c>
      <c r="C389">
        <v>13088</v>
      </c>
      <c r="D389" s="34" t="s">
        <v>3859</v>
      </c>
      <c r="E389" s="3">
        <v>36948.041666666701</v>
      </c>
      <c r="F389" s="35">
        <f t="shared" ca="1" si="6"/>
        <v>24</v>
      </c>
      <c r="G389" s="42" cm="1">
        <f t="array" aca="1" ref="G389" ca="1">SUMPRODUCT((BRON!$A$2:$A$1214=Table1[[#This Row],[Personeelsnummer]])*(BRON!$T$2:$T$1214&gt;=DATE(YEAR(TODAY())-1,MONTH(TODAY()),DAY(TODAY())))*(BRON!$T$2:$T$1214&lt;=TODAY()))</f>
        <v>0</v>
      </c>
    </row>
    <row r="390" spans="1:7" x14ac:dyDescent="0.25">
      <c r="A390" s="34" t="s">
        <v>1824</v>
      </c>
      <c r="B390" s="34" t="s">
        <v>1829</v>
      </c>
      <c r="C390">
        <v>13345</v>
      </c>
      <c r="D390" s="34" t="s">
        <v>3851</v>
      </c>
      <c r="E390" s="3">
        <v>37018.083333333299</v>
      </c>
      <c r="F390" s="35">
        <f t="shared" ca="1" si="6"/>
        <v>24</v>
      </c>
      <c r="G390" s="42" cm="1">
        <f t="array" aca="1" ref="G390" ca="1">SUMPRODUCT((BRON!$A$2:$A$1214=Table1[[#This Row],[Personeelsnummer]])*(BRON!$T$2:$T$1214&gt;=DATE(YEAR(TODAY())-1,MONTH(TODAY()),DAY(TODAY())))*(BRON!$T$2:$T$1214&lt;=TODAY()))</f>
        <v>0</v>
      </c>
    </row>
    <row r="391" spans="1:7" x14ac:dyDescent="0.25">
      <c r="A391" s="34" t="s">
        <v>1991</v>
      </c>
      <c r="B391" s="34" t="s">
        <v>1990</v>
      </c>
      <c r="C391">
        <v>11866</v>
      </c>
      <c r="D391" s="34" t="s">
        <v>3855</v>
      </c>
      <c r="E391" s="3">
        <v>36542.041666666701</v>
      </c>
      <c r="F391" s="35">
        <f t="shared" ca="1" si="6"/>
        <v>25</v>
      </c>
      <c r="G391" s="42" cm="1">
        <f t="array" aca="1" ref="G391" ca="1">SUMPRODUCT((BRON!$A$2:$A$1214=Table1[[#This Row],[Personeelsnummer]])*(BRON!$T$2:$T$1214&gt;=DATE(YEAR(TODAY())-1,MONTH(TODAY()),DAY(TODAY())))*(BRON!$T$2:$T$1214&lt;=TODAY()))</f>
        <v>0</v>
      </c>
    </row>
    <row r="392" spans="1:7" x14ac:dyDescent="0.25">
      <c r="A392" s="34" t="s">
        <v>2405</v>
      </c>
      <c r="B392" s="34" t="s">
        <v>3067</v>
      </c>
      <c r="C392">
        <v>12173</v>
      </c>
      <c r="D392" s="34" t="s">
        <v>3856</v>
      </c>
      <c r="E392" s="3">
        <v>36690.083333333299</v>
      </c>
      <c r="F392" s="35">
        <f t="shared" ca="1" si="6"/>
        <v>25</v>
      </c>
      <c r="G392" s="42" cm="1">
        <f t="array" aca="1" ref="G392" ca="1">SUMPRODUCT((BRON!$A$2:$A$1214=Table1[[#This Row],[Personeelsnummer]])*(BRON!$T$2:$T$1214&gt;=DATE(YEAR(TODAY())-1,MONTH(TODAY()),DAY(TODAY())))*(BRON!$T$2:$T$1214&lt;=TODAY()))</f>
        <v>0</v>
      </c>
    </row>
    <row r="393" spans="1:7" x14ac:dyDescent="0.25">
      <c r="A393" s="34" t="s">
        <v>2065</v>
      </c>
      <c r="B393" s="34" t="s">
        <v>2064</v>
      </c>
      <c r="C393">
        <v>11508</v>
      </c>
      <c r="D393" s="34" t="s">
        <v>3855</v>
      </c>
      <c r="E393" s="3">
        <v>36388.083333333299</v>
      </c>
      <c r="F393" s="35">
        <f t="shared" ca="1" si="6"/>
        <v>26</v>
      </c>
      <c r="G393" s="42" cm="1">
        <f t="array" aca="1" ref="G393" ca="1">SUMPRODUCT((BRON!$A$2:$A$1214=Table1[[#This Row],[Personeelsnummer]])*(BRON!$T$2:$T$1214&gt;=DATE(YEAR(TODAY())-1,MONTH(TODAY()),DAY(TODAY())))*(BRON!$T$2:$T$1214&lt;=TODAY()))</f>
        <v>0</v>
      </c>
    </row>
    <row r="394" spans="1:7" x14ac:dyDescent="0.25">
      <c r="A394" s="34" t="s">
        <v>1536</v>
      </c>
      <c r="B394" s="34" t="s">
        <v>1535</v>
      </c>
      <c r="C394">
        <v>10150</v>
      </c>
      <c r="D394" s="34" t="s">
        <v>3858</v>
      </c>
      <c r="E394" s="3">
        <v>35891.083333333299</v>
      </c>
      <c r="F394" s="35">
        <f t="shared" ca="1" si="6"/>
        <v>27</v>
      </c>
      <c r="G394" s="42" cm="1">
        <f t="array" aca="1" ref="G394" ca="1">SUMPRODUCT((BRON!$A$2:$A$1214=Table1[[#This Row],[Personeelsnummer]])*(BRON!$T$2:$T$1214&gt;=DATE(YEAR(TODAY())-1,MONTH(TODAY()),DAY(TODAY())))*(BRON!$T$2:$T$1214&lt;=TODAY()))</f>
        <v>0</v>
      </c>
    </row>
    <row r="395" spans="1:7" x14ac:dyDescent="0.25">
      <c r="A395" s="34" t="s">
        <v>1452</v>
      </c>
      <c r="B395" s="34" t="s">
        <v>1451</v>
      </c>
      <c r="C395">
        <v>10324</v>
      </c>
      <c r="D395" s="34" t="s">
        <v>3854</v>
      </c>
      <c r="E395" s="3">
        <v>35948.083333333299</v>
      </c>
      <c r="F395" s="35">
        <f t="shared" ca="1" si="6"/>
        <v>27</v>
      </c>
      <c r="G395" s="42" cm="1">
        <f t="array" aca="1" ref="G395" ca="1">SUMPRODUCT((BRON!$A$2:$A$1214=Table1[[#This Row],[Personeelsnummer]])*(BRON!$T$2:$T$1214&gt;=DATE(YEAR(TODAY())-1,MONTH(TODAY()),DAY(TODAY())))*(BRON!$T$2:$T$1214&lt;=TODAY()))</f>
        <v>0</v>
      </c>
    </row>
    <row r="396" spans="1:7" x14ac:dyDescent="0.25">
      <c r="A396" s="34" t="s">
        <v>3092</v>
      </c>
      <c r="B396" s="34" t="s">
        <v>3091</v>
      </c>
      <c r="C396">
        <v>9065</v>
      </c>
      <c r="D396" s="34" t="s">
        <v>3856</v>
      </c>
      <c r="E396" s="3">
        <v>35478.041666666701</v>
      </c>
      <c r="F396" s="35">
        <f t="shared" ca="1" si="6"/>
        <v>28</v>
      </c>
      <c r="G396" s="42" cm="1">
        <f t="array" aca="1" ref="G396" ca="1">SUMPRODUCT((BRON!$A$2:$A$1214=Table1[[#This Row],[Personeelsnummer]])*(BRON!$T$2:$T$1214&gt;=DATE(YEAR(TODAY())-1,MONTH(TODAY()),DAY(TODAY())))*(BRON!$T$2:$T$1214&lt;=TODAY()))</f>
        <v>0</v>
      </c>
    </row>
    <row r="397" spans="1:7" x14ac:dyDescent="0.25">
      <c r="A397" s="34" t="s">
        <v>2579</v>
      </c>
      <c r="B397" s="34" t="s">
        <v>2578</v>
      </c>
      <c r="C397">
        <v>8391</v>
      </c>
      <c r="D397" s="34" t="s">
        <v>3856</v>
      </c>
      <c r="E397" s="3">
        <v>35219.083333333299</v>
      </c>
      <c r="F397" s="35">
        <f t="shared" ca="1" si="6"/>
        <v>29</v>
      </c>
      <c r="G397" s="42" cm="1">
        <f t="array" aca="1" ref="G397" ca="1">SUMPRODUCT((BRON!$A$2:$A$1214=Table1[[#This Row],[Personeelsnummer]])*(BRON!$T$2:$T$1214&gt;=DATE(YEAR(TODAY())-1,MONTH(TODAY()),DAY(TODAY())))*(BRON!$T$2:$T$1214&lt;=TODAY()))</f>
        <v>0</v>
      </c>
    </row>
    <row r="398" spans="1:7" x14ac:dyDescent="0.25">
      <c r="A398" s="34" t="s">
        <v>3347</v>
      </c>
      <c r="B398" s="34" t="s">
        <v>3346</v>
      </c>
      <c r="C398">
        <v>8708</v>
      </c>
      <c r="D398" s="34" t="s">
        <v>3855</v>
      </c>
      <c r="E398" s="3">
        <v>35303.083333333299</v>
      </c>
      <c r="F398" s="35">
        <f t="shared" ca="1" si="6"/>
        <v>29</v>
      </c>
      <c r="G398" s="42" cm="1">
        <f t="array" aca="1" ref="G398" ca="1">SUMPRODUCT((BRON!$A$2:$A$1214=Table1[[#This Row],[Personeelsnummer]])*(BRON!$T$2:$T$1214&gt;=DATE(YEAR(TODAY())-1,MONTH(TODAY()),DAY(TODAY())))*(BRON!$T$2:$T$1214&lt;=TODAY()))</f>
        <v>0</v>
      </c>
    </row>
    <row r="399" spans="1:7" x14ac:dyDescent="0.25">
      <c r="A399" s="34" t="s">
        <v>1842</v>
      </c>
      <c r="B399" s="34" t="s">
        <v>1841</v>
      </c>
      <c r="C399">
        <v>8016</v>
      </c>
      <c r="D399" s="34" t="s">
        <v>3859</v>
      </c>
      <c r="E399" s="3">
        <v>35065.041666666701</v>
      </c>
      <c r="F399" s="35">
        <f t="shared" ca="1" si="6"/>
        <v>29</v>
      </c>
      <c r="G399" s="42" cm="1">
        <f t="array" aca="1" ref="G399" ca="1">SUMPRODUCT((BRON!$A$2:$A$1214=Table1[[#This Row],[Personeelsnummer]])*(BRON!$T$2:$T$1214&gt;=DATE(YEAR(TODAY())-1,MONTH(TODAY()),DAY(TODAY())))*(BRON!$T$2:$T$1214&lt;=TODAY()))</f>
        <v>0</v>
      </c>
    </row>
    <row r="400" spans="1:7" x14ac:dyDescent="0.25">
      <c r="A400" s="34" t="s">
        <v>1911</v>
      </c>
      <c r="B400" s="34" t="s">
        <v>1910</v>
      </c>
      <c r="C400">
        <v>5599</v>
      </c>
      <c r="D400" s="34" t="s">
        <v>3858</v>
      </c>
      <c r="E400" s="3">
        <v>33609.041666666701</v>
      </c>
      <c r="F400" s="35">
        <f t="shared" ca="1" si="6"/>
        <v>33</v>
      </c>
      <c r="G400" s="42" cm="1">
        <f t="array" aca="1" ref="G400" ca="1">SUMPRODUCT((BRON!$A$2:$A$1214=Table1[[#This Row],[Personeelsnummer]])*(BRON!$T$2:$T$1214&gt;=DATE(YEAR(TODAY())-1,MONTH(TODAY()),DAY(TODAY())))*(BRON!$T$2:$T$1214&lt;=TODAY()))</f>
        <v>0</v>
      </c>
    </row>
    <row r="401" spans="1:7" x14ac:dyDescent="0.25">
      <c r="A401" s="34" t="s">
        <v>1782</v>
      </c>
      <c r="B401" s="34" t="s">
        <v>1781</v>
      </c>
      <c r="C401">
        <v>5813</v>
      </c>
      <c r="D401" s="34" t="s">
        <v>3855</v>
      </c>
      <c r="E401" s="3">
        <v>33742.083333333299</v>
      </c>
      <c r="F401" s="35">
        <f t="shared" ca="1" si="6"/>
        <v>33</v>
      </c>
      <c r="G401" s="42" cm="1">
        <f t="array" aca="1" ref="G401" ca="1">SUMPRODUCT((BRON!$A$2:$A$1214=Table1[[#This Row],[Personeelsnummer]])*(BRON!$T$2:$T$1214&gt;=DATE(YEAR(TODAY())-1,MONTH(TODAY()),DAY(TODAY())))*(BRON!$T$2:$T$1214&lt;=TODAY()))</f>
        <v>0</v>
      </c>
    </row>
    <row r="402" spans="1:7" x14ac:dyDescent="0.25">
      <c r="A402" s="34" t="s">
        <v>2675</v>
      </c>
      <c r="B402" s="34" t="s">
        <v>2674</v>
      </c>
      <c r="C402">
        <v>5718</v>
      </c>
      <c r="D402" s="34" t="s">
        <v>3851</v>
      </c>
      <c r="E402" s="3">
        <v>33707.083333333299</v>
      </c>
      <c r="F402" s="35">
        <f t="shared" ca="1" si="6"/>
        <v>33</v>
      </c>
      <c r="G402" s="42" cm="1">
        <f t="array" aca="1" ref="G402" ca="1">SUMPRODUCT((BRON!$A$2:$A$1214=Table1[[#This Row],[Personeelsnummer]])*(BRON!$T$2:$T$1214&gt;=DATE(YEAR(TODAY())-1,MONTH(TODAY()),DAY(TODAY())))*(BRON!$T$2:$T$1214&lt;=TODAY()))</f>
        <v>0</v>
      </c>
    </row>
    <row r="403" spans="1:7" x14ac:dyDescent="0.25">
      <c r="A403" s="34" t="s">
        <v>1351</v>
      </c>
      <c r="B403" s="34" t="s">
        <v>3276</v>
      </c>
      <c r="C403">
        <v>5063</v>
      </c>
      <c r="D403" s="34" t="s">
        <v>3855</v>
      </c>
      <c r="E403" s="3">
        <v>33287.041666666701</v>
      </c>
      <c r="F403" s="35">
        <f t="shared" ca="1" si="6"/>
        <v>34</v>
      </c>
      <c r="G403" s="42" cm="1">
        <f t="array" aca="1" ref="G403" ca="1">SUMPRODUCT((BRON!$A$2:$A$1214=Table1[[#This Row],[Personeelsnummer]])*(BRON!$T$2:$T$1214&gt;=DATE(YEAR(TODAY())-1,MONTH(TODAY()),DAY(TODAY())))*(BRON!$T$2:$T$1214&lt;=TODAY()))</f>
        <v>0</v>
      </c>
    </row>
  </sheetData>
  <dataValidations count="5">
    <dataValidation type="date" operator="greaterThanOrEqual" allowBlank="1" showInputMessage="1" showErrorMessage="1" errorTitle="Ongeldige datum" error="Datum in dienst moet de juiste datumnotatie hebben." promptTitle="Datum" prompt=" " sqref="E2:E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D2:D1048576" xr:uid="{FF81204B-EAB1-4E70-B5C0-F2EB1535978A}"/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8E22A-42A3-43D7-8E47-BC0CD0BC3403}">
  <sheetPr>
    <pageSetUpPr fitToPage="1"/>
  </sheetPr>
  <dimension ref="A1:J593"/>
  <sheetViews>
    <sheetView topLeftCell="D1" workbookViewId="0">
      <selection activeCell="AA55" sqref="I4:AA55"/>
    </sheetView>
  </sheetViews>
  <sheetFormatPr defaultRowHeight="15" x14ac:dyDescent="0.25"/>
  <cols>
    <col min="1" max="1" width="11.140625" customWidth="1"/>
    <col min="2" max="2" width="11.7109375" customWidth="1"/>
    <col min="3" max="3" width="12" customWidth="1"/>
    <col min="4" max="4" width="11.140625" style="3" customWidth="1"/>
    <col min="6" max="6" width="9.85546875" bestFit="1" customWidth="1"/>
    <col min="7" max="7" width="12.85546875" bestFit="1" customWidth="1"/>
    <col min="8" max="8" width="12.85546875" customWidth="1"/>
    <col min="9" max="9" width="11.140625" bestFit="1" customWidth="1"/>
    <col min="10" max="10" width="24" bestFit="1" customWidth="1"/>
    <col min="11" max="11" width="16.5703125" bestFit="1" customWidth="1"/>
  </cols>
  <sheetData>
    <row r="1" spans="1:10" x14ac:dyDescent="0.25">
      <c r="A1" t="s">
        <v>3878</v>
      </c>
      <c r="B1" t="s">
        <v>1357</v>
      </c>
      <c r="C1" t="s">
        <v>1358</v>
      </c>
      <c r="D1" s="3" t="s">
        <v>1359</v>
      </c>
      <c r="E1" t="s">
        <v>3885</v>
      </c>
      <c r="F1" t="s">
        <v>3886</v>
      </c>
      <c r="G1" t="s">
        <v>3887</v>
      </c>
    </row>
    <row r="2" spans="1:10" x14ac:dyDescent="0.25">
      <c r="A2">
        <v>10150</v>
      </c>
      <c r="B2" t="s">
        <v>1535</v>
      </c>
      <c r="C2" t="s">
        <v>1536</v>
      </c>
      <c r="D2" s="3">
        <v>24256</v>
      </c>
      <c r="E2">
        <f>YEAR(D2)</f>
        <v>1966</v>
      </c>
      <c r="F2">
        <f ca="1">YEAR(TODAY())-E2</f>
        <v>59</v>
      </c>
      <c r="G2">
        <f>COUNTIF(BRON!A:A,'schades-leeftijd'!A2)</f>
        <v>1</v>
      </c>
    </row>
    <row r="3" spans="1:10" x14ac:dyDescent="0.25">
      <c r="A3">
        <v>10324</v>
      </c>
      <c r="B3" t="s">
        <v>1451</v>
      </c>
      <c r="C3" t="s">
        <v>1452</v>
      </c>
      <c r="D3" s="3">
        <v>25268</v>
      </c>
      <c r="E3">
        <f t="shared" ref="E3:E66" si="0">YEAR(D3)</f>
        <v>1969</v>
      </c>
      <c r="F3">
        <f t="shared" ref="F3:F66" ca="1" si="1">YEAR(TODAY())-E3</f>
        <v>56</v>
      </c>
      <c r="G3">
        <f>COUNTIF(BRON!A:A,'schades-leeftijd'!A3)</f>
        <v>1</v>
      </c>
    </row>
    <row r="4" spans="1:10" x14ac:dyDescent="0.25">
      <c r="A4">
        <v>10326</v>
      </c>
      <c r="B4" t="s">
        <v>2037</v>
      </c>
      <c r="C4" t="s">
        <v>2038</v>
      </c>
      <c r="D4" s="3">
        <v>28038</v>
      </c>
      <c r="E4">
        <f t="shared" si="0"/>
        <v>1976</v>
      </c>
      <c r="F4">
        <f t="shared" ca="1" si="1"/>
        <v>49</v>
      </c>
      <c r="G4">
        <f>COUNTIF(BRON!A:A,'schades-leeftijd'!A4)</f>
        <v>0</v>
      </c>
      <c r="I4" s="1" t="s">
        <v>3807</v>
      </c>
      <c r="J4" t="s">
        <v>4527</v>
      </c>
    </row>
    <row r="5" spans="1:10" x14ac:dyDescent="0.25">
      <c r="A5">
        <v>10782</v>
      </c>
      <c r="B5" t="s">
        <v>2678</v>
      </c>
      <c r="C5" t="s">
        <v>2679</v>
      </c>
      <c r="D5" s="3">
        <v>27384</v>
      </c>
      <c r="E5">
        <f t="shared" si="0"/>
        <v>1974</v>
      </c>
      <c r="F5">
        <f t="shared" ca="1" si="1"/>
        <v>51</v>
      </c>
      <c r="G5">
        <f>COUNTIF(BRON!A:A,'schades-leeftijd'!A5)</f>
        <v>1</v>
      </c>
      <c r="I5" s="2">
        <v>19</v>
      </c>
      <c r="J5" s="35">
        <v>0.5</v>
      </c>
    </row>
    <row r="6" spans="1:10" x14ac:dyDescent="0.25">
      <c r="A6">
        <v>11021</v>
      </c>
      <c r="B6" t="s">
        <v>2264</v>
      </c>
      <c r="C6" t="s">
        <v>2265</v>
      </c>
      <c r="D6" s="3">
        <v>23986</v>
      </c>
      <c r="E6">
        <f t="shared" si="0"/>
        <v>1965</v>
      </c>
      <c r="F6">
        <f t="shared" ca="1" si="1"/>
        <v>60</v>
      </c>
      <c r="G6">
        <f>COUNTIF(BRON!A:A,'schades-leeftijd'!A6)</f>
        <v>1</v>
      </c>
      <c r="I6" s="2">
        <v>21</v>
      </c>
      <c r="J6" s="35">
        <v>1</v>
      </c>
    </row>
    <row r="7" spans="1:10" x14ac:dyDescent="0.25">
      <c r="A7">
        <v>11023</v>
      </c>
      <c r="B7" t="s">
        <v>2610</v>
      </c>
      <c r="C7" t="s">
        <v>2611</v>
      </c>
      <c r="D7" s="3">
        <v>27316</v>
      </c>
      <c r="E7">
        <f t="shared" si="0"/>
        <v>1974</v>
      </c>
      <c r="F7">
        <f t="shared" ca="1" si="1"/>
        <v>51</v>
      </c>
      <c r="G7">
        <f>COUNTIF(BRON!A:A,'schades-leeftijd'!A7)</f>
        <v>1</v>
      </c>
      <c r="I7" s="2">
        <v>22</v>
      </c>
      <c r="J7" s="35">
        <v>2.2857142857142856</v>
      </c>
    </row>
    <row r="8" spans="1:10" x14ac:dyDescent="0.25">
      <c r="A8">
        <v>11120</v>
      </c>
      <c r="B8" t="s">
        <v>2346</v>
      </c>
      <c r="C8" t="s">
        <v>2347</v>
      </c>
      <c r="D8" s="3">
        <v>24187</v>
      </c>
      <c r="E8">
        <f t="shared" si="0"/>
        <v>1966</v>
      </c>
      <c r="F8">
        <f t="shared" ca="1" si="1"/>
        <v>59</v>
      </c>
      <c r="G8">
        <f>COUNTIF(BRON!A:A,'schades-leeftijd'!A8)</f>
        <v>1</v>
      </c>
      <c r="I8" s="2">
        <v>23</v>
      </c>
      <c r="J8" s="35">
        <v>0.5</v>
      </c>
    </row>
    <row r="9" spans="1:10" x14ac:dyDescent="0.25">
      <c r="A9">
        <v>11213</v>
      </c>
      <c r="B9" t="s">
        <v>2780</v>
      </c>
      <c r="C9" t="s">
        <v>2781</v>
      </c>
      <c r="D9" s="3">
        <v>27019</v>
      </c>
      <c r="E9">
        <f t="shared" si="0"/>
        <v>1973</v>
      </c>
      <c r="F9">
        <f t="shared" ca="1" si="1"/>
        <v>52</v>
      </c>
      <c r="G9">
        <f>COUNTIF(BRON!A:A,'schades-leeftijd'!A9)</f>
        <v>1</v>
      </c>
      <c r="I9" s="2">
        <v>24</v>
      </c>
      <c r="J9" s="35">
        <v>0.83333333333333337</v>
      </c>
    </row>
    <row r="10" spans="1:10" x14ac:dyDescent="0.25">
      <c r="A10">
        <v>11236</v>
      </c>
      <c r="B10" t="s">
        <v>1816</v>
      </c>
      <c r="C10" t="s">
        <v>2850</v>
      </c>
      <c r="D10" s="3">
        <v>23283</v>
      </c>
      <c r="E10">
        <f t="shared" si="0"/>
        <v>1963</v>
      </c>
      <c r="F10">
        <f t="shared" ca="1" si="1"/>
        <v>62</v>
      </c>
      <c r="G10">
        <f>COUNTIF(BRON!A:A,'schades-leeftijd'!A10)</f>
        <v>4</v>
      </c>
      <c r="I10" s="2">
        <v>25</v>
      </c>
      <c r="J10" s="35">
        <v>2.2857142857142856</v>
      </c>
    </row>
    <row r="11" spans="1:10" x14ac:dyDescent="0.25">
      <c r="A11">
        <v>11508</v>
      </c>
      <c r="B11" t="s">
        <v>2064</v>
      </c>
      <c r="C11" t="s">
        <v>2065</v>
      </c>
      <c r="D11" s="3">
        <v>27991</v>
      </c>
      <c r="E11">
        <f t="shared" si="0"/>
        <v>1976</v>
      </c>
      <c r="F11">
        <f t="shared" ca="1" si="1"/>
        <v>49</v>
      </c>
      <c r="G11">
        <f>COUNTIF(BRON!A:A,'schades-leeftijd'!A11)</f>
        <v>1</v>
      </c>
      <c r="I11" s="2">
        <v>26</v>
      </c>
      <c r="J11" s="35">
        <v>1.8823529411764706</v>
      </c>
    </row>
    <row r="12" spans="1:10" x14ac:dyDescent="0.25">
      <c r="A12">
        <v>11866</v>
      </c>
      <c r="B12" t="s">
        <v>1990</v>
      </c>
      <c r="C12" t="s">
        <v>1991</v>
      </c>
      <c r="D12" s="3">
        <v>25467</v>
      </c>
      <c r="E12">
        <f t="shared" si="0"/>
        <v>1969</v>
      </c>
      <c r="F12">
        <f t="shared" ca="1" si="1"/>
        <v>56</v>
      </c>
      <c r="G12">
        <f>COUNTIF(BRON!A:A,'schades-leeftijd'!A12)</f>
        <v>1</v>
      </c>
      <c r="I12" s="2">
        <v>27</v>
      </c>
      <c r="J12" s="35">
        <v>1.8461538461538463</v>
      </c>
    </row>
    <row r="13" spans="1:10" x14ac:dyDescent="0.25">
      <c r="A13">
        <v>12024</v>
      </c>
      <c r="B13" t="s">
        <v>2393</v>
      </c>
      <c r="C13" t="s">
        <v>2394</v>
      </c>
      <c r="D13" s="3">
        <v>23853</v>
      </c>
      <c r="E13">
        <f t="shared" si="0"/>
        <v>1965</v>
      </c>
      <c r="F13">
        <f t="shared" ca="1" si="1"/>
        <v>60</v>
      </c>
      <c r="G13">
        <f>COUNTIF(BRON!A:A,'schades-leeftijd'!A13)</f>
        <v>1</v>
      </c>
      <c r="I13" s="2">
        <v>28</v>
      </c>
      <c r="J13" s="35">
        <v>2.2000000000000002</v>
      </c>
    </row>
    <row r="14" spans="1:10" x14ac:dyDescent="0.25">
      <c r="A14">
        <v>12124</v>
      </c>
      <c r="B14" t="s">
        <v>1549</v>
      </c>
      <c r="C14" t="s">
        <v>1550</v>
      </c>
      <c r="D14" s="3">
        <v>28780</v>
      </c>
      <c r="E14">
        <f t="shared" si="0"/>
        <v>1978</v>
      </c>
      <c r="F14">
        <f t="shared" ca="1" si="1"/>
        <v>47</v>
      </c>
      <c r="G14">
        <f>COUNTIF(BRON!A:A,'schades-leeftijd'!A14)</f>
        <v>5</v>
      </c>
      <c r="I14" s="2">
        <v>29</v>
      </c>
      <c r="J14" s="35">
        <v>1.1111111111111112</v>
      </c>
    </row>
    <row r="15" spans="1:10" x14ac:dyDescent="0.25">
      <c r="A15">
        <v>12173</v>
      </c>
      <c r="B15" t="s">
        <v>3067</v>
      </c>
      <c r="C15" t="s">
        <v>2405</v>
      </c>
      <c r="D15" s="3">
        <v>25839</v>
      </c>
      <c r="E15">
        <f t="shared" si="0"/>
        <v>1970</v>
      </c>
      <c r="F15">
        <f t="shared" ca="1" si="1"/>
        <v>55</v>
      </c>
      <c r="G15">
        <f>COUNTIF(BRON!A:A,'schades-leeftijd'!A15)</f>
        <v>1</v>
      </c>
      <c r="I15" s="2">
        <v>30</v>
      </c>
      <c r="J15" s="35">
        <v>2.4615384615384617</v>
      </c>
    </row>
    <row r="16" spans="1:10" x14ac:dyDescent="0.25">
      <c r="A16">
        <v>12514</v>
      </c>
      <c r="B16" t="s">
        <v>2256</v>
      </c>
      <c r="C16" t="s">
        <v>1341</v>
      </c>
      <c r="D16" s="3">
        <v>28745</v>
      </c>
      <c r="E16">
        <f t="shared" si="0"/>
        <v>1978</v>
      </c>
      <c r="F16">
        <f t="shared" ca="1" si="1"/>
        <v>47</v>
      </c>
      <c r="G16">
        <f>COUNTIF(BRON!A:A,'schades-leeftijd'!A16)</f>
        <v>1</v>
      </c>
      <c r="I16" s="2">
        <v>31</v>
      </c>
      <c r="J16" s="35">
        <v>2.1666666666666665</v>
      </c>
    </row>
    <row r="17" spans="1:10" x14ac:dyDescent="0.25">
      <c r="A17">
        <v>12684</v>
      </c>
      <c r="B17" t="s">
        <v>2261</v>
      </c>
      <c r="C17" t="s">
        <v>2257</v>
      </c>
      <c r="D17" s="3">
        <v>23480</v>
      </c>
      <c r="E17">
        <f t="shared" si="0"/>
        <v>1964</v>
      </c>
      <c r="F17">
        <f t="shared" ca="1" si="1"/>
        <v>61</v>
      </c>
      <c r="G17">
        <f>COUNTIF(BRON!A:A,'schades-leeftijd'!A17)</f>
        <v>3</v>
      </c>
      <c r="I17" s="2">
        <v>32</v>
      </c>
      <c r="J17" s="35">
        <v>1.6875</v>
      </c>
    </row>
    <row r="18" spans="1:10" x14ac:dyDescent="0.25">
      <c r="A18">
        <v>12819</v>
      </c>
      <c r="B18" t="s">
        <v>3081</v>
      </c>
      <c r="C18" t="s">
        <v>2405</v>
      </c>
      <c r="D18" s="3">
        <v>27540</v>
      </c>
      <c r="E18">
        <f t="shared" si="0"/>
        <v>1975</v>
      </c>
      <c r="F18">
        <f t="shared" ca="1" si="1"/>
        <v>50</v>
      </c>
      <c r="G18">
        <f>COUNTIF(BRON!A:A,'schades-leeftijd'!A18)</f>
        <v>1</v>
      </c>
      <c r="I18" s="2">
        <v>33</v>
      </c>
      <c r="J18" s="35">
        <v>2.1111111111111112</v>
      </c>
    </row>
    <row r="19" spans="1:10" x14ac:dyDescent="0.25">
      <c r="A19">
        <v>13017</v>
      </c>
      <c r="B19" t="s">
        <v>1482</v>
      </c>
      <c r="C19" t="s">
        <v>549</v>
      </c>
      <c r="D19" s="3">
        <v>28294</v>
      </c>
      <c r="E19">
        <f t="shared" si="0"/>
        <v>1977</v>
      </c>
      <c r="F19">
        <f t="shared" ca="1" si="1"/>
        <v>48</v>
      </c>
      <c r="G19">
        <f>COUNTIF(BRON!A:A,'schades-leeftijd'!A19)</f>
        <v>0</v>
      </c>
      <c r="I19" s="2">
        <v>34</v>
      </c>
      <c r="J19" s="35">
        <v>1.6666666666666667</v>
      </c>
    </row>
    <row r="20" spans="1:10" x14ac:dyDescent="0.25">
      <c r="A20">
        <v>13088</v>
      </c>
      <c r="B20" t="s">
        <v>3009</v>
      </c>
      <c r="C20" t="s">
        <v>3124</v>
      </c>
      <c r="D20" s="3">
        <v>25548</v>
      </c>
      <c r="E20">
        <f t="shared" si="0"/>
        <v>1969</v>
      </c>
      <c r="F20">
        <f t="shared" ca="1" si="1"/>
        <v>56</v>
      </c>
      <c r="G20">
        <f>COUNTIF(BRON!A:A,'schades-leeftijd'!A20)</f>
        <v>1</v>
      </c>
      <c r="I20" s="2">
        <v>35</v>
      </c>
      <c r="J20" s="35">
        <v>1.6666666666666667</v>
      </c>
    </row>
    <row r="21" spans="1:10" x14ac:dyDescent="0.25">
      <c r="A21">
        <v>13089</v>
      </c>
      <c r="B21" t="s">
        <v>1473</v>
      </c>
      <c r="C21" t="s">
        <v>2631</v>
      </c>
      <c r="D21" s="3">
        <v>29008</v>
      </c>
      <c r="E21">
        <f t="shared" si="0"/>
        <v>1979</v>
      </c>
      <c r="F21">
        <f t="shared" ca="1" si="1"/>
        <v>46</v>
      </c>
      <c r="G21">
        <f>COUNTIF(BRON!A:A,'schades-leeftijd'!A21)</f>
        <v>1</v>
      </c>
      <c r="I21" s="2">
        <v>36</v>
      </c>
      <c r="J21" s="35">
        <v>1</v>
      </c>
    </row>
    <row r="22" spans="1:10" x14ac:dyDescent="0.25">
      <c r="A22">
        <v>13257</v>
      </c>
      <c r="B22" t="s">
        <v>1656</v>
      </c>
      <c r="C22" t="s">
        <v>1647</v>
      </c>
      <c r="D22" s="3">
        <v>26636</v>
      </c>
      <c r="E22">
        <f t="shared" si="0"/>
        <v>1972</v>
      </c>
      <c r="F22">
        <f t="shared" ca="1" si="1"/>
        <v>53</v>
      </c>
      <c r="G22">
        <f>COUNTIF(BRON!A:A,'schades-leeftijd'!A22)</f>
        <v>0</v>
      </c>
      <c r="I22" s="2">
        <v>37</v>
      </c>
      <c r="J22" s="35">
        <v>2</v>
      </c>
    </row>
    <row r="23" spans="1:10" x14ac:dyDescent="0.25">
      <c r="A23">
        <v>13345</v>
      </c>
      <c r="B23" t="s">
        <v>1829</v>
      </c>
      <c r="C23" t="s">
        <v>1824</v>
      </c>
      <c r="D23" s="3">
        <v>25829</v>
      </c>
      <c r="E23">
        <f t="shared" si="0"/>
        <v>1970</v>
      </c>
      <c r="F23">
        <f t="shared" ca="1" si="1"/>
        <v>55</v>
      </c>
      <c r="G23">
        <f>COUNTIF(BRON!A:A,'schades-leeftijd'!A23)</f>
        <v>1</v>
      </c>
      <c r="I23" s="2">
        <v>38</v>
      </c>
      <c r="J23" s="35">
        <v>1.7</v>
      </c>
    </row>
    <row r="24" spans="1:10" x14ac:dyDescent="0.25">
      <c r="A24">
        <v>13398</v>
      </c>
      <c r="B24" t="s">
        <v>1625</v>
      </c>
      <c r="C24" t="s">
        <v>1210</v>
      </c>
      <c r="D24" s="3">
        <v>28371</v>
      </c>
      <c r="E24">
        <f t="shared" si="0"/>
        <v>1977</v>
      </c>
      <c r="F24">
        <f t="shared" ca="1" si="1"/>
        <v>48</v>
      </c>
      <c r="G24">
        <f>COUNTIF(BRON!A:A,'schades-leeftijd'!A24)</f>
        <v>1</v>
      </c>
      <c r="I24" s="2">
        <v>39</v>
      </c>
      <c r="J24" s="35">
        <v>1.2307692307692308</v>
      </c>
    </row>
    <row r="25" spans="1:10" x14ac:dyDescent="0.25">
      <c r="A25">
        <v>14021</v>
      </c>
      <c r="B25" t="s">
        <v>3154</v>
      </c>
      <c r="C25" t="s">
        <v>3151</v>
      </c>
      <c r="D25" s="3">
        <v>29626</v>
      </c>
      <c r="E25">
        <f t="shared" si="0"/>
        <v>1981</v>
      </c>
      <c r="F25">
        <f t="shared" ca="1" si="1"/>
        <v>44</v>
      </c>
      <c r="G25">
        <f>COUNTIF(BRON!A:A,'schades-leeftijd'!A25)</f>
        <v>0</v>
      </c>
      <c r="I25" s="2">
        <v>40</v>
      </c>
      <c r="J25" s="35">
        <v>1.8571428571428572</v>
      </c>
    </row>
    <row r="26" spans="1:10" x14ac:dyDescent="0.25">
      <c r="A26">
        <v>14070</v>
      </c>
      <c r="B26" t="s">
        <v>1785</v>
      </c>
      <c r="C26" t="s">
        <v>1782</v>
      </c>
      <c r="D26" s="3">
        <v>26839</v>
      </c>
      <c r="E26">
        <f t="shared" si="0"/>
        <v>1973</v>
      </c>
      <c r="F26">
        <f t="shared" ca="1" si="1"/>
        <v>52</v>
      </c>
      <c r="G26">
        <f>COUNTIF(BRON!A:A,'schades-leeftijd'!A26)</f>
        <v>0</v>
      </c>
      <c r="I26" s="2">
        <v>41</v>
      </c>
      <c r="J26" s="35">
        <v>1.7058823529411764</v>
      </c>
    </row>
    <row r="27" spans="1:10" x14ac:dyDescent="0.25">
      <c r="A27">
        <v>14072</v>
      </c>
      <c r="B27" t="s">
        <v>2433</v>
      </c>
      <c r="C27" t="s">
        <v>2427</v>
      </c>
      <c r="D27" s="3">
        <v>28506</v>
      </c>
      <c r="E27">
        <f t="shared" si="0"/>
        <v>1978</v>
      </c>
      <c r="F27">
        <f t="shared" ca="1" si="1"/>
        <v>47</v>
      </c>
      <c r="G27">
        <f>COUNTIF(BRON!A:A,'schades-leeftijd'!A27)</f>
        <v>1</v>
      </c>
      <c r="I27" s="2">
        <v>42</v>
      </c>
      <c r="J27" s="35">
        <v>1.9473684210526316</v>
      </c>
    </row>
    <row r="28" spans="1:10" x14ac:dyDescent="0.25">
      <c r="A28">
        <v>14261</v>
      </c>
      <c r="B28" t="s">
        <v>1554</v>
      </c>
      <c r="C28" t="s">
        <v>1677</v>
      </c>
      <c r="D28" s="3">
        <v>26466</v>
      </c>
      <c r="E28">
        <f t="shared" si="0"/>
        <v>1972</v>
      </c>
      <c r="F28">
        <f t="shared" ca="1" si="1"/>
        <v>53</v>
      </c>
      <c r="G28">
        <f>COUNTIF(BRON!A:A,'schades-leeftijd'!A28)</f>
        <v>2</v>
      </c>
      <c r="I28" s="2">
        <v>43</v>
      </c>
      <c r="J28" s="35">
        <v>2</v>
      </c>
    </row>
    <row r="29" spans="1:10" x14ac:dyDescent="0.25">
      <c r="A29">
        <v>14425</v>
      </c>
      <c r="B29" t="s">
        <v>1554</v>
      </c>
      <c r="C29" t="s">
        <v>1597</v>
      </c>
      <c r="D29" s="3">
        <v>27851</v>
      </c>
      <c r="E29">
        <f t="shared" si="0"/>
        <v>1976</v>
      </c>
      <c r="F29">
        <f t="shared" ca="1" si="1"/>
        <v>49</v>
      </c>
      <c r="G29">
        <f>COUNTIF(BRON!A:A,'schades-leeftijd'!A29)</f>
        <v>0</v>
      </c>
      <c r="I29" s="2">
        <v>44</v>
      </c>
      <c r="J29" s="35">
        <v>0.63636363636363635</v>
      </c>
    </row>
    <row r="30" spans="1:10" x14ac:dyDescent="0.25">
      <c r="A30">
        <v>14625</v>
      </c>
      <c r="B30" t="s">
        <v>1503</v>
      </c>
      <c r="C30" t="s">
        <v>1504</v>
      </c>
      <c r="D30" s="3">
        <v>23621</v>
      </c>
      <c r="E30">
        <f t="shared" si="0"/>
        <v>1964</v>
      </c>
      <c r="F30">
        <f t="shared" ca="1" si="1"/>
        <v>61</v>
      </c>
      <c r="G30">
        <f>COUNTIF(BRON!A:A,'schades-leeftijd'!A30)</f>
        <v>1</v>
      </c>
      <c r="I30" s="2">
        <v>45</v>
      </c>
      <c r="J30" s="35">
        <v>0.84615384615384615</v>
      </c>
    </row>
    <row r="31" spans="1:10" x14ac:dyDescent="0.25">
      <c r="A31">
        <v>14665</v>
      </c>
      <c r="B31" t="s">
        <v>1925</v>
      </c>
      <c r="C31" t="s">
        <v>1918</v>
      </c>
      <c r="D31" s="3">
        <v>29490</v>
      </c>
      <c r="E31">
        <f t="shared" si="0"/>
        <v>1980</v>
      </c>
      <c r="F31">
        <f t="shared" ca="1" si="1"/>
        <v>45</v>
      </c>
      <c r="G31">
        <f>COUNTIF(BRON!A:A,'schades-leeftijd'!A31)</f>
        <v>2</v>
      </c>
      <c r="I31" s="2">
        <v>46</v>
      </c>
      <c r="J31" s="35">
        <v>1.7857142857142858</v>
      </c>
    </row>
    <row r="32" spans="1:10" x14ac:dyDescent="0.25">
      <c r="A32">
        <v>14667</v>
      </c>
      <c r="B32" t="s">
        <v>2716</v>
      </c>
      <c r="C32" t="s">
        <v>2717</v>
      </c>
      <c r="D32" s="3">
        <v>26648</v>
      </c>
      <c r="E32">
        <f t="shared" si="0"/>
        <v>1972</v>
      </c>
      <c r="F32">
        <f t="shared" ca="1" si="1"/>
        <v>53</v>
      </c>
      <c r="G32">
        <f>COUNTIF(BRON!A:A,'schades-leeftijd'!A32)</f>
        <v>0</v>
      </c>
      <c r="I32" s="2">
        <v>47</v>
      </c>
      <c r="J32" s="35">
        <v>1.9166666666666667</v>
      </c>
    </row>
    <row r="33" spans="1:10" x14ac:dyDescent="0.25">
      <c r="A33">
        <v>15088</v>
      </c>
      <c r="B33" t="s">
        <v>3027</v>
      </c>
      <c r="C33" t="s">
        <v>3015</v>
      </c>
      <c r="D33" s="3">
        <v>24300</v>
      </c>
      <c r="E33">
        <f t="shared" si="0"/>
        <v>1966</v>
      </c>
      <c r="F33">
        <f t="shared" ca="1" si="1"/>
        <v>59</v>
      </c>
      <c r="G33">
        <f>COUNTIF(BRON!A:A,'schades-leeftijd'!A33)</f>
        <v>2</v>
      </c>
      <c r="I33" s="2">
        <v>48</v>
      </c>
      <c r="J33" s="35">
        <v>1.65</v>
      </c>
    </row>
    <row r="34" spans="1:10" x14ac:dyDescent="0.25">
      <c r="A34">
        <v>15218</v>
      </c>
      <c r="B34" t="s">
        <v>3146</v>
      </c>
      <c r="C34" t="s">
        <v>3147</v>
      </c>
      <c r="D34" s="3">
        <v>25192</v>
      </c>
      <c r="E34">
        <f t="shared" si="0"/>
        <v>1968</v>
      </c>
      <c r="F34">
        <f t="shared" ca="1" si="1"/>
        <v>57</v>
      </c>
      <c r="G34">
        <f>COUNTIF(BRON!A:A,'schades-leeftijd'!A34)</f>
        <v>0</v>
      </c>
      <c r="I34" s="2">
        <v>49</v>
      </c>
      <c r="J34" s="35">
        <v>0.95454545454545459</v>
      </c>
    </row>
    <row r="35" spans="1:10" x14ac:dyDescent="0.25">
      <c r="A35">
        <v>15219</v>
      </c>
      <c r="B35" t="s">
        <v>1943</v>
      </c>
      <c r="C35" t="s">
        <v>1929</v>
      </c>
      <c r="D35" s="3">
        <v>29607</v>
      </c>
      <c r="E35">
        <f t="shared" si="0"/>
        <v>1981</v>
      </c>
      <c r="F35">
        <f t="shared" ca="1" si="1"/>
        <v>44</v>
      </c>
      <c r="G35">
        <f>COUNTIF(BRON!A:A,'schades-leeftijd'!A35)</f>
        <v>1</v>
      </c>
      <c r="I35" s="2">
        <v>50</v>
      </c>
      <c r="J35" s="35">
        <v>1.5454545454545454</v>
      </c>
    </row>
    <row r="36" spans="1:10" x14ac:dyDescent="0.25">
      <c r="A36">
        <v>15220</v>
      </c>
      <c r="B36" t="s">
        <v>2498</v>
      </c>
      <c r="C36" t="s">
        <v>2495</v>
      </c>
      <c r="D36" s="3">
        <v>26171</v>
      </c>
      <c r="E36">
        <f t="shared" si="0"/>
        <v>1971</v>
      </c>
      <c r="F36">
        <f t="shared" ca="1" si="1"/>
        <v>54</v>
      </c>
      <c r="G36">
        <f>COUNTIF(BRON!A:A,'schades-leeftijd'!A36)</f>
        <v>1</v>
      </c>
      <c r="I36" s="2">
        <v>51</v>
      </c>
      <c r="J36" s="35">
        <v>1.2941176470588236</v>
      </c>
    </row>
    <row r="37" spans="1:10" x14ac:dyDescent="0.25">
      <c r="A37">
        <v>15282</v>
      </c>
      <c r="B37" t="s">
        <v>2408</v>
      </c>
      <c r="C37" t="s">
        <v>2409</v>
      </c>
      <c r="D37" s="3">
        <v>26952</v>
      </c>
      <c r="E37">
        <f t="shared" si="0"/>
        <v>1973</v>
      </c>
      <c r="F37">
        <f t="shared" ca="1" si="1"/>
        <v>52</v>
      </c>
      <c r="G37">
        <f>COUNTIF(BRON!A:A,'schades-leeftijd'!A37)</f>
        <v>2</v>
      </c>
      <c r="I37" s="2">
        <v>52</v>
      </c>
      <c r="J37" s="35">
        <v>1.4666666666666666</v>
      </c>
    </row>
    <row r="38" spans="1:10" x14ac:dyDescent="0.25">
      <c r="A38">
        <v>15320</v>
      </c>
      <c r="B38" t="s">
        <v>2206</v>
      </c>
      <c r="C38" t="s">
        <v>2879</v>
      </c>
      <c r="D38" s="3">
        <v>28129</v>
      </c>
      <c r="E38">
        <f t="shared" si="0"/>
        <v>1977</v>
      </c>
      <c r="F38">
        <f t="shared" ca="1" si="1"/>
        <v>48</v>
      </c>
      <c r="G38">
        <f>COUNTIF(BRON!A:A,'schades-leeftijd'!A38)</f>
        <v>2</v>
      </c>
      <c r="I38" s="2">
        <v>53</v>
      </c>
      <c r="J38" s="35">
        <v>0.83333333333333337</v>
      </c>
    </row>
    <row r="39" spans="1:10" x14ac:dyDescent="0.25">
      <c r="A39">
        <v>15412</v>
      </c>
      <c r="B39" t="s">
        <v>2872</v>
      </c>
      <c r="C39" t="s">
        <v>2866</v>
      </c>
      <c r="D39" s="3">
        <v>24476</v>
      </c>
      <c r="E39">
        <f t="shared" si="0"/>
        <v>1967</v>
      </c>
      <c r="F39">
        <f t="shared" ca="1" si="1"/>
        <v>58</v>
      </c>
      <c r="G39">
        <f>COUNTIF(BRON!A:A,'schades-leeftijd'!A39)</f>
        <v>2</v>
      </c>
      <c r="I39" s="2">
        <v>54</v>
      </c>
      <c r="J39" s="35">
        <v>1.5714285714285714</v>
      </c>
    </row>
    <row r="40" spans="1:10" x14ac:dyDescent="0.25">
      <c r="A40">
        <v>15626</v>
      </c>
      <c r="B40" t="s">
        <v>1837</v>
      </c>
      <c r="C40" t="s">
        <v>1838</v>
      </c>
      <c r="D40" s="3">
        <v>29917</v>
      </c>
      <c r="E40">
        <f t="shared" si="0"/>
        <v>1981</v>
      </c>
      <c r="F40">
        <f t="shared" ca="1" si="1"/>
        <v>44</v>
      </c>
      <c r="G40">
        <f>COUNTIF(BRON!A:A,'schades-leeftijd'!A40)</f>
        <v>0</v>
      </c>
      <c r="I40" s="2">
        <v>55</v>
      </c>
      <c r="J40" s="35">
        <v>0.58823529411764708</v>
      </c>
    </row>
    <row r="41" spans="1:10" x14ac:dyDescent="0.25">
      <c r="A41">
        <v>15628</v>
      </c>
      <c r="B41" t="s">
        <v>2998</v>
      </c>
      <c r="C41" t="s">
        <v>1326</v>
      </c>
      <c r="D41" s="3">
        <v>26166</v>
      </c>
      <c r="E41">
        <f t="shared" si="0"/>
        <v>1971</v>
      </c>
      <c r="F41">
        <f t="shared" ca="1" si="1"/>
        <v>54</v>
      </c>
      <c r="G41">
        <f>COUNTIF(BRON!A:A,'schades-leeftijd'!A41)</f>
        <v>3</v>
      </c>
      <c r="I41" s="2">
        <v>56</v>
      </c>
      <c r="J41" s="35">
        <v>1.1666666666666667</v>
      </c>
    </row>
    <row r="42" spans="1:10" x14ac:dyDescent="0.25">
      <c r="A42">
        <v>15676</v>
      </c>
      <c r="B42" t="s">
        <v>1545</v>
      </c>
      <c r="C42" t="s">
        <v>1536</v>
      </c>
      <c r="D42" s="3">
        <v>28338</v>
      </c>
      <c r="E42">
        <f t="shared" si="0"/>
        <v>1977</v>
      </c>
      <c r="F42">
        <f t="shared" ca="1" si="1"/>
        <v>48</v>
      </c>
      <c r="G42">
        <f>COUNTIF(BRON!A:A,'schades-leeftijd'!A42)</f>
        <v>1</v>
      </c>
      <c r="I42" s="2">
        <v>57</v>
      </c>
      <c r="J42" s="35">
        <v>1.4</v>
      </c>
    </row>
    <row r="43" spans="1:10" x14ac:dyDescent="0.25">
      <c r="A43">
        <v>15726</v>
      </c>
      <c r="B43" t="s">
        <v>1979</v>
      </c>
      <c r="C43" t="s">
        <v>1960</v>
      </c>
      <c r="D43" s="3">
        <v>29405</v>
      </c>
      <c r="E43">
        <f t="shared" si="0"/>
        <v>1980</v>
      </c>
      <c r="F43">
        <f t="shared" ca="1" si="1"/>
        <v>45</v>
      </c>
      <c r="G43">
        <f>COUNTIF(BRON!A:A,'schades-leeftijd'!A43)</f>
        <v>0</v>
      </c>
      <c r="I43" s="2">
        <v>58</v>
      </c>
      <c r="J43" s="35">
        <v>0.5625</v>
      </c>
    </row>
    <row r="44" spans="1:10" x14ac:dyDescent="0.25">
      <c r="A44">
        <v>15852</v>
      </c>
      <c r="B44" t="s">
        <v>1524</v>
      </c>
      <c r="C44" t="s">
        <v>1521</v>
      </c>
      <c r="D44" s="3">
        <v>29948</v>
      </c>
      <c r="E44">
        <f t="shared" si="0"/>
        <v>1981</v>
      </c>
      <c r="F44">
        <f t="shared" ca="1" si="1"/>
        <v>44</v>
      </c>
      <c r="G44">
        <f>COUNTIF(BRON!A:A,'schades-leeftijd'!A44)</f>
        <v>1</v>
      </c>
      <c r="I44" s="2">
        <v>59</v>
      </c>
      <c r="J44" s="35">
        <v>1.9090909090909092</v>
      </c>
    </row>
    <row r="45" spans="1:10" x14ac:dyDescent="0.25">
      <c r="A45">
        <v>16094</v>
      </c>
      <c r="B45" t="s">
        <v>1940</v>
      </c>
      <c r="C45" t="s">
        <v>1929</v>
      </c>
      <c r="D45" s="3">
        <v>24895</v>
      </c>
      <c r="E45">
        <f t="shared" si="0"/>
        <v>1968</v>
      </c>
      <c r="F45">
        <f t="shared" ca="1" si="1"/>
        <v>57</v>
      </c>
      <c r="G45">
        <f>COUNTIF(BRON!A:A,'schades-leeftijd'!A45)</f>
        <v>0</v>
      </c>
      <c r="I45" s="2">
        <v>60</v>
      </c>
      <c r="J45" s="35">
        <v>1.3181818181818181</v>
      </c>
    </row>
    <row r="46" spans="1:10" x14ac:dyDescent="0.25">
      <c r="A46">
        <v>16095</v>
      </c>
      <c r="B46" t="s">
        <v>2601</v>
      </c>
      <c r="C46" t="s">
        <v>2596</v>
      </c>
      <c r="D46" s="3">
        <v>27290</v>
      </c>
      <c r="E46">
        <f t="shared" si="0"/>
        <v>1974</v>
      </c>
      <c r="F46">
        <f t="shared" ca="1" si="1"/>
        <v>51</v>
      </c>
      <c r="G46">
        <f>COUNTIF(BRON!A:A,'schades-leeftijd'!A46)</f>
        <v>0</v>
      </c>
      <c r="I46" s="2">
        <v>61</v>
      </c>
      <c r="J46" s="35">
        <v>1.2</v>
      </c>
    </row>
    <row r="47" spans="1:10" x14ac:dyDescent="0.25">
      <c r="A47">
        <v>16098</v>
      </c>
      <c r="B47" t="s">
        <v>1608</v>
      </c>
      <c r="C47" t="s">
        <v>1605</v>
      </c>
      <c r="D47" s="3">
        <v>22597</v>
      </c>
      <c r="E47">
        <f t="shared" si="0"/>
        <v>1961</v>
      </c>
      <c r="F47">
        <f t="shared" ca="1" si="1"/>
        <v>64</v>
      </c>
      <c r="G47">
        <f>COUNTIF(BRON!A:A,'schades-leeftijd'!A47)</f>
        <v>0</v>
      </c>
      <c r="I47" s="2">
        <v>62</v>
      </c>
      <c r="J47" s="35">
        <v>1.5</v>
      </c>
    </row>
    <row r="48" spans="1:10" x14ac:dyDescent="0.25">
      <c r="A48">
        <v>16275</v>
      </c>
      <c r="B48" t="s">
        <v>1976</v>
      </c>
      <c r="C48" t="s">
        <v>1960</v>
      </c>
      <c r="D48" s="3">
        <v>25880</v>
      </c>
      <c r="E48">
        <f t="shared" si="0"/>
        <v>1970</v>
      </c>
      <c r="F48">
        <f t="shared" ca="1" si="1"/>
        <v>55</v>
      </c>
      <c r="G48">
        <f>COUNTIF(BRON!A:A,'schades-leeftijd'!A48)</f>
        <v>1</v>
      </c>
      <c r="I48" s="2">
        <v>63</v>
      </c>
      <c r="J48" s="35">
        <v>0.9</v>
      </c>
    </row>
    <row r="49" spans="1:10" x14ac:dyDescent="0.25">
      <c r="A49">
        <v>16279</v>
      </c>
      <c r="B49" t="s">
        <v>3121</v>
      </c>
      <c r="C49" t="s">
        <v>3116</v>
      </c>
      <c r="D49" s="3">
        <v>28331</v>
      </c>
      <c r="E49">
        <f t="shared" si="0"/>
        <v>1977</v>
      </c>
      <c r="F49">
        <f t="shared" ca="1" si="1"/>
        <v>48</v>
      </c>
      <c r="G49">
        <f>COUNTIF(BRON!A:A,'schades-leeftijd'!A49)</f>
        <v>0</v>
      </c>
      <c r="I49" s="2">
        <v>64</v>
      </c>
      <c r="J49" s="35">
        <v>0.7142857142857143</v>
      </c>
    </row>
    <row r="50" spans="1:10" x14ac:dyDescent="0.25">
      <c r="A50">
        <v>16280</v>
      </c>
      <c r="B50" t="s">
        <v>2670</v>
      </c>
      <c r="C50" t="s">
        <v>2671</v>
      </c>
      <c r="D50" s="3">
        <v>27842</v>
      </c>
      <c r="E50">
        <f t="shared" si="0"/>
        <v>1976</v>
      </c>
      <c r="F50">
        <f t="shared" ca="1" si="1"/>
        <v>49</v>
      </c>
      <c r="G50">
        <f>COUNTIF(BRON!A:A,'schades-leeftijd'!A50)</f>
        <v>1</v>
      </c>
      <c r="I50" s="2">
        <v>65</v>
      </c>
      <c r="J50" s="35">
        <v>1</v>
      </c>
    </row>
    <row r="51" spans="1:10" x14ac:dyDescent="0.25">
      <c r="A51">
        <v>16282</v>
      </c>
      <c r="B51" t="s">
        <v>1800</v>
      </c>
      <c r="C51" t="s">
        <v>1801</v>
      </c>
      <c r="D51" s="3">
        <v>26137</v>
      </c>
      <c r="E51">
        <f t="shared" si="0"/>
        <v>1971</v>
      </c>
      <c r="F51">
        <f t="shared" ca="1" si="1"/>
        <v>54</v>
      </c>
      <c r="G51">
        <f>COUNTIF(BRON!A:A,'schades-leeftijd'!A51)</f>
        <v>1</v>
      </c>
      <c r="I51" s="2">
        <v>66</v>
      </c>
      <c r="J51" s="35">
        <v>1</v>
      </c>
    </row>
    <row r="52" spans="1:10" x14ac:dyDescent="0.25">
      <c r="A52">
        <v>16545</v>
      </c>
      <c r="B52" t="s">
        <v>2920</v>
      </c>
      <c r="C52" t="s">
        <v>2921</v>
      </c>
      <c r="D52" s="3">
        <v>24848</v>
      </c>
      <c r="E52">
        <f t="shared" si="0"/>
        <v>1968</v>
      </c>
      <c r="F52">
        <f t="shared" ca="1" si="1"/>
        <v>57</v>
      </c>
      <c r="G52">
        <f>COUNTIF(BRON!A:A,'schades-leeftijd'!A52)</f>
        <v>2</v>
      </c>
      <c r="I52" s="2">
        <v>69</v>
      </c>
      <c r="J52" s="35">
        <v>0.33333333333333331</v>
      </c>
    </row>
    <row r="53" spans="1:10" x14ac:dyDescent="0.25">
      <c r="A53">
        <v>16546</v>
      </c>
      <c r="B53" t="s">
        <v>1816</v>
      </c>
      <c r="C53" t="s">
        <v>1817</v>
      </c>
      <c r="D53" s="3">
        <v>24253</v>
      </c>
      <c r="E53">
        <f t="shared" si="0"/>
        <v>1966</v>
      </c>
      <c r="F53">
        <f t="shared" ca="1" si="1"/>
        <v>59</v>
      </c>
      <c r="G53">
        <f>COUNTIF(BRON!A:A,'schades-leeftijd'!A53)</f>
        <v>2</v>
      </c>
      <c r="I53" s="2">
        <v>72</v>
      </c>
      <c r="J53" s="35">
        <v>1</v>
      </c>
    </row>
    <row r="54" spans="1:10" x14ac:dyDescent="0.25">
      <c r="A54">
        <v>16623</v>
      </c>
      <c r="B54" t="s">
        <v>2088</v>
      </c>
      <c r="C54" t="s">
        <v>2089</v>
      </c>
      <c r="D54" s="3">
        <v>25363</v>
      </c>
      <c r="E54">
        <f t="shared" si="0"/>
        <v>1969</v>
      </c>
      <c r="F54">
        <f t="shared" ca="1" si="1"/>
        <v>56</v>
      </c>
      <c r="G54">
        <f>COUNTIF(BRON!A:A,'schades-leeftijd'!A54)</f>
        <v>0</v>
      </c>
      <c r="I54" s="2">
        <v>75</v>
      </c>
      <c r="J54" s="35">
        <v>0</v>
      </c>
    </row>
    <row r="55" spans="1:10" x14ac:dyDescent="0.25">
      <c r="A55">
        <v>16895</v>
      </c>
      <c r="B55" t="s">
        <v>2854</v>
      </c>
      <c r="C55" t="s">
        <v>2850</v>
      </c>
      <c r="D55" s="3">
        <v>24194</v>
      </c>
      <c r="E55">
        <f t="shared" si="0"/>
        <v>1966</v>
      </c>
      <c r="F55">
        <f t="shared" ca="1" si="1"/>
        <v>59</v>
      </c>
      <c r="G55">
        <f>COUNTIF(BRON!A:A,'schades-leeftijd'!A55)</f>
        <v>6</v>
      </c>
      <c r="I55" s="2" t="s">
        <v>65</v>
      </c>
      <c r="J55" s="43">
        <v>1.4797297297297298</v>
      </c>
    </row>
    <row r="56" spans="1:10" x14ac:dyDescent="0.25">
      <c r="A56">
        <v>16897</v>
      </c>
      <c r="B56" t="s">
        <v>3087</v>
      </c>
      <c r="C56" t="s">
        <v>3347</v>
      </c>
      <c r="D56" s="3">
        <v>30395</v>
      </c>
      <c r="E56">
        <f t="shared" si="0"/>
        <v>1983</v>
      </c>
      <c r="F56">
        <f t="shared" ca="1" si="1"/>
        <v>42</v>
      </c>
      <c r="G56">
        <f>COUNTIF(BRON!A:A,'schades-leeftijd'!A56)</f>
        <v>2</v>
      </c>
    </row>
    <row r="57" spans="1:10" x14ac:dyDescent="0.25">
      <c r="A57">
        <v>16899</v>
      </c>
      <c r="B57" t="s">
        <v>2354</v>
      </c>
      <c r="C57" t="s">
        <v>2351</v>
      </c>
      <c r="D57" s="3">
        <v>23057</v>
      </c>
      <c r="E57">
        <f t="shared" si="0"/>
        <v>1963</v>
      </c>
      <c r="F57">
        <f t="shared" ca="1" si="1"/>
        <v>62</v>
      </c>
      <c r="G57">
        <f>COUNTIF(BRON!A:A,'schades-leeftijd'!A57)</f>
        <v>0</v>
      </c>
    </row>
    <row r="58" spans="1:10" x14ac:dyDescent="0.25">
      <c r="A58">
        <v>16970</v>
      </c>
      <c r="B58" t="s">
        <v>3061</v>
      </c>
      <c r="C58" t="s">
        <v>3055</v>
      </c>
      <c r="D58" s="3">
        <v>29646</v>
      </c>
      <c r="E58">
        <f t="shared" si="0"/>
        <v>1981</v>
      </c>
      <c r="F58">
        <f t="shared" ca="1" si="1"/>
        <v>44</v>
      </c>
      <c r="G58">
        <f>COUNTIF(BRON!A:A,'schades-leeftijd'!A58)</f>
        <v>0</v>
      </c>
    </row>
    <row r="59" spans="1:10" x14ac:dyDescent="0.25">
      <c r="A59">
        <v>16971</v>
      </c>
      <c r="B59" t="s">
        <v>2534</v>
      </c>
      <c r="C59" t="s">
        <v>2531</v>
      </c>
      <c r="D59" s="3">
        <v>26011</v>
      </c>
      <c r="E59">
        <f t="shared" si="0"/>
        <v>1971</v>
      </c>
      <c r="F59">
        <f t="shared" ca="1" si="1"/>
        <v>54</v>
      </c>
      <c r="G59">
        <f>COUNTIF(BRON!A:A,'schades-leeftijd'!A59)</f>
        <v>0</v>
      </c>
    </row>
    <row r="60" spans="1:10" x14ac:dyDescent="0.25">
      <c r="A60">
        <v>17555</v>
      </c>
      <c r="B60" t="s">
        <v>1499</v>
      </c>
      <c r="C60" t="s">
        <v>1491</v>
      </c>
      <c r="D60" s="3">
        <v>29308</v>
      </c>
      <c r="E60">
        <f t="shared" si="0"/>
        <v>1980</v>
      </c>
      <c r="F60">
        <f t="shared" ca="1" si="1"/>
        <v>45</v>
      </c>
      <c r="G60">
        <f>COUNTIF(BRON!A:A,'schades-leeftijd'!A60)</f>
        <v>1</v>
      </c>
    </row>
    <row r="61" spans="1:10" x14ac:dyDescent="0.25">
      <c r="A61">
        <v>17566</v>
      </c>
      <c r="B61" t="s">
        <v>1872</v>
      </c>
      <c r="C61" t="s">
        <v>1873</v>
      </c>
      <c r="D61" s="3">
        <v>22889</v>
      </c>
      <c r="E61">
        <f t="shared" si="0"/>
        <v>1962</v>
      </c>
      <c r="F61">
        <f t="shared" ca="1" si="1"/>
        <v>63</v>
      </c>
      <c r="G61">
        <f>COUNTIF(BRON!A:A,'schades-leeftijd'!A61)</f>
        <v>2</v>
      </c>
    </row>
    <row r="62" spans="1:10" x14ac:dyDescent="0.25">
      <c r="A62">
        <v>17931</v>
      </c>
      <c r="B62" t="s">
        <v>2748</v>
      </c>
      <c r="C62" t="s">
        <v>2749</v>
      </c>
      <c r="D62" s="3">
        <v>25055</v>
      </c>
      <c r="E62">
        <f t="shared" si="0"/>
        <v>1968</v>
      </c>
      <c r="F62">
        <f t="shared" ca="1" si="1"/>
        <v>57</v>
      </c>
      <c r="G62">
        <f>COUNTIF(BRON!A:A,'schades-leeftijd'!A62)</f>
        <v>2</v>
      </c>
    </row>
    <row r="63" spans="1:10" x14ac:dyDescent="0.25">
      <c r="A63">
        <v>17951</v>
      </c>
      <c r="B63" t="s">
        <v>3127</v>
      </c>
      <c r="C63" t="s">
        <v>3128</v>
      </c>
      <c r="D63" s="3">
        <v>22267</v>
      </c>
      <c r="E63">
        <f t="shared" si="0"/>
        <v>1960</v>
      </c>
      <c r="F63">
        <f t="shared" ca="1" si="1"/>
        <v>65</v>
      </c>
      <c r="G63">
        <f>COUNTIF(BRON!A:A,'schades-leeftijd'!A63)</f>
        <v>1</v>
      </c>
    </row>
    <row r="64" spans="1:10" x14ac:dyDescent="0.25">
      <c r="A64">
        <v>17954</v>
      </c>
      <c r="B64" t="s">
        <v>1738</v>
      </c>
      <c r="C64" t="s">
        <v>1804</v>
      </c>
      <c r="D64" s="3">
        <v>24694</v>
      </c>
      <c r="E64">
        <f t="shared" si="0"/>
        <v>1967</v>
      </c>
      <c r="F64">
        <f t="shared" ca="1" si="1"/>
        <v>58</v>
      </c>
      <c r="G64">
        <f>COUNTIF(BRON!A:A,'schades-leeftijd'!A64)</f>
        <v>0</v>
      </c>
    </row>
    <row r="65" spans="1:7" x14ac:dyDescent="0.25">
      <c r="A65">
        <v>18051</v>
      </c>
      <c r="B65" t="s">
        <v>2882</v>
      </c>
      <c r="C65" t="s">
        <v>2879</v>
      </c>
      <c r="D65" s="3">
        <v>24058</v>
      </c>
      <c r="E65">
        <f t="shared" si="0"/>
        <v>1965</v>
      </c>
      <c r="F65">
        <f t="shared" ca="1" si="1"/>
        <v>60</v>
      </c>
      <c r="G65">
        <f>COUNTIF(BRON!A:A,'schades-leeftijd'!A65)</f>
        <v>3</v>
      </c>
    </row>
    <row r="66" spans="1:7" x14ac:dyDescent="0.25">
      <c r="A66">
        <v>18139</v>
      </c>
      <c r="B66" t="s">
        <v>2405</v>
      </c>
      <c r="C66" t="s">
        <v>2394</v>
      </c>
      <c r="D66" s="3">
        <v>24575</v>
      </c>
      <c r="E66">
        <f t="shared" si="0"/>
        <v>1967</v>
      </c>
      <c r="F66">
        <f t="shared" ca="1" si="1"/>
        <v>58</v>
      </c>
      <c r="G66">
        <f>COUNTIF(BRON!A:A,'schades-leeftijd'!A66)</f>
        <v>0</v>
      </c>
    </row>
    <row r="67" spans="1:7" x14ac:dyDescent="0.25">
      <c r="A67">
        <v>18141</v>
      </c>
      <c r="B67" t="s">
        <v>2338</v>
      </c>
      <c r="C67" t="s">
        <v>2339</v>
      </c>
      <c r="D67" s="3">
        <v>24596</v>
      </c>
      <c r="E67">
        <f t="shared" ref="E67:E130" si="2">YEAR(D67)</f>
        <v>1967</v>
      </c>
      <c r="F67">
        <f t="shared" ref="F67:F130" ca="1" si="3">YEAR(TODAY())-E67</f>
        <v>58</v>
      </c>
      <c r="G67">
        <f>COUNTIF(BRON!A:A,'schades-leeftijd'!A67)</f>
        <v>0</v>
      </c>
    </row>
    <row r="68" spans="1:7" x14ac:dyDescent="0.25">
      <c r="A68">
        <v>18173</v>
      </c>
      <c r="B68" t="s">
        <v>2776</v>
      </c>
      <c r="C68" t="s">
        <v>2777</v>
      </c>
      <c r="D68" s="3">
        <v>29127</v>
      </c>
      <c r="E68">
        <f t="shared" si="2"/>
        <v>1979</v>
      </c>
      <c r="F68">
        <f t="shared" ca="1" si="3"/>
        <v>46</v>
      </c>
      <c r="G68">
        <f>COUNTIF(BRON!A:A,'schades-leeftijd'!A68)</f>
        <v>1</v>
      </c>
    </row>
    <row r="69" spans="1:7" x14ac:dyDescent="0.25">
      <c r="A69">
        <v>18624</v>
      </c>
      <c r="B69" t="s">
        <v>2334</v>
      </c>
      <c r="C69" t="s">
        <v>2335</v>
      </c>
      <c r="D69" s="3">
        <v>22884</v>
      </c>
      <c r="E69">
        <f t="shared" si="2"/>
        <v>1962</v>
      </c>
      <c r="F69">
        <f t="shared" ca="1" si="3"/>
        <v>63</v>
      </c>
      <c r="G69">
        <f>COUNTIF(BRON!A:A,'schades-leeftijd'!A69)</f>
        <v>0</v>
      </c>
    </row>
    <row r="70" spans="1:7" x14ac:dyDescent="0.25">
      <c r="A70">
        <v>19016</v>
      </c>
      <c r="B70" t="s">
        <v>1517</v>
      </c>
      <c r="C70" t="s">
        <v>1513</v>
      </c>
      <c r="D70" s="3">
        <v>25538</v>
      </c>
      <c r="E70">
        <f t="shared" si="2"/>
        <v>1969</v>
      </c>
      <c r="F70">
        <f t="shared" ca="1" si="3"/>
        <v>56</v>
      </c>
      <c r="G70">
        <f>COUNTIF(BRON!A:A,'schades-leeftijd'!A70)</f>
        <v>0</v>
      </c>
    </row>
    <row r="71" spans="1:7" x14ac:dyDescent="0.25">
      <c r="A71">
        <v>19086</v>
      </c>
      <c r="B71" t="s">
        <v>2465</v>
      </c>
      <c r="C71" t="s">
        <v>3259</v>
      </c>
      <c r="D71" s="3">
        <v>29513</v>
      </c>
      <c r="E71">
        <f t="shared" si="2"/>
        <v>1980</v>
      </c>
      <c r="F71">
        <f t="shared" ca="1" si="3"/>
        <v>45</v>
      </c>
      <c r="G71">
        <f>COUNTIF(BRON!A:A,'schades-leeftijd'!A71)</f>
        <v>0</v>
      </c>
    </row>
    <row r="72" spans="1:7" x14ac:dyDescent="0.25">
      <c r="A72">
        <v>19087</v>
      </c>
      <c r="B72" t="s">
        <v>1937</v>
      </c>
      <c r="C72" t="s">
        <v>1929</v>
      </c>
      <c r="D72" s="3">
        <v>29547</v>
      </c>
      <c r="E72">
        <f t="shared" si="2"/>
        <v>1980</v>
      </c>
      <c r="F72">
        <f t="shared" ca="1" si="3"/>
        <v>45</v>
      </c>
      <c r="G72">
        <f>COUNTIF(BRON!A:A,'schades-leeftijd'!A72)</f>
        <v>1</v>
      </c>
    </row>
    <row r="73" spans="1:7" x14ac:dyDescent="0.25">
      <c r="A73">
        <v>19088</v>
      </c>
      <c r="B73" t="s">
        <v>3078</v>
      </c>
      <c r="C73" t="s">
        <v>2405</v>
      </c>
      <c r="D73" s="3">
        <v>27422</v>
      </c>
      <c r="E73">
        <f t="shared" si="2"/>
        <v>1975</v>
      </c>
      <c r="F73">
        <f t="shared" ca="1" si="3"/>
        <v>50</v>
      </c>
      <c r="G73">
        <f>COUNTIF(BRON!A:A,'schades-leeftijd'!A73)</f>
        <v>1</v>
      </c>
    </row>
    <row r="74" spans="1:7" x14ac:dyDescent="0.25">
      <c r="A74">
        <v>19127</v>
      </c>
      <c r="B74" t="s">
        <v>1495</v>
      </c>
      <c r="C74" t="s">
        <v>1491</v>
      </c>
      <c r="D74" s="3">
        <v>26900</v>
      </c>
      <c r="E74">
        <f t="shared" si="2"/>
        <v>1973</v>
      </c>
      <c r="F74">
        <f t="shared" ca="1" si="3"/>
        <v>52</v>
      </c>
      <c r="G74">
        <f>COUNTIF(BRON!A:A,'schades-leeftijd'!A74)</f>
        <v>0</v>
      </c>
    </row>
    <row r="75" spans="1:7" x14ac:dyDescent="0.25">
      <c r="A75">
        <v>19219</v>
      </c>
      <c r="B75" t="s">
        <v>2829</v>
      </c>
      <c r="C75" t="s">
        <v>2820</v>
      </c>
      <c r="D75" s="3">
        <v>23793</v>
      </c>
      <c r="E75">
        <f t="shared" si="2"/>
        <v>1965</v>
      </c>
      <c r="F75">
        <f t="shared" ca="1" si="3"/>
        <v>60</v>
      </c>
      <c r="G75">
        <f>COUNTIF(BRON!A:A,'schades-leeftijd'!A75)</f>
        <v>1</v>
      </c>
    </row>
    <row r="76" spans="1:7" x14ac:dyDescent="0.25">
      <c r="A76">
        <v>19249</v>
      </c>
      <c r="B76" t="s">
        <v>2527</v>
      </c>
      <c r="C76" t="s">
        <v>2524</v>
      </c>
      <c r="D76" s="3">
        <v>30809</v>
      </c>
      <c r="E76">
        <f t="shared" si="2"/>
        <v>1984</v>
      </c>
      <c r="F76">
        <f t="shared" ca="1" si="3"/>
        <v>41</v>
      </c>
      <c r="G76">
        <f>COUNTIF(BRON!A:A,'schades-leeftijd'!A76)</f>
        <v>4</v>
      </c>
    </row>
    <row r="77" spans="1:7" x14ac:dyDescent="0.25">
      <c r="A77">
        <v>19251</v>
      </c>
      <c r="B77" t="s">
        <v>2553</v>
      </c>
      <c r="C77" t="s">
        <v>2554</v>
      </c>
      <c r="D77" s="3">
        <v>24261</v>
      </c>
      <c r="E77">
        <f t="shared" si="2"/>
        <v>1966</v>
      </c>
      <c r="F77">
        <f t="shared" ca="1" si="3"/>
        <v>59</v>
      </c>
      <c r="G77">
        <f>COUNTIF(BRON!A:A,'schades-leeftijd'!A77)</f>
        <v>0</v>
      </c>
    </row>
    <row r="78" spans="1:7" x14ac:dyDescent="0.25">
      <c r="A78">
        <v>19520</v>
      </c>
      <c r="B78" t="s">
        <v>2423</v>
      </c>
      <c r="C78" t="s">
        <v>2420</v>
      </c>
      <c r="D78" s="3">
        <v>29721</v>
      </c>
      <c r="E78">
        <f t="shared" si="2"/>
        <v>1981</v>
      </c>
      <c r="F78">
        <f t="shared" ca="1" si="3"/>
        <v>44</v>
      </c>
      <c r="G78">
        <f>COUNTIF(BRON!A:A,'schades-leeftijd'!A78)</f>
        <v>1</v>
      </c>
    </row>
    <row r="79" spans="1:7" x14ac:dyDescent="0.25">
      <c r="A79">
        <v>19675</v>
      </c>
      <c r="B79" t="s">
        <v>1669</v>
      </c>
      <c r="C79" t="s">
        <v>1670</v>
      </c>
      <c r="D79" s="3">
        <v>25000</v>
      </c>
      <c r="E79">
        <f t="shared" si="2"/>
        <v>1968</v>
      </c>
      <c r="F79">
        <f t="shared" ca="1" si="3"/>
        <v>57</v>
      </c>
      <c r="G79">
        <f>COUNTIF(BRON!A:A,'schades-leeftijd'!A79)</f>
        <v>0</v>
      </c>
    </row>
    <row r="80" spans="1:7" x14ac:dyDescent="0.25">
      <c r="A80">
        <v>19676</v>
      </c>
      <c r="B80" t="s">
        <v>2659</v>
      </c>
      <c r="C80" t="s">
        <v>2657</v>
      </c>
      <c r="D80" s="3">
        <v>30660</v>
      </c>
      <c r="E80">
        <f t="shared" si="2"/>
        <v>1983</v>
      </c>
      <c r="F80">
        <f t="shared" ca="1" si="3"/>
        <v>42</v>
      </c>
      <c r="G80">
        <f>COUNTIF(BRON!A:A,'schades-leeftijd'!A80)</f>
        <v>0</v>
      </c>
    </row>
    <row r="81" spans="1:7" x14ac:dyDescent="0.25">
      <c r="A81">
        <v>19691</v>
      </c>
      <c r="B81" t="s">
        <v>3425</v>
      </c>
      <c r="C81" t="s">
        <v>3423</v>
      </c>
      <c r="D81" s="3">
        <v>23974</v>
      </c>
      <c r="E81">
        <f t="shared" si="2"/>
        <v>1965</v>
      </c>
      <c r="F81">
        <f t="shared" ca="1" si="3"/>
        <v>60</v>
      </c>
      <c r="G81">
        <f>COUNTIF(BRON!A:A,'schades-leeftijd'!A81)</f>
        <v>0</v>
      </c>
    </row>
    <row r="82" spans="1:7" x14ac:dyDescent="0.25">
      <c r="A82">
        <v>19766</v>
      </c>
      <c r="B82" t="s">
        <v>2557</v>
      </c>
      <c r="C82" t="s">
        <v>2558</v>
      </c>
      <c r="D82" s="3">
        <v>22649</v>
      </c>
      <c r="E82">
        <f t="shared" si="2"/>
        <v>1962</v>
      </c>
      <c r="F82">
        <f t="shared" ca="1" si="3"/>
        <v>63</v>
      </c>
      <c r="G82">
        <f>COUNTIF(BRON!A:A,'schades-leeftijd'!A82)</f>
        <v>0</v>
      </c>
    </row>
    <row r="83" spans="1:7" x14ac:dyDescent="0.25">
      <c r="A83">
        <v>19810</v>
      </c>
      <c r="B83" t="s">
        <v>2415</v>
      </c>
      <c r="C83" t="s">
        <v>2416</v>
      </c>
      <c r="D83" s="3">
        <v>26051</v>
      </c>
      <c r="E83">
        <f t="shared" si="2"/>
        <v>1971</v>
      </c>
      <c r="F83">
        <f t="shared" ca="1" si="3"/>
        <v>54</v>
      </c>
      <c r="G83">
        <f>COUNTIF(BRON!A:A,'schades-leeftijd'!A83)</f>
        <v>0</v>
      </c>
    </row>
    <row r="84" spans="1:7" x14ac:dyDescent="0.25">
      <c r="A84">
        <v>19848</v>
      </c>
      <c r="B84" t="s">
        <v>1974</v>
      </c>
      <c r="C84" t="s">
        <v>1960</v>
      </c>
      <c r="D84" s="3">
        <v>22573</v>
      </c>
      <c r="E84">
        <f t="shared" si="2"/>
        <v>1961</v>
      </c>
      <c r="F84">
        <f t="shared" ca="1" si="3"/>
        <v>64</v>
      </c>
      <c r="G84">
        <f>COUNTIF(BRON!A:A,'schades-leeftijd'!A84)</f>
        <v>1</v>
      </c>
    </row>
    <row r="85" spans="1:7" x14ac:dyDescent="0.25">
      <c r="A85">
        <v>19917</v>
      </c>
      <c r="B85" t="s">
        <v>2869</v>
      </c>
      <c r="C85" t="s">
        <v>2866</v>
      </c>
      <c r="D85" s="3">
        <v>24135</v>
      </c>
      <c r="E85">
        <f t="shared" si="2"/>
        <v>1966</v>
      </c>
      <c r="F85">
        <f t="shared" ca="1" si="3"/>
        <v>59</v>
      </c>
      <c r="G85">
        <f>COUNTIF(BRON!A:A,'schades-leeftijd'!A85)</f>
        <v>10</v>
      </c>
    </row>
    <row r="86" spans="1:7" x14ac:dyDescent="0.25">
      <c r="A86">
        <v>20375</v>
      </c>
      <c r="B86" t="s">
        <v>2373</v>
      </c>
      <c r="C86" t="s">
        <v>2374</v>
      </c>
      <c r="D86" s="3">
        <v>27391</v>
      </c>
      <c r="E86">
        <f t="shared" si="2"/>
        <v>1974</v>
      </c>
      <c r="F86">
        <f t="shared" ca="1" si="3"/>
        <v>51</v>
      </c>
      <c r="G86">
        <f>COUNTIF(BRON!A:A,'schades-leeftijd'!A86)</f>
        <v>1</v>
      </c>
    </row>
    <row r="87" spans="1:7" x14ac:dyDescent="0.25">
      <c r="A87">
        <v>20376</v>
      </c>
      <c r="B87" t="s">
        <v>2280</v>
      </c>
      <c r="C87" t="s">
        <v>2277</v>
      </c>
      <c r="D87" s="3">
        <v>26892</v>
      </c>
      <c r="E87">
        <f t="shared" si="2"/>
        <v>1973</v>
      </c>
      <c r="F87">
        <f t="shared" ca="1" si="3"/>
        <v>52</v>
      </c>
      <c r="G87">
        <f>COUNTIF(BRON!A:A,'schades-leeftijd'!A87)</f>
        <v>0</v>
      </c>
    </row>
    <row r="88" spans="1:7" x14ac:dyDescent="0.25">
      <c r="A88">
        <v>20400</v>
      </c>
      <c r="B88" t="s">
        <v>2475</v>
      </c>
      <c r="C88" t="s">
        <v>1341</v>
      </c>
      <c r="D88" s="3">
        <v>23779</v>
      </c>
      <c r="E88">
        <f t="shared" si="2"/>
        <v>1965</v>
      </c>
      <c r="F88">
        <f t="shared" ca="1" si="3"/>
        <v>60</v>
      </c>
      <c r="G88">
        <f>COUNTIF(BRON!A:A,'schades-leeftijd'!A88)</f>
        <v>1</v>
      </c>
    </row>
    <row r="89" spans="1:7" x14ac:dyDescent="0.25">
      <c r="A89">
        <v>20402</v>
      </c>
      <c r="B89" t="s">
        <v>2402</v>
      </c>
      <c r="C89" t="s">
        <v>2394</v>
      </c>
      <c r="D89" s="3">
        <v>23889</v>
      </c>
      <c r="E89">
        <f t="shared" si="2"/>
        <v>1965</v>
      </c>
      <c r="F89">
        <f t="shared" ca="1" si="3"/>
        <v>60</v>
      </c>
      <c r="G89">
        <f>COUNTIF(BRON!A:A,'schades-leeftijd'!A89)</f>
        <v>0</v>
      </c>
    </row>
    <row r="90" spans="1:7" x14ac:dyDescent="0.25">
      <c r="A90">
        <v>20404</v>
      </c>
      <c r="B90" t="s">
        <v>1376</v>
      </c>
      <c r="C90" t="s">
        <v>1341</v>
      </c>
      <c r="D90" s="3">
        <v>26247</v>
      </c>
      <c r="E90">
        <f t="shared" si="2"/>
        <v>1971</v>
      </c>
      <c r="F90">
        <f t="shared" ca="1" si="3"/>
        <v>54</v>
      </c>
      <c r="G90">
        <f>COUNTIF(BRON!A:A,'schades-leeftijd'!A90)</f>
        <v>2</v>
      </c>
    </row>
    <row r="91" spans="1:7" x14ac:dyDescent="0.25">
      <c r="A91">
        <v>20476</v>
      </c>
      <c r="B91" t="s">
        <v>2928</v>
      </c>
      <c r="C91" t="s">
        <v>2925</v>
      </c>
      <c r="D91" s="3">
        <v>30153</v>
      </c>
      <c r="E91">
        <f t="shared" si="2"/>
        <v>1982</v>
      </c>
      <c r="F91">
        <f t="shared" ca="1" si="3"/>
        <v>43</v>
      </c>
      <c r="G91">
        <f>COUNTIF(BRON!A:A,'schades-leeftijd'!A91)</f>
        <v>0</v>
      </c>
    </row>
    <row r="92" spans="1:7" x14ac:dyDescent="0.25">
      <c r="A92">
        <v>20542</v>
      </c>
      <c r="B92" t="s">
        <v>2943</v>
      </c>
      <c r="C92" t="s">
        <v>2944</v>
      </c>
      <c r="D92" s="3">
        <v>31215</v>
      </c>
      <c r="E92">
        <f t="shared" si="2"/>
        <v>1985</v>
      </c>
      <c r="F92">
        <f t="shared" ca="1" si="3"/>
        <v>40</v>
      </c>
      <c r="G92">
        <f>COUNTIF(BRON!A:A,'schades-leeftijd'!A92)</f>
        <v>1</v>
      </c>
    </row>
    <row r="93" spans="1:7" x14ac:dyDescent="0.25">
      <c r="A93">
        <v>20543</v>
      </c>
      <c r="B93" t="s">
        <v>2686</v>
      </c>
      <c r="C93" t="s">
        <v>2687</v>
      </c>
      <c r="D93" s="3">
        <v>24788</v>
      </c>
      <c r="E93">
        <f t="shared" si="2"/>
        <v>1967</v>
      </c>
      <c r="F93">
        <f t="shared" ca="1" si="3"/>
        <v>58</v>
      </c>
      <c r="G93">
        <f>COUNTIF(BRON!A:A,'schades-leeftijd'!A93)</f>
        <v>1</v>
      </c>
    </row>
    <row r="94" spans="1:7" x14ac:dyDescent="0.25">
      <c r="A94">
        <v>20610</v>
      </c>
      <c r="B94" t="s">
        <v>2844</v>
      </c>
      <c r="C94" t="s">
        <v>2841</v>
      </c>
      <c r="D94" s="3">
        <v>27176</v>
      </c>
      <c r="E94">
        <f t="shared" si="2"/>
        <v>1974</v>
      </c>
      <c r="F94">
        <f t="shared" ca="1" si="3"/>
        <v>51</v>
      </c>
      <c r="G94">
        <f>COUNTIF(BRON!A:A,'schades-leeftijd'!A94)</f>
        <v>0</v>
      </c>
    </row>
    <row r="95" spans="1:7" x14ac:dyDescent="0.25">
      <c r="A95">
        <v>20612</v>
      </c>
      <c r="B95" t="s">
        <v>1744</v>
      </c>
      <c r="C95" t="s">
        <v>1733</v>
      </c>
      <c r="D95" s="3">
        <v>26097</v>
      </c>
      <c r="E95">
        <f t="shared" si="2"/>
        <v>1971</v>
      </c>
      <c r="F95">
        <f t="shared" ca="1" si="3"/>
        <v>54</v>
      </c>
      <c r="G95">
        <f>COUNTIF(BRON!A:A,'schades-leeftijd'!A95)</f>
        <v>0</v>
      </c>
    </row>
    <row r="96" spans="1:7" x14ac:dyDescent="0.25">
      <c r="A96">
        <v>20653</v>
      </c>
      <c r="B96" t="s">
        <v>2272</v>
      </c>
      <c r="C96" t="s">
        <v>2273</v>
      </c>
      <c r="D96" s="3">
        <v>29923</v>
      </c>
      <c r="E96">
        <f t="shared" si="2"/>
        <v>1981</v>
      </c>
      <c r="F96">
        <f t="shared" ca="1" si="3"/>
        <v>44</v>
      </c>
      <c r="G96">
        <f>COUNTIF(BRON!A:A,'schades-leeftijd'!A96)</f>
        <v>3</v>
      </c>
    </row>
    <row r="97" spans="1:7" x14ac:dyDescent="0.25">
      <c r="A97">
        <v>20655</v>
      </c>
      <c r="B97" t="s">
        <v>3352</v>
      </c>
      <c r="C97" t="s">
        <v>3347</v>
      </c>
      <c r="D97" s="3">
        <v>30082</v>
      </c>
      <c r="E97">
        <f t="shared" si="2"/>
        <v>1982</v>
      </c>
      <c r="F97">
        <f t="shared" ca="1" si="3"/>
        <v>43</v>
      </c>
      <c r="G97">
        <f>COUNTIF(BRON!A:A,'schades-leeftijd'!A97)</f>
        <v>0</v>
      </c>
    </row>
    <row r="98" spans="1:7" x14ac:dyDescent="0.25">
      <c r="A98">
        <v>20656</v>
      </c>
      <c r="B98" t="s">
        <v>1744</v>
      </c>
      <c r="C98" t="s">
        <v>1351</v>
      </c>
      <c r="D98" s="3">
        <v>25256</v>
      </c>
      <c r="E98">
        <f t="shared" si="2"/>
        <v>1969</v>
      </c>
      <c r="F98">
        <f t="shared" ca="1" si="3"/>
        <v>56</v>
      </c>
      <c r="G98">
        <f>COUNTIF(BRON!A:A,'schades-leeftijd'!A98)</f>
        <v>1</v>
      </c>
    </row>
    <row r="99" spans="1:7" x14ac:dyDescent="0.25">
      <c r="A99">
        <v>20705</v>
      </c>
      <c r="B99" t="s">
        <v>3041</v>
      </c>
      <c r="C99" t="s">
        <v>3042</v>
      </c>
      <c r="D99" s="3">
        <v>31394</v>
      </c>
      <c r="E99">
        <f t="shared" si="2"/>
        <v>1985</v>
      </c>
      <c r="F99">
        <f t="shared" ca="1" si="3"/>
        <v>40</v>
      </c>
      <c r="G99">
        <f>COUNTIF(BRON!A:A,'schades-leeftijd'!A99)</f>
        <v>0</v>
      </c>
    </row>
    <row r="100" spans="1:7" x14ac:dyDescent="0.25">
      <c r="A100">
        <v>20954</v>
      </c>
      <c r="B100" t="s">
        <v>2117</v>
      </c>
      <c r="C100" t="s">
        <v>2114</v>
      </c>
      <c r="D100" s="3">
        <v>28705</v>
      </c>
      <c r="E100">
        <f t="shared" si="2"/>
        <v>1978</v>
      </c>
      <c r="F100">
        <f t="shared" ca="1" si="3"/>
        <v>47</v>
      </c>
      <c r="G100">
        <f>COUNTIF(BRON!A:A,'schades-leeftijd'!A100)</f>
        <v>0</v>
      </c>
    </row>
    <row r="101" spans="1:7" x14ac:dyDescent="0.25">
      <c r="A101">
        <v>21121</v>
      </c>
      <c r="B101" t="s">
        <v>2180</v>
      </c>
      <c r="C101" t="s">
        <v>2174</v>
      </c>
      <c r="D101" s="3">
        <v>30571</v>
      </c>
      <c r="E101">
        <f t="shared" si="2"/>
        <v>1983</v>
      </c>
      <c r="F101">
        <f t="shared" ca="1" si="3"/>
        <v>42</v>
      </c>
      <c r="G101">
        <f>COUNTIF(BRON!A:A,'schades-leeftijd'!A101)</f>
        <v>2</v>
      </c>
    </row>
    <row r="102" spans="1:7" x14ac:dyDescent="0.25">
      <c r="A102">
        <v>21124</v>
      </c>
      <c r="B102" t="s">
        <v>3101</v>
      </c>
      <c r="C102" t="s">
        <v>3092</v>
      </c>
      <c r="D102" s="3">
        <v>28233</v>
      </c>
      <c r="E102">
        <f t="shared" si="2"/>
        <v>1977</v>
      </c>
      <c r="F102">
        <f t="shared" ca="1" si="3"/>
        <v>48</v>
      </c>
      <c r="G102">
        <f>COUNTIF(BRON!A:A,'schades-leeftijd'!A102)</f>
        <v>1</v>
      </c>
    </row>
    <row r="103" spans="1:7" x14ac:dyDescent="0.25">
      <c r="A103">
        <v>21160</v>
      </c>
      <c r="B103" t="s">
        <v>2209</v>
      </c>
      <c r="C103" t="s">
        <v>2210</v>
      </c>
      <c r="D103" s="3">
        <v>24630</v>
      </c>
      <c r="E103">
        <f t="shared" si="2"/>
        <v>1967</v>
      </c>
      <c r="F103">
        <f t="shared" ca="1" si="3"/>
        <v>58</v>
      </c>
      <c r="G103">
        <f>COUNTIF(BRON!A:A,'schades-leeftijd'!A103)</f>
        <v>0</v>
      </c>
    </row>
    <row r="104" spans="1:7" x14ac:dyDescent="0.25">
      <c r="A104">
        <v>21249</v>
      </c>
      <c r="B104" t="s">
        <v>2765</v>
      </c>
      <c r="C104" t="s">
        <v>3166</v>
      </c>
      <c r="D104" s="3">
        <v>30655</v>
      </c>
      <c r="E104">
        <f t="shared" si="2"/>
        <v>1983</v>
      </c>
      <c r="F104">
        <f t="shared" ca="1" si="3"/>
        <v>42</v>
      </c>
      <c r="G104">
        <f>COUNTIF(BRON!A:A,'schades-leeftijd'!A104)</f>
        <v>0</v>
      </c>
    </row>
    <row r="105" spans="1:7" x14ac:dyDescent="0.25">
      <c r="A105">
        <v>21382</v>
      </c>
      <c r="B105" t="s">
        <v>2303</v>
      </c>
      <c r="C105" t="s">
        <v>2296</v>
      </c>
      <c r="D105" s="3">
        <v>27768</v>
      </c>
      <c r="E105">
        <f t="shared" si="2"/>
        <v>1976</v>
      </c>
      <c r="F105">
        <f t="shared" ca="1" si="3"/>
        <v>49</v>
      </c>
      <c r="G105">
        <f>COUNTIF(BRON!A:A,'schades-leeftijd'!A105)</f>
        <v>1</v>
      </c>
    </row>
    <row r="106" spans="1:7" x14ac:dyDescent="0.25">
      <c r="A106">
        <v>21383</v>
      </c>
      <c r="B106" t="s">
        <v>1826</v>
      </c>
      <c r="C106" t="s">
        <v>1824</v>
      </c>
      <c r="D106" s="3">
        <v>26590</v>
      </c>
      <c r="E106">
        <f t="shared" si="2"/>
        <v>1972</v>
      </c>
      <c r="F106">
        <f t="shared" ca="1" si="3"/>
        <v>53</v>
      </c>
      <c r="G106">
        <f>COUNTIF(BRON!A:A,'schades-leeftijd'!A106)</f>
        <v>0</v>
      </c>
    </row>
    <row r="107" spans="1:7" x14ac:dyDescent="0.25">
      <c r="A107">
        <v>21424</v>
      </c>
      <c r="B107" t="s">
        <v>2587</v>
      </c>
      <c r="C107" t="s">
        <v>2588</v>
      </c>
      <c r="D107" s="3">
        <v>27407</v>
      </c>
      <c r="E107">
        <f t="shared" si="2"/>
        <v>1975</v>
      </c>
      <c r="F107">
        <f t="shared" ca="1" si="3"/>
        <v>50</v>
      </c>
      <c r="G107">
        <f>COUNTIF(BRON!A:A,'schades-leeftijd'!A107)</f>
        <v>2</v>
      </c>
    </row>
    <row r="108" spans="1:7" x14ac:dyDescent="0.25">
      <c r="A108">
        <v>21428</v>
      </c>
      <c r="B108" t="s">
        <v>1520</v>
      </c>
      <c r="C108" t="s">
        <v>1521</v>
      </c>
      <c r="D108" s="3">
        <v>25671</v>
      </c>
      <c r="E108">
        <f t="shared" si="2"/>
        <v>1970</v>
      </c>
      <c r="F108">
        <f t="shared" ca="1" si="3"/>
        <v>55</v>
      </c>
      <c r="G108">
        <f>COUNTIF(BRON!A:A,'schades-leeftijd'!A108)</f>
        <v>0</v>
      </c>
    </row>
    <row r="109" spans="1:7" x14ac:dyDescent="0.25">
      <c r="A109">
        <v>21429</v>
      </c>
      <c r="B109" t="s">
        <v>1430</v>
      </c>
      <c r="C109" t="s">
        <v>1427</v>
      </c>
      <c r="D109" s="3">
        <v>31632</v>
      </c>
      <c r="E109">
        <f t="shared" si="2"/>
        <v>1986</v>
      </c>
      <c r="F109">
        <f t="shared" ca="1" si="3"/>
        <v>39</v>
      </c>
      <c r="G109">
        <f>COUNTIF(BRON!A:A,'schades-leeftijd'!A109)</f>
        <v>0</v>
      </c>
    </row>
    <row r="110" spans="1:7" x14ac:dyDescent="0.25">
      <c r="A110">
        <v>21466</v>
      </c>
      <c r="B110" t="s">
        <v>2064</v>
      </c>
      <c r="C110" t="s">
        <v>3395</v>
      </c>
      <c r="D110" s="3">
        <v>25358</v>
      </c>
      <c r="E110">
        <f t="shared" si="2"/>
        <v>1969</v>
      </c>
      <c r="F110">
        <f t="shared" ca="1" si="3"/>
        <v>56</v>
      </c>
      <c r="G110">
        <f>COUNTIF(BRON!A:A,'schades-leeftijd'!A110)</f>
        <v>0</v>
      </c>
    </row>
    <row r="111" spans="1:7" x14ac:dyDescent="0.25">
      <c r="A111">
        <v>21506</v>
      </c>
      <c r="B111" t="s">
        <v>1971</v>
      </c>
      <c r="C111" t="s">
        <v>1960</v>
      </c>
      <c r="D111" s="3">
        <v>22969</v>
      </c>
      <c r="E111">
        <f t="shared" si="2"/>
        <v>1962</v>
      </c>
      <c r="F111">
        <f t="shared" ca="1" si="3"/>
        <v>63</v>
      </c>
      <c r="G111">
        <f>COUNTIF(BRON!A:A,'schades-leeftijd'!A111)</f>
        <v>0</v>
      </c>
    </row>
    <row r="112" spans="1:7" x14ac:dyDescent="0.25">
      <c r="A112">
        <v>21507</v>
      </c>
      <c r="B112" t="s">
        <v>2393</v>
      </c>
      <c r="C112" t="s">
        <v>1351</v>
      </c>
      <c r="D112" s="3">
        <v>29938</v>
      </c>
      <c r="E112">
        <f t="shared" si="2"/>
        <v>1981</v>
      </c>
      <c r="F112">
        <f t="shared" ca="1" si="3"/>
        <v>44</v>
      </c>
      <c r="G112">
        <f>COUNTIF(BRON!A:A,'schades-leeftijd'!A112)</f>
        <v>0</v>
      </c>
    </row>
    <row r="113" spans="1:7" x14ac:dyDescent="0.25">
      <c r="A113">
        <v>21509</v>
      </c>
      <c r="B113" t="s">
        <v>2419</v>
      </c>
      <c r="C113" t="s">
        <v>2420</v>
      </c>
      <c r="D113" s="3">
        <v>30190</v>
      </c>
      <c r="E113">
        <f t="shared" si="2"/>
        <v>1982</v>
      </c>
      <c r="F113">
        <f t="shared" ca="1" si="3"/>
        <v>43</v>
      </c>
      <c r="G113">
        <f>COUNTIF(BRON!A:A,'schades-leeftijd'!A113)</f>
        <v>6</v>
      </c>
    </row>
    <row r="114" spans="1:7" x14ac:dyDescent="0.25">
      <c r="A114">
        <v>21581</v>
      </c>
      <c r="B114" t="s">
        <v>2863</v>
      </c>
      <c r="C114" t="s">
        <v>2857</v>
      </c>
      <c r="D114" s="3">
        <v>26100</v>
      </c>
      <c r="E114">
        <f t="shared" si="2"/>
        <v>1971</v>
      </c>
      <c r="F114">
        <f t="shared" ca="1" si="3"/>
        <v>54</v>
      </c>
      <c r="G114">
        <f>COUNTIF(BRON!A:A,'schades-leeftijd'!A114)</f>
        <v>2</v>
      </c>
    </row>
    <row r="115" spans="1:7" x14ac:dyDescent="0.25">
      <c r="A115">
        <v>21662</v>
      </c>
      <c r="B115" t="s">
        <v>1486</v>
      </c>
      <c r="C115" t="s">
        <v>1487</v>
      </c>
      <c r="D115" s="3">
        <v>22761</v>
      </c>
      <c r="E115">
        <f t="shared" si="2"/>
        <v>1962</v>
      </c>
      <c r="F115">
        <f t="shared" ca="1" si="3"/>
        <v>63</v>
      </c>
      <c r="G115">
        <f>COUNTIF(BRON!A:A,'schades-leeftijd'!A115)</f>
        <v>0</v>
      </c>
    </row>
    <row r="116" spans="1:7" x14ac:dyDescent="0.25">
      <c r="A116">
        <v>21738</v>
      </c>
      <c r="B116" t="s">
        <v>2637</v>
      </c>
      <c r="C116" t="s">
        <v>2631</v>
      </c>
      <c r="D116" s="3">
        <v>30888</v>
      </c>
      <c r="E116">
        <f t="shared" si="2"/>
        <v>1984</v>
      </c>
      <c r="F116">
        <f t="shared" ca="1" si="3"/>
        <v>41</v>
      </c>
      <c r="G116">
        <f>COUNTIF(BRON!A:A,'schades-leeftijd'!A116)</f>
        <v>0</v>
      </c>
    </row>
    <row r="117" spans="1:7" x14ac:dyDescent="0.25">
      <c r="A117">
        <v>21809</v>
      </c>
      <c r="B117" t="s">
        <v>2498</v>
      </c>
      <c r="C117" t="s">
        <v>2960</v>
      </c>
      <c r="D117" s="3">
        <v>29830</v>
      </c>
      <c r="E117">
        <f t="shared" si="2"/>
        <v>1981</v>
      </c>
      <c r="F117">
        <f t="shared" ca="1" si="3"/>
        <v>44</v>
      </c>
      <c r="G117">
        <f>COUNTIF(BRON!A:A,'schades-leeftijd'!A117)</f>
        <v>1</v>
      </c>
    </row>
    <row r="118" spans="1:7" x14ac:dyDescent="0.25">
      <c r="A118">
        <v>21845</v>
      </c>
      <c r="B118" t="s">
        <v>2553</v>
      </c>
      <c r="C118" t="s">
        <v>3084</v>
      </c>
      <c r="D118" s="3">
        <v>28968</v>
      </c>
      <c r="E118">
        <f t="shared" si="2"/>
        <v>1979</v>
      </c>
      <c r="F118">
        <f t="shared" ca="1" si="3"/>
        <v>46</v>
      </c>
      <c r="G118">
        <f>COUNTIF(BRON!A:A,'schades-leeftijd'!A118)</f>
        <v>0</v>
      </c>
    </row>
    <row r="119" spans="1:7" x14ac:dyDescent="0.25">
      <c r="A119">
        <v>21892</v>
      </c>
      <c r="B119" t="s">
        <v>1653</v>
      </c>
      <c r="C119" t="s">
        <v>1647</v>
      </c>
      <c r="D119" s="3">
        <v>29470</v>
      </c>
      <c r="E119">
        <f t="shared" si="2"/>
        <v>1980</v>
      </c>
      <c r="F119">
        <f t="shared" ca="1" si="3"/>
        <v>45</v>
      </c>
      <c r="G119">
        <f>COUNTIF(BRON!A:A,'schades-leeftijd'!A119)</f>
        <v>2</v>
      </c>
    </row>
    <row r="120" spans="1:7" x14ac:dyDescent="0.25">
      <c r="A120">
        <v>22042</v>
      </c>
      <c r="B120" t="s">
        <v>3287</v>
      </c>
      <c r="C120" t="s">
        <v>1351</v>
      </c>
      <c r="D120" s="3">
        <v>31562</v>
      </c>
      <c r="E120">
        <f t="shared" si="2"/>
        <v>1986</v>
      </c>
      <c r="F120">
        <f t="shared" ca="1" si="3"/>
        <v>39</v>
      </c>
      <c r="G120">
        <f>COUNTIF(BRON!A:A,'schades-leeftijd'!A120)</f>
        <v>0</v>
      </c>
    </row>
    <row r="121" spans="1:7" x14ac:dyDescent="0.25">
      <c r="A121">
        <v>22052</v>
      </c>
      <c r="B121" t="s">
        <v>1637</v>
      </c>
      <c r="C121" t="s">
        <v>1929</v>
      </c>
      <c r="D121" s="3">
        <v>23387</v>
      </c>
      <c r="E121">
        <f t="shared" si="2"/>
        <v>1964</v>
      </c>
      <c r="F121">
        <f t="shared" ca="1" si="3"/>
        <v>61</v>
      </c>
      <c r="G121">
        <f>COUNTIF(BRON!A:A,'schades-leeftijd'!A121)</f>
        <v>1</v>
      </c>
    </row>
    <row r="122" spans="1:7" x14ac:dyDescent="0.25">
      <c r="A122">
        <v>22143</v>
      </c>
      <c r="B122" t="s">
        <v>2327</v>
      </c>
      <c r="C122" t="s">
        <v>2324</v>
      </c>
      <c r="D122" s="3">
        <v>29586</v>
      </c>
      <c r="E122">
        <f t="shared" si="2"/>
        <v>1980</v>
      </c>
      <c r="F122">
        <f t="shared" ca="1" si="3"/>
        <v>45</v>
      </c>
      <c r="G122">
        <f>COUNTIF(BRON!A:A,'schades-leeftijd'!A122)</f>
        <v>0</v>
      </c>
    </row>
    <row r="123" spans="1:7" x14ac:dyDescent="0.25">
      <c r="A123">
        <v>22202</v>
      </c>
      <c r="B123" t="s">
        <v>2003</v>
      </c>
      <c r="C123" t="s">
        <v>1991</v>
      </c>
      <c r="D123" s="3">
        <v>28068</v>
      </c>
      <c r="E123">
        <f t="shared" si="2"/>
        <v>1976</v>
      </c>
      <c r="F123">
        <f t="shared" ca="1" si="3"/>
        <v>49</v>
      </c>
      <c r="G123">
        <f>COUNTIF(BRON!A:A,'schades-leeftijd'!A123)</f>
        <v>1</v>
      </c>
    </row>
    <row r="124" spans="1:7" x14ac:dyDescent="0.25">
      <c r="A124">
        <v>22240</v>
      </c>
      <c r="B124" t="s">
        <v>2505</v>
      </c>
      <c r="C124" t="s">
        <v>2506</v>
      </c>
      <c r="D124" s="3">
        <v>26235</v>
      </c>
      <c r="E124">
        <f t="shared" si="2"/>
        <v>1971</v>
      </c>
      <c r="F124">
        <f t="shared" ca="1" si="3"/>
        <v>54</v>
      </c>
      <c r="G124">
        <f>COUNTIF(BRON!A:A,'schades-leeftijd'!A124)</f>
        <v>2</v>
      </c>
    </row>
    <row r="125" spans="1:7" x14ac:dyDescent="0.25">
      <c r="A125">
        <v>22244</v>
      </c>
      <c r="B125" t="s">
        <v>1625</v>
      </c>
      <c r="C125" t="s">
        <v>1626</v>
      </c>
      <c r="D125" s="3">
        <v>27824</v>
      </c>
      <c r="E125">
        <f t="shared" si="2"/>
        <v>1976</v>
      </c>
      <c r="F125">
        <f t="shared" ca="1" si="3"/>
        <v>49</v>
      </c>
      <c r="G125">
        <f>COUNTIF(BRON!A:A,'schades-leeftijd'!A125)</f>
        <v>2</v>
      </c>
    </row>
    <row r="126" spans="1:7" x14ac:dyDescent="0.25">
      <c r="A126">
        <v>22296</v>
      </c>
      <c r="B126" t="s">
        <v>3010</v>
      </c>
      <c r="C126" t="s">
        <v>3011</v>
      </c>
      <c r="D126" s="3">
        <v>29517</v>
      </c>
      <c r="E126">
        <f t="shared" si="2"/>
        <v>1980</v>
      </c>
      <c r="F126">
        <f t="shared" ca="1" si="3"/>
        <v>45</v>
      </c>
      <c r="G126">
        <f>COUNTIF(BRON!A:A,'schades-leeftijd'!A126)</f>
        <v>0</v>
      </c>
    </row>
    <row r="127" spans="1:7" x14ac:dyDescent="0.25">
      <c r="A127">
        <v>22416</v>
      </c>
      <c r="B127" t="s">
        <v>3449</v>
      </c>
      <c r="C127" t="s">
        <v>3450</v>
      </c>
      <c r="D127" s="3">
        <v>31696</v>
      </c>
      <c r="E127">
        <f t="shared" si="2"/>
        <v>1986</v>
      </c>
      <c r="F127">
        <f t="shared" ca="1" si="3"/>
        <v>39</v>
      </c>
      <c r="G127">
        <f>COUNTIF(BRON!A:A,'schades-leeftijd'!A127)</f>
        <v>1</v>
      </c>
    </row>
    <row r="128" spans="1:7" x14ac:dyDescent="0.25">
      <c r="A128">
        <v>22625</v>
      </c>
      <c r="B128" t="s">
        <v>1906</v>
      </c>
      <c r="C128" t="s">
        <v>1907</v>
      </c>
      <c r="D128" s="3">
        <v>28070</v>
      </c>
      <c r="E128">
        <f t="shared" si="2"/>
        <v>1976</v>
      </c>
      <c r="F128">
        <f t="shared" ca="1" si="3"/>
        <v>49</v>
      </c>
      <c r="G128">
        <f>COUNTIF(BRON!A:A,'schades-leeftijd'!A128)</f>
        <v>1</v>
      </c>
    </row>
    <row r="129" spans="1:7" x14ac:dyDescent="0.25">
      <c r="A129">
        <v>22767</v>
      </c>
      <c r="B129" t="s">
        <v>2571</v>
      </c>
      <c r="C129" t="s">
        <v>2562</v>
      </c>
      <c r="D129" s="3">
        <v>30532</v>
      </c>
      <c r="E129">
        <f t="shared" si="2"/>
        <v>1983</v>
      </c>
      <c r="F129">
        <f t="shared" ca="1" si="3"/>
        <v>42</v>
      </c>
      <c r="G129">
        <f>COUNTIF(BRON!A:A,'schades-leeftijd'!A129)</f>
        <v>1</v>
      </c>
    </row>
    <row r="130" spans="1:7" x14ac:dyDescent="0.25">
      <c r="A130">
        <v>22877</v>
      </c>
      <c r="B130" t="s">
        <v>1439</v>
      </c>
      <c r="C130" t="s">
        <v>2773</v>
      </c>
      <c r="D130" s="3">
        <v>25777</v>
      </c>
      <c r="E130">
        <f t="shared" si="2"/>
        <v>1970</v>
      </c>
      <c r="F130">
        <f t="shared" ca="1" si="3"/>
        <v>55</v>
      </c>
      <c r="G130">
        <f>COUNTIF(BRON!A:A,'schades-leeftijd'!A130)</f>
        <v>1</v>
      </c>
    </row>
    <row r="131" spans="1:7" x14ac:dyDescent="0.25">
      <c r="A131">
        <v>23326</v>
      </c>
      <c r="B131" t="s">
        <v>3460</v>
      </c>
      <c r="C131" t="s">
        <v>3461</v>
      </c>
      <c r="D131" s="3">
        <v>28126</v>
      </c>
      <c r="E131">
        <f t="shared" ref="E131:E194" si="4">YEAR(D131)</f>
        <v>1977</v>
      </c>
      <c r="F131">
        <f t="shared" ref="F131:F194" ca="1" si="5">YEAR(TODAY())-E131</f>
        <v>48</v>
      </c>
      <c r="G131">
        <f>COUNTIF(BRON!A:A,'schades-leeftijd'!A131)</f>
        <v>0</v>
      </c>
    </row>
    <row r="132" spans="1:7" x14ac:dyDescent="0.25">
      <c r="A132">
        <v>23481</v>
      </c>
      <c r="B132" t="s">
        <v>1856</v>
      </c>
      <c r="C132" t="s">
        <v>1857</v>
      </c>
      <c r="D132" s="3">
        <v>29923</v>
      </c>
      <c r="E132">
        <f t="shared" si="4"/>
        <v>1981</v>
      </c>
      <c r="F132">
        <f t="shared" ca="1" si="5"/>
        <v>44</v>
      </c>
      <c r="G132">
        <f>COUNTIF(BRON!A:A,'schades-leeftijd'!A132)</f>
        <v>0</v>
      </c>
    </row>
    <row r="133" spans="1:7" x14ac:dyDescent="0.25">
      <c r="A133">
        <v>23543</v>
      </c>
      <c r="B133" t="s">
        <v>2107</v>
      </c>
      <c r="C133" t="s">
        <v>2093</v>
      </c>
      <c r="D133" s="3">
        <v>30706</v>
      </c>
      <c r="E133">
        <f t="shared" si="4"/>
        <v>1984</v>
      </c>
      <c r="F133">
        <f t="shared" ca="1" si="5"/>
        <v>41</v>
      </c>
      <c r="G133">
        <f>COUNTIF(BRON!A:A,'schades-leeftijd'!A133)</f>
        <v>0</v>
      </c>
    </row>
    <row r="134" spans="1:7" x14ac:dyDescent="0.25">
      <c r="A134">
        <v>23545</v>
      </c>
      <c r="B134" t="s">
        <v>1542</v>
      </c>
      <c r="C134" t="s">
        <v>1536</v>
      </c>
      <c r="D134" s="3">
        <v>24859</v>
      </c>
      <c r="E134">
        <f t="shared" si="4"/>
        <v>1968</v>
      </c>
      <c r="F134">
        <f t="shared" ca="1" si="5"/>
        <v>57</v>
      </c>
      <c r="G134">
        <f>COUNTIF(BRON!A:A,'schades-leeftijd'!A134)</f>
        <v>0</v>
      </c>
    </row>
    <row r="135" spans="1:7" x14ac:dyDescent="0.25">
      <c r="A135">
        <v>23700</v>
      </c>
      <c r="B135" t="s">
        <v>3139</v>
      </c>
      <c r="C135" t="s">
        <v>3136</v>
      </c>
      <c r="D135" s="3">
        <v>28357</v>
      </c>
      <c r="E135">
        <f t="shared" si="4"/>
        <v>1977</v>
      </c>
      <c r="F135">
        <f t="shared" ca="1" si="5"/>
        <v>48</v>
      </c>
      <c r="G135">
        <f>COUNTIF(BRON!A:A,'schades-leeftijd'!A135)</f>
        <v>2</v>
      </c>
    </row>
    <row r="136" spans="1:7" x14ac:dyDescent="0.25">
      <c r="A136">
        <v>23790</v>
      </c>
      <c r="B136" t="s">
        <v>3309</v>
      </c>
      <c r="C136" t="s">
        <v>3310</v>
      </c>
      <c r="D136" s="3">
        <v>26528</v>
      </c>
      <c r="E136">
        <f t="shared" si="4"/>
        <v>1972</v>
      </c>
      <c r="F136">
        <f t="shared" ca="1" si="5"/>
        <v>53</v>
      </c>
      <c r="G136">
        <f>COUNTIF(BRON!A:A,'schades-leeftijd'!A136)</f>
        <v>1</v>
      </c>
    </row>
    <row r="137" spans="1:7" x14ac:dyDescent="0.25">
      <c r="A137">
        <v>23791</v>
      </c>
      <c r="B137" t="s">
        <v>3142</v>
      </c>
      <c r="C137" t="s">
        <v>3143</v>
      </c>
      <c r="D137" s="3">
        <v>24373</v>
      </c>
      <c r="E137">
        <f t="shared" si="4"/>
        <v>1966</v>
      </c>
      <c r="F137">
        <f t="shared" ca="1" si="5"/>
        <v>59</v>
      </c>
      <c r="G137">
        <f>COUNTIF(BRON!A:A,'schades-leeftijd'!A137)</f>
        <v>0</v>
      </c>
    </row>
    <row r="138" spans="1:7" x14ac:dyDescent="0.25">
      <c r="A138">
        <v>23818</v>
      </c>
      <c r="B138" t="s">
        <v>1402</v>
      </c>
      <c r="C138" t="s">
        <v>1399</v>
      </c>
      <c r="D138" s="3">
        <v>26173</v>
      </c>
      <c r="E138">
        <f t="shared" si="4"/>
        <v>1971</v>
      </c>
      <c r="F138">
        <f t="shared" ca="1" si="5"/>
        <v>54</v>
      </c>
      <c r="G138">
        <f>COUNTIF(BRON!A:A,'schades-leeftijd'!A138)</f>
        <v>0</v>
      </c>
    </row>
    <row r="139" spans="1:7" x14ac:dyDescent="0.25">
      <c r="A139">
        <v>23880</v>
      </c>
      <c r="B139" t="s">
        <v>3862</v>
      </c>
      <c r="C139" t="s">
        <v>3861</v>
      </c>
      <c r="D139" s="3">
        <v>24328</v>
      </c>
      <c r="E139">
        <f t="shared" si="4"/>
        <v>1966</v>
      </c>
      <c r="F139">
        <f t="shared" ca="1" si="5"/>
        <v>59</v>
      </c>
      <c r="G139">
        <f>COUNTIF(BRON!A:A,'schades-leeftijd'!A139)</f>
        <v>1</v>
      </c>
    </row>
    <row r="140" spans="1:7" x14ac:dyDescent="0.25">
      <c r="A140">
        <v>23918</v>
      </c>
      <c r="B140" t="s">
        <v>3244</v>
      </c>
      <c r="C140" t="s">
        <v>3241</v>
      </c>
      <c r="D140" s="3">
        <v>26005</v>
      </c>
      <c r="E140">
        <f t="shared" si="4"/>
        <v>1971</v>
      </c>
      <c r="F140">
        <f t="shared" ca="1" si="5"/>
        <v>54</v>
      </c>
      <c r="G140">
        <f>COUNTIF(BRON!A:A,'schades-leeftijd'!A140)</f>
        <v>3</v>
      </c>
    </row>
    <row r="141" spans="1:7" x14ac:dyDescent="0.25">
      <c r="A141">
        <v>23924</v>
      </c>
      <c r="B141" t="s">
        <v>2537</v>
      </c>
      <c r="C141" t="s">
        <v>2538</v>
      </c>
      <c r="D141" s="3">
        <v>26572</v>
      </c>
      <c r="E141">
        <f t="shared" si="4"/>
        <v>1972</v>
      </c>
      <c r="F141">
        <f t="shared" ca="1" si="5"/>
        <v>53</v>
      </c>
      <c r="G141">
        <f>COUNTIF(BRON!A:A,'schades-leeftijd'!A141)</f>
        <v>0</v>
      </c>
    </row>
    <row r="142" spans="1:7" x14ac:dyDescent="0.25">
      <c r="A142">
        <v>24155</v>
      </c>
      <c r="B142" t="s">
        <v>2430</v>
      </c>
      <c r="C142" t="s">
        <v>2427</v>
      </c>
      <c r="D142" s="3">
        <v>26728</v>
      </c>
      <c r="E142">
        <f t="shared" si="4"/>
        <v>1973</v>
      </c>
      <c r="F142">
        <f t="shared" ca="1" si="5"/>
        <v>52</v>
      </c>
      <c r="G142">
        <f>COUNTIF(BRON!A:A,'schades-leeftijd'!A142)</f>
        <v>1</v>
      </c>
    </row>
    <row r="143" spans="1:7" x14ac:dyDescent="0.25">
      <c r="A143">
        <v>24156</v>
      </c>
      <c r="B143" t="s">
        <v>3298</v>
      </c>
      <c r="C143" t="s">
        <v>3302</v>
      </c>
      <c r="D143" s="3">
        <v>32241</v>
      </c>
      <c r="E143">
        <f t="shared" si="4"/>
        <v>1988</v>
      </c>
      <c r="F143">
        <f t="shared" ca="1" si="5"/>
        <v>37</v>
      </c>
      <c r="G143">
        <f>COUNTIF(BRON!A:A,'schades-leeftijd'!A143)</f>
        <v>0</v>
      </c>
    </row>
    <row r="144" spans="1:7" x14ac:dyDescent="0.25">
      <c r="A144">
        <v>24367</v>
      </c>
      <c r="B144" t="s">
        <v>3384</v>
      </c>
      <c r="C144" t="s">
        <v>3378</v>
      </c>
      <c r="D144" s="3">
        <v>26948</v>
      </c>
      <c r="E144">
        <f t="shared" si="4"/>
        <v>1973</v>
      </c>
      <c r="F144">
        <f t="shared" ca="1" si="5"/>
        <v>52</v>
      </c>
      <c r="G144">
        <f>COUNTIF(BRON!A:A,'schades-leeftijd'!A144)</f>
        <v>3</v>
      </c>
    </row>
    <row r="145" spans="1:7" x14ac:dyDescent="0.25">
      <c r="A145">
        <v>24472</v>
      </c>
      <c r="B145" t="s">
        <v>2096</v>
      </c>
      <c r="C145" t="s">
        <v>3064</v>
      </c>
      <c r="D145" s="3">
        <v>30762</v>
      </c>
      <c r="E145">
        <f t="shared" si="4"/>
        <v>1984</v>
      </c>
      <c r="F145">
        <f t="shared" ca="1" si="5"/>
        <v>41</v>
      </c>
      <c r="G145">
        <f>COUNTIF(BRON!A:A,'schades-leeftijd'!A145)</f>
        <v>1</v>
      </c>
    </row>
    <row r="146" spans="1:7" x14ac:dyDescent="0.25">
      <c r="A146">
        <v>25234</v>
      </c>
      <c r="B146" t="s">
        <v>2826</v>
      </c>
      <c r="C146" t="s">
        <v>2820</v>
      </c>
      <c r="D146" s="3">
        <v>23931</v>
      </c>
      <c r="E146">
        <f t="shared" si="4"/>
        <v>1965</v>
      </c>
      <c r="F146">
        <f t="shared" ca="1" si="5"/>
        <v>60</v>
      </c>
      <c r="G146">
        <f>COUNTIF(BRON!A:A,'schades-leeftijd'!A146)</f>
        <v>0</v>
      </c>
    </row>
    <row r="147" spans="1:7" x14ac:dyDescent="0.25">
      <c r="A147">
        <v>25486</v>
      </c>
      <c r="B147" t="s">
        <v>2610</v>
      </c>
      <c r="C147" t="s">
        <v>1351</v>
      </c>
      <c r="D147" s="3">
        <v>25942</v>
      </c>
      <c r="E147">
        <f t="shared" si="4"/>
        <v>1971</v>
      </c>
      <c r="F147">
        <f t="shared" ca="1" si="5"/>
        <v>54</v>
      </c>
      <c r="G147">
        <f>COUNTIF(BRON!A:A,'schades-leeftijd'!A147)</f>
        <v>1</v>
      </c>
    </row>
    <row r="148" spans="1:7" x14ac:dyDescent="0.25">
      <c r="A148">
        <v>25487</v>
      </c>
      <c r="B148" t="s">
        <v>1665</v>
      </c>
      <c r="C148" t="s">
        <v>1666</v>
      </c>
      <c r="D148" s="3">
        <v>24366</v>
      </c>
      <c r="E148">
        <f t="shared" si="4"/>
        <v>1966</v>
      </c>
      <c r="F148">
        <f t="shared" ca="1" si="5"/>
        <v>59</v>
      </c>
      <c r="G148">
        <f>COUNTIF(BRON!A:A,'schades-leeftijd'!A148)</f>
        <v>4</v>
      </c>
    </row>
    <row r="149" spans="1:7" x14ac:dyDescent="0.25">
      <c r="A149">
        <v>25679</v>
      </c>
      <c r="B149" t="s">
        <v>1696</v>
      </c>
      <c r="C149" t="s">
        <v>1697</v>
      </c>
      <c r="D149" s="3">
        <v>24380</v>
      </c>
      <c r="E149">
        <f t="shared" si="4"/>
        <v>1966</v>
      </c>
      <c r="F149">
        <f t="shared" ca="1" si="5"/>
        <v>59</v>
      </c>
      <c r="G149">
        <f>COUNTIF(BRON!A:A,'schades-leeftijd'!A149)</f>
        <v>2</v>
      </c>
    </row>
    <row r="150" spans="1:7" x14ac:dyDescent="0.25">
      <c r="A150">
        <v>25680</v>
      </c>
      <c r="B150" t="s">
        <v>1508</v>
      </c>
      <c r="C150" t="s">
        <v>1509</v>
      </c>
      <c r="D150" s="3">
        <v>29775</v>
      </c>
      <c r="E150">
        <f t="shared" si="4"/>
        <v>1981</v>
      </c>
      <c r="F150">
        <f t="shared" ca="1" si="5"/>
        <v>44</v>
      </c>
      <c r="G150">
        <f>COUNTIF(BRON!A:A,'schades-leeftijd'!A150)</f>
        <v>0</v>
      </c>
    </row>
    <row r="151" spans="1:7" x14ac:dyDescent="0.25">
      <c r="A151">
        <v>25733</v>
      </c>
      <c r="B151" t="s">
        <v>2666</v>
      </c>
      <c r="C151" t="s">
        <v>3438</v>
      </c>
      <c r="D151" s="3">
        <v>30480</v>
      </c>
      <c r="E151">
        <f t="shared" si="4"/>
        <v>1983</v>
      </c>
      <c r="F151">
        <f t="shared" ca="1" si="5"/>
        <v>42</v>
      </c>
      <c r="G151">
        <f>COUNTIF(BRON!A:A,'schades-leeftijd'!A151)</f>
        <v>2</v>
      </c>
    </row>
    <row r="152" spans="1:7" x14ac:dyDescent="0.25">
      <c r="A152">
        <v>25829</v>
      </c>
      <c r="B152" t="s">
        <v>3414</v>
      </c>
      <c r="C152" t="s">
        <v>1860</v>
      </c>
      <c r="D152" s="3">
        <v>28120</v>
      </c>
      <c r="E152">
        <f t="shared" si="4"/>
        <v>1976</v>
      </c>
      <c r="F152">
        <f t="shared" ca="1" si="5"/>
        <v>49</v>
      </c>
      <c r="G152">
        <f>COUNTIF(BRON!A:A,'schades-leeftijd'!A152)</f>
        <v>1</v>
      </c>
    </row>
    <row r="153" spans="1:7" x14ac:dyDescent="0.25">
      <c r="A153">
        <v>25871</v>
      </c>
      <c r="B153" t="s">
        <v>2846</v>
      </c>
      <c r="C153" t="s">
        <v>2847</v>
      </c>
      <c r="D153" s="3">
        <v>29751</v>
      </c>
      <c r="E153">
        <f t="shared" si="4"/>
        <v>1981</v>
      </c>
      <c r="F153">
        <f t="shared" ca="1" si="5"/>
        <v>44</v>
      </c>
      <c r="G153">
        <f>COUNTIF(BRON!A:A,'schades-leeftijd'!A153)</f>
        <v>0</v>
      </c>
    </row>
    <row r="154" spans="1:7" x14ac:dyDescent="0.25">
      <c r="A154">
        <v>25873</v>
      </c>
      <c r="B154" t="s">
        <v>2026</v>
      </c>
      <c r="C154" t="s">
        <v>2023</v>
      </c>
      <c r="D154" s="3">
        <v>29202</v>
      </c>
      <c r="E154">
        <f t="shared" si="4"/>
        <v>1979</v>
      </c>
      <c r="F154">
        <f t="shared" ca="1" si="5"/>
        <v>46</v>
      </c>
      <c r="G154">
        <f>COUNTIF(BRON!A:A,'schades-leeftijd'!A154)</f>
        <v>1</v>
      </c>
    </row>
    <row r="155" spans="1:7" x14ac:dyDescent="0.25">
      <c r="A155">
        <v>25993</v>
      </c>
      <c r="B155" t="s">
        <v>3187</v>
      </c>
      <c r="C155" t="s">
        <v>3181</v>
      </c>
      <c r="D155" s="3">
        <v>27364</v>
      </c>
      <c r="E155">
        <f t="shared" si="4"/>
        <v>1974</v>
      </c>
      <c r="F155">
        <f t="shared" ca="1" si="5"/>
        <v>51</v>
      </c>
      <c r="G155">
        <f>COUNTIF(BRON!A:A,'schades-leeftijd'!A155)</f>
        <v>1</v>
      </c>
    </row>
    <row r="156" spans="1:7" x14ac:dyDescent="0.25">
      <c r="A156">
        <v>25994</v>
      </c>
      <c r="B156" t="s">
        <v>2276</v>
      </c>
      <c r="C156" t="s">
        <v>2277</v>
      </c>
      <c r="D156" s="3">
        <v>27418</v>
      </c>
      <c r="E156">
        <f t="shared" si="4"/>
        <v>1975</v>
      </c>
      <c r="F156">
        <f t="shared" ca="1" si="5"/>
        <v>50</v>
      </c>
      <c r="G156">
        <f>COUNTIF(BRON!A:A,'schades-leeftijd'!A156)</f>
        <v>1</v>
      </c>
    </row>
    <row r="157" spans="1:7" x14ac:dyDescent="0.25">
      <c r="A157">
        <v>26102</v>
      </c>
      <c r="B157" t="s">
        <v>2591</v>
      </c>
      <c r="C157" t="s">
        <v>2592</v>
      </c>
      <c r="D157" s="3">
        <v>31566</v>
      </c>
      <c r="E157">
        <f t="shared" si="4"/>
        <v>1986</v>
      </c>
      <c r="F157">
        <f t="shared" ca="1" si="5"/>
        <v>39</v>
      </c>
      <c r="G157">
        <f>COUNTIF(BRON!A:A,'schades-leeftijd'!A157)</f>
        <v>1</v>
      </c>
    </row>
    <row r="158" spans="1:7" x14ac:dyDescent="0.25">
      <c r="A158">
        <v>26137</v>
      </c>
      <c r="B158" t="s">
        <v>1845</v>
      </c>
      <c r="C158" t="s">
        <v>1842</v>
      </c>
      <c r="D158" s="3">
        <v>22939</v>
      </c>
      <c r="E158">
        <f t="shared" si="4"/>
        <v>1962</v>
      </c>
      <c r="F158">
        <f t="shared" ca="1" si="5"/>
        <v>63</v>
      </c>
      <c r="G158">
        <f>COUNTIF(BRON!A:A,'schades-leeftijd'!A158)</f>
        <v>4</v>
      </c>
    </row>
    <row r="159" spans="1:7" x14ac:dyDescent="0.25">
      <c r="A159">
        <v>26197</v>
      </c>
      <c r="B159" t="s">
        <v>1986</v>
      </c>
      <c r="C159" t="s">
        <v>1987</v>
      </c>
      <c r="D159" s="3">
        <v>25815</v>
      </c>
      <c r="E159">
        <f t="shared" si="4"/>
        <v>1970</v>
      </c>
      <c r="F159">
        <f t="shared" ca="1" si="5"/>
        <v>55</v>
      </c>
      <c r="G159">
        <f>COUNTIF(BRON!A:A,'schades-leeftijd'!A159)</f>
        <v>0</v>
      </c>
    </row>
    <row r="160" spans="1:7" x14ac:dyDescent="0.25">
      <c r="A160">
        <v>26198</v>
      </c>
      <c r="B160" t="s">
        <v>1643</v>
      </c>
      <c r="C160" t="s">
        <v>1328</v>
      </c>
      <c r="D160" s="3">
        <v>28199</v>
      </c>
      <c r="E160">
        <f t="shared" si="4"/>
        <v>1977</v>
      </c>
      <c r="F160">
        <f t="shared" ca="1" si="5"/>
        <v>48</v>
      </c>
      <c r="G160">
        <f>COUNTIF(BRON!A:A,'schades-leeftijd'!A160)</f>
        <v>3</v>
      </c>
    </row>
    <row r="161" spans="1:7" x14ac:dyDescent="0.25">
      <c r="A161">
        <v>26199</v>
      </c>
      <c r="B161" t="s">
        <v>2860</v>
      </c>
      <c r="C161" t="s">
        <v>2857</v>
      </c>
      <c r="D161" s="3">
        <v>23749</v>
      </c>
      <c r="E161">
        <f t="shared" si="4"/>
        <v>1965</v>
      </c>
      <c r="F161">
        <f t="shared" ca="1" si="5"/>
        <v>60</v>
      </c>
      <c r="G161">
        <f>COUNTIF(BRON!A:A,'schades-leeftijd'!A161)</f>
        <v>1</v>
      </c>
    </row>
    <row r="162" spans="1:7" x14ac:dyDescent="0.25">
      <c r="A162">
        <v>26265</v>
      </c>
      <c r="B162" t="s">
        <v>3098</v>
      </c>
      <c r="C162" t="s">
        <v>3092</v>
      </c>
      <c r="D162" s="3">
        <v>24341</v>
      </c>
      <c r="E162">
        <f t="shared" si="4"/>
        <v>1966</v>
      </c>
      <c r="F162">
        <f t="shared" ca="1" si="5"/>
        <v>59</v>
      </c>
      <c r="G162">
        <f>COUNTIF(BRON!A:A,'schades-leeftijd'!A162)</f>
        <v>0</v>
      </c>
    </row>
    <row r="163" spans="1:7" x14ac:dyDescent="0.25">
      <c r="A163">
        <v>26266</v>
      </c>
      <c r="B163" t="s">
        <v>2096</v>
      </c>
      <c r="C163" t="s">
        <v>2114</v>
      </c>
      <c r="D163" s="3">
        <v>31706</v>
      </c>
      <c r="E163">
        <f t="shared" si="4"/>
        <v>1986</v>
      </c>
      <c r="F163">
        <f t="shared" ca="1" si="5"/>
        <v>39</v>
      </c>
      <c r="G163">
        <f>COUNTIF(BRON!A:A,'schades-leeftijd'!A163)</f>
        <v>1</v>
      </c>
    </row>
    <row r="164" spans="1:7" x14ac:dyDescent="0.25">
      <c r="A164">
        <v>26331</v>
      </c>
      <c r="B164" t="s">
        <v>2000</v>
      </c>
      <c r="C164" t="s">
        <v>1991</v>
      </c>
      <c r="D164" s="3">
        <v>23837</v>
      </c>
      <c r="E164">
        <f t="shared" si="4"/>
        <v>1965</v>
      </c>
      <c r="F164">
        <f t="shared" ca="1" si="5"/>
        <v>60</v>
      </c>
      <c r="G164">
        <f>COUNTIF(BRON!A:A,'schades-leeftijd'!A164)</f>
        <v>3</v>
      </c>
    </row>
    <row r="165" spans="1:7" x14ac:dyDescent="0.25">
      <c r="A165">
        <v>26334</v>
      </c>
      <c r="B165" t="s">
        <v>2350</v>
      </c>
      <c r="C165" t="s">
        <v>2351</v>
      </c>
      <c r="D165" s="3">
        <v>23313</v>
      </c>
      <c r="E165">
        <f t="shared" si="4"/>
        <v>1963</v>
      </c>
      <c r="F165">
        <f t="shared" ca="1" si="5"/>
        <v>62</v>
      </c>
      <c r="G165">
        <f>COUNTIF(BRON!A:A,'schades-leeftijd'!A165)</f>
        <v>0</v>
      </c>
    </row>
    <row r="166" spans="1:7" x14ac:dyDescent="0.25">
      <c r="A166">
        <v>26384</v>
      </c>
      <c r="B166" t="s">
        <v>1640</v>
      </c>
      <c r="C166" t="s">
        <v>1328</v>
      </c>
      <c r="D166" s="3">
        <v>28045</v>
      </c>
      <c r="E166">
        <f t="shared" si="4"/>
        <v>1976</v>
      </c>
      <c r="F166">
        <f t="shared" ca="1" si="5"/>
        <v>49</v>
      </c>
      <c r="G166">
        <f>COUNTIF(BRON!A:A,'schades-leeftijd'!A166)</f>
        <v>1</v>
      </c>
    </row>
    <row r="167" spans="1:7" x14ac:dyDescent="0.25">
      <c r="A167">
        <v>26521</v>
      </c>
      <c r="B167" t="s">
        <v>2162</v>
      </c>
      <c r="C167" t="s">
        <v>2163</v>
      </c>
      <c r="D167" s="3">
        <v>32073</v>
      </c>
      <c r="E167">
        <f t="shared" si="4"/>
        <v>1987</v>
      </c>
      <c r="F167">
        <f t="shared" ca="1" si="5"/>
        <v>38</v>
      </c>
      <c r="G167">
        <f>COUNTIF(BRON!A:A,'schades-leeftijd'!A167)</f>
        <v>0</v>
      </c>
    </row>
    <row r="168" spans="1:7" x14ac:dyDescent="0.25">
      <c r="A168">
        <v>26524</v>
      </c>
      <c r="B168" t="s">
        <v>1990</v>
      </c>
      <c r="C168" t="s">
        <v>3116</v>
      </c>
      <c r="D168" s="3">
        <v>32548</v>
      </c>
      <c r="E168">
        <f t="shared" si="4"/>
        <v>1989</v>
      </c>
      <c r="F168">
        <f t="shared" ca="1" si="5"/>
        <v>36</v>
      </c>
      <c r="G168">
        <f>COUNTIF(BRON!A:A,'schades-leeftijd'!A168)</f>
        <v>1</v>
      </c>
    </row>
    <row r="169" spans="1:7" x14ac:dyDescent="0.25">
      <c r="A169">
        <v>26638</v>
      </c>
      <c r="B169" t="s">
        <v>2823</v>
      </c>
      <c r="C169" t="s">
        <v>2820</v>
      </c>
      <c r="D169" s="3">
        <v>27001</v>
      </c>
      <c r="E169">
        <f t="shared" si="4"/>
        <v>1973</v>
      </c>
      <c r="F169">
        <f t="shared" ca="1" si="5"/>
        <v>52</v>
      </c>
      <c r="G169">
        <f>COUNTIF(BRON!A:A,'schades-leeftijd'!A169)</f>
        <v>0</v>
      </c>
    </row>
    <row r="170" spans="1:7" x14ac:dyDescent="0.25">
      <c r="A170">
        <v>26639</v>
      </c>
      <c r="B170" t="s">
        <v>1490</v>
      </c>
      <c r="C170" t="s">
        <v>1491</v>
      </c>
      <c r="D170" s="3">
        <v>26831</v>
      </c>
      <c r="E170">
        <f t="shared" si="4"/>
        <v>1973</v>
      </c>
      <c r="F170">
        <f t="shared" ca="1" si="5"/>
        <v>52</v>
      </c>
      <c r="G170">
        <f>COUNTIF(BRON!A:A,'schades-leeftijd'!A170)</f>
        <v>1</v>
      </c>
    </row>
    <row r="171" spans="1:7" x14ac:dyDescent="0.25">
      <c r="A171">
        <v>26695</v>
      </c>
      <c r="B171" t="s">
        <v>2183</v>
      </c>
      <c r="C171" t="s">
        <v>2184</v>
      </c>
      <c r="D171" s="3">
        <v>31035</v>
      </c>
      <c r="E171">
        <f t="shared" si="4"/>
        <v>1984</v>
      </c>
      <c r="F171">
        <f t="shared" ca="1" si="5"/>
        <v>41</v>
      </c>
      <c r="G171">
        <f>COUNTIF(BRON!A:A,'schades-leeftijd'!A171)</f>
        <v>2</v>
      </c>
    </row>
    <row r="172" spans="1:7" x14ac:dyDescent="0.25">
      <c r="A172">
        <v>26792</v>
      </c>
      <c r="B172" t="s">
        <v>2811</v>
      </c>
      <c r="C172" t="s">
        <v>2812</v>
      </c>
      <c r="D172" s="3">
        <v>24034</v>
      </c>
      <c r="E172">
        <f t="shared" si="4"/>
        <v>1965</v>
      </c>
      <c r="F172">
        <f t="shared" ca="1" si="5"/>
        <v>60</v>
      </c>
      <c r="G172">
        <f>COUNTIF(BRON!A:A,'schades-leeftijd'!A172)</f>
        <v>0</v>
      </c>
    </row>
    <row r="173" spans="1:7" x14ac:dyDescent="0.25">
      <c r="A173">
        <v>26847</v>
      </c>
      <c r="B173" t="s">
        <v>2568</v>
      </c>
      <c r="C173" t="s">
        <v>2405</v>
      </c>
      <c r="D173" s="3">
        <v>25315</v>
      </c>
      <c r="E173">
        <f t="shared" si="4"/>
        <v>1969</v>
      </c>
      <c r="F173">
        <f t="shared" ca="1" si="5"/>
        <v>56</v>
      </c>
      <c r="G173">
        <f>COUNTIF(BRON!A:A,'schades-leeftijd'!A173)</f>
        <v>2</v>
      </c>
    </row>
    <row r="174" spans="1:7" x14ac:dyDescent="0.25">
      <c r="A174">
        <v>26959</v>
      </c>
      <c r="B174" t="s">
        <v>2041</v>
      </c>
      <c r="C174" t="s">
        <v>2038</v>
      </c>
      <c r="D174" s="3">
        <v>25346</v>
      </c>
      <c r="E174">
        <f t="shared" si="4"/>
        <v>1969</v>
      </c>
      <c r="F174">
        <f t="shared" ca="1" si="5"/>
        <v>56</v>
      </c>
      <c r="G174">
        <f>COUNTIF(BRON!A:A,'schades-leeftijd'!A174)</f>
        <v>0</v>
      </c>
    </row>
    <row r="175" spans="1:7" x14ac:dyDescent="0.25">
      <c r="A175">
        <v>26960</v>
      </c>
      <c r="B175" t="s">
        <v>1393</v>
      </c>
      <c r="C175" t="s">
        <v>2148</v>
      </c>
      <c r="D175" s="3">
        <v>32970</v>
      </c>
      <c r="E175">
        <f t="shared" si="4"/>
        <v>1990</v>
      </c>
      <c r="F175">
        <f t="shared" ca="1" si="5"/>
        <v>35</v>
      </c>
      <c r="G175">
        <f>COUNTIF(BRON!A:A,'schades-leeftijd'!A175)</f>
        <v>3</v>
      </c>
    </row>
    <row r="176" spans="1:7" x14ac:dyDescent="0.25">
      <c r="A176">
        <v>27153</v>
      </c>
      <c r="B176" t="s">
        <v>1600</v>
      </c>
      <c r="C176" t="s">
        <v>1601</v>
      </c>
      <c r="D176" s="3">
        <v>32853</v>
      </c>
      <c r="E176">
        <f t="shared" si="4"/>
        <v>1989</v>
      </c>
      <c r="F176">
        <f t="shared" ca="1" si="5"/>
        <v>36</v>
      </c>
      <c r="G176">
        <f>COUNTIF(BRON!A:A,'schades-leeftijd'!A176)</f>
        <v>3</v>
      </c>
    </row>
    <row r="177" spans="1:7" x14ac:dyDescent="0.25">
      <c r="A177">
        <v>27186</v>
      </c>
      <c r="B177" t="s">
        <v>2896</v>
      </c>
      <c r="C177" t="s">
        <v>2897</v>
      </c>
      <c r="D177" s="3">
        <v>27314</v>
      </c>
      <c r="E177">
        <f t="shared" si="4"/>
        <v>1974</v>
      </c>
      <c r="F177">
        <f t="shared" ca="1" si="5"/>
        <v>51</v>
      </c>
      <c r="G177">
        <f>COUNTIF(BRON!A:A,'schades-leeftijd'!A177)</f>
        <v>2</v>
      </c>
    </row>
    <row r="178" spans="1:7" x14ac:dyDescent="0.25">
      <c r="A178">
        <v>27209</v>
      </c>
      <c r="B178" t="s">
        <v>1637</v>
      </c>
      <c r="C178" t="s">
        <v>1328</v>
      </c>
      <c r="D178" s="3">
        <v>23065</v>
      </c>
      <c r="E178">
        <f t="shared" si="4"/>
        <v>1963</v>
      </c>
      <c r="F178">
        <f t="shared" ca="1" si="5"/>
        <v>62</v>
      </c>
      <c r="G178">
        <f>COUNTIF(BRON!A:A,'schades-leeftijd'!A178)</f>
        <v>3</v>
      </c>
    </row>
    <row r="179" spans="1:7" x14ac:dyDescent="0.25">
      <c r="A179">
        <v>27577</v>
      </c>
      <c r="B179" t="s">
        <v>2568</v>
      </c>
      <c r="C179" t="s">
        <v>2562</v>
      </c>
      <c r="D179" s="3">
        <v>25646</v>
      </c>
      <c r="E179">
        <f t="shared" si="4"/>
        <v>1970</v>
      </c>
      <c r="F179">
        <f t="shared" ca="1" si="5"/>
        <v>55</v>
      </c>
      <c r="G179">
        <f>COUNTIF(BRON!A:A,'schades-leeftijd'!A179)</f>
        <v>0</v>
      </c>
    </row>
    <row r="180" spans="1:7" x14ac:dyDescent="0.25">
      <c r="A180">
        <v>27607</v>
      </c>
      <c r="B180" t="s">
        <v>2836</v>
      </c>
      <c r="C180" t="s">
        <v>2837</v>
      </c>
      <c r="D180" s="3">
        <v>29887</v>
      </c>
      <c r="E180">
        <f t="shared" si="4"/>
        <v>1981</v>
      </c>
      <c r="F180">
        <f t="shared" ca="1" si="5"/>
        <v>44</v>
      </c>
      <c r="G180">
        <f>COUNTIF(BRON!A:A,'schades-leeftijd'!A180)</f>
        <v>0</v>
      </c>
    </row>
    <row r="181" spans="1:7" x14ac:dyDescent="0.25">
      <c r="A181">
        <v>27635</v>
      </c>
      <c r="B181" t="s">
        <v>3111</v>
      </c>
      <c r="C181" t="s">
        <v>3112</v>
      </c>
      <c r="D181" s="3">
        <v>31904</v>
      </c>
      <c r="E181">
        <f t="shared" si="4"/>
        <v>1987</v>
      </c>
      <c r="F181">
        <f t="shared" ca="1" si="5"/>
        <v>38</v>
      </c>
      <c r="G181">
        <f>COUNTIF(BRON!A:A,'schades-leeftijd'!A181)</f>
        <v>1</v>
      </c>
    </row>
    <row r="182" spans="1:7" x14ac:dyDescent="0.25">
      <c r="A182">
        <v>27672</v>
      </c>
      <c r="B182" t="s">
        <v>1512</v>
      </c>
      <c r="C182" t="s">
        <v>1513</v>
      </c>
      <c r="D182" s="3">
        <v>31877</v>
      </c>
      <c r="E182">
        <f t="shared" si="4"/>
        <v>1987</v>
      </c>
      <c r="F182">
        <f t="shared" ca="1" si="5"/>
        <v>38</v>
      </c>
      <c r="G182">
        <f>COUNTIF(BRON!A:A,'schades-leeftijd'!A182)</f>
        <v>1</v>
      </c>
    </row>
    <row r="183" spans="1:7" x14ac:dyDescent="0.25">
      <c r="A183">
        <v>27673</v>
      </c>
      <c r="B183" t="s">
        <v>2426</v>
      </c>
      <c r="C183" t="s">
        <v>2427</v>
      </c>
      <c r="D183" s="3">
        <v>27365</v>
      </c>
      <c r="E183">
        <f t="shared" si="4"/>
        <v>1974</v>
      </c>
      <c r="F183">
        <f t="shared" ca="1" si="5"/>
        <v>51</v>
      </c>
      <c r="G183">
        <f>COUNTIF(BRON!A:A,'schades-leeftijd'!A183)</f>
        <v>1</v>
      </c>
    </row>
    <row r="184" spans="1:7" x14ac:dyDescent="0.25">
      <c r="A184">
        <v>27711</v>
      </c>
      <c r="B184" t="s">
        <v>3073</v>
      </c>
      <c r="C184" t="s">
        <v>2405</v>
      </c>
      <c r="D184" s="3">
        <v>27392</v>
      </c>
      <c r="E184">
        <f t="shared" si="4"/>
        <v>1974</v>
      </c>
      <c r="F184">
        <f t="shared" ca="1" si="5"/>
        <v>51</v>
      </c>
      <c r="G184">
        <f>COUNTIF(BRON!A:A,'schades-leeftijd'!A184)</f>
        <v>0</v>
      </c>
    </row>
    <row r="185" spans="1:7" x14ac:dyDescent="0.25">
      <c r="A185">
        <v>27713</v>
      </c>
      <c r="B185" t="s">
        <v>3282</v>
      </c>
      <c r="C185" t="s">
        <v>1351</v>
      </c>
      <c r="D185" s="3">
        <v>25474</v>
      </c>
      <c r="E185">
        <f t="shared" si="4"/>
        <v>1969</v>
      </c>
      <c r="F185">
        <f t="shared" ca="1" si="5"/>
        <v>56</v>
      </c>
      <c r="G185">
        <f>COUNTIF(BRON!A:A,'schades-leeftijd'!A185)</f>
        <v>1</v>
      </c>
    </row>
    <row r="186" spans="1:7" x14ac:dyDescent="0.25">
      <c r="A186">
        <v>27786</v>
      </c>
      <c r="B186" t="s">
        <v>2194</v>
      </c>
      <c r="C186" t="s">
        <v>2195</v>
      </c>
      <c r="D186" s="3">
        <v>24757</v>
      </c>
      <c r="E186">
        <f t="shared" si="4"/>
        <v>1967</v>
      </c>
      <c r="F186">
        <f t="shared" ca="1" si="5"/>
        <v>58</v>
      </c>
      <c r="G186">
        <f>COUNTIF(BRON!A:A,'schades-leeftijd'!A186)</f>
        <v>0</v>
      </c>
    </row>
    <row r="187" spans="1:7" x14ac:dyDescent="0.25">
      <c r="A187">
        <v>27865</v>
      </c>
      <c r="B187" t="s">
        <v>2381</v>
      </c>
      <c r="C187" t="s">
        <v>2382</v>
      </c>
      <c r="D187" s="3">
        <v>25648</v>
      </c>
      <c r="E187">
        <f t="shared" si="4"/>
        <v>1970</v>
      </c>
      <c r="F187">
        <f t="shared" ca="1" si="5"/>
        <v>55</v>
      </c>
      <c r="G187">
        <f>COUNTIF(BRON!A:A,'schades-leeftijd'!A187)</f>
        <v>1</v>
      </c>
    </row>
    <row r="188" spans="1:7" x14ac:dyDescent="0.25">
      <c r="A188">
        <v>28071</v>
      </c>
      <c r="B188" t="s">
        <v>1773</v>
      </c>
      <c r="C188" t="s">
        <v>1774</v>
      </c>
      <c r="D188" s="3">
        <v>30399</v>
      </c>
      <c r="E188">
        <f t="shared" si="4"/>
        <v>1983</v>
      </c>
      <c r="F188">
        <f t="shared" ca="1" si="5"/>
        <v>42</v>
      </c>
      <c r="G188">
        <f>COUNTIF(BRON!A:A,'schades-leeftijd'!A188)</f>
        <v>0</v>
      </c>
    </row>
    <row r="189" spans="1:7" x14ac:dyDescent="0.25">
      <c r="A189">
        <v>28072</v>
      </c>
      <c r="B189" t="s">
        <v>2385</v>
      </c>
      <c r="C189" t="s">
        <v>2386</v>
      </c>
      <c r="D189" s="3">
        <v>25585</v>
      </c>
      <c r="E189">
        <f t="shared" si="4"/>
        <v>1970</v>
      </c>
      <c r="F189">
        <f t="shared" ca="1" si="5"/>
        <v>55</v>
      </c>
      <c r="G189">
        <f>COUNTIF(BRON!A:A,'schades-leeftijd'!A189)</f>
        <v>0</v>
      </c>
    </row>
    <row r="190" spans="1:7" x14ac:dyDescent="0.25">
      <c r="A190">
        <v>28165</v>
      </c>
      <c r="B190" t="s">
        <v>1539</v>
      </c>
      <c r="C190" t="s">
        <v>2394</v>
      </c>
      <c r="D190" s="3">
        <v>25640</v>
      </c>
      <c r="E190">
        <f t="shared" si="4"/>
        <v>1970</v>
      </c>
      <c r="F190">
        <f t="shared" ca="1" si="5"/>
        <v>55</v>
      </c>
      <c r="G190">
        <f>COUNTIF(BRON!A:A,'schades-leeftijd'!A190)</f>
        <v>0</v>
      </c>
    </row>
    <row r="191" spans="1:7" x14ac:dyDescent="0.25">
      <c r="A191">
        <v>28690</v>
      </c>
      <c r="B191" t="s">
        <v>1864</v>
      </c>
      <c r="C191" t="s">
        <v>1865</v>
      </c>
      <c r="D191" s="3">
        <v>28385</v>
      </c>
      <c r="E191">
        <f t="shared" si="4"/>
        <v>1977</v>
      </c>
      <c r="F191">
        <f t="shared" ca="1" si="5"/>
        <v>48</v>
      </c>
      <c r="G191">
        <f>COUNTIF(BRON!A:A,'schades-leeftijd'!A191)</f>
        <v>0</v>
      </c>
    </row>
    <row r="192" spans="1:7" x14ac:dyDescent="0.25">
      <c r="A192">
        <v>28717</v>
      </c>
      <c r="B192" t="s">
        <v>2674</v>
      </c>
      <c r="C192" t="s">
        <v>1330</v>
      </c>
      <c r="D192" s="3">
        <v>27229</v>
      </c>
      <c r="E192">
        <f t="shared" si="4"/>
        <v>1974</v>
      </c>
      <c r="F192">
        <f t="shared" ca="1" si="5"/>
        <v>51</v>
      </c>
      <c r="G192">
        <f>COUNTIF(BRON!A:A,'schades-leeftijd'!A192)</f>
        <v>1</v>
      </c>
    </row>
    <row r="193" spans="1:7" x14ac:dyDescent="0.25">
      <c r="A193">
        <v>28737</v>
      </c>
      <c r="B193" t="s">
        <v>2158</v>
      </c>
      <c r="C193" t="s">
        <v>2159</v>
      </c>
      <c r="D193" s="3">
        <v>27642</v>
      </c>
      <c r="E193">
        <f t="shared" si="4"/>
        <v>1975</v>
      </c>
      <c r="F193">
        <f t="shared" ca="1" si="5"/>
        <v>50</v>
      </c>
      <c r="G193">
        <f>COUNTIF(BRON!A:A,'schades-leeftijd'!A193)</f>
        <v>3</v>
      </c>
    </row>
    <row r="194" spans="1:7" x14ac:dyDescent="0.25">
      <c r="A194">
        <v>28794</v>
      </c>
      <c r="B194" t="s">
        <v>2060</v>
      </c>
      <c r="C194" t="s">
        <v>2061</v>
      </c>
      <c r="D194" s="3">
        <v>31809</v>
      </c>
      <c r="E194">
        <f t="shared" si="4"/>
        <v>1987</v>
      </c>
      <c r="F194">
        <f t="shared" ca="1" si="5"/>
        <v>38</v>
      </c>
      <c r="G194">
        <f>COUNTIF(BRON!A:A,'schades-leeftijd'!A194)</f>
        <v>1</v>
      </c>
    </row>
    <row r="195" spans="1:7" x14ac:dyDescent="0.25">
      <c r="A195">
        <v>28821</v>
      </c>
      <c r="B195" t="s">
        <v>2949</v>
      </c>
      <c r="C195" t="s">
        <v>1330</v>
      </c>
      <c r="D195" s="3">
        <v>27974</v>
      </c>
      <c r="E195">
        <f t="shared" ref="E195:E258" si="6">YEAR(D195)</f>
        <v>1976</v>
      </c>
      <c r="F195">
        <f t="shared" ref="F195:F258" ca="1" si="7">YEAR(TODAY())-E195</f>
        <v>49</v>
      </c>
      <c r="G195">
        <f>COUNTIF(BRON!A:A,'schades-leeftijd'!A195)</f>
        <v>0</v>
      </c>
    </row>
    <row r="196" spans="1:7" x14ac:dyDescent="0.25">
      <c r="A196">
        <v>28830</v>
      </c>
      <c r="B196" t="s">
        <v>2044</v>
      </c>
      <c r="C196" t="s">
        <v>2045</v>
      </c>
      <c r="D196" s="3">
        <v>29494</v>
      </c>
      <c r="E196">
        <f t="shared" si="6"/>
        <v>1980</v>
      </c>
      <c r="F196">
        <f t="shared" ca="1" si="7"/>
        <v>45</v>
      </c>
      <c r="G196">
        <f>COUNTIF(BRON!A:A,'schades-leeftijd'!A196)</f>
        <v>1</v>
      </c>
    </row>
    <row r="197" spans="1:7" x14ac:dyDescent="0.25">
      <c r="A197">
        <v>28835</v>
      </c>
      <c r="B197" t="s">
        <v>3231</v>
      </c>
      <c r="C197" t="s">
        <v>3232</v>
      </c>
      <c r="D197" s="3">
        <v>33067</v>
      </c>
      <c r="E197">
        <f t="shared" si="6"/>
        <v>1990</v>
      </c>
      <c r="F197">
        <f t="shared" ca="1" si="7"/>
        <v>35</v>
      </c>
      <c r="G197">
        <f>COUNTIF(BRON!A:A,'schades-leeftijd'!A197)</f>
        <v>0</v>
      </c>
    </row>
    <row r="198" spans="1:7" x14ac:dyDescent="0.25">
      <c r="A198">
        <v>28910</v>
      </c>
      <c r="B198" t="s">
        <v>2018</v>
      </c>
      <c r="C198" t="s">
        <v>2019</v>
      </c>
      <c r="D198" s="3">
        <v>30034</v>
      </c>
      <c r="E198">
        <f t="shared" si="6"/>
        <v>1982</v>
      </c>
      <c r="F198">
        <f t="shared" ca="1" si="7"/>
        <v>43</v>
      </c>
      <c r="G198">
        <f>COUNTIF(BRON!A:A,'schades-leeftijd'!A198)</f>
        <v>2</v>
      </c>
    </row>
    <row r="199" spans="1:7" x14ac:dyDescent="0.25">
      <c r="A199">
        <v>28995</v>
      </c>
      <c r="B199" t="s">
        <v>2377</v>
      </c>
      <c r="C199" t="s">
        <v>2378</v>
      </c>
      <c r="D199" s="3">
        <v>22706</v>
      </c>
      <c r="E199">
        <f t="shared" si="6"/>
        <v>1962</v>
      </c>
      <c r="F199">
        <f t="shared" ca="1" si="7"/>
        <v>63</v>
      </c>
      <c r="G199">
        <f>COUNTIF(BRON!A:A,'schades-leeftijd'!A199)</f>
        <v>0</v>
      </c>
    </row>
    <row r="200" spans="1:7" x14ac:dyDescent="0.25">
      <c r="A200">
        <v>29179</v>
      </c>
      <c r="B200" t="s">
        <v>2981</v>
      </c>
      <c r="C200" t="s">
        <v>2982</v>
      </c>
      <c r="D200" s="3">
        <v>32059</v>
      </c>
      <c r="E200">
        <f t="shared" si="6"/>
        <v>1987</v>
      </c>
      <c r="F200">
        <f t="shared" ca="1" si="7"/>
        <v>38</v>
      </c>
      <c r="G200">
        <f>COUNTIF(BRON!A:A,'schades-leeftijd'!A200)</f>
        <v>6</v>
      </c>
    </row>
    <row r="201" spans="1:7" x14ac:dyDescent="0.25">
      <c r="A201">
        <v>29181</v>
      </c>
      <c r="B201" t="s">
        <v>2856</v>
      </c>
      <c r="C201" t="s">
        <v>2857</v>
      </c>
      <c r="D201" s="3">
        <v>25391</v>
      </c>
      <c r="E201">
        <f t="shared" si="6"/>
        <v>1969</v>
      </c>
      <c r="F201">
        <f t="shared" ca="1" si="7"/>
        <v>56</v>
      </c>
      <c r="G201">
        <f>COUNTIF(BRON!A:A,'schades-leeftijd'!A201)</f>
        <v>0</v>
      </c>
    </row>
    <row r="202" spans="1:7" x14ac:dyDescent="0.25">
      <c r="A202">
        <v>29271</v>
      </c>
      <c r="B202" t="s">
        <v>1542</v>
      </c>
      <c r="C202" t="s">
        <v>2879</v>
      </c>
      <c r="D202" s="3">
        <v>29005</v>
      </c>
      <c r="E202">
        <f t="shared" si="6"/>
        <v>1979</v>
      </c>
      <c r="F202">
        <f t="shared" ca="1" si="7"/>
        <v>46</v>
      </c>
      <c r="G202">
        <f>COUNTIF(BRON!A:A,'schades-leeftijd'!A202)</f>
        <v>1</v>
      </c>
    </row>
    <row r="203" spans="1:7" x14ac:dyDescent="0.25">
      <c r="A203">
        <v>29370</v>
      </c>
      <c r="B203" t="s">
        <v>1747</v>
      </c>
      <c r="C203" t="s">
        <v>1748</v>
      </c>
      <c r="D203" s="3">
        <v>29675</v>
      </c>
      <c r="E203">
        <f t="shared" si="6"/>
        <v>1981</v>
      </c>
      <c r="F203">
        <f t="shared" ca="1" si="7"/>
        <v>44</v>
      </c>
      <c r="G203">
        <f>COUNTIF(BRON!A:A,'schades-leeftijd'!A203)</f>
        <v>0</v>
      </c>
    </row>
    <row r="204" spans="1:7" x14ac:dyDescent="0.25">
      <c r="A204">
        <v>29477</v>
      </c>
      <c r="B204" t="s">
        <v>3202</v>
      </c>
      <c r="C204" t="s">
        <v>3203</v>
      </c>
      <c r="D204" s="3">
        <v>30968</v>
      </c>
      <c r="E204">
        <f t="shared" si="6"/>
        <v>1984</v>
      </c>
      <c r="F204">
        <f t="shared" ca="1" si="7"/>
        <v>41</v>
      </c>
      <c r="G204">
        <f>COUNTIF(BRON!A:A,'schades-leeftijd'!A204)</f>
        <v>1</v>
      </c>
    </row>
    <row r="205" spans="1:7" x14ac:dyDescent="0.25">
      <c r="A205">
        <v>29478</v>
      </c>
      <c r="B205" t="s">
        <v>2740</v>
      </c>
      <c r="C205" t="s">
        <v>2741</v>
      </c>
      <c r="D205" s="3">
        <v>21893</v>
      </c>
      <c r="E205">
        <f t="shared" si="6"/>
        <v>1959</v>
      </c>
      <c r="F205">
        <f t="shared" ca="1" si="7"/>
        <v>66</v>
      </c>
      <c r="G205">
        <f>COUNTIF(BRON!A:A,'schades-leeftijd'!A205)</f>
        <v>3</v>
      </c>
    </row>
    <row r="206" spans="1:7" x14ac:dyDescent="0.25">
      <c r="A206">
        <v>29539</v>
      </c>
      <c r="B206" t="s">
        <v>1632</v>
      </c>
      <c r="C206" t="s">
        <v>1328</v>
      </c>
      <c r="D206" s="3">
        <v>32280</v>
      </c>
      <c r="E206">
        <f t="shared" si="6"/>
        <v>1988</v>
      </c>
      <c r="F206">
        <f t="shared" ca="1" si="7"/>
        <v>37</v>
      </c>
      <c r="G206">
        <f>COUNTIF(BRON!A:A,'schades-leeftijd'!A206)</f>
        <v>0</v>
      </c>
    </row>
    <row r="207" spans="1:7" x14ac:dyDescent="0.25">
      <c r="A207">
        <v>29540</v>
      </c>
      <c r="B207" t="s">
        <v>2634</v>
      </c>
      <c r="C207" t="s">
        <v>2631</v>
      </c>
      <c r="D207" s="3">
        <v>28532</v>
      </c>
      <c r="E207">
        <f t="shared" si="6"/>
        <v>1978</v>
      </c>
      <c r="F207">
        <f t="shared" ca="1" si="7"/>
        <v>47</v>
      </c>
      <c r="G207">
        <f>COUNTIF(BRON!A:A,'schades-leeftijd'!A207)</f>
        <v>1</v>
      </c>
    </row>
    <row r="208" spans="1:7" x14ac:dyDescent="0.25">
      <c r="A208">
        <v>29591</v>
      </c>
      <c r="B208" t="s">
        <v>2110</v>
      </c>
      <c r="C208" t="s">
        <v>2111</v>
      </c>
      <c r="D208" s="3">
        <v>33643</v>
      </c>
      <c r="E208">
        <f t="shared" si="6"/>
        <v>1992</v>
      </c>
      <c r="F208">
        <f t="shared" ca="1" si="7"/>
        <v>33</v>
      </c>
      <c r="G208">
        <f>COUNTIF(BRON!A:A,'schades-leeftijd'!A208)</f>
        <v>0</v>
      </c>
    </row>
    <row r="209" spans="1:7" x14ac:dyDescent="0.25">
      <c r="A209">
        <v>29646</v>
      </c>
      <c r="B209" t="s">
        <v>2006</v>
      </c>
      <c r="C209" t="s">
        <v>2213</v>
      </c>
      <c r="D209" s="3">
        <v>30289</v>
      </c>
      <c r="E209">
        <f t="shared" si="6"/>
        <v>1982</v>
      </c>
      <c r="F209">
        <f t="shared" ca="1" si="7"/>
        <v>43</v>
      </c>
      <c r="G209">
        <f>COUNTIF(BRON!A:A,'schades-leeftijd'!A209)</f>
        <v>1</v>
      </c>
    </row>
    <row r="210" spans="1:7" x14ac:dyDescent="0.25">
      <c r="A210">
        <v>29674</v>
      </c>
      <c r="B210" t="s">
        <v>2815</v>
      </c>
      <c r="C210" t="s">
        <v>2816</v>
      </c>
      <c r="D210" s="3">
        <v>33868</v>
      </c>
      <c r="E210">
        <f t="shared" si="6"/>
        <v>1992</v>
      </c>
      <c r="F210">
        <f t="shared" ca="1" si="7"/>
        <v>33</v>
      </c>
      <c r="G210">
        <f>COUNTIF(BRON!A:A,'schades-leeftijd'!A210)</f>
        <v>1</v>
      </c>
    </row>
    <row r="211" spans="1:7" x14ac:dyDescent="0.25">
      <c r="A211">
        <v>29746</v>
      </c>
      <c r="B211" t="s">
        <v>3338</v>
      </c>
      <c r="C211" t="s">
        <v>3339</v>
      </c>
      <c r="D211" s="3">
        <v>28476</v>
      </c>
      <c r="E211">
        <f t="shared" si="6"/>
        <v>1977</v>
      </c>
      <c r="F211">
        <f t="shared" ca="1" si="7"/>
        <v>48</v>
      </c>
      <c r="G211">
        <f>COUNTIF(BRON!A:A,'schades-leeftijd'!A211)</f>
        <v>3</v>
      </c>
    </row>
    <row r="212" spans="1:7" x14ac:dyDescent="0.25">
      <c r="A212">
        <v>29778</v>
      </c>
      <c r="B212" t="s">
        <v>2501</v>
      </c>
      <c r="C212" t="s">
        <v>2502</v>
      </c>
      <c r="D212" s="3">
        <v>24404</v>
      </c>
      <c r="E212">
        <f t="shared" si="6"/>
        <v>1966</v>
      </c>
      <c r="F212">
        <f t="shared" ca="1" si="7"/>
        <v>59</v>
      </c>
      <c r="G212">
        <f>COUNTIF(BRON!A:A,'schades-leeftijd'!A212)</f>
        <v>0</v>
      </c>
    </row>
    <row r="213" spans="1:7" x14ac:dyDescent="0.25">
      <c r="A213">
        <v>29818</v>
      </c>
      <c r="B213" t="s">
        <v>3342</v>
      </c>
      <c r="C213" t="s">
        <v>3343</v>
      </c>
      <c r="D213" s="3">
        <v>32133</v>
      </c>
      <c r="E213">
        <f t="shared" si="6"/>
        <v>1987</v>
      </c>
      <c r="F213">
        <f t="shared" ca="1" si="7"/>
        <v>38</v>
      </c>
      <c r="G213">
        <f>COUNTIF(BRON!A:A,'schades-leeftijd'!A213)</f>
        <v>0</v>
      </c>
    </row>
    <row r="214" spans="1:7" x14ac:dyDescent="0.25">
      <c r="A214">
        <v>29821</v>
      </c>
      <c r="B214" t="s">
        <v>2900</v>
      </c>
      <c r="C214" t="s">
        <v>2901</v>
      </c>
      <c r="D214" s="3">
        <v>24617</v>
      </c>
      <c r="E214">
        <f t="shared" si="6"/>
        <v>1967</v>
      </c>
      <c r="F214">
        <f t="shared" ca="1" si="7"/>
        <v>58</v>
      </c>
      <c r="G214">
        <f>COUNTIF(BRON!A:A,'schades-leeftijd'!A214)</f>
        <v>1</v>
      </c>
    </row>
    <row r="215" spans="1:7" x14ac:dyDescent="0.25">
      <c r="A215">
        <v>30119</v>
      </c>
      <c r="B215" t="s">
        <v>1567</v>
      </c>
      <c r="C215" t="s">
        <v>1550</v>
      </c>
      <c r="D215" s="3">
        <v>24008</v>
      </c>
      <c r="E215">
        <f t="shared" si="6"/>
        <v>1965</v>
      </c>
      <c r="F215">
        <f t="shared" ca="1" si="7"/>
        <v>60</v>
      </c>
      <c r="G215">
        <f>COUNTIF(BRON!A:A,'schades-leeftijd'!A215)</f>
        <v>2</v>
      </c>
    </row>
    <row r="216" spans="1:7" x14ac:dyDescent="0.25">
      <c r="A216">
        <v>30121</v>
      </c>
      <c r="B216" t="s">
        <v>3357</v>
      </c>
      <c r="C216" t="s">
        <v>3358</v>
      </c>
      <c r="D216" s="3">
        <v>22410</v>
      </c>
      <c r="E216">
        <f t="shared" si="6"/>
        <v>1961</v>
      </c>
      <c r="F216">
        <f t="shared" ca="1" si="7"/>
        <v>64</v>
      </c>
      <c r="G216">
        <f>COUNTIF(BRON!A:A,'schades-leeftijd'!A216)</f>
        <v>3</v>
      </c>
    </row>
    <row r="217" spans="1:7" x14ac:dyDescent="0.25">
      <c r="A217">
        <v>30271</v>
      </c>
      <c r="B217" t="s">
        <v>1940</v>
      </c>
      <c r="C217" t="s">
        <v>2596</v>
      </c>
      <c r="D217" s="3">
        <v>31836</v>
      </c>
      <c r="E217">
        <f t="shared" si="6"/>
        <v>1987</v>
      </c>
      <c r="F217">
        <f t="shared" ca="1" si="7"/>
        <v>38</v>
      </c>
      <c r="G217">
        <f>COUNTIF(BRON!A:A,'schades-leeftijd'!A217)</f>
        <v>1</v>
      </c>
    </row>
    <row r="218" spans="1:7" x14ac:dyDescent="0.25">
      <c r="A218">
        <v>30292</v>
      </c>
      <c r="B218" t="s">
        <v>1717</v>
      </c>
      <c r="C218" t="s">
        <v>1718</v>
      </c>
      <c r="D218" s="3">
        <v>31065</v>
      </c>
      <c r="E218">
        <f t="shared" si="6"/>
        <v>1985</v>
      </c>
      <c r="F218">
        <f t="shared" ca="1" si="7"/>
        <v>40</v>
      </c>
      <c r="G218">
        <f>COUNTIF(BRON!A:A,'schades-leeftijd'!A218)</f>
        <v>0</v>
      </c>
    </row>
    <row r="219" spans="1:7" x14ac:dyDescent="0.25">
      <c r="A219">
        <v>30321</v>
      </c>
      <c r="B219" t="s">
        <v>2662</v>
      </c>
      <c r="C219" t="s">
        <v>2663</v>
      </c>
      <c r="D219" s="3">
        <v>34204</v>
      </c>
      <c r="E219">
        <f t="shared" si="6"/>
        <v>1993</v>
      </c>
      <c r="F219">
        <f t="shared" ca="1" si="7"/>
        <v>32</v>
      </c>
      <c r="G219">
        <f>COUNTIF(BRON!A:A,'schades-leeftijd'!A219)</f>
        <v>2</v>
      </c>
    </row>
    <row r="220" spans="1:7" x14ac:dyDescent="0.25">
      <c r="A220">
        <v>30323</v>
      </c>
      <c r="B220" t="s">
        <v>3050</v>
      </c>
      <c r="C220" t="s">
        <v>3051</v>
      </c>
      <c r="D220" s="3">
        <v>27976</v>
      </c>
      <c r="E220">
        <f t="shared" si="6"/>
        <v>1976</v>
      </c>
      <c r="F220">
        <f t="shared" ca="1" si="7"/>
        <v>49</v>
      </c>
      <c r="G220">
        <f>COUNTIF(BRON!A:A,'schades-leeftijd'!A220)</f>
        <v>0</v>
      </c>
    </row>
    <row r="221" spans="1:7" x14ac:dyDescent="0.25">
      <c r="A221">
        <v>30623</v>
      </c>
      <c r="B221" t="s">
        <v>2018</v>
      </c>
      <c r="C221" t="s">
        <v>2093</v>
      </c>
      <c r="D221" s="3">
        <v>25613</v>
      </c>
      <c r="E221">
        <f t="shared" si="6"/>
        <v>1970</v>
      </c>
      <c r="F221">
        <f t="shared" ca="1" si="7"/>
        <v>55</v>
      </c>
      <c r="G221">
        <f>COUNTIF(BRON!A:A,'schades-leeftijd'!A221)</f>
        <v>2</v>
      </c>
    </row>
    <row r="222" spans="1:7" x14ac:dyDescent="0.25">
      <c r="A222">
        <v>30901</v>
      </c>
      <c r="B222" t="s">
        <v>2565</v>
      </c>
      <c r="C222" t="s">
        <v>2562</v>
      </c>
      <c r="D222" s="3">
        <v>25679</v>
      </c>
      <c r="E222">
        <f t="shared" si="6"/>
        <v>1970</v>
      </c>
      <c r="F222">
        <f t="shared" ca="1" si="7"/>
        <v>55</v>
      </c>
      <c r="G222">
        <f>COUNTIF(BRON!A:A,'schades-leeftijd'!A222)</f>
        <v>2</v>
      </c>
    </row>
    <row r="223" spans="1:7" x14ac:dyDescent="0.25">
      <c r="A223">
        <v>30967</v>
      </c>
      <c r="B223" t="s">
        <v>2893</v>
      </c>
      <c r="C223" t="s">
        <v>2890</v>
      </c>
      <c r="D223" s="3">
        <v>29408</v>
      </c>
      <c r="E223">
        <f t="shared" si="6"/>
        <v>1980</v>
      </c>
      <c r="F223">
        <f t="shared" ca="1" si="7"/>
        <v>45</v>
      </c>
      <c r="G223">
        <f>COUNTIF(BRON!A:A,'schades-leeftijd'!A223)</f>
        <v>3</v>
      </c>
    </row>
    <row r="224" spans="1:7" x14ac:dyDescent="0.25">
      <c r="A224">
        <v>30999</v>
      </c>
      <c r="B224" t="s">
        <v>2618</v>
      </c>
      <c r="C224" t="s">
        <v>2619</v>
      </c>
      <c r="D224" s="3">
        <v>32844</v>
      </c>
      <c r="E224">
        <f t="shared" si="6"/>
        <v>1989</v>
      </c>
      <c r="F224">
        <f t="shared" ca="1" si="7"/>
        <v>36</v>
      </c>
      <c r="G224">
        <f>COUNTIF(BRON!A:A,'schades-leeftijd'!A224)</f>
        <v>0</v>
      </c>
    </row>
    <row r="225" spans="1:7" x14ac:dyDescent="0.25">
      <c r="A225">
        <v>31092</v>
      </c>
      <c r="B225" t="s">
        <v>2459</v>
      </c>
      <c r="C225" t="s">
        <v>2453</v>
      </c>
      <c r="D225" s="3">
        <v>34149</v>
      </c>
      <c r="E225">
        <f t="shared" si="6"/>
        <v>1993</v>
      </c>
      <c r="F225">
        <f t="shared" ca="1" si="7"/>
        <v>32</v>
      </c>
      <c r="G225">
        <f>COUNTIF(BRON!A:A,'schades-leeftijd'!A225)</f>
        <v>2</v>
      </c>
    </row>
    <row r="226" spans="1:7" x14ac:dyDescent="0.25">
      <c r="A226">
        <v>31111</v>
      </c>
      <c r="B226" t="s">
        <v>2056</v>
      </c>
      <c r="C226" t="s">
        <v>2057</v>
      </c>
      <c r="D226" s="3">
        <v>28962</v>
      </c>
      <c r="E226">
        <f t="shared" si="6"/>
        <v>1979</v>
      </c>
      <c r="F226">
        <f t="shared" ca="1" si="7"/>
        <v>46</v>
      </c>
      <c r="G226">
        <f>COUNTIF(BRON!A:A,'schades-leeftijd'!A226)</f>
        <v>2</v>
      </c>
    </row>
    <row r="227" spans="1:7" x14ac:dyDescent="0.25">
      <c r="A227">
        <v>31118</v>
      </c>
      <c r="B227" t="s">
        <v>2191</v>
      </c>
      <c r="C227" t="s">
        <v>1343</v>
      </c>
      <c r="D227" s="3">
        <v>30190</v>
      </c>
      <c r="E227">
        <f t="shared" si="6"/>
        <v>1982</v>
      </c>
      <c r="F227">
        <f t="shared" ca="1" si="7"/>
        <v>43</v>
      </c>
      <c r="G227">
        <f>COUNTIF(BRON!A:A,'schades-leeftijd'!A227)</f>
        <v>2</v>
      </c>
    </row>
    <row r="228" spans="1:7" x14ac:dyDescent="0.25">
      <c r="A228">
        <v>31150</v>
      </c>
      <c r="B228" t="s">
        <v>2154</v>
      </c>
      <c r="C228" t="s">
        <v>2155</v>
      </c>
      <c r="D228" s="3">
        <v>28226</v>
      </c>
      <c r="E228">
        <f t="shared" si="6"/>
        <v>1977</v>
      </c>
      <c r="F228">
        <f t="shared" ca="1" si="7"/>
        <v>48</v>
      </c>
      <c r="G228">
        <f>COUNTIF(BRON!A:A,'schades-leeftijd'!A228)</f>
        <v>1</v>
      </c>
    </row>
    <row r="229" spans="1:7" x14ac:dyDescent="0.25">
      <c r="A229">
        <v>31165</v>
      </c>
      <c r="B229" t="s">
        <v>1728</v>
      </c>
      <c r="C229" t="s">
        <v>1729</v>
      </c>
      <c r="D229" s="3">
        <v>27145</v>
      </c>
      <c r="E229">
        <f t="shared" si="6"/>
        <v>1974</v>
      </c>
      <c r="F229">
        <f t="shared" ca="1" si="7"/>
        <v>51</v>
      </c>
      <c r="G229">
        <f>COUNTIF(BRON!A:A,'schades-leeftijd'!A229)</f>
        <v>2</v>
      </c>
    </row>
    <row r="230" spans="1:7" x14ac:dyDescent="0.25">
      <c r="A230">
        <v>31231</v>
      </c>
      <c r="B230" t="s">
        <v>2978</v>
      </c>
      <c r="C230" t="s">
        <v>2972</v>
      </c>
      <c r="D230" s="3">
        <v>34747</v>
      </c>
      <c r="E230">
        <f t="shared" si="6"/>
        <v>1995</v>
      </c>
      <c r="F230">
        <f t="shared" ca="1" si="7"/>
        <v>30</v>
      </c>
      <c r="G230">
        <f>COUNTIF(BRON!A:A,'schades-leeftijd'!A230)</f>
        <v>3</v>
      </c>
    </row>
    <row r="231" spans="1:7" x14ac:dyDescent="0.25">
      <c r="A231">
        <v>31360</v>
      </c>
      <c r="B231" t="s">
        <v>2666</v>
      </c>
      <c r="C231" t="s">
        <v>2890</v>
      </c>
      <c r="D231" s="3">
        <v>34227</v>
      </c>
      <c r="E231">
        <f t="shared" si="6"/>
        <v>1993</v>
      </c>
      <c r="F231">
        <f t="shared" ca="1" si="7"/>
        <v>32</v>
      </c>
      <c r="G231">
        <f>COUNTIF(BRON!A:A,'schades-leeftijd'!A231)</f>
        <v>3</v>
      </c>
    </row>
    <row r="232" spans="1:7" x14ac:dyDescent="0.25">
      <c r="A232">
        <v>31361</v>
      </c>
      <c r="B232" t="s">
        <v>1997</v>
      </c>
      <c r="C232" t="s">
        <v>1991</v>
      </c>
      <c r="D232" s="3">
        <v>28695</v>
      </c>
      <c r="E232">
        <f t="shared" si="6"/>
        <v>1978</v>
      </c>
      <c r="F232">
        <f t="shared" ca="1" si="7"/>
        <v>47</v>
      </c>
      <c r="G232">
        <f>COUNTIF(BRON!A:A,'schades-leeftijd'!A232)</f>
        <v>0</v>
      </c>
    </row>
    <row r="233" spans="1:7" x14ac:dyDescent="0.25">
      <c r="A233">
        <v>31404</v>
      </c>
      <c r="B233" t="s">
        <v>2077</v>
      </c>
      <c r="C233" t="s">
        <v>2074</v>
      </c>
      <c r="D233" s="3">
        <v>28234</v>
      </c>
      <c r="E233">
        <f t="shared" si="6"/>
        <v>1977</v>
      </c>
      <c r="F233">
        <f t="shared" ca="1" si="7"/>
        <v>48</v>
      </c>
      <c r="G233">
        <f>COUNTIF(BRON!A:A,'schades-leeftijd'!A233)</f>
        <v>0</v>
      </c>
    </row>
    <row r="234" spans="1:7" x14ac:dyDescent="0.25">
      <c r="A234">
        <v>31550</v>
      </c>
      <c r="B234" t="s">
        <v>1701</v>
      </c>
      <c r="C234" t="s">
        <v>1702</v>
      </c>
      <c r="D234" s="3">
        <v>34332</v>
      </c>
      <c r="E234">
        <f t="shared" si="6"/>
        <v>1993</v>
      </c>
      <c r="F234">
        <f t="shared" ca="1" si="7"/>
        <v>32</v>
      </c>
      <c r="G234">
        <f>COUNTIF(BRON!A:A,'schades-leeftijd'!A234)</f>
        <v>0</v>
      </c>
    </row>
    <row r="235" spans="1:7" x14ac:dyDescent="0.25">
      <c r="A235">
        <v>31600</v>
      </c>
      <c r="B235" t="s">
        <v>1563</v>
      </c>
      <c r="C235" t="s">
        <v>1550</v>
      </c>
      <c r="D235" s="3">
        <v>32464</v>
      </c>
      <c r="E235">
        <f t="shared" si="6"/>
        <v>1988</v>
      </c>
      <c r="F235">
        <f t="shared" ca="1" si="7"/>
        <v>37</v>
      </c>
      <c r="G235">
        <f>COUNTIF(BRON!A:A,'schades-leeftijd'!A235)</f>
        <v>2</v>
      </c>
    </row>
    <row r="236" spans="1:7" x14ac:dyDescent="0.25">
      <c r="A236">
        <v>31601</v>
      </c>
      <c r="B236" t="s">
        <v>1860</v>
      </c>
      <c r="C236" t="s">
        <v>1861</v>
      </c>
      <c r="D236" s="3">
        <v>32979</v>
      </c>
      <c r="E236">
        <f t="shared" si="6"/>
        <v>1990</v>
      </c>
      <c r="F236">
        <f t="shared" ca="1" si="7"/>
        <v>35</v>
      </c>
      <c r="G236">
        <f>COUNTIF(BRON!A:A,'schades-leeftijd'!A236)</f>
        <v>0</v>
      </c>
    </row>
    <row r="237" spans="1:7" x14ac:dyDescent="0.25">
      <c r="A237">
        <v>31634</v>
      </c>
      <c r="B237" t="s">
        <v>2033</v>
      </c>
      <c r="C237" t="s">
        <v>2034</v>
      </c>
      <c r="D237" s="3">
        <v>34483</v>
      </c>
      <c r="E237">
        <f t="shared" si="6"/>
        <v>1994</v>
      </c>
      <c r="F237">
        <f t="shared" ca="1" si="7"/>
        <v>31</v>
      </c>
      <c r="G237">
        <f>COUNTIF(BRON!A:A,'schades-leeftijd'!A237)</f>
        <v>1</v>
      </c>
    </row>
    <row r="238" spans="1:7" x14ac:dyDescent="0.25">
      <c r="A238">
        <v>31635</v>
      </c>
      <c r="B238" t="s">
        <v>2187</v>
      </c>
      <c r="C238" t="s">
        <v>2188</v>
      </c>
      <c r="D238" s="3">
        <v>34219</v>
      </c>
      <c r="E238">
        <f t="shared" si="6"/>
        <v>1993</v>
      </c>
      <c r="F238">
        <f t="shared" ca="1" si="7"/>
        <v>32</v>
      </c>
      <c r="G238">
        <f>COUNTIF(BRON!A:A,'schades-leeftijd'!A238)</f>
        <v>2</v>
      </c>
    </row>
    <row r="239" spans="1:7" x14ac:dyDescent="0.25">
      <c r="A239">
        <v>31659</v>
      </c>
      <c r="B239" t="s">
        <v>2472</v>
      </c>
      <c r="C239" t="s">
        <v>1341</v>
      </c>
      <c r="D239" s="3">
        <v>32677</v>
      </c>
      <c r="E239">
        <f t="shared" si="6"/>
        <v>1989</v>
      </c>
      <c r="F239">
        <f t="shared" ca="1" si="7"/>
        <v>36</v>
      </c>
      <c r="G239">
        <f>COUNTIF(BRON!A:A,'schades-leeftijd'!A239)</f>
        <v>0</v>
      </c>
    </row>
    <row r="240" spans="1:7" x14ac:dyDescent="0.25">
      <c r="A240">
        <v>31668</v>
      </c>
      <c r="B240" t="s">
        <v>2231</v>
      </c>
      <c r="C240" t="s">
        <v>2232</v>
      </c>
      <c r="D240" s="3">
        <v>25181</v>
      </c>
      <c r="E240">
        <f t="shared" si="6"/>
        <v>1968</v>
      </c>
      <c r="F240">
        <f t="shared" ca="1" si="7"/>
        <v>57</v>
      </c>
      <c r="G240">
        <f>COUNTIF(BRON!A:A,'schades-leeftijd'!A240)</f>
        <v>5</v>
      </c>
    </row>
    <row r="241" spans="1:7" x14ac:dyDescent="0.25">
      <c r="A241">
        <v>31689</v>
      </c>
      <c r="B241" t="s">
        <v>2614</v>
      </c>
      <c r="C241" t="s">
        <v>2615</v>
      </c>
      <c r="D241" s="3">
        <v>33354</v>
      </c>
      <c r="E241">
        <f t="shared" si="6"/>
        <v>1991</v>
      </c>
      <c r="F241">
        <f t="shared" ca="1" si="7"/>
        <v>34</v>
      </c>
      <c r="G241">
        <f>COUNTIF(BRON!A:A,'schades-leeftijd'!A241)</f>
        <v>1</v>
      </c>
    </row>
    <row r="242" spans="1:7" x14ac:dyDescent="0.25">
      <c r="A242">
        <v>31731</v>
      </c>
      <c r="B242" t="s">
        <v>2283</v>
      </c>
      <c r="C242" t="s">
        <v>2284</v>
      </c>
      <c r="D242" s="3">
        <v>28290</v>
      </c>
      <c r="E242">
        <f t="shared" si="6"/>
        <v>1977</v>
      </c>
      <c r="F242">
        <f t="shared" ca="1" si="7"/>
        <v>48</v>
      </c>
      <c r="G242">
        <f>COUNTIF(BRON!A:A,'schades-leeftijd'!A242)</f>
        <v>2</v>
      </c>
    </row>
    <row r="243" spans="1:7" x14ac:dyDescent="0.25">
      <c r="A243">
        <v>31733</v>
      </c>
      <c r="B243" t="s">
        <v>2412</v>
      </c>
      <c r="C243" t="s">
        <v>1347</v>
      </c>
      <c r="D243" s="3">
        <v>30582</v>
      </c>
      <c r="E243">
        <f t="shared" si="6"/>
        <v>1983</v>
      </c>
      <c r="F243">
        <f t="shared" ca="1" si="7"/>
        <v>42</v>
      </c>
      <c r="G243">
        <f>COUNTIF(BRON!A:A,'schades-leeftijd'!A243)</f>
        <v>2</v>
      </c>
    </row>
    <row r="244" spans="1:7" x14ac:dyDescent="0.25">
      <c r="A244">
        <v>31776</v>
      </c>
      <c r="B244" t="s">
        <v>1650</v>
      </c>
      <c r="C244" t="s">
        <v>1647</v>
      </c>
      <c r="D244" s="3">
        <v>30376</v>
      </c>
      <c r="E244">
        <f t="shared" si="6"/>
        <v>1983</v>
      </c>
      <c r="F244">
        <f t="shared" ca="1" si="7"/>
        <v>42</v>
      </c>
      <c r="G244">
        <f>COUNTIF(BRON!A:A,'schades-leeftijd'!A244)</f>
        <v>1</v>
      </c>
    </row>
    <row r="245" spans="1:7" x14ac:dyDescent="0.25">
      <c r="A245">
        <v>31891</v>
      </c>
      <c r="B245" t="s">
        <v>2545</v>
      </c>
      <c r="C245" t="s">
        <v>3030</v>
      </c>
      <c r="D245" s="3">
        <v>26685</v>
      </c>
      <c r="E245">
        <f t="shared" si="6"/>
        <v>1973</v>
      </c>
      <c r="F245">
        <f t="shared" ca="1" si="7"/>
        <v>52</v>
      </c>
      <c r="G245">
        <f>COUNTIF(BRON!A:A,'schades-leeftijd'!A245)</f>
        <v>0</v>
      </c>
    </row>
    <row r="246" spans="1:7" x14ac:dyDescent="0.25">
      <c r="A246">
        <v>32002</v>
      </c>
      <c r="B246" t="s">
        <v>2736</v>
      </c>
      <c r="C246" t="s">
        <v>2737</v>
      </c>
      <c r="D246" s="3">
        <v>26130</v>
      </c>
      <c r="E246">
        <f t="shared" si="6"/>
        <v>1971</v>
      </c>
      <c r="F246">
        <f t="shared" ca="1" si="7"/>
        <v>54</v>
      </c>
      <c r="G246">
        <f>COUNTIF(BRON!A:A,'schades-leeftijd'!A246)</f>
        <v>2</v>
      </c>
    </row>
    <row r="247" spans="1:7" x14ac:dyDescent="0.25">
      <c r="A247">
        <v>32091</v>
      </c>
      <c r="B247" t="s">
        <v>2939</v>
      </c>
      <c r="C247" t="s">
        <v>2940</v>
      </c>
      <c r="D247" s="3">
        <v>29257</v>
      </c>
      <c r="E247">
        <f t="shared" si="6"/>
        <v>1980</v>
      </c>
      <c r="F247">
        <f t="shared" ca="1" si="7"/>
        <v>45</v>
      </c>
      <c r="G247">
        <f>COUNTIF(BRON!A:A,'schades-leeftijd'!A247)</f>
        <v>1</v>
      </c>
    </row>
    <row r="248" spans="1:7" x14ac:dyDescent="0.25">
      <c r="A248">
        <v>32092</v>
      </c>
      <c r="B248" t="s">
        <v>1570</v>
      </c>
      <c r="C248" t="s">
        <v>1571</v>
      </c>
      <c r="D248" s="3">
        <v>35325</v>
      </c>
      <c r="E248">
        <f t="shared" si="6"/>
        <v>1996</v>
      </c>
      <c r="F248">
        <f t="shared" ca="1" si="7"/>
        <v>29</v>
      </c>
      <c r="G248">
        <f>COUNTIF(BRON!A:A,'schades-leeftijd'!A248)</f>
        <v>0</v>
      </c>
    </row>
    <row r="249" spans="1:7" x14ac:dyDescent="0.25">
      <c r="A249">
        <v>32168</v>
      </c>
      <c r="B249" t="s">
        <v>1376</v>
      </c>
      <c r="C249" t="s">
        <v>1377</v>
      </c>
      <c r="D249" s="3">
        <v>28348</v>
      </c>
      <c r="E249">
        <f t="shared" si="6"/>
        <v>1977</v>
      </c>
      <c r="F249">
        <f t="shared" ca="1" si="7"/>
        <v>48</v>
      </c>
      <c r="G249">
        <f>COUNTIF(BRON!A:A,'schades-leeftijd'!A249)</f>
        <v>1</v>
      </c>
    </row>
    <row r="250" spans="1:7" x14ac:dyDescent="0.25">
      <c r="A250">
        <v>32169</v>
      </c>
      <c r="B250" t="s">
        <v>1898</v>
      </c>
      <c r="C250" t="s">
        <v>1899</v>
      </c>
      <c r="D250" s="3">
        <v>25554</v>
      </c>
      <c r="E250">
        <f t="shared" si="6"/>
        <v>1969</v>
      </c>
      <c r="F250">
        <f t="shared" ca="1" si="7"/>
        <v>56</v>
      </c>
      <c r="G250">
        <f>COUNTIF(BRON!A:A,'schades-leeftijd'!A250)</f>
        <v>0</v>
      </c>
    </row>
    <row r="251" spans="1:7" x14ac:dyDescent="0.25">
      <c r="A251">
        <v>32245</v>
      </c>
      <c r="B251" t="s">
        <v>3235</v>
      </c>
      <c r="C251" t="s">
        <v>3236</v>
      </c>
      <c r="D251" s="3">
        <v>28206</v>
      </c>
      <c r="E251">
        <f t="shared" si="6"/>
        <v>1977</v>
      </c>
      <c r="F251">
        <f t="shared" ca="1" si="7"/>
        <v>48</v>
      </c>
      <c r="G251">
        <f>COUNTIF(BRON!A:A,'schades-leeftijd'!A251)</f>
        <v>2</v>
      </c>
    </row>
    <row r="252" spans="1:7" x14ac:dyDescent="0.25">
      <c r="A252">
        <v>32369</v>
      </c>
      <c r="B252" t="s">
        <v>1967</v>
      </c>
      <c r="C252" t="s">
        <v>1960</v>
      </c>
      <c r="D252" s="3">
        <v>25527</v>
      </c>
      <c r="E252">
        <f t="shared" si="6"/>
        <v>1969</v>
      </c>
      <c r="F252">
        <f t="shared" ca="1" si="7"/>
        <v>56</v>
      </c>
      <c r="G252">
        <f>COUNTIF(BRON!A:A,'schades-leeftijd'!A252)</f>
        <v>1</v>
      </c>
    </row>
    <row r="253" spans="1:7" x14ac:dyDescent="0.25">
      <c r="A253">
        <v>32387</v>
      </c>
      <c r="B253" t="s">
        <v>2724</v>
      </c>
      <c r="C253" t="s">
        <v>2725</v>
      </c>
      <c r="D253" s="3">
        <v>23792</v>
      </c>
      <c r="E253">
        <f t="shared" si="6"/>
        <v>1965</v>
      </c>
      <c r="F253">
        <f t="shared" ca="1" si="7"/>
        <v>60</v>
      </c>
      <c r="G253">
        <f>COUNTIF(BRON!A:A,'schades-leeftijd'!A253)</f>
        <v>4</v>
      </c>
    </row>
    <row r="254" spans="1:7" x14ac:dyDescent="0.25">
      <c r="A254">
        <v>32458</v>
      </c>
      <c r="B254" t="s">
        <v>1713</v>
      </c>
      <c r="C254" t="s">
        <v>1714</v>
      </c>
      <c r="D254" s="3">
        <v>24440</v>
      </c>
      <c r="E254">
        <f t="shared" si="6"/>
        <v>1966</v>
      </c>
      <c r="F254">
        <f t="shared" ca="1" si="7"/>
        <v>59</v>
      </c>
      <c r="G254">
        <f>COUNTIF(BRON!A:A,'schades-leeftijd'!A254)</f>
        <v>0</v>
      </c>
    </row>
    <row r="255" spans="1:7" x14ac:dyDescent="0.25">
      <c r="A255">
        <v>32528</v>
      </c>
      <c r="B255" t="s">
        <v>3464</v>
      </c>
      <c r="C255" t="s">
        <v>3465</v>
      </c>
      <c r="D255" s="3">
        <v>30914</v>
      </c>
      <c r="E255">
        <f t="shared" si="6"/>
        <v>1984</v>
      </c>
      <c r="F255">
        <f t="shared" ca="1" si="7"/>
        <v>41</v>
      </c>
      <c r="G255">
        <f>COUNTIF(BRON!A:A,'schades-leeftijd'!A255)</f>
        <v>2</v>
      </c>
    </row>
    <row r="256" spans="1:7" x14ac:dyDescent="0.25">
      <c r="A256">
        <v>32542</v>
      </c>
      <c r="B256" t="s">
        <v>2468</v>
      </c>
      <c r="C256" t="s">
        <v>2462</v>
      </c>
      <c r="D256" s="3">
        <v>31239</v>
      </c>
      <c r="E256">
        <f t="shared" si="6"/>
        <v>1985</v>
      </c>
      <c r="F256">
        <f t="shared" ca="1" si="7"/>
        <v>40</v>
      </c>
      <c r="G256">
        <f>COUNTIF(BRON!A:A,'schades-leeftijd'!A256)</f>
        <v>2</v>
      </c>
    </row>
    <row r="257" spans="1:7" x14ac:dyDescent="0.25">
      <c r="A257">
        <v>32611</v>
      </c>
      <c r="B257" t="s">
        <v>2006</v>
      </c>
      <c r="C257" t="s">
        <v>2007</v>
      </c>
      <c r="D257" s="3">
        <v>30873</v>
      </c>
      <c r="E257">
        <f t="shared" si="6"/>
        <v>1984</v>
      </c>
      <c r="F257">
        <f t="shared" ca="1" si="7"/>
        <v>41</v>
      </c>
      <c r="G257">
        <f>COUNTIF(BRON!A:A,'schades-leeftijd'!A257)</f>
        <v>2</v>
      </c>
    </row>
    <row r="258" spans="1:7" x14ac:dyDescent="0.25">
      <c r="A258">
        <v>32620</v>
      </c>
      <c r="B258" t="s">
        <v>2963</v>
      </c>
      <c r="C258" t="s">
        <v>2964</v>
      </c>
      <c r="D258" s="3">
        <v>35347</v>
      </c>
      <c r="E258">
        <f t="shared" si="6"/>
        <v>1996</v>
      </c>
      <c r="F258">
        <f t="shared" ca="1" si="7"/>
        <v>29</v>
      </c>
      <c r="G258">
        <f>COUNTIF(BRON!A:A,'schades-leeftijd'!A258)</f>
        <v>3</v>
      </c>
    </row>
    <row r="259" spans="1:7" x14ac:dyDescent="0.25">
      <c r="A259">
        <v>32951</v>
      </c>
      <c r="B259" t="s">
        <v>1673</v>
      </c>
      <c r="C259" t="s">
        <v>1674</v>
      </c>
      <c r="D259" s="3">
        <v>26191</v>
      </c>
      <c r="E259">
        <f t="shared" ref="E259:E322" si="8">YEAR(D259)</f>
        <v>1971</v>
      </c>
      <c r="F259">
        <f t="shared" ref="F259:F322" ca="1" si="9">YEAR(TODAY())-E259</f>
        <v>54</v>
      </c>
      <c r="G259">
        <f>COUNTIF(BRON!A:A,'schades-leeftijd'!A259)</f>
        <v>6</v>
      </c>
    </row>
    <row r="260" spans="1:7" x14ac:dyDescent="0.25">
      <c r="A260">
        <v>33049</v>
      </c>
      <c r="B260" t="s">
        <v>3024</v>
      </c>
      <c r="C260" t="s">
        <v>3015</v>
      </c>
      <c r="D260" s="3">
        <v>24920</v>
      </c>
      <c r="E260">
        <f t="shared" si="8"/>
        <v>1968</v>
      </c>
      <c r="F260">
        <f t="shared" ca="1" si="9"/>
        <v>57</v>
      </c>
      <c r="G260">
        <f>COUNTIF(BRON!A:A,'schades-leeftijd'!A260)</f>
        <v>0</v>
      </c>
    </row>
    <row r="261" spans="1:7" x14ac:dyDescent="0.25">
      <c r="A261">
        <v>33085</v>
      </c>
      <c r="B261" t="s">
        <v>1406</v>
      </c>
      <c r="C261" t="s">
        <v>2649</v>
      </c>
      <c r="D261" s="3">
        <v>33077</v>
      </c>
      <c r="E261">
        <f t="shared" si="8"/>
        <v>1990</v>
      </c>
      <c r="F261">
        <f t="shared" ca="1" si="9"/>
        <v>35</v>
      </c>
      <c r="G261">
        <f>COUNTIF(BRON!A:A,'schades-leeftijd'!A261)</f>
        <v>2</v>
      </c>
    </row>
    <row r="262" spans="1:7" x14ac:dyDescent="0.25">
      <c r="A262">
        <v>33400</v>
      </c>
      <c r="B262" t="s">
        <v>3115</v>
      </c>
      <c r="C262" t="s">
        <v>3116</v>
      </c>
      <c r="D262" s="3">
        <v>34591</v>
      </c>
      <c r="E262">
        <f t="shared" si="8"/>
        <v>1994</v>
      </c>
      <c r="F262">
        <f t="shared" ca="1" si="9"/>
        <v>31</v>
      </c>
      <c r="G262">
        <f>COUNTIF(BRON!A:A,'schades-leeftijd'!A262)</f>
        <v>3</v>
      </c>
    </row>
    <row r="263" spans="1:7" x14ac:dyDescent="0.25">
      <c r="A263">
        <v>33450</v>
      </c>
      <c r="B263" t="s">
        <v>3150</v>
      </c>
      <c r="C263" t="s">
        <v>3151</v>
      </c>
      <c r="D263" s="3">
        <v>26216</v>
      </c>
      <c r="E263">
        <f t="shared" si="8"/>
        <v>1971</v>
      </c>
      <c r="F263">
        <f t="shared" ca="1" si="9"/>
        <v>54</v>
      </c>
      <c r="G263">
        <f>COUNTIF(BRON!A:A,'schades-leeftijd'!A263)</f>
        <v>2</v>
      </c>
    </row>
    <row r="264" spans="1:7" x14ac:dyDescent="0.25">
      <c r="A264">
        <v>33488</v>
      </c>
      <c r="B264" t="s">
        <v>1955</v>
      </c>
      <c r="C264" t="s">
        <v>1956</v>
      </c>
      <c r="D264" s="3">
        <v>34182</v>
      </c>
      <c r="E264">
        <f t="shared" si="8"/>
        <v>1993</v>
      </c>
      <c r="F264">
        <f t="shared" ca="1" si="9"/>
        <v>32</v>
      </c>
      <c r="G264">
        <f>COUNTIF(BRON!A:A,'schades-leeftijd'!A264)</f>
        <v>2</v>
      </c>
    </row>
    <row r="265" spans="1:7" x14ac:dyDescent="0.25">
      <c r="A265">
        <v>33551</v>
      </c>
      <c r="B265" t="s">
        <v>3349</v>
      </c>
      <c r="C265" t="s">
        <v>3347</v>
      </c>
      <c r="D265" s="3">
        <v>31396</v>
      </c>
      <c r="E265">
        <f t="shared" si="8"/>
        <v>1985</v>
      </c>
      <c r="F265">
        <f t="shared" ca="1" si="9"/>
        <v>40</v>
      </c>
      <c r="G265">
        <f>COUNTIF(BRON!A:A,'schades-leeftijd'!A265)</f>
        <v>2</v>
      </c>
    </row>
    <row r="266" spans="1:7" x14ac:dyDescent="0.25">
      <c r="A266">
        <v>33600</v>
      </c>
      <c r="B266" t="s">
        <v>2240</v>
      </c>
      <c r="C266" t="s">
        <v>2241</v>
      </c>
      <c r="D266" s="3">
        <v>30867</v>
      </c>
      <c r="E266">
        <f t="shared" si="8"/>
        <v>1984</v>
      </c>
      <c r="F266">
        <f t="shared" ca="1" si="9"/>
        <v>41</v>
      </c>
      <c r="G266">
        <f>COUNTIF(BRON!A:A,'schades-leeftijd'!A266)</f>
        <v>0</v>
      </c>
    </row>
    <row r="267" spans="1:7" x14ac:dyDescent="0.25">
      <c r="A267">
        <v>33639</v>
      </c>
      <c r="B267" t="s">
        <v>1527</v>
      </c>
      <c r="C267" t="s">
        <v>1528</v>
      </c>
      <c r="D267" s="3">
        <v>23813</v>
      </c>
      <c r="E267">
        <f t="shared" si="8"/>
        <v>1965</v>
      </c>
      <c r="F267">
        <f t="shared" ca="1" si="9"/>
        <v>60</v>
      </c>
      <c r="G267">
        <f>COUNTIF(BRON!A:A,'schades-leeftijd'!A267)</f>
        <v>0</v>
      </c>
    </row>
    <row r="268" spans="1:7" x14ac:dyDescent="0.25">
      <c r="A268">
        <v>33640</v>
      </c>
      <c r="B268" t="s">
        <v>1964</v>
      </c>
      <c r="C268" t="s">
        <v>1960</v>
      </c>
      <c r="D268" s="3">
        <v>25094</v>
      </c>
      <c r="E268">
        <f t="shared" si="8"/>
        <v>1968</v>
      </c>
      <c r="F268">
        <f t="shared" ca="1" si="9"/>
        <v>57</v>
      </c>
      <c r="G268">
        <f>COUNTIF(BRON!A:A,'schades-leeftijd'!A268)</f>
        <v>1</v>
      </c>
    </row>
    <row r="269" spans="1:7" x14ac:dyDescent="0.25">
      <c r="A269">
        <v>33698</v>
      </c>
      <c r="B269" t="s">
        <v>3095</v>
      </c>
      <c r="C269" t="s">
        <v>3092</v>
      </c>
      <c r="D269" s="3">
        <v>30937</v>
      </c>
      <c r="E269">
        <f t="shared" si="8"/>
        <v>1984</v>
      </c>
      <c r="F269">
        <f t="shared" ca="1" si="9"/>
        <v>41</v>
      </c>
      <c r="G269">
        <f>COUNTIF(BRON!A:A,'schades-leeftijd'!A269)</f>
        <v>0</v>
      </c>
    </row>
    <row r="270" spans="1:7" x14ac:dyDescent="0.25">
      <c r="A270">
        <v>33757</v>
      </c>
      <c r="B270" t="s">
        <v>2709</v>
      </c>
      <c r="C270" t="s">
        <v>2706</v>
      </c>
      <c r="D270" s="3">
        <v>24507</v>
      </c>
      <c r="E270">
        <f t="shared" si="8"/>
        <v>1967</v>
      </c>
      <c r="F270">
        <f t="shared" ca="1" si="9"/>
        <v>58</v>
      </c>
      <c r="G270">
        <f>COUNTIF(BRON!A:A,'schades-leeftijd'!A270)</f>
        <v>0</v>
      </c>
    </row>
    <row r="271" spans="1:7" x14ac:dyDescent="0.25">
      <c r="A271">
        <v>33982</v>
      </c>
      <c r="B271" t="s">
        <v>1585</v>
      </c>
      <c r="C271" t="s">
        <v>1349</v>
      </c>
      <c r="D271" s="3">
        <v>30017</v>
      </c>
      <c r="E271">
        <f t="shared" si="8"/>
        <v>1982</v>
      </c>
      <c r="F271">
        <f t="shared" ca="1" si="9"/>
        <v>43</v>
      </c>
      <c r="G271">
        <f>COUNTIF(BRON!A:A,'schades-leeftijd'!A271)</f>
        <v>0</v>
      </c>
    </row>
    <row r="272" spans="1:7" x14ac:dyDescent="0.25">
      <c r="A272">
        <v>33986</v>
      </c>
      <c r="B272" t="s">
        <v>2124</v>
      </c>
      <c r="C272" t="s">
        <v>2125</v>
      </c>
      <c r="D272" s="3">
        <v>31149</v>
      </c>
      <c r="E272">
        <f t="shared" si="8"/>
        <v>1985</v>
      </c>
      <c r="F272">
        <f t="shared" ca="1" si="9"/>
        <v>40</v>
      </c>
      <c r="G272">
        <f>COUNTIF(BRON!A:A,'schades-leeftijd'!A272)</f>
        <v>4</v>
      </c>
    </row>
    <row r="273" spans="1:7" x14ac:dyDescent="0.25">
      <c r="A273">
        <v>34019</v>
      </c>
      <c r="B273" t="s">
        <v>1560</v>
      </c>
      <c r="C273" t="s">
        <v>1550</v>
      </c>
      <c r="D273" s="3">
        <v>31359</v>
      </c>
      <c r="E273">
        <f t="shared" si="8"/>
        <v>1985</v>
      </c>
      <c r="F273">
        <f t="shared" ca="1" si="9"/>
        <v>40</v>
      </c>
      <c r="G273">
        <f>COUNTIF(BRON!A:A,'schades-leeftijd'!A273)</f>
        <v>1</v>
      </c>
    </row>
    <row r="274" spans="1:7" x14ac:dyDescent="0.25">
      <c r="A274">
        <v>34044</v>
      </c>
      <c r="B274" t="s">
        <v>2456</v>
      </c>
      <c r="C274" t="s">
        <v>2453</v>
      </c>
      <c r="D274" s="3">
        <v>34969</v>
      </c>
      <c r="E274">
        <f t="shared" si="8"/>
        <v>1995</v>
      </c>
      <c r="F274">
        <f t="shared" ca="1" si="9"/>
        <v>30</v>
      </c>
      <c r="G274">
        <f>COUNTIF(BRON!A:A,'schades-leeftijd'!A274)</f>
        <v>2</v>
      </c>
    </row>
    <row r="275" spans="1:7" x14ac:dyDescent="0.25">
      <c r="A275">
        <v>34198</v>
      </c>
      <c r="B275" t="s">
        <v>1574</v>
      </c>
      <c r="C275" t="s">
        <v>1575</v>
      </c>
      <c r="D275" s="3">
        <v>34236</v>
      </c>
      <c r="E275">
        <f t="shared" si="8"/>
        <v>1993</v>
      </c>
      <c r="F275">
        <f t="shared" ca="1" si="9"/>
        <v>32</v>
      </c>
      <c r="G275">
        <f>COUNTIF(BRON!A:A,'schades-leeftijd'!A275)</f>
        <v>2</v>
      </c>
    </row>
    <row r="276" spans="1:7" x14ac:dyDescent="0.25">
      <c r="A276">
        <v>34286</v>
      </c>
      <c r="B276" t="s">
        <v>2140</v>
      </c>
      <c r="C276" t="s">
        <v>2141</v>
      </c>
      <c r="D276" s="3">
        <v>31192</v>
      </c>
      <c r="E276">
        <f t="shared" si="8"/>
        <v>1985</v>
      </c>
      <c r="F276">
        <f t="shared" ca="1" si="9"/>
        <v>40</v>
      </c>
      <c r="G276">
        <f>COUNTIF(BRON!A:A,'schades-leeftijd'!A276)</f>
        <v>2</v>
      </c>
    </row>
    <row r="277" spans="1:7" x14ac:dyDescent="0.25">
      <c r="A277">
        <v>34312</v>
      </c>
      <c r="B277" t="s">
        <v>2765</v>
      </c>
      <c r="C277" t="s">
        <v>2766</v>
      </c>
      <c r="D277" s="3">
        <v>34089</v>
      </c>
      <c r="E277">
        <f t="shared" si="8"/>
        <v>1993</v>
      </c>
      <c r="F277">
        <f t="shared" ca="1" si="9"/>
        <v>32</v>
      </c>
      <c r="G277">
        <f>COUNTIF(BRON!A:A,'schades-leeftijd'!A277)</f>
        <v>0</v>
      </c>
    </row>
    <row r="278" spans="1:7" x14ac:dyDescent="0.25">
      <c r="A278">
        <v>34325</v>
      </c>
      <c r="B278" t="s">
        <v>2248</v>
      </c>
      <c r="C278" t="s">
        <v>2249</v>
      </c>
      <c r="D278" s="3">
        <v>30816</v>
      </c>
      <c r="E278">
        <f t="shared" si="8"/>
        <v>1984</v>
      </c>
      <c r="F278">
        <f t="shared" ca="1" si="9"/>
        <v>41</v>
      </c>
      <c r="G278">
        <f>COUNTIF(BRON!A:A,'schades-leeftijd'!A278)</f>
        <v>5</v>
      </c>
    </row>
    <row r="279" spans="1:7" x14ac:dyDescent="0.25">
      <c r="A279">
        <v>34328</v>
      </c>
      <c r="B279" t="s">
        <v>2530</v>
      </c>
      <c r="C279" t="s">
        <v>2531</v>
      </c>
      <c r="D279" s="3">
        <v>27707</v>
      </c>
      <c r="E279">
        <f t="shared" si="8"/>
        <v>1975</v>
      </c>
      <c r="F279">
        <f t="shared" ca="1" si="9"/>
        <v>50</v>
      </c>
      <c r="G279">
        <f>COUNTIF(BRON!A:A,'schades-leeftijd'!A279)</f>
        <v>4</v>
      </c>
    </row>
    <row r="280" spans="1:7" x14ac:dyDescent="0.25">
      <c r="A280">
        <v>34351</v>
      </c>
      <c r="B280" t="s">
        <v>3037</v>
      </c>
      <c r="C280" t="s">
        <v>3038</v>
      </c>
      <c r="D280" s="3">
        <v>30411</v>
      </c>
      <c r="E280">
        <f t="shared" si="8"/>
        <v>1983</v>
      </c>
      <c r="F280">
        <f t="shared" ca="1" si="9"/>
        <v>42</v>
      </c>
      <c r="G280">
        <f>COUNTIF(BRON!A:A,'schades-leeftijd'!A280)</f>
        <v>3</v>
      </c>
    </row>
    <row r="281" spans="1:7" x14ac:dyDescent="0.25">
      <c r="A281">
        <v>34445</v>
      </c>
      <c r="B281" t="s">
        <v>2682</v>
      </c>
      <c r="C281" t="s">
        <v>2683</v>
      </c>
      <c r="D281" s="3">
        <v>34663</v>
      </c>
      <c r="E281">
        <f t="shared" si="8"/>
        <v>1994</v>
      </c>
      <c r="F281">
        <f t="shared" ca="1" si="9"/>
        <v>31</v>
      </c>
      <c r="G281">
        <f>COUNTIF(BRON!A:A,'schades-leeftijd'!A281)</f>
        <v>5</v>
      </c>
    </row>
    <row r="282" spans="1:7" x14ac:dyDescent="0.25">
      <c r="A282">
        <v>34664</v>
      </c>
      <c r="B282" t="s">
        <v>2465</v>
      </c>
      <c r="C282" t="s">
        <v>2462</v>
      </c>
      <c r="D282" s="3">
        <v>34283</v>
      </c>
      <c r="E282">
        <f t="shared" si="8"/>
        <v>1993</v>
      </c>
      <c r="F282">
        <f t="shared" ca="1" si="9"/>
        <v>32</v>
      </c>
      <c r="G282">
        <f>COUNTIF(BRON!A:A,'schades-leeftijd'!A282)</f>
        <v>0</v>
      </c>
    </row>
    <row r="283" spans="1:7" x14ac:dyDescent="0.25">
      <c r="A283">
        <v>35005</v>
      </c>
      <c r="B283" t="s">
        <v>2102</v>
      </c>
      <c r="C283" t="s">
        <v>2093</v>
      </c>
      <c r="D283" s="3">
        <v>31020</v>
      </c>
      <c r="E283">
        <f t="shared" si="8"/>
        <v>1984</v>
      </c>
      <c r="F283">
        <f t="shared" ca="1" si="9"/>
        <v>41</v>
      </c>
      <c r="G283">
        <f>COUNTIF(BRON!A:A,'schades-leeftijd'!A283)</f>
        <v>0</v>
      </c>
    </row>
    <row r="284" spans="1:7" x14ac:dyDescent="0.25">
      <c r="A284">
        <v>35006</v>
      </c>
      <c r="B284" t="s">
        <v>1406</v>
      </c>
      <c r="C284" t="s">
        <v>1407</v>
      </c>
      <c r="D284" s="3">
        <v>30614</v>
      </c>
      <c r="E284">
        <f t="shared" si="8"/>
        <v>1983</v>
      </c>
      <c r="F284">
        <f t="shared" ca="1" si="9"/>
        <v>42</v>
      </c>
      <c r="G284">
        <f>COUNTIF(BRON!A:A,'schades-leeftijd'!A284)</f>
        <v>1</v>
      </c>
    </row>
    <row r="285" spans="1:7" x14ac:dyDescent="0.25">
      <c r="A285">
        <v>35026</v>
      </c>
      <c r="B285" t="s">
        <v>1820</v>
      </c>
      <c r="C285" t="s">
        <v>1821</v>
      </c>
      <c r="D285" s="3">
        <v>32327</v>
      </c>
      <c r="E285">
        <f t="shared" si="8"/>
        <v>1988</v>
      </c>
      <c r="F285">
        <f t="shared" ca="1" si="9"/>
        <v>37</v>
      </c>
      <c r="G285">
        <f>COUNTIF(BRON!A:A,'schades-leeftijd'!A285)</f>
        <v>0</v>
      </c>
    </row>
    <row r="286" spans="1:7" x14ac:dyDescent="0.25">
      <c r="A286">
        <v>35030</v>
      </c>
      <c r="B286" t="s">
        <v>1470</v>
      </c>
      <c r="C286" t="s">
        <v>1452</v>
      </c>
      <c r="D286" s="3">
        <v>25785</v>
      </c>
      <c r="E286">
        <f t="shared" si="8"/>
        <v>1970</v>
      </c>
      <c r="F286">
        <f t="shared" ca="1" si="9"/>
        <v>55</v>
      </c>
      <c r="G286">
        <f>COUNTIF(BRON!A:A,'schades-leeftijd'!A286)</f>
        <v>0</v>
      </c>
    </row>
    <row r="287" spans="1:7" x14ac:dyDescent="0.25">
      <c r="A287">
        <v>35055</v>
      </c>
      <c r="B287" t="s">
        <v>3441</v>
      </c>
      <c r="C287" t="s">
        <v>3442</v>
      </c>
      <c r="D287" s="3">
        <v>36273</v>
      </c>
      <c r="E287">
        <f t="shared" si="8"/>
        <v>1999</v>
      </c>
      <c r="F287">
        <f t="shared" ca="1" si="9"/>
        <v>26</v>
      </c>
      <c r="G287">
        <f>COUNTIF(BRON!A:A,'schades-leeftijd'!A287)</f>
        <v>2</v>
      </c>
    </row>
    <row r="288" spans="1:7" x14ac:dyDescent="0.25">
      <c r="A288">
        <v>35107</v>
      </c>
      <c r="B288" t="s">
        <v>2995</v>
      </c>
      <c r="C288" t="s">
        <v>1326</v>
      </c>
      <c r="D288" s="3">
        <v>26227</v>
      </c>
      <c r="E288">
        <f t="shared" si="8"/>
        <v>1971</v>
      </c>
      <c r="F288">
        <f t="shared" ca="1" si="9"/>
        <v>54</v>
      </c>
      <c r="G288">
        <f>COUNTIF(BRON!A:A,'schades-leeftijd'!A288)</f>
        <v>1</v>
      </c>
    </row>
    <row r="289" spans="1:7" x14ac:dyDescent="0.25">
      <c r="A289">
        <v>35120</v>
      </c>
      <c r="B289" t="s">
        <v>3108</v>
      </c>
      <c r="C289" t="s">
        <v>3105</v>
      </c>
      <c r="D289" s="3">
        <v>32582</v>
      </c>
      <c r="E289">
        <f t="shared" si="8"/>
        <v>1989</v>
      </c>
      <c r="F289">
        <f t="shared" ca="1" si="9"/>
        <v>36</v>
      </c>
      <c r="G289">
        <f>COUNTIF(BRON!A:A,'schades-leeftijd'!A289)</f>
        <v>1</v>
      </c>
    </row>
    <row r="290" spans="1:7" x14ac:dyDescent="0.25">
      <c r="A290">
        <v>35187</v>
      </c>
      <c r="B290" t="s">
        <v>2936</v>
      </c>
      <c r="C290" t="s">
        <v>2931</v>
      </c>
      <c r="D290" s="3">
        <v>19500</v>
      </c>
      <c r="E290">
        <f t="shared" si="8"/>
        <v>1953</v>
      </c>
      <c r="F290">
        <f t="shared" ca="1" si="9"/>
        <v>72</v>
      </c>
      <c r="G290">
        <f>COUNTIF(BRON!A:A,'schades-leeftijd'!A290)</f>
        <v>1</v>
      </c>
    </row>
    <row r="291" spans="1:7" x14ac:dyDescent="0.25">
      <c r="A291">
        <v>35216</v>
      </c>
      <c r="B291" t="s">
        <v>2219</v>
      </c>
      <c r="C291" t="s">
        <v>2220</v>
      </c>
      <c r="D291" s="3">
        <v>36459</v>
      </c>
      <c r="E291">
        <f t="shared" si="8"/>
        <v>1999</v>
      </c>
      <c r="F291">
        <f t="shared" ca="1" si="9"/>
        <v>26</v>
      </c>
      <c r="G291">
        <f>COUNTIF(BRON!A:A,'schades-leeftijd'!A291)</f>
        <v>1</v>
      </c>
    </row>
    <row r="292" spans="1:7" x14ac:dyDescent="0.25">
      <c r="A292">
        <v>35220</v>
      </c>
      <c r="B292" t="s">
        <v>3417</v>
      </c>
      <c r="C292" t="s">
        <v>3418</v>
      </c>
      <c r="D292" s="3">
        <v>32543</v>
      </c>
      <c r="E292">
        <f t="shared" si="8"/>
        <v>1989</v>
      </c>
      <c r="F292">
        <f t="shared" ca="1" si="9"/>
        <v>36</v>
      </c>
      <c r="G292">
        <f>COUNTIF(BRON!A:A,'schades-leeftijd'!A292)</f>
        <v>0</v>
      </c>
    </row>
    <row r="293" spans="1:7" x14ac:dyDescent="0.25">
      <c r="A293">
        <v>35246</v>
      </c>
      <c r="B293" t="s">
        <v>1255</v>
      </c>
      <c r="C293" t="s">
        <v>2516</v>
      </c>
      <c r="D293" s="3">
        <v>25938</v>
      </c>
      <c r="E293">
        <f t="shared" si="8"/>
        <v>1971</v>
      </c>
      <c r="F293">
        <f t="shared" ca="1" si="9"/>
        <v>54</v>
      </c>
      <c r="G293">
        <f>COUNTIF(BRON!A:A,'schades-leeftijd'!A293)</f>
        <v>2</v>
      </c>
    </row>
    <row r="294" spans="1:7" x14ac:dyDescent="0.25">
      <c r="A294">
        <v>35334</v>
      </c>
      <c r="B294" t="s">
        <v>2236</v>
      </c>
      <c r="C294" t="s">
        <v>2237</v>
      </c>
      <c r="D294" s="3">
        <v>33578</v>
      </c>
      <c r="E294">
        <f t="shared" si="8"/>
        <v>1991</v>
      </c>
      <c r="F294">
        <f t="shared" ca="1" si="9"/>
        <v>34</v>
      </c>
      <c r="G294">
        <f>COUNTIF(BRON!A:A,'schades-leeftijd'!A294)</f>
        <v>0</v>
      </c>
    </row>
    <row r="295" spans="1:7" x14ac:dyDescent="0.25">
      <c r="A295">
        <v>35379</v>
      </c>
      <c r="B295" t="s">
        <v>1490</v>
      </c>
      <c r="C295" t="s">
        <v>1766</v>
      </c>
      <c r="D295" s="3">
        <v>27962</v>
      </c>
      <c r="E295">
        <f t="shared" si="8"/>
        <v>1976</v>
      </c>
      <c r="F295">
        <f t="shared" ca="1" si="9"/>
        <v>49</v>
      </c>
      <c r="G295">
        <f>COUNTIF(BRON!A:A,'schades-leeftijd'!A295)</f>
        <v>2</v>
      </c>
    </row>
    <row r="296" spans="1:7" x14ac:dyDescent="0.25">
      <c r="A296">
        <v>35395</v>
      </c>
      <c r="B296" t="s">
        <v>2744</v>
      </c>
      <c r="C296" t="s">
        <v>2745</v>
      </c>
      <c r="D296" s="3">
        <v>28038</v>
      </c>
      <c r="E296">
        <f t="shared" si="8"/>
        <v>1976</v>
      </c>
      <c r="F296">
        <f t="shared" ca="1" si="9"/>
        <v>49</v>
      </c>
      <c r="G296">
        <f>COUNTIF(BRON!A:A,'schades-leeftijd'!A296)</f>
        <v>2</v>
      </c>
    </row>
    <row r="297" spans="1:7" x14ac:dyDescent="0.25">
      <c r="A297">
        <v>35397</v>
      </c>
      <c r="B297" t="s">
        <v>3407</v>
      </c>
      <c r="C297" t="s">
        <v>3408</v>
      </c>
      <c r="D297" s="3">
        <v>30513</v>
      </c>
      <c r="E297">
        <f t="shared" si="8"/>
        <v>1983</v>
      </c>
      <c r="F297">
        <f t="shared" ca="1" si="9"/>
        <v>42</v>
      </c>
      <c r="G297">
        <f>COUNTIF(BRON!A:A,'schades-leeftijd'!A297)</f>
        <v>2</v>
      </c>
    </row>
    <row r="298" spans="1:7" x14ac:dyDescent="0.25">
      <c r="A298">
        <v>35414</v>
      </c>
      <c r="B298" t="s">
        <v>3198</v>
      </c>
      <c r="C298" t="s">
        <v>3199</v>
      </c>
      <c r="D298" s="3">
        <v>31067</v>
      </c>
      <c r="E298">
        <f t="shared" si="8"/>
        <v>1985</v>
      </c>
      <c r="F298">
        <f t="shared" ca="1" si="9"/>
        <v>40</v>
      </c>
      <c r="G298">
        <f>COUNTIF(BRON!A:A,'schades-leeftijd'!A298)</f>
        <v>0</v>
      </c>
    </row>
    <row r="299" spans="1:7" x14ac:dyDescent="0.25">
      <c r="A299">
        <v>35419</v>
      </c>
      <c r="B299" t="s">
        <v>3058</v>
      </c>
      <c r="C299" t="s">
        <v>3055</v>
      </c>
      <c r="D299" s="3">
        <v>28965</v>
      </c>
      <c r="E299">
        <f t="shared" si="8"/>
        <v>1979</v>
      </c>
      <c r="F299">
        <f t="shared" ca="1" si="9"/>
        <v>46</v>
      </c>
      <c r="G299">
        <f>COUNTIF(BRON!A:A,'schades-leeftijd'!A299)</f>
        <v>0</v>
      </c>
    </row>
    <row r="300" spans="1:7" x14ac:dyDescent="0.25">
      <c r="A300">
        <v>35430</v>
      </c>
      <c r="B300" t="s">
        <v>3021</v>
      </c>
      <c r="C300" t="s">
        <v>3015</v>
      </c>
      <c r="D300" s="3">
        <v>22829</v>
      </c>
      <c r="E300">
        <f t="shared" si="8"/>
        <v>1962</v>
      </c>
      <c r="F300">
        <f t="shared" ca="1" si="9"/>
        <v>63</v>
      </c>
      <c r="G300">
        <f>COUNTIF(BRON!A:A,'schades-leeftijd'!A300)</f>
        <v>2</v>
      </c>
    </row>
    <row r="301" spans="1:7" x14ac:dyDescent="0.25">
      <c r="A301">
        <v>35434</v>
      </c>
      <c r="B301" t="s">
        <v>3298</v>
      </c>
      <c r="C301" t="s">
        <v>3299</v>
      </c>
      <c r="D301" s="3">
        <v>29155</v>
      </c>
      <c r="E301">
        <f t="shared" si="8"/>
        <v>1979</v>
      </c>
      <c r="F301">
        <f t="shared" ca="1" si="9"/>
        <v>46</v>
      </c>
      <c r="G301">
        <f>COUNTIF(BRON!A:A,'schades-leeftijd'!A301)</f>
        <v>1</v>
      </c>
    </row>
    <row r="302" spans="1:7" x14ac:dyDescent="0.25">
      <c r="A302">
        <v>35450</v>
      </c>
      <c r="B302" t="s">
        <v>2705</v>
      </c>
      <c r="C302" t="s">
        <v>2706</v>
      </c>
      <c r="D302" s="3">
        <v>30458</v>
      </c>
      <c r="E302">
        <f t="shared" si="8"/>
        <v>1983</v>
      </c>
      <c r="F302">
        <f t="shared" ca="1" si="9"/>
        <v>42</v>
      </c>
      <c r="G302">
        <f>COUNTIF(BRON!A:A,'schades-leeftijd'!A302)</f>
        <v>4</v>
      </c>
    </row>
    <row r="303" spans="1:7" x14ac:dyDescent="0.25">
      <c r="A303">
        <v>35463</v>
      </c>
      <c r="B303" t="s">
        <v>1554</v>
      </c>
      <c r="C303" t="s">
        <v>1550</v>
      </c>
      <c r="D303" s="3">
        <v>31006</v>
      </c>
      <c r="E303">
        <f t="shared" si="8"/>
        <v>1984</v>
      </c>
      <c r="F303">
        <f t="shared" ca="1" si="9"/>
        <v>41</v>
      </c>
      <c r="G303">
        <f>COUNTIF(BRON!A:A,'schades-leeftijd'!A303)</f>
        <v>4</v>
      </c>
    </row>
    <row r="304" spans="1:7" x14ac:dyDescent="0.25">
      <c r="A304">
        <v>35471</v>
      </c>
      <c r="B304" t="s">
        <v>1744</v>
      </c>
      <c r="C304" t="s">
        <v>2850</v>
      </c>
      <c r="D304" s="3">
        <v>18345</v>
      </c>
      <c r="E304">
        <f t="shared" si="8"/>
        <v>1950</v>
      </c>
      <c r="F304">
        <f t="shared" ca="1" si="9"/>
        <v>75</v>
      </c>
      <c r="G304">
        <f>COUNTIF(BRON!A:A,'schades-leeftijd'!A304)</f>
        <v>0</v>
      </c>
    </row>
    <row r="305" spans="1:7" x14ac:dyDescent="0.25">
      <c r="A305">
        <v>35490</v>
      </c>
      <c r="B305" t="s">
        <v>3190</v>
      </c>
      <c r="C305" t="s">
        <v>3191</v>
      </c>
      <c r="D305" s="3">
        <v>35139</v>
      </c>
      <c r="E305">
        <f t="shared" si="8"/>
        <v>1996</v>
      </c>
      <c r="F305">
        <f t="shared" ca="1" si="9"/>
        <v>29</v>
      </c>
      <c r="G305">
        <f>COUNTIF(BRON!A:A,'schades-leeftijd'!A305)</f>
        <v>1</v>
      </c>
    </row>
    <row r="306" spans="1:7" x14ac:dyDescent="0.25">
      <c r="A306">
        <v>35491</v>
      </c>
      <c r="B306" t="s">
        <v>1393</v>
      </c>
      <c r="C306" t="s">
        <v>1394</v>
      </c>
      <c r="D306" s="3">
        <v>35525</v>
      </c>
      <c r="E306">
        <f t="shared" si="8"/>
        <v>1997</v>
      </c>
      <c r="F306">
        <f t="shared" ca="1" si="9"/>
        <v>28</v>
      </c>
      <c r="G306">
        <f>COUNTIF(BRON!A:A,'schades-leeftijd'!A306)</f>
        <v>2</v>
      </c>
    </row>
    <row r="307" spans="1:7" x14ac:dyDescent="0.25">
      <c r="A307">
        <v>35493</v>
      </c>
      <c r="B307" t="s">
        <v>2287</v>
      </c>
      <c r="C307" t="s">
        <v>2288</v>
      </c>
      <c r="D307" s="3">
        <v>28007</v>
      </c>
      <c r="E307">
        <f t="shared" si="8"/>
        <v>1976</v>
      </c>
      <c r="F307">
        <f t="shared" ca="1" si="9"/>
        <v>49</v>
      </c>
      <c r="G307">
        <f>COUNTIF(BRON!A:A,'schades-leeftijd'!A307)</f>
        <v>1</v>
      </c>
    </row>
    <row r="308" spans="1:7" x14ac:dyDescent="0.25">
      <c r="A308">
        <v>35494</v>
      </c>
      <c r="B308" t="s">
        <v>2323</v>
      </c>
      <c r="C308" t="s">
        <v>2324</v>
      </c>
      <c r="D308" s="3">
        <v>29509</v>
      </c>
      <c r="E308">
        <f t="shared" si="8"/>
        <v>1980</v>
      </c>
      <c r="F308">
        <f t="shared" ca="1" si="9"/>
        <v>45</v>
      </c>
      <c r="G308">
        <f>COUNTIF(BRON!A:A,'schades-leeftijd'!A308)</f>
        <v>0</v>
      </c>
    </row>
    <row r="309" spans="1:7" x14ac:dyDescent="0.25">
      <c r="A309">
        <v>35495</v>
      </c>
      <c r="B309" t="s">
        <v>2320</v>
      </c>
      <c r="C309" t="s">
        <v>2311</v>
      </c>
      <c r="D309" s="3">
        <v>34121</v>
      </c>
      <c r="E309">
        <f t="shared" si="8"/>
        <v>1993</v>
      </c>
      <c r="F309">
        <f t="shared" ca="1" si="9"/>
        <v>32</v>
      </c>
      <c r="G309">
        <f>COUNTIF(BRON!A:A,'schades-leeftijd'!A309)</f>
        <v>1</v>
      </c>
    </row>
    <row r="310" spans="1:7" x14ac:dyDescent="0.25">
      <c r="A310">
        <v>35588</v>
      </c>
      <c r="B310" t="s">
        <v>2068</v>
      </c>
      <c r="C310" t="s">
        <v>2792</v>
      </c>
      <c r="D310" s="3">
        <v>33879</v>
      </c>
      <c r="E310">
        <f t="shared" si="8"/>
        <v>1992</v>
      </c>
      <c r="F310">
        <f t="shared" ca="1" si="9"/>
        <v>33</v>
      </c>
      <c r="G310">
        <f>COUNTIF(BRON!A:A,'schades-leeftijd'!A310)</f>
        <v>3</v>
      </c>
    </row>
    <row r="311" spans="1:7" x14ac:dyDescent="0.25">
      <c r="A311">
        <v>35598</v>
      </c>
      <c r="B311" t="s">
        <v>1447</v>
      </c>
      <c r="C311" t="s">
        <v>1448</v>
      </c>
      <c r="D311" s="3">
        <v>24328</v>
      </c>
      <c r="E311">
        <f t="shared" si="8"/>
        <v>1966</v>
      </c>
      <c r="F311">
        <f t="shared" ca="1" si="9"/>
        <v>59</v>
      </c>
      <c r="G311">
        <f>COUNTIF(BRON!A:A,'schades-leeftijd'!A311)</f>
        <v>1</v>
      </c>
    </row>
    <row r="312" spans="1:7" x14ac:dyDescent="0.25">
      <c r="A312">
        <v>35619</v>
      </c>
      <c r="B312" t="s">
        <v>1388</v>
      </c>
      <c r="C312" t="s">
        <v>1389</v>
      </c>
      <c r="D312" s="3">
        <v>27907</v>
      </c>
      <c r="E312">
        <f t="shared" si="8"/>
        <v>1976</v>
      </c>
      <c r="F312">
        <f t="shared" ca="1" si="9"/>
        <v>49</v>
      </c>
      <c r="G312">
        <f>COUNTIF(BRON!A:A,'schades-leeftijd'!A312)</f>
        <v>1</v>
      </c>
    </row>
    <row r="313" spans="1:7" x14ac:dyDescent="0.25">
      <c r="A313">
        <v>35623</v>
      </c>
      <c r="B313" t="s">
        <v>3135</v>
      </c>
      <c r="C313" t="s">
        <v>3136</v>
      </c>
      <c r="D313" s="3">
        <v>29006</v>
      </c>
      <c r="E313">
        <f t="shared" si="8"/>
        <v>1979</v>
      </c>
      <c r="F313">
        <f t="shared" ca="1" si="9"/>
        <v>46</v>
      </c>
      <c r="G313">
        <f>COUNTIF(BRON!A:A,'schades-leeftijd'!A313)</f>
        <v>0</v>
      </c>
    </row>
    <row r="314" spans="1:7" x14ac:dyDescent="0.25">
      <c r="A314">
        <v>35645</v>
      </c>
      <c r="B314" t="s">
        <v>1434</v>
      </c>
      <c r="C314" t="s">
        <v>1435</v>
      </c>
      <c r="D314" s="3">
        <v>31611</v>
      </c>
      <c r="E314">
        <f t="shared" si="8"/>
        <v>1986</v>
      </c>
      <c r="F314">
        <f t="shared" ca="1" si="9"/>
        <v>39</v>
      </c>
      <c r="G314">
        <f>COUNTIF(BRON!A:A,'schades-leeftijd'!A314)</f>
        <v>4</v>
      </c>
    </row>
    <row r="315" spans="1:7" x14ac:dyDescent="0.25">
      <c r="A315">
        <v>35709</v>
      </c>
      <c r="B315" t="s">
        <v>1759</v>
      </c>
      <c r="C315" t="s">
        <v>1760</v>
      </c>
      <c r="D315" s="3">
        <v>24400</v>
      </c>
      <c r="E315">
        <f t="shared" si="8"/>
        <v>1966</v>
      </c>
      <c r="F315">
        <f t="shared" ca="1" si="9"/>
        <v>59</v>
      </c>
      <c r="G315">
        <f>COUNTIF(BRON!A:A,'schades-leeftijd'!A315)</f>
        <v>1</v>
      </c>
    </row>
    <row r="316" spans="1:7" x14ac:dyDescent="0.25">
      <c r="A316">
        <v>35761</v>
      </c>
      <c r="B316" t="s">
        <v>2666</v>
      </c>
      <c r="C316" t="s">
        <v>2698</v>
      </c>
      <c r="D316" s="3">
        <v>33856</v>
      </c>
      <c r="E316">
        <f t="shared" si="8"/>
        <v>1992</v>
      </c>
      <c r="F316">
        <f t="shared" ca="1" si="9"/>
        <v>33</v>
      </c>
      <c r="G316">
        <f>COUNTIF(BRON!A:A,'schades-leeftijd'!A316)</f>
        <v>0</v>
      </c>
    </row>
    <row r="317" spans="1:7" x14ac:dyDescent="0.25">
      <c r="A317">
        <v>35862</v>
      </c>
      <c r="B317" t="s">
        <v>1959</v>
      </c>
      <c r="C317" t="s">
        <v>1960</v>
      </c>
      <c r="D317" s="3">
        <v>23710</v>
      </c>
      <c r="E317">
        <f t="shared" si="8"/>
        <v>1964</v>
      </c>
      <c r="F317">
        <f t="shared" ca="1" si="9"/>
        <v>61</v>
      </c>
      <c r="G317">
        <f>COUNTIF(BRON!A:A,'schades-leeftijd'!A317)</f>
        <v>0</v>
      </c>
    </row>
    <row r="318" spans="1:7" x14ac:dyDescent="0.25">
      <c r="A318">
        <v>36021</v>
      </c>
      <c r="B318" t="s">
        <v>2840</v>
      </c>
      <c r="C318" t="s">
        <v>2841</v>
      </c>
      <c r="D318" s="3">
        <v>33168</v>
      </c>
      <c r="E318">
        <f t="shared" si="8"/>
        <v>1990</v>
      </c>
      <c r="F318">
        <f t="shared" ca="1" si="9"/>
        <v>35</v>
      </c>
      <c r="G318">
        <f>COUNTIF(BRON!A:A,'schades-leeftijd'!A318)</f>
        <v>3</v>
      </c>
    </row>
    <row r="319" spans="1:7" x14ac:dyDescent="0.25">
      <c r="A319">
        <v>36154</v>
      </c>
      <c r="B319" t="s">
        <v>1495</v>
      </c>
      <c r="C319" t="s">
        <v>1616</v>
      </c>
      <c r="D319" s="3">
        <v>35578</v>
      </c>
      <c r="E319">
        <f t="shared" si="8"/>
        <v>1997</v>
      </c>
      <c r="F319">
        <f t="shared" ca="1" si="9"/>
        <v>28</v>
      </c>
      <c r="G319">
        <f>COUNTIF(BRON!A:A,'schades-leeftijd'!A319)</f>
        <v>1</v>
      </c>
    </row>
    <row r="320" spans="1:7" x14ac:dyDescent="0.25">
      <c r="A320">
        <v>36228</v>
      </c>
      <c r="B320" t="s">
        <v>3317</v>
      </c>
      <c r="C320" t="s">
        <v>3318</v>
      </c>
      <c r="D320" s="3">
        <v>36109</v>
      </c>
      <c r="E320">
        <f t="shared" si="8"/>
        <v>1998</v>
      </c>
      <c r="F320">
        <f t="shared" ca="1" si="9"/>
        <v>27</v>
      </c>
      <c r="G320">
        <f>COUNTIF(BRON!A:A,'schades-leeftijd'!A320)</f>
        <v>1</v>
      </c>
    </row>
    <row r="321" spans="1:7" x14ac:dyDescent="0.25">
      <c r="A321">
        <v>36275</v>
      </c>
      <c r="B321" t="s">
        <v>3254</v>
      </c>
      <c r="C321" t="s">
        <v>3255</v>
      </c>
      <c r="D321" s="3">
        <v>27839</v>
      </c>
      <c r="E321">
        <f t="shared" si="8"/>
        <v>1976</v>
      </c>
      <c r="F321">
        <f t="shared" ca="1" si="9"/>
        <v>49</v>
      </c>
      <c r="G321">
        <f>COUNTIF(BRON!A:A,'schades-leeftijd'!A321)</f>
        <v>2</v>
      </c>
    </row>
    <row r="322" spans="1:7" x14ac:dyDescent="0.25">
      <c r="A322">
        <v>36289</v>
      </c>
      <c r="B322" t="s">
        <v>1646</v>
      </c>
      <c r="C322" t="s">
        <v>1647</v>
      </c>
      <c r="D322" s="3">
        <v>28212</v>
      </c>
      <c r="E322">
        <f t="shared" si="8"/>
        <v>1977</v>
      </c>
      <c r="F322">
        <f t="shared" ca="1" si="9"/>
        <v>48</v>
      </c>
      <c r="G322">
        <f>COUNTIF(BRON!A:A,'schades-leeftijd'!A322)</f>
        <v>3</v>
      </c>
    </row>
    <row r="323" spans="1:7" x14ac:dyDescent="0.25">
      <c r="A323">
        <v>36336</v>
      </c>
      <c r="B323" t="s">
        <v>1932</v>
      </c>
      <c r="C323" t="s">
        <v>1929</v>
      </c>
      <c r="D323" s="3">
        <v>29706</v>
      </c>
      <c r="E323">
        <f t="shared" ref="E323:E386" si="10">YEAR(D323)</f>
        <v>1981</v>
      </c>
      <c r="F323">
        <f t="shared" ref="F323:F386" ca="1" si="11">YEAR(TODAY())-E323</f>
        <v>44</v>
      </c>
      <c r="G323">
        <f>COUNTIF(BRON!A:A,'schades-leeftijd'!A323)</f>
        <v>1</v>
      </c>
    </row>
    <row r="324" spans="1:7" x14ac:dyDescent="0.25">
      <c r="A324">
        <v>36337</v>
      </c>
      <c r="B324" t="s">
        <v>3104</v>
      </c>
      <c r="C324" t="s">
        <v>3105</v>
      </c>
      <c r="D324" s="3">
        <v>24304</v>
      </c>
      <c r="E324">
        <f t="shared" si="10"/>
        <v>1966</v>
      </c>
      <c r="F324">
        <f t="shared" ca="1" si="11"/>
        <v>59</v>
      </c>
      <c r="G324">
        <f>COUNTIF(BRON!A:A,'schades-leeftijd'!A324)</f>
        <v>1</v>
      </c>
    </row>
    <row r="325" spans="1:7" x14ac:dyDescent="0.25">
      <c r="A325">
        <v>36354</v>
      </c>
      <c r="B325" t="s">
        <v>2712</v>
      </c>
      <c r="C325" t="s">
        <v>2713</v>
      </c>
      <c r="D325" s="3">
        <v>35740</v>
      </c>
      <c r="E325">
        <f t="shared" si="10"/>
        <v>1997</v>
      </c>
      <c r="F325">
        <f t="shared" ca="1" si="11"/>
        <v>28</v>
      </c>
      <c r="G325">
        <f>COUNTIF(BRON!A:A,'schades-leeftijd'!A325)</f>
        <v>0</v>
      </c>
    </row>
    <row r="326" spans="1:7" x14ac:dyDescent="0.25">
      <c r="A326">
        <v>36358</v>
      </c>
      <c r="B326" t="s">
        <v>2956</v>
      </c>
      <c r="C326" t="s">
        <v>2957</v>
      </c>
      <c r="D326" s="3">
        <v>36236</v>
      </c>
      <c r="E326">
        <f t="shared" si="10"/>
        <v>1999</v>
      </c>
      <c r="F326">
        <f t="shared" ca="1" si="11"/>
        <v>26</v>
      </c>
      <c r="G326">
        <f>COUNTIF(BRON!A:A,'schades-leeftijd'!A326)</f>
        <v>2</v>
      </c>
    </row>
    <row r="327" spans="1:7" x14ac:dyDescent="0.25">
      <c r="A327">
        <v>36378</v>
      </c>
      <c r="B327" t="s">
        <v>2807</v>
      </c>
      <c r="C327" t="s">
        <v>2808</v>
      </c>
      <c r="D327" s="3">
        <v>22566</v>
      </c>
      <c r="E327">
        <f t="shared" si="10"/>
        <v>1961</v>
      </c>
      <c r="F327">
        <f t="shared" ca="1" si="11"/>
        <v>64</v>
      </c>
      <c r="G327">
        <f>COUNTIF(BRON!A:A,'schades-leeftijd'!A327)</f>
        <v>0</v>
      </c>
    </row>
    <row r="328" spans="1:7" x14ac:dyDescent="0.25">
      <c r="A328">
        <v>36425</v>
      </c>
      <c r="B328" t="s">
        <v>2071</v>
      </c>
      <c r="C328" t="s">
        <v>2065</v>
      </c>
      <c r="D328" s="3">
        <v>27833</v>
      </c>
      <c r="E328">
        <f t="shared" si="10"/>
        <v>1976</v>
      </c>
      <c r="F328">
        <f t="shared" ca="1" si="11"/>
        <v>49</v>
      </c>
      <c r="G328">
        <f>COUNTIF(BRON!A:A,'schades-leeftijd'!A328)</f>
        <v>0</v>
      </c>
    </row>
    <row r="329" spans="1:7" x14ac:dyDescent="0.25">
      <c r="A329">
        <v>36426</v>
      </c>
      <c r="B329" t="s">
        <v>3445</v>
      </c>
      <c r="C329" t="s">
        <v>3446</v>
      </c>
      <c r="D329" s="3">
        <v>32703</v>
      </c>
      <c r="E329">
        <f t="shared" si="10"/>
        <v>1989</v>
      </c>
      <c r="F329">
        <f t="shared" ca="1" si="11"/>
        <v>36</v>
      </c>
      <c r="G329">
        <f>COUNTIF(BRON!A:A,'schades-leeftijd'!A329)</f>
        <v>3</v>
      </c>
    </row>
    <row r="330" spans="1:7" x14ac:dyDescent="0.25">
      <c r="A330">
        <v>36427</v>
      </c>
      <c r="B330" t="s">
        <v>3595</v>
      </c>
      <c r="C330" t="s">
        <v>3596</v>
      </c>
      <c r="D330" s="3">
        <v>36246</v>
      </c>
      <c r="E330">
        <f t="shared" si="10"/>
        <v>1999</v>
      </c>
      <c r="F330">
        <f t="shared" ca="1" si="11"/>
        <v>26</v>
      </c>
      <c r="G330">
        <f>COUNTIF(BRON!A:A,'schades-leeftijd'!A330)</f>
        <v>0</v>
      </c>
    </row>
    <row r="331" spans="1:7" x14ac:dyDescent="0.25">
      <c r="A331">
        <v>36428</v>
      </c>
      <c r="B331" t="s">
        <v>1883</v>
      </c>
      <c r="C331" t="s">
        <v>1884</v>
      </c>
      <c r="D331" s="3">
        <v>33510</v>
      </c>
      <c r="E331">
        <f t="shared" si="10"/>
        <v>1991</v>
      </c>
      <c r="F331">
        <f t="shared" ca="1" si="11"/>
        <v>34</v>
      </c>
      <c r="G331">
        <f>COUNTIF(BRON!A:A,'schades-leeftijd'!A331)</f>
        <v>5</v>
      </c>
    </row>
    <row r="332" spans="1:7" x14ac:dyDescent="0.25">
      <c r="A332">
        <v>36429</v>
      </c>
      <c r="B332" t="s">
        <v>2448</v>
      </c>
      <c r="C332" t="s">
        <v>2449</v>
      </c>
      <c r="D332" s="3">
        <v>31748</v>
      </c>
      <c r="E332">
        <f t="shared" si="10"/>
        <v>1986</v>
      </c>
      <c r="F332">
        <f t="shared" ca="1" si="11"/>
        <v>39</v>
      </c>
      <c r="G332">
        <f>COUNTIF(BRON!A:A,'schades-leeftijd'!A332)</f>
        <v>1</v>
      </c>
    </row>
    <row r="333" spans="1:7" x14ac:dyDescent="0.25">
      <c r="A333">
        <v>36438</v>
      </c>
      <c r="B333" t="s">
        <v>3219</v>
      </c>
      <c r="C333" t="s">
        <v>3220</v>
      </c>
      <c r="D333" s="3">
        <v>26348</v>
      </c>
      <c r="E333">
        <f t="shared" si="10"/>
        <v>1972</v>
      </c>
      <c r="F333">
        <f t="shared" ca="1" si="11"/>
        <v>53</v>
      </c>
      <c r="G333">
        <f>COUNTIF(BRON!A:A,'schades-leeftijd'!A333)</f>
        <v>3</v>
      </c>
    </row>
    <row r="334" spans="1:7" x14ac:dyDescent="0.25">
      <c r="A334">
        <v>36503</v>
      </c>
      <c r="B334" t="s">
        <v>3033</v>
      </c>
      <c r="C334" t="s">
        <v>3034</v>
      </c>
      <c r="D334" s="3">
        <v>30035</v>
      </c>
      <c r="E334">
        <f t="shared" si="10"/>
        <v>1982</v>
      </c>
      <c r="F334">
        <f t="shared" ca="1" si="11"/>
        <v>43</v>
      </c>
      <c r="G334">
        <f>COUNTIF(BRON!A:A,'schades-leeftijd'!A334)</f>
        <v>1</v>
      </c>
    </row>
    <row r="335" spans="1:7" x14ac:dyDescent="0.25">
      <c r="A335">
        <v>36505</v>
      </c>
      <c r="B335" t="s">
        <v>1811</v>
      </c>
      <c r="C335" t="s">
        <v>1812</v>
      </c>
      <c r="D335" s="3">
        <v>35806</v>
      </c>
      <c r="E335">
        <f t="shared" si="10"/>
        <v>1998</v>
      </c>
      <c r="F335">
        <f t="shared" ca="1" si="11"/>
        <v>27</v>
      </c>
      <c r="G335">
        <f>COUNTIF(BRON!A:A,'schades-leeftijd'!A335)</f>
        <v>1</v>
      </c>
    </row>
    <row r="336" spans="1:7" x14ac:dyDescent="0.25">
      <c r="A336">
        <v>36507</v>
      </c>
      <c r="B336" t="s">
        <v>1946</v>
      </c>
      <c r="C336" t="s">
        <v>1947</v>
      </c>
      <c r="D336" s="3">
        <v>25171</v>
      </c>
      <c r="E336">
        <f t="shared" si="10"/>
        <v>1968</v>
      </c>
      <c r="F336">
        <f t="shared" ca="1" si="11"/>
        <v>57</v>
      </c>
      <c r="G336">
        <f>COUNTIF(BRON!A:A,'schades-leeftijd'!A336)</f>
        <v>0</v>
      </c>
    </row>
    <row r="337" spans="1:7" x14ac:dyDescent="0.25">
      <c r="A337">
        <v>36512</v>
      </c>
      <c r="B337" t="s">
        <v>3194</v>
      </c>
      <c r="C337" t="s">
        <v>3195</v>
      </c>
      <c r="D337" s="3">
        <v>36403</v>
      </c>
      <c r="E337">
        <f t="shared" si="10"/>
        <v>1999</v>
      </c>
      <c r="F337">
        <f t="shared" ca="1" si="11"/>
        <v>26</v>
      </c>
      <c r="G337">
        <f>COUNTIF(BRON!A:A,'schades-leeftijd'!A337)</f>
        <v>3</v>
      </c>
    </row>
    <row r="338" spans="1:7" x14ac:dyDescent="0.25">
      <c r="A338">
        <v>36513</v>
      </c>
      <c r="B338" t="s">
        <v>1240</v>
      </c>
      <c r="C338" t="s">
        <v>1880</v>
      </c>
      <c r="D338" s="3">
        <v>35422</v>
      </c>
      <c r="E338">
        <f t="shared" si="10"/>
        <v>1996</v>
      </c>
      <c r="F338">
        <f t="shared" ca="1" si="11"/>
        <v>29</v>
      </c>
      <c r="G338">
        <f>COUNTIF(BRON!A:A,'schades-leeftijd'!A338)</f>
        <v>1</v>
      </c>
    </row>
    <row r="339" spans="1:7" x14ac:dyDescent="0.25">
      <c r="A339">
        <v>36543</v>
      </c>
      <c r="B339" t="s">
        <v>1751</v>
      </c>
      <c r="C339" t="s">
        <v>1752</v>
      </c>
      <c r="D339" s="3">
        <v>35351</v>
      </c>
      <c r="E339">
        <f t="shared" si="10"/>
        <v>1996</v>
      </c>
      <c r="F339">
        <f t="shared" ca="1" si="11"/>
        <v>29</v>
      </c>
      <c r="G339">
        <f>COUNTIF(BRON!A:A,'schades-leeftijd'!A339)</f>
        <v>0</v>
      </c>
    </row>
    <row r="340" spans="1:7" x14ac:dyDescent="0.25">
      <c r="A340">
        <v>36559</v>
      </c>
      <c r="B340" t="s">
        <v>1741</v>
      </c>
      <c r="C340" t="s">
        <v>1733</v>
      </c>
      <c r="D340" s="3">
        <v>27176</v>
      </c>
      <c r="E340">
        <f t="shared" si="10"/>
        <v>1974</v>
      </c>
      <c r="F340">
        <f t="shared" ca="1" si="11"/>
        <v>51</v>
      </c>
      <c r="G340">
        <f>COUNTIF(BRON!A:A,'schades-leeftijd'!A340)</f>
        <v>2</v>
      </c>
    </row>
    <row r="341" spans="1:7" x14ac:dyDescent="0.25">
      <c r="A341">
        <v>36577</v>
      </c>
      <c r="B341" t="s">
        <v>2256</v>
      </c>
      <c r="C341" t="s">
        <v>2257</v>
      </c>
      <c r="D341" s="3">
        <v>27133</v>
      </c>
      <c r="E341">
        <f t="shared" si="10"/>
        <v>1974</v>
      </c>
      <c r="F341">
        <f t="shared" ca="1" si="11"/>
        <v>51</v>
      </c>
      <c r="G341">
        <f>COUNTIF(BRON!A:A,'schades-leeftijd'!A341)</f>
        <v>1</v>
      </c>
    </row>
    <row r="342" spans="1:7" x14ac:dyDescent="0.25">
      <c r="A342">
        <v>36624</v>
      </c>
      <c r="B342" t="s">
        <v>2397</v>
      </c>
      <c r="C342" t="s">
        <v>2394</v>
      </c>
      <c r="D342" s="3">
        <v>24255</v>
      </c>
      <c r="E342">
        <f t="shared" si="10"/>
        <v>1966</v>
      </c>
      <c r="F342">
        <f t="shared" ca="1" si="11"/>
        <v>59</v>
      </c>
      <c r="G342">
        <f>COUNTIF(BRON!A:A,'schades-leeftijd'!A342)</f>
        <v>3</v>
      </c>
    </row>
    <row r="343" spans="1:7" x14ac:dyDescent="0.25">
      <c r="A343">
        <v>36625</v>
      </c>
      <c r="B343" t="s">
        <v>1848</v>
      </c>
      <c r="C343" t="s">
        <v>1849</v>
      </c>
      <c r="D343" s="3">
        <v>30329</v>
      </c>
      <c r="E343">
        <f t="shared" si="10"/>
        <v>1983</v>
      </c>
      <c r="F343">
        <f t="shared" ca="1" si="11"/>
        <v>42</v>
      </c>
      <c r="G343">
        <f>COUNTIF(BRON!A:A,'schades-leeftijd'!A343)</f>
        <v>0</v>
      </c>
    </row>
    <row r="344" spans="1:7" x14ac:dyDescent="0.25">
      <c r="A344">
        <v>36626</v>
      </c>
      <c r="B344" t="s">
        <v>2523</v>
      </c>
      <c r="C344" t="s">
        <v>2524</v>
      </c>
      <c r="D344" s="3">
        <v>35465</v>
      </c>
      <c r="E344">
        <f t="shared" si="10"/>
        <v>1997</v>
      </c>
      <c r="F344">
        <f t="shared" ca="1" si="11"/>
        <v>28</v>
      </c>
      <c r="G344">
        <f>COUNTIF(BRON!A:A,'schades-leeftijd'!A344)</f>
        <v>10</v>
      </c>
    </row>
    <row r="345" spans="1:7" x14ac:dyDescent="0.25">
      <c r="A345">
        <v>36627</v>
      </c>
      <c r="B345" t="s">
        <v>3070</v>
      </c>
      <c r="C345" t="s">
        <v>2405</v>
      </c>
      <c r="D345" s="3">
        <v>28213</v>
      </c>
      <c r="E345">
        <f t="shared" si="10"/>
        <v>1977</v>
      </c>
      <c r="F345">
        <f t="shared" ca="1" si="11"/>
        <v>48</v>
      </c>
      <c r="G345">
        <f>COUNTIF(BRON!A:A,'schades-leeftijd'!A345)</f>
        <v>5</v>
      </c>
    </row>
    <row r="346" spans="1:7" x14ac:dyDescent="0.25">
      <c r="A346">
        <v>36635</v>
      </c>
      <c r="B346" t="s">
        <v>2701</v>
      </c>
      <c r="C346" t="s">
        <v>2702</v>
      </c>
      <c r="D346" s="3">
        <v>34087</v>
      </c>
      <c r="E346">
        <f t="shared" si="10"/>
        <v>1993</v>
      </c>
      <c r="F346">
        <f t="shared" ca="1" si="11"/>
        <v>32</v>
      </c>
      <c r="G346">
        <f>COUNTIF(BRON!A:A,'schades-leeftijd'!A346)</f>
        <v>4</v>
      </c>
    </row>
    <row r="347" spans="1:7" x14ac:dyDescent="0.25">
      <c r="A347">
        <v>36663</v>
      </c>
      <c r="B347" t="s">
        <v>3434</v>
      </c>
      <c r="C347" t="s">
        <v>3435</v>
      </c>
      <c r="D347" s="3">
        <v>36031</v>
      </c>
      <c r="E347">
        <f t="shared" si="10"/>
        <v>1998</v>
      </c>
      <c r="F347">
        <f t="shared" ca="1" si="11"/>
        <v>27</v>
      </c>
      <c r="G347">
        <f>COUNTIF(BRON!A:A,'schades-leeftijd'!A347)</f>
        <v>3</v>
      </c>
    </row>
    <row r="348" spans="1:7" x14ac:dyDescent="0.25">
      <c r="A348">
        <v>36820</v>
      </c>
      <c r="B348" t="s">
        <v>1922</v>
      </c>
      <c r="C348" t="s">
        <v>1918</v>
      </c>
      <c r="D348" s="3">
        <v>22295</v>
      </c>
      <c r="E348">
        <f t="shared" si="10"/>
        <v>1961</v>
      </c>
      <c r="F348">
        <f t="shared" ca="1" si="11"/>
        <v>64</v>
      </c>
      <c r="G348">
        <f>COUNTIF(BRON!A:A,'schades-leeftijd'!A348)</f>
        <v>1</v>
      </c>
    </row>
    <row r="349" spans="1:7" x14ac:dyDescent="0.25">
      <c r="A349">
        <v>36838</v>
      </c>
      <c r="B349" t="s">
        <v>2170</v>
      </c>
      <c r="C349" t="s">
        <v>2167</v>
      </c>
      <c r="D349" s="3">
        <v>36488</v>
      </c>
      <c r="E349">
        <f t="shared" si="10"/>
        <v>1999</v>
      </c>
      <c r="F349">
        <f t="shared" ca="1" si="11"/>
        <v>26</v>
      </c>
      <c r="G349">
        <f>COUNTIF(BRON!A:A,'schades-leeftijd'!A349)</f>
        <v>0</v>
      </c>
    </row>
    <row r="350" spans="1:7" x14ac:dyDescent="0.25">
      <c r="A350">
        <v>36845</v>
      </c>
      <c r="B350" t="s">
        <v>2301</v>
      </c>
      <c r="C350" t="s">
        <v>2296</v>
      </c>
      <c r="D350" s="3">
        <v>21595</v>
      </c>
      <c r="E350">
        <f t="shared" si="10"/>
        <v>1959</v>
      </c>
      <c r="F350">
        <f t="shared" ca="1" si="11"/>
        <v>66</v>
      </c>
      <c r="G350">
        <f>COUNTIF(BRON!A:A,'schades-leeftijd'!A350)</f>
        <v>0</v>
      </c>
    </row>
    <row r="351" spans="1:7" x14ac:dyDescent="0.25">
      <c r="A351">
        <v>37131</v>
      </c>
      <c r="B351" t="s">
        <v>2223</v>
      </c>
      <c r="C351" t="s">
        <v>2224</v>
      </c>
      <c r="D351" s="3">
        <v>29117</v>
      </c>
      <c r="E351">
        <f t="shared" si="10"/>
        <v>1979</v>
      </c>
      <c r="F351">
        <f t="shared" ca="1" si="11"/>
        <v>46</v>
      </c>
      <c r="G351">
        <f>COUNTIF(BRON!A:A,'schades-leeftijd'!A351)</f>
        <v>2</v>
      </c>
    </row>
    <row r="352" spans="1:7" x14ac:dyDescent="0.25">
      <c r="A352">
        <v>37132</v>
      </c>
      <c r="B352" t="s">
        <v>2916</v>
      </c>
      <c r="C352" t="s">
        <v>2917</v>
      </c>
      <c r="D352" s="3">
        <v>34746</v>
      </c>
      <c r="E352">
        <f t="shared" si="10"/>
        <v>1995</v>
      </c>
      <c r="F352">
        <f t="shared" ca="1" si="11"/>
        <v>30</v>
      </c>
      <c r="G352">
        <f>COUNTIF(BRON!A:A,'schades-leeftijd'!A352)</f>
        <v>2</v>
      </c>
    </row>
    <row r="353" spans="1:7" x14ac:dyDescent="0.25">
      <c r="A353">
        <v>37179</v>
      </c>
      <c r="B353" t="s">
        <v>2136</v>
      </c>
      <c r="C353" t="s">
        <v>2137</v>
      </c>
      <c r="D353" s="3">
        <v>35029</v>
      </c>
      <c r="E353">
        <f t="shared" si="10"/>
        <v>1995</v>
      </c>
      <c r="F353">
        <f t="shared" ca="1" si="11"/>
        <v>30</v>
      </c>
      <c r="G353">
        <f>COUNTIF(BRON!A:A,'schades-leeftijd'!A353)</f>
        <v>2</v>
      </c>
    </row>
    <row r="354" spans="1:7" x14ac:dyDescent="0.25">
      <c r="A354">
        <v>37208</v>
      </c>
      <c r="B354" t="s">
        <v>2788</v>
      </c>
      <c r="C354" t="s">
        <v>2789</v>
      </c>
      <c r="D354" s="3">
        <v>33504</v>
      </c>
      <c r="E354">
        <f t="shared" si="10"/>
        <v>1991</v>
      </c>
      <c r="F354">
        <f t="shared" ca="1" si="11"/>
        <v>34</v>
      </c>
      <c r="G354">
        <f>COUNTIF(BRON!A:A,'schades-leeftijd'!A354)</f>
        <v>1</v>
      </c>
    </row>
    <row r="355" spans="1:7" x14ac:dyDescent="0.25">
      <c r="A355">
        <v>37216</v>
      </c>
      <c r="B355" t="s">
        <v>1661</v>
      </c>
      <c r="C355" t="s">
        <v>1662</v>
      </c>
      <c r="D355" s="3">
        <v>26618</v>
      </c>
      <c r="E355">
        <f t="shared" si="10"/>
        <v>1972</v>
      </c>
      <c r="F355">
        <f t="shared" ca="1" si="11"/>
        <v>53</v>
      </c>
      <c r="G355">
        <f>COUNTIF(BRON!A:A,'schades-leeftijd'!A355)</f>
        <v>1</v>
      </c>
    </row>
    <row r="356" spans="1:7" x14ac:dyDescent="0.25">
      <c r="A356">
        <v>37222</v>
      </c>
      <c r="B356" t="s">
        <v>2992</v>
      </c>
      <c r="C356" t="s">
        <v>1326</v>
      </c>
      <c r="D356" s="3">
        <v>32283</v>
      </c>
      <c r="E356">
        <f t="shared" si="10"/>
        <v>1988</v>
      </c>
      <c r="F356">
        <f t="shared" ca="1" si="11"/>
        <v>37</v>
      </c>
      <c r="G356">
        <f>COUNTIF(BRON!A:A,'schades-leeftijd'!A356)</f>
        <v>1</v>
      </c>
    </row>
    <row r="357" spans="1:7" x14ac:dyDescent="0.25">
      <c r="A357">
        <v>37226</v>
      </c>
      <c r="B357" t="s">
        <v>3212</v>
      </c>
      <c r="C357" t="s">
        <v>1334</v>
      </c>
      <c r="D357" s="3">
        <v>33397</v>
      </c>
      <c r="E357">
        <f t="shared" si="10"/>
        <v>1991</v>
      </c>
      <c r="F357">
        <f t="shared" ca="1" si="11"/>
        <v>34</v>
      </c>
      <c r="G357">
        <f>COUNTIF(BRON!A:A,'schades-leeftijd'!A357)</f>
        <v>0</v>
      </c>
    </row>
    <row r="358" spans="1:7" x14ac:dyDescent="0.25">
      <c r="A358">
        <v>37254</v>
      </c>
      <c r="B358" t="s">
        <v>1876</v>
      </c>
      <c r="C358" t="s">
        <v>1877</v>
      </c>
      <c r="D358" s="3">
        <v>36729</v>
      </c>
      <c r="E358">
        <f t="shared" si="10"/>
        <v>2000</v>
      </c>
      <c r="F358">
        <f t="shared" ca="1" si="11"/>
        <v>25</v>
      </c>
      <c r="G358">
        <f>COUNTIF(BRON!A:A,'schades-leeftijd'!A358)</f>
        <v>2</v>
      </c>
    </row>
    <row r="359" spans="1:7" x14ac:dyDescent="0.25">
      <c r="A359">
        <v>37261</v>
      </c>
      <c r="B359" t="s">
        <v>1416</v>
      </c>
      <c r="C359" t="s">
        <v>1417</v>
      </c>
      <c r="D359" s="3">
        <v>35872</v>
      </c>
      <c r="E359">
        <f t="shared" si="10"/>
        <v>1998</v>
      </c>
      <c r="F359">
        <f t="shared" ca="1" si="11"/>
        <v>27</v>
      </c>
      <c r="G359">
        <f>COUNTIF(BRON!A:A,'schades-leeftijd'!A359)</f>
        <v>4</v>
      </c>
    </row>
    <row r="360" spans="1:7" x14ac:dyDescent="0.25">
      <c r="A360">
        <v>37313</v>
      </c>
      <c r="B360" t="s">
        <v>2227</v>
      </c>
      <c r="C360" t="s">
        <v>2228</v>
      </c>
      <c r="D360" s="3">
        <v>27618</v>
      </c>
      <c r="E360">
        <f t="shared" si="10"/>
        <v>1975</v>
      </c>
      <c r="F360">
        <f t="shared" ca="1" si="11"/>
        <v>50</v>
      </c>
      <c r="G360">
        <f>COUNTIF(BRON!A:A,'schades-leeftijd'!A360)</f>
        <v>1</v>
      </c>
    </row>
    <row r="361" spans="1:7" x14ac:dyDescent="0.25">
      <c r="A361">
        <v>37345</v>
      </c>
      <c r="B361" t="s">
        <v>1868</v>
      </c>
      <c r="C361" t="s">
        <v>1869</v>
      </c>
      <c r="D361" s="3">
        <v>35891</v>
      </c>
      <c r="E361">
        <f t="shared" si="10"/>
        <v>1998</v>
      </c>
      <c r="F361">
        <f t="shared" ca="1" si="11"/>
        <v>27</v>
      </c>
      <c r="G361">
        <f>COUNTIF(BRON!A:A,'schades-leeftijd'!A361)</f>
        <v>3</v>
      </c>
    </row>
    <row r="362" spans="1:7" x14ac:dyDescent="0.25">
      <c r="A362">
        <v>37439</v>
      </c>
      <c r="B362" t="s">
        <v>2099</v>
      </c>
      <c r="C362" t="s">
        <v>2093</v>
      </c>
      <c r="D362" s="3">
        <v>35810</v>
      </c>
      <c r="E362">
        <f t="shared" si="10"/>
        <v>1998</v>
      </c>
      <c r="F362">
        <f t="shared" ca="1" si="11"/>
        <v>27</v>
      </c>
      <c r="G362">
        <f>COUNTIF(BRON!A:A,'schades-leeftijd'!A362)</f>
        <v>4</v>
      </c>
    </row>
    <row r="363" spans="1:7" x14ac:dyDescent="0.25">
      <c r="A363">
        <v>37496</v>
      </c>
      <c r="B363" t="s">
        <v>1473</v>
      </c>
      <c r="C363" t="s">
        <v>1474</v>
      </c>
      <c r="D363" s="3">
        <v>24877</v>
      </c>
      <c r="E363">
        <f t="shared" si="10"/>
        <v>1968</v>
      </c>
      <c r="F363">
        <f t="shared" ca="1" si="11"/>
        <v>57</v>
      </c>
      <c r="G363">
        <f>COUNTIF(BRON!A:A,'schades-leeftijd'!A363)</f>
        <v>4</v>
      </c>
    </row>
    <row r="364" spans="1:7" x14ac:dyDescent="0.25">
      <c r="A364">
        <v>37509</v>
      </c>
      <c r="B364" t="s">
        <v>1796</v>
      </c>
      <c r="C364" t="s">
        <v>1797</v>
      </c>
      <c r="D364" s="3">
        <v>32284</v>
      </c>
      <c r="E364">
        <f t="shared" si="10"/>
        <v>1988</v>
      </c>
      <c r="F364">
        <f t="shared" ca="1" si="11"/>
        <v>37</v>
      </c>
      <c r="G364">
        <f>COUNTIF(BRON!A:A,'schades-leeftijd'!A364)</f>
        <v>3</v>
      </c>
    </row>
    <row r="365" spans="1:7" x14ac:dyDescent="0.25">
      <c r="A365">
        <v>37542</v>
      </c>
      <c r="B365" t="s">
        <v>2753</v>
      </c>
      <c r="C365" t="s">
        <v>2754</v>
      </c>
      <c r="D365" s="3">
        <v>25000</v>
      </c>
      <c r="E365">
        <f t="shared" si="10"/>
        <v>1968</v>
      </c>
      <c r="F365">
        <f t="shared" ca="1" si="11"/>
        <v>57</v>
      </c>
      <c r="G365">
        <f>COUNTIF(BRON!A:A,'schades-leeftijd'!A365)</f>
        <v>5</v>
      </c>
    </row>
    <row r="366" spans="1:7" x14ac:dyDescent="0.25">
      <c r="A366">
        <v>37543</v>
      </c>
      <c r="B366" t="s">
        <v>3227</v>
      </c>
      <c r="C366" t="s">
        <v>3228</v>
      </c>
      <c r="D366" s="3">
        <v>25212</v>
      </c>
      <c r="E366">
        <f t="shared" si="10"/>
        <v>1969</v>
      </c>
      <c r="F366">
        <f t="shared" ca="1" si="11"/>
        <v>56</v>
      </c>
      <c r="G366">
        <f>COUNTIF(BRON!A:A,'schades-leeftijd'!A366)</f>
        <v>6</v>
      </c>
    </row>
    <row r="367" spans="1:7" x14ac:dyDescent="0.25">
      <c r="A367">
        <v>37564</v>
      </c>
      <c r="B367" t="s">
        <v>2084</v>
      </c>
      <c r="C367" t="s">
        <v>2085</v>
      </c>
      <c r="D367" s="3">
        <v>37200</v>
      </c>
      <c r="E367">
        <f t="shared" si="10"/>
        <v>2001</v>
      </c>
      <c r="F367">
        <f t="shared" ca="1" si="11"/>
        <v>24</v>
      </c>
      <c r="G367">
        <f>COUNTIF(BRON!A:A,'schades-leeftijd'!A367)</f>
        <v>1</v>
      </c>
    </row>
    <row r="368" spans="1:7" x14ac:dyDescent="0.25">
      <c r="A368">
        <v>37600</v>
      </c>
      <c r="B368" t="s">
        <v>2068</v>
      </c>
      <c r="C368" t="s">
        <v>2065</v>
      </c>
      <c r="D368" s="3">
        <v>29705</v>
      </c>
      <c r="E368">
        <f t="shared" si="10"/>
        <v>1981</v>
      </c>
      <c r="F368">
        <f t="shared" ca="1" si="11"/>
        <v>44</v>
      </c>
      <c r="G368">
        <f>COUNTIF(BRON!A:A,'schades-leeftijd'!A368)</f>
        <v>0</v>
      </c>
    </row>
    <row r="369" spans="1:7" x14ac:dyDescent="0.25">
      <c r="A369">
        <v>37609</v>
      </c>
      <c r="B369" t="s">
        <v>2975</v>
      </c>
      <c r="C369" t="s">
        <v>2972</v>
      </c>
      <c r="D369" s="3">
        <v>34406</v>
      </c>
      <c r="E369">
        <f t="shared" si="10"/>
        <v>1994</v>
      </c>
      <c r="F369">
        <f t="shared" ca="1" si="11"/>
        <v>31</v>
      </c>
      <c r="G369">
        <f>COUNTIF(BRON!A:A,'schades-leeftijd'!A369)</f>
        <v>2</v>
      </c>
    </row>
    <row r="370" spans="1:7" x14ac:dyDescent="0.25">
      <c r="A370">
        <v>37662</v>
      </c>
      <c r="B370" t="s">
        <v>1629</v>
      </c>
      <c r="C370" t="s">
        <v>1328</v>
      </c>
      <c r="D370" s="3">
        <v>31215</v>
      </c>
      <c r="E370">
        <f t="shared" si="10"/>
        <v>1985</v>
      </c>
      <c r="F370">
        <f t="shared" ca="1" si="11"/>
        <v>40</v>
      </c>
      <c r="G370">
        <f>COUNTIF(BRON!A:A,'schades-leeftijd'!A370)</f>
        <v>8</v>
      </c>
    </row>
    <row r="371" spans="1:7" x14ac:dyDescent="0.25">
      <c r="A371">
        <v>37683</v>
      </c>
      <c r="B371" t="s">
        <v>2327</v>
      </c>
      <c r="C371" t="s">
        <v>3157</v>
      </c>
      <c r="D371" s="3">
        <v>35863</v>
      </c>
      <c r="E371">
        <f t="shared" si="10"/>
        <v>1998</v>
      </c>
      <c r="F371">
        <f t="shared" ca="1" si="11"/>
        <v>27</v>
      </c>
      <c r="G371">
        <f>COUNTIF(BRON!A:A,'schades-leeftijd'!A371)</f>
        <v>1</v>
      </c>
    </row>
    <row r="372" spans="1:7" x14ac:dyDescent="0.25">
      <c r="A372">
        <v>37744</v>
      </c>
      <c r="B372" t="s">
        <v>1811</v>
      </c>
      <c r="C372" t="s">
        <v>2866</v>
      </c>
      <c r="D372" s="3">
        <v>24576</v>
      </c>
      <c r="E372">
        <f t="shared" si="10"/>
        <v>1967</v>
      </c>
      <c r="F372">
        <f t="shared" ca="1" si="11"/>
        <v>58</v>
      </c>
      <c r="G372">
        <f>COUNTIF(BRON!A:A,'schades-leeftijd'!A372)</f>
        <v>1</v>
      </c>
    </row>
    <row r="373" spans="1:7" x14ac:dyDescent="0.25">
      <c r="A373">
        <v>37794</v>
      </c>
      <c r="B373" t="s">
        <v>1692</v>
      </c>
      <c r="C373" t="s">
        <v>2492</v>
      </c>
      <c r="D373" s="3">
        <v>33202</v>
      </c>
      <c r="E373">
        <f t="shared" si="10"/>
        <v>1990</v>
      </c>
      <c r="F373">
        <f t="shared" ca="1" si="11"/>
        <v>35</v>
      </c>
      <c r="G373">
        <f>COUNTIF(BRON!A:A,'schades-leeftijd'!A373)</f>
        <v>1</v>
      </c>
    </row>
    <row r="374" spans="1:7" x14ac:dyDescent="0.25">
      <c r="A374">
        <v>37808</v>
      </c>
      <c r="B374" t="s">
        <v>2096</v>
      </c>
      <c r="C374" t="s">
        <v>2093</v>
      </c>
      <c r="D374" s="3">
        <v>29946</v>
      </c>
      <c r="E374">
        <f t="shared" si="10"/>
        <v>1981</v>
      </c>
      <c r="F374">
        <f t="shared" ca="1" si="11"/>
        <v>44</v>
      </c>
      <c r="G374">
        <f>COUNTIF(BRON!A:A,'schades-leeftijd'!A374)</f>
        <v>1</v>
      </c>
    </row>
    <row r="375" spans="1:7" x14ac:dyDescent="0.25">
      <c r="A375">
        <v>37809</v>
      </c>
      <c r="B375" t="s">
        <v>1557</v>
      </c>
      <c r="C375" t="s">
        <v>2462</v>
      </c>
      <c r="D375" s="3">
        <v>30433</v>
      </c>
      <c r="E375">
        <f t="shared" si="10"/>
        <v>1983</v>
      </c>
      <c r="F375">
        <f t="shared" ca="1" si="11"/>
        <v>42</v>
      </c>
      <c r="G375">
        <f>COUNTIF(BRON!A:A,'schades-leeftijd'!A375)</f>
        <v>3</v>
      </c>
    </row>
    <row r="376" spans="1:7" x14ac:dyDescent="0.25">
      <c r="A376">
        <v>37907</v>
      </c>
      <c r="B376" t="s">
        <v>3399</v>
      </c>
      <c r="C376" t="s">
        <v>3400</v>
      </c>
      <c r="D376" s="3">
        <v>36493</v>
      </c>
      <c r="E376">
        <f t="shared" si="10"/>
        <v>1999</v>
      </c>
      <c r="F376">
        <f t="shared" ca="1" si="11"/>
        <v>26</v>
      </c>
      <c r="G376">
        <f>COUNTIF(BRON!A:A,'schades-leeftijd'!A376)</f>
        <v>0</v>
      </c>
    </row>
    <row r="377" spans="1:7" x14ac:dyDescent="0.25">
      <c r="A377">
        <v>37908</v>
      </c>
      <c r="B377" t="s">
        <v>2206</v>
      </c>
      <c r="C377" t="s">
        <v>2203</v>
      </c>
      <c r="D377" s="3">
        <v>33185</v>
      </c>
      <c r="E377">
        <f t="shared" si="10"/>
        <v>1990</v>
      </c>
      <c r="F377">
        <f t="shared" ca="1" si="11"/>
        <v>35</v>
      </c>
      <c r="G377">
        <f>COUNTIF(BRON!A:A,'schades-leeftijd'!A377)</f>
        <v>1</v>
      </c>
    </row>
    <row r="378" spans="1:7" x14ac:dyDescent="0.25">
      <c r="A378">
        <v>37936</v>
      </c>
      <c r="B378" t="s">
        <v>3391</v>
      </c>
      <c r="C378" t="s">
        <v>3388</v>
      </c>
      <c r="D378" s="3">
        <v>34889</v>
      </c>
      <c r="E378">
        <f t="shared" si="10"/>
        <v>1995</v>
      </c>
      <c r="F378">
        <f t="shared" ca="1" si="11"/>
        <v>30</v>
      </c>
      <c r="G378">
        <f>COUNTIF(BRON!A:A,'schades-leeftijd'!A378)</f>
        <v>2</v>
      </c>
    </row>
    <row r="379" spans="1:7" x14ac:dyDescent="0.25">
      <c r="A379">
        <v>37950</v>
      </c>
      <c r="B379" t="s">
        <v>3184</v>
      </c>
      <c r="C379" t="s">
        <v>3181</v>
      </c>
      <c r="D379" s="3">
        <v>26858</v>
      </c>
      <c r="E379">
        <f t="shared" si="10"/>
        <v>1973</v>
      </c>
      <c r="F379">
        <f t="shared" ca="1" si="11"/>
        <v>52</v>
      </c>
      <c r="G379">
        <f>COUNTIF(BRON!A:A,'schades-leeftijd'!A379)</f>
        <v>3</v>
      </c>
    </row>
    <row r="380" spans="1:7" x14ac:dyDescent="0.25">
      <c r="A380">
        <v>37951</v>
      </c>
      <c r="B380" t="s">
        <v>3131</v>
      </c>
      <c r="C380" t="s">
        <v>3132</v>
      </c>
      <c r="D380" s="3">
        <v>27961</v>
      </c>
      <c r="E380">
        <f t="shared" si="10"/>
        <v>1976</v>
      </c>
      <c r="F380">
        <f t="shared" ca="1" si="11"/>
        <v>49</v>
      </c>
      <c r="G380">
        <f>COUNTIF(BRON!A:A,'schades-leeftijd'!A380)</f>
        <v>1</v>
      </c>
    </row>
    <row r="381" spans="1:7" x14ac:dyDescent="0.25">
      <c r="A381">
        <v>37999</v>
      </c>
      <c r="B381" t="s">
        <v>3160</v>
      </c>
      <c r="C381" t="s">
        <v>3161</v>
      </c>
      <c r="D381" s="3">
        <v>22487</v>
      </c>
      <c r="E381">
        <f t="shared" si="10"/>
        <v>1961</v>
      </c>
      <c r="F381">
        <f t="shared" ca="1" si="11"/>
        <v>64</v>
      </c>
      <c r="G381">
        <f>COUNTIF(BRON!A:A,'schades-leeftijd'!A381)</f>
        <v>0</v>
      </c>
    </row>
    <row r="382" spans="1:7" x14ac:dyDescent="0.25">
      <c r="A382">
        <v>38013</v>
      </c>
      <c r="B382" t="s">
        <v>3411</v>
      </c>
      <c r="C382" t="s">
        <v>1860</v>
      </c>
      <c r="D382" s="3">
        <v>32771</v>
      </c>
      <c r="E382">
        <f t="shared" si="10"/>
        <v>1989</v>
      </c>
      <c r="F382">
        <f t="shared" ca="1" si="11"/>
        <v>36</v>
      </c>
      <c r="G382">
        <f>COUNTIF(BRON!A:A,'schades-leeftijd'!A382)</f>
        <v>1</v>
      </c>
    </row>
    <row r="383" spans="1:7" x14ac:dyDescent="0.25">
      <c r="A383">
        <v>38035</v>
      </c>
      <c r="B383" t="s">
        <v>2666</v>
      </c>
      <c r="C383" t="s">
        <v>2667</v>
      </c>
      <c r="D383" s="3">
        <v>36352</v>
      </c>
      <c r="E383">
        <f t="shared" si="10"/>
        <v>1999</v>
      </c>
      <c r="F383">
        <f t="shared" ca="1" si="11"/>
        <v>26</v>
      </c>
      <c r="G383">
        <f>COUNTIF(BRON!A:A,'schades-leeftijd'!A383)</f>
        <v>1</v>
      </c>
    </row>
    <row r="384" spans="1:7" x14ac:dyDescent="0.25">
      <c r="A384">
        <v>38047</v>
      </c>
      <c r="B384" t="s">
        <v>2252</v>
      </c>
      <c r="C384" t="s">
        <v>2253</v>
      </c>
      <c r="D384" s="3">
        <v>27600</v>
      </c>
      <c r="E384">
        <f t="shared" si="10"/>
        <v>1975</v>
      </c>
      <c r="F384">
        <f t="shared" ca="1" si="11"/>
        <v>50</v>
      </c>
      <c r="G384">
        <f>COUNTIF(BRON!A:A,'schades-leeftijd'!A384)</f>
        <v>0</v>
      </c>
    </row>
    <row r="385" spans="1:7" x14ac:dyDescent="0.25">
      <c r="A385">
        <v>38205</v>
      </c>
      <c r="B385" t="s">
        <v>2720</v>
      </c>
      <c r="C385" t="s">
        <v>2721</v>
      </c>
      <c r="D385" s="3">
        <v>26731</v>
      </c>
      <c r="E385">
        <f t="shared" si="10"/>
        <v>1973</v>
      </c>
      <c r="F385">
        <f t="shared" ca="1" si="11"/>
        <v>52</v>
      </c>
      <c r="G385">
        <f>COUNTIF(BRON!A:A,'schades-leeftijd'!A385)</f>
        <v>0</v>
      </c>
    </row>
    <row r="386" spans="1:7" x14ac:dyDescent="0.25">
      <c r="A386">
        <v>38475</v>
      </c>
      <c r="B386" t="s">
        <v>1964</v>
      </c>
      <c r="C386" t="s">
        <v>2495</v>
      </c>
      <c r="D386" s="3">
        <v>27197</v>
      </c>
      <c r="E386">
        <f t="shared" si="10"/>
        <v>1974</v>
      </c>
      <c r="F386">
        <f t="shared" ca="1" si="11"/>
        <v>51</v>
      </c>
      <c r="G386">
        <f>COUNTIF(BRON!A:A,'schades-leeftijd'!A386)</f>
        <v>4</v>
      </c>
    </row>
    <row r="387" spans="1:7" x14ac:dyDescent="0.25">
      <c r="A387">
        <v>38481</v>
      </c>
      <c r="B387" t="s">
        <v>2765</v>
      </c>
      <c r="C387" t="s">
        <v>3047</v>
      </c>
      <c r="D387" s="3">
        <v>36732</v>
      </c>
      <c r="E387">
        <f t="shared" ref="E387:E450" si="12">YEAR(D387)</f>
        <v>2000</v>
      </c>
      <c r="F387">
        <f t="shared" ref="F387:F450" ca="1" si="13">YEAR(TODAY())-E387</f>
        <v>25</v>
      </c>
      <c r="G387">
        <f>COUNTIF(BRON!A:A,'schades-leeftijd'!A387)</f>
        <v>3</v>
      </c>
    </row>
    <row r="388" spans="1:7" x14ac:dyDescent="0.25">
      <c r="A388">
        <v>38529</v>
      </c>
      <c r="B388" t="s">
        <v>2630</v>
      </c>
      <c r="C388" t="s">
        <v>2631</v>
      </c>
      <c r="D388" s="3">
        <v>30245</v>
      </c>
      <c r="E388">
        <f t="shared" si="12"/>
        <v>1982</v>
      </c>
      <c r="F388">
        <f t="shared" ca="1" si="13"/>
        <v>43</v>
      </c>
      <c r="G388">
        <f>COUNTIF(BRON!A:A,'schades-leeftijd'!A388)</f>
        <v>5</v>
      </c>
    </row>
    <row r="389" spans="1:7" x14ac:dyDescent="0.25">
      <c r="A389">
        <v>38550</v>
      </c>
      <c r="B389" t="s">
        <v>1615</v>
      </c>
      <c r="C389" t="s">
        <v>1725</v>
      </c>
      <c r="D389" s="3">
        <v>29647</v>
      </c>
      <c r="E389">
        <f t="shared" si="12"/>
        <v>1981</v>
      </c>
      <c r="F389">
        <f t="shared" ca="1" si="13"/>
        <v>44</v>
      </c>
      <c r="G389">
        <f>COUNTIF(BRON!A:A,'schades-leeftijd'!A389)</f>
        <v>0</v>
      </c>
    </row>
    <row r="390" spans="1:7" x14ac:dyDescent="0.25">
      <c r="A390">
        <v>38551</v>
      </c>
      <c r="B390" t="s">
        <v>3431</v>
      </c>
      <c r="C390" t="s">
        <v>2014</v>
      </c>
      <c r="D390" s="3">
        <v>29593</v>
      </c>
      <c r="E390">
        <f t="shared" si="12"/>
        <v>1981</v>
      </c>
      <c r="F390">
        <f t="shared" ca="1" si="13"/>
        <v>44</v>
      </c>
      <c r="G390">
        <f>COUNTIF(BRON!A:A,'schades-leeftijd'!A390)</f>
        <v>1</v>
      </c>
    </row>
    <row r="391" spans="1:7" x14ac:dyDescent="0.25">
      <c r="A391">
        <v>38555</v>
      </c>
      <c r="B391" t="s">
        <v>2306</v>
      </c>
      <c r="C391" t="s">
        <v>2307</v>
      </c>
      <c r="D391" s="3">
        <v>31437</v>
      </c>
      <c r="E391">
        <f t="shared" si="12"/>
        <v>1986</v>
      </c>
      <c r="F391">
        <f t="shared" ca="1" si="13"/>
        <v>39</v>
      </c>
      <c r="G391">
        <f>COUNTIF(BRON!A:A,'schades-leeftijd'!A391)</f>
        <v>1</v>
      </c>
    </row>
    <row r="392" spans="1:7" x14ac:dyDescent="0.25">
      <c r="A392">
        <v>38579</v>
      </c>
      <c r="B392" t="s">
        <v>1615</v>
      </c>
      <c r="C392" t="s">
        <v>1616</v>
      </c>
      <c r="D392" s="3">
        <v>25028</v>
      </c>
      <c r="E392">
        <f t="shared" si="12"/>
        <v>1968</v>
      </c>
      <c r="F392">
        <f t="shared" ca="1" si="13"/>
        <v>57</v>
      </c>
      <c r="G392">
        <f>COUNTIF(BRON!A:A,'schades-leeftijd'!A392)</f>
        <v>1</v>
      </c>
    </row>
    <row r="393" spans="1:7" x14ac:dyDescent="0.25">
      <c r="A393">
        <v>38580</v>
      </c>
      <c r="B393" t="s">
        <v>1762</v>
      </c>
      <c r="C393" t="s">
        <v>1763</v>
      </c>
      <c r="D393" s="3">
        <v>36424</v>
      </c>
      <c r="E393">
        <f t="shared" si="12"/>
        <v>1999</v>
      </c>
      <c r="F393">
        <f t="shared" ca="1" si="13"/>
        <v>26</v>
      </c>
      <c r="G393">
        <f>COUNTIF(BRON!A:A,'schades-leeftijd'!A393)</f>
        <v>1</v>
      </c>
    </row>
    <row r="394" spans="1:7" x14ac:dyDescent="0.25">
      <c r="A394">
        <v>38633</v>
      </c>
      <c r="B394" t="s">
        <v>2244</v>
      </c>
      <c r="C394" t="s">
        <v>2245</v>
      </c>
      <c r="D394" s="3">
        <v>32105</v>
      </c>
      <c r="E394">
        <f t="shared" si="12"/>
        <v>1987</v>
      </c>
      <c r="F394">
        <f t="shared" ca="1" si="13"/>
        <v>38</v>
      </c>
      <c r="G394">
        <f>COUNTIF(BRON!A:A,'schades-leeftijd'!A394)</f>
        <v>3</v>
      </c>
    </row>
    <row r="395" spans="1:7" x14ac:dyDescent="0.25">
      <c r="A395">
        <v>38634</v>
      </c>
      <c r="B395" t="s">
        <v>1383</v>
      </c>
      <c r="C395" t="s">
        <v>1384</v>
      </c>
      <c r="D395" s="3">
        <v>28536</v>
      </c>
      <c r="E395">
        <f t="shared" si="12"/>
        <v>1978</v>
      </c>
      <c r="F395">
        <f t="shared" ca="1" si="13"/>
        <v>47</v>
      </c>
      <c r="G395">
        <f>COUNTIF(BRON!A:A,'schades-leeftijd'!A395)</f>
        <v>3</v>
      </c>
    </row>
    <row r="396" spans="1:7" x14ac:dyDescent="0.25">
      <c r="A396">
        <v>38648</v>
      </c>
      <c r="B396" t="s">
        <v>2128</v>
      </c>
      <c r="C396" t="s">
        <v>2129</v>
      </c>
      <c r="D396" s="3">
        <v>34795</v>
      </c>
      <c r="E396">
        <f t="shared" si="12"/>
        <v>1995</v>
      </c>
      <c r="F396">
        <f t="shared" ca="1" si="13"/>
        <v>30</v>
      </c>
      <c r="G396">
        <f>COUNTIF(BRON!A:A,'schades-leeftijd'!A396)</f>
        <v>4</v>
      </c>
    </row>
    <row r="397" spans="1:7" x14ac:dyDescent="0.25">
      <c r="A397">
        <v>38688</v>
      </c>
      <c r="B397" t="s">
        <v>1705</v>
      </c>
      <c r="C397" t="s">
        <v>1706</v>
      </c>
      <c r="D397" s="3">
        <v>34749</v>
      </c>
      <c r="E397">
        <f t="shared" si="12"/>
        <v>1995</v>
      </c>
      <c r="F397">
        <f t="shared" ca="1" si="13"/>
        <v>30</v>
      </c>
      <c r="G397">
        <f>COUNTIF(BRON!A:A,'schades-leeftijd'!A397)</f>
        <v>3</v>
      </c>
    </row>
    <row r="398" spans="1:7" x14ac:dyDescent="0.25">
      <c r="A398">
        <v>38691</v>
      </c>
      <c r="B398" t="s">
        <v>3472</v>
      </c>
      <c r="C398" t="s">
        <v>3473</v>
      </c>
      <c r="D398" s="3">
        <v>37281</v>
      </c>
      <c r="E398">
        <f t="shared" si="12"/>
        <v>2002</v>
      </c>
      <c r="F398">
        <f t="shared" ca="1" si="13"/>
        <v>23</v>
      </c>
      <c r="G398">
        <f>COUNTIF(BRON!A:A,'schades-leeftijd'!A398)</f>
        <v>0</v>
      </c>
    </row>
    <row r="399" spans="1:7" x14ac:dyDescent="0.25">
      <c r="A399">
        <v>38731</v>
      </c>
      <c r="B399" t="s">
        <v>1755</v>
      </c>
      <c r="C399" t="s">
        <v>1756</v>
      </c>
      <c r="D399" s="3">
        <v>23866</v>
      </c>
      <c r="E399">
        <f t="shared" si="12"/>
        <v>1965</v>
      </c>
      <c r="F399">
        <f t="shared" ca="1" si="13"/>
        <v>60</v>
      </c>
      <c r="G399">
        <f>COUNTIF(BRON!A:A,'schades-leeftijd'!A399)</f>
        <v>1</v>
      </c>
    </row>
    <row r="400" spans="1:7" x14ac:dyDescent="0.25">
      <c r="A400">
        <v>38740</v>
      </c>
      <c r="B400" t="s">
        <v>3334</v>
      </c>
      <c r="C400" t="s">
        <v>3335</v>
      </c>
      <c r="D400" s="3">
        <v>33360</v>
      </c>
      <c r="E400">
        <f t="shared" si="12"/>
        <v>1991</v>
      </c>
      <c r="F400">
        <f t="shared" ca="1" si="13"/>
        <v>34</v>
      </c>
      <c r="G400">
        <f>COUNTIF(BRON!A:A,'schades-leeftijd'!A400)</f>
        <v>2</v>
      </c>
    </row>
    <row r="401" spans="1:7" x14ac:dyDescent="0.25">
      <c r="A401">
        <v>38807</v>
      </c>
      <c r="B401" t="s">
        <v>3172</v>
      </c>
      <c r="C401" t="s">
        <v>3173</v>
      </c>
      <c r="D401" s="3">
        <v>24130</v>
      </c>
      <c r="E401">
        <f t="shared" si="12"/>
        <v>1966</v>
      </c>
      <c r="F401">
        <f t="shared" ca="1" si="13"/>
        <v>59</v>
      </c>
      <c r="G401">
        <f>COUNTIF(BRON!A:A,'schades-leeftijd'!A401)</f>
        <v>4</v>
      </c>
    </row>
    <row r="402" spans="1:7" x14ac:dyDescent="0.25">
      <c r="A402">
        <v>38808</v>
      </c>
      <c r="B402" t="s">
        <v>2607</v>
      </c>
      <c r="C402" t="s">
        <v>2604</v>
      </c>
      <c r="D402" s="3">
        <v>30718</v>
      </c>
      <c r="E402">
        <f t="shared" si="12"/>
        <v>1984</v>
      </c>
      <c r="F402">
        <f t="shared" ca="1" si="13"/>
        <v>41</v>
      </c>
      <c r="G402">
        <f>COUNTIF(BRON!A:A,'schades-leeftijd'!A402)</f>
        <v>5</v>
      </c>
    </row>
    <row r="403" spans="1:7" x14ac:dyDescent="0.25">
      <c r="A403">
        <v>38931</v>
      </c>
      <c r="B403" t="s">
        <v>2908</v>
      </c>
      <c r="C403" t="s">
        <v>2909</v>
      </c>
      <c r="D403" s="3">
        <v>36438</v>
      </c>
      <c r="E403">
        <f t="shared" si="12"/>
        <v>1999</v>
      </c>
      <c r="F403">
        <f t="shared" ca="1" si="13"/>
        <v>26</v>
      </c>
      <c r="G403">
        <f>COUNTIF(BRON!A:A,'schades-leeftijd'!A403)</f>
        <v>4</v>
      </c>
    </row>
    <row r="404" spans="1:7" x14ac:dyDescent="0.25">
      <c r="A404">
        <v>38938</v>
      </c>
      <c r="B404" t="s">
        <v>2761</v>
      </c>
      <c r="C404" t="s">
        <v>2762</v>
      </c>
      <c r="D404" s="3">
        <v>33351</v>
      </c>
      <c r="E404">
        <f t="shared" si="12"/>
        <v>1991</v>
      </c>
      <c r="F404">
        <f t="shared" ca="1" si="13"/>
        <v>34</v>
      </c>
      <c r="G404">
        <f>COUNTIF(BRON!A:A,'schades-leeftijd'!A404)</f>
        <v>7</v>
      </c>
    </row>
    <row r="405" spans="1:7" x14ac:dyDescent="0.25">
      <c r="A405">
        <v>39013</v>
      </c>
      <c r="B405" t="s">
        <v>2769</v>
      </c>
      <c r="C405" t="s">
        <v>2770</v>
      </c>
      <c r="D405" s="3">
        <v>27937</v>
      </c>
      <c r="E405">
        <f t="shared" si="12"/>
        <v>1976</v>
      </c>
      <c r="F405">
        <f t="shared" ca="1" si="13"/>
        <v>49</v>
      </c>
      <c r="G405">
        <f>COUNTIF(BRON!A:A,'schades-leeftijd'!A405)</f>
        <v>3</v>
      </c>
    </row>
    <row r="406" spans="1:7" x14ac:dyDescent="0.25">
      <c r="A406">
        <v>39014</v>
      </c>
      <c r="B406" t="s">
        <v>2389</v>
      </c>
      <c r="C406" t="s">
        <v>2390</v>
      </c>
      <c r="D406" s="3">
        <v>36757</v>
      </c>
      <c r="E406">
        <f t="shared" si="12"/>
        <v>2000</v>
      </c>
      <c r="F406">
        <f t="shared" ca="1" si="13"/>
        <v>25</v>
      </c>
      <c r="G406">
        <f>COUNTIF(BRON!A:A,'schades-leeftijd'!A406)</f>
        <v>3</v>
      </c>
    </row>
    <row r="407" spans="1:7" x14ac:dyDescent="0.25">
      <c r="A407">
        <v>39019</v>
      </c>
      <c r="B407" t="s">
        <v>2489</v>
      </c>
      <c r="C407" t="s">
        <v>2483</v>
      </c>
      <c r="D407" s="3">
        <v>30913</v>
      </c>
      <c r="E407">
        <f t="shared" si="12"/>
        <v>1984</v>
      </c>
      <c r="F407">
        <f t="shared" ca="1" si="13"/>
        <v>41</v>
      </c>
      <c r="G407">
        <f>COUNTIF(BRON!A:A,'schades-leeftijd'!A407)</f>
        <v>2</v>
      </c>
    </row>
    <row r="408" spans="1:7" x14ac:dyDescent="0.25">
      <c r="A408">
        <v>39101</v>
      </c>
      <c r="B408" t="s">
        <v>2092</v>
      </c>
      <c r="C408" t="s">
        <v>2093</v>
      </c>
      <c r="D408" s="3">
        <v>29763</v>
      </c>
      <c r="E408">
        <f t="shared" si="12"/>
        <v>1981</v>
      </c>
      <c r="F408">
        <f t="shared" ca="1" si="13"/>
        <v>44</v>
      </c>
      <c r="G408">
        <f>COUNTIF(BRON!A:A,'schades-leeftijd'!A408)</f>
        <v>0</v>
      </c>
    </row>
    <row r="409" spans="1:7" x14ac:dyDescent="0.25">
      <c r="A409">
        <v>39106</v>
      </c>
      <c r="B409" t="s">
        <v>3422</v>
      </c>
      <c r="C409" t="s">
        <v>3423</v>
      </c>
      <c r="D409" s="3">
        <v>36995</v>
      </c>
      <c r="E409">
        <f t="shared" si="12"/>
        <v>2001</v>
      </c>
      <c r="F409">
        <f t="shared" ca="1" si="13"/>
        <v>24</v>
      </c>
      <c r="G409">
        <f>COUNTIF(BRON!A:A,'schades-leeftijd'!A409)</f>
        <v>0</v>
      </c>
    </row>
    <row r="410" spans="1:7" x14ac:dyDescent="0.25">
      <c r="A410">
        <v>39145</v>
      </c>
      <c r="B410" t="s">
        <v>1788</v>
      </c>
      <c r="C410" t="s">
        <v>1789</v>
      </c>
      <c r="D410" s="3">
        <v>27446</v>
      </c>
      <c r="E410">
        <f t="shared" si="12"/>
        <v>1975</v>
      </c>
      <c r="F410">
        <f t="shared" ca="1" si="13"/>
        <v>50</v>
      </c>
      <c r="G410">
        <f>COUNTIF(BRON!A:A,'schades-leeftijd'!A410)</f>
        <v>1</v>
      </c>
    </row>
    <row r="411" spans="1:7" x14ac:dyDescent="0.25">
      <c r="A411">
        <v>39146</v>
      </c>
      <c r="B411" t="s">
        <v>3394</v>
      </c>
      <c r="C411" t="s">
        <v>3395</v>
      </c>
      <c r="D411" s="3">
        <v>28674</v>
      </c>
      <c r="E411">
        <f t="shared" si="12"/>
        <v>1978</v>
      </c>
      <c r="F411">
        <f t="shared" ca="1" si="13"/>
        <v>47</v>
      </c>
      <c r="G411">
        <f>COUNTIF(BRON!A:A,'schades-leeftijd'!A411)</f>
        <v>3</v>
      </c>
    </row>
    <row r="412" spans="1:7" x14ac:dyDescent="0.25">
      <c r="A412">
        <v>39183</v>
      </c>
      <c r="B412" t="s">
        <v>3361</v>
      </c>
      <c r="C412" t="s">
        <v>3362</v>
      </c>
      <c r="D412" s="3">
        <v>32148</v>
      </c>
      <c r="E412">
        <f t="shared" si="12"/>
        <v>1988</v>
      </c>
      <c r="F412">
        <f t="shared" ca="1" si="13"/>
        <v>37</v>
      </c>
      <c r="G412">
        <f>COUNTIF(BRON!A:A,'schades-leeftijd'!A412)</f>
        <v>4</v>
      </c>
    </row>
    <row r="413" spans="1:7" x14ac:dyDescent="0.25">
      <c r="A413">
        <v>39184</v>
      </c>
      <c r="B413" t="s">
        <v>1426</v>
      </c>
      <c r="C413" t="s">
        <v>1427</v>
      </c>
      <c r="D413" s="3">
        <v>33938</v>
      </c>
      <c r="E413">
        <f t="shared" si="12"/>
        <v>1992</v>
      </c>
      <c r="F413">
        <f t="shared" ca="1" si="13"/>
        <v>33</v>
      </c>
      <c r="G413">
        <f>COUNTIF(BRON!A:A,'schades-leeftijd'!A413)</f>
        <v>3</v>
      </c>
    </row>
    <row r="414" spans="1:7" x14ac:dyDescent="0.25">
      <c r="A414">
        <v>39251</v>
      </c>
      <c r="B414" t="s">
        <v>3381</v>
      </c>
      <c r="C414" t="s">
        <v>3378</v>
      </c>
      <c r="D414" s="3">
        <v>36822</v>
      </c>
      <c r="E414">
        <f t="shared" si="12"/>
        <v>2000</v>
      </c>
      <c r="F414">
        <f t="shared" ca="1" si="13"/>
        <v>25</v>
      </c>
      <c r="G414">
        <f>COUNTIF(BRON!A:A,'schades-leeftijd'!A414)</f>
        <v>0</v>
      </c>
    </row>
    <row r="415" spans="1:7" x14ac:dyDescent="0.25">
      <c r="A415">
        <v>3926</v>
      </c>
      <c r="B415" t="s">
        <v>1495</v>
      </c>
      <c r="C415" t="s">
        <v>2296</v>
      </c>
      <c r="D415" s="3">
        <v>21648</v>
      </c>
      <c r="E415">
        <f t="shared" si="12"/>
        <v>1959</v>
      </c>
      <c r="F415">
        <f t="shared" ca="1" si="13"/>
        <v>66</v>
      </c>
      <c r="G415">
        <f>COUNTIF(BRON!A:A,'schades-leeftijd'!A415)</f>
        <v>0</v>
      </c>
    </row>
    <row r="416" spans="1:7" x14ac:dyDescent="0.25">
      <c r="A416">
        <v>39267</v>
      </c>
      <c r="B416" t="s">
        <v>1443</v>
      </c>
      <c r="C416" t="s">
        <v>2604</v>
      </c>
      <c r="D416" s="3">
        <v>36104</v>
      </c>
      <c r="E416">
        <f t="shared" si="12"/>
        <v>1998</v>
      </c>
      <c r="F416">
        <f t="shared" ca="1" si="13"/>
        <v>27</v>
      </c>
      <c r="G416">
        <f>COUNTIF(BRON!A:A,'schades-leeftijd'!A416)</f>
        <v>1</v>
      </c>
    </row>
    <row r="417" spans="1:7" x14ac:dyDescent="0.25">
      <c r="A417">
        <v>39358</v>
      </c>
      <c r="B417" t="s">
        <v>2583</v>
      </c>
      <c r="C417" t="s">
        <v>2584</v>
      </c>
      <c r="D417" s="3">
        <v>29195</v>
      </c>
      <c r="E417">
        <f t="shared" si="12"/>
        <v>1979</v>
      </c>
      <c r="F417">
        <f t="shared" ca="1" si="13"/>
        <v>46</v>
      </c>
      <c r="G417">
        <f>COUNTIF(BRON!A:A,'schades-leeftijd'!A417)</f>
        <v>5</v>
      </c>
    </row>
    <row r="418" spans="1:7" x14ac:dyDescent="0.25">
      <c r="A418">
        <v>39379</v>
      </c>
      <c r="B418" t="s">
        <v>2150</v>
      </c>
      <c r="C418" t="s">
        <v>2151</v>
      </c>
      <c r="D418" s="3">
        <v>31775</v>
      </c>
      <c r="E418">
        <f t="shared" si="12"/>
        <v>1986</v>
      </c>
      <c r="F418">
        <f t="shared" ca="1" si="13"/>
        <v>39</v>
      </c>
      <c r="G418">
        <f>COUNTIF(BRON!A:A,'schades-leeftijd'!A418)</f>
        <v>2</v>
      </c>
    </row>
    <row r="419" spans="1:7" x14ac:dyDescent="0.25">
      <c r="A419">
        <v>39528</v>
      </c>
      <c r="B419" t="s">
        <v>1902</v>
      </c>
      <c r="C419" t="s">
        <v>1903</v>
      </c>
      <c r="D419" s="3">
        <v>32358</v>
      </c>
      <c r="E419">
        <f t="shared" si="12"/>
        <v>1988</v>
      </c>
      <c r="F419">
        <f t="shared" ca="1" si="13"/>
        <v>37</v>
      </c>
      <c r="G419">
        <f>COUNTIF(BRON!A:A,'schades-leeftijd'!A419)</f>
        <v>4</v>
      </c>
    </row>
    <row r="420" spans="1:7" x14ac:dyDescent="0.25">
      <c r="A420">
        <v>39529</v>
      </c>
      <c r="B420" t="s">
        <v>1982</v>
      </c>
      <c r="C420" t="s">
        <v>1983</v>
      </c>
      <c r="D420" s="3">
        <v>23786</v>
      </c>
      <c r="E420">
        <f t="shared" si="12"/>
        <v>1965</v>
      </c>
      <c r="F420">
        <f t="shared" ca="1" si="13"/>
        <v>60</v>
      </c>
      <c r="G420">
        <f>COUNTIF(BRON!A:A,'schades-leeftijd'!A420)</f>
        <v>4</v>
      </c>
    </row>
    <row r="421" spans="1:7" x14ac:dyDescent="0.25">
      <c r="A421">
        <v>39532</v>
      </c>
      <c r="B421" t="s">
        <v>2029</v>
      </c>
      <c r="C421" t="s">
        <v>2030</v>
      </c>
      <c r="D421" s="3">
        <v>36632</v>
      </c>
      <c r="E421">
        <f t="shared" si="12"/>
        <v>2000</v>
      </c>
      <c r="F421">
        <f t="shared" ca="1" si="13"/>
        <v>25</v>
      </c>
      <c r="G421">
        <f>COUNTIF(BRON!A:A,'schades-leeftijd'!A421)</f>
        <v>6</v>
      </c>
    </row>
    <row r="422" spans="1:7" x14ac:dyDescent="0.25">
      <c r="A422">
        <v>39558</v>
      </c>
      <c r="B422" t="s">
        <v>2975</v>
      </c>
      <c r="C422" t="s">
        <v>3169</v>
      </c>
      <c r="D422" s="3">
        <v>31519</v>
      </c>
      <c r="E422">
        <f t="shared" si="12"/>
        <v>1986</v>
      </c>
      <c r="F422">
        <f t="shared" ca="1" si="13"/>
        <v>39</v>
      </c>
      <c r="G422">
        <f>COUNTIF(BRON!A:A,'schades-leeftijd'!A422)</f>
        <v>2</v>
      </c>
    </row>
    <row r="423" spans="1:7" x14ac:dyDescent="0.25">
      <c r="A423">
        <v>39575</v>
      </c>
      <c r="B423" t="s">
        <v>2652</v>
      </c>
      <c r="C423" t="s">
        <v>2653</v>
      </c>
      <c r="D423" s="3">
        <v>35965</v>
      </c>
      <c r="E423">
        <f t="shared" si="12"/>
        <v>1998</v>
      </c>
      <c r="F423">
        <f t="shared" ca="1" si="13"/>
        <v>27</v>
      </c>
      <c r="G423">
        <f>COUNTIF(BRON!A:A,'schades-leeftijd'!A423)</f>
        <v>0</v>
      </c>
    </row>
    <row r="424" spans="1:7" x14ac:dyDescent="0.25">
      <c r="A424">
        <v>39581</v>
      </c>
      <c r="B424" t="s">
        <v>2369</v>
      </c>
      <c r="C424" t="s">
        <v>2370</v>
      </c>
      <c r="D424" s="3">
        <v>36481</v>
      </c>
      <c r="E424">
        <f t="shared" si="12"/>
        <v>1999</v>
      </c>
      <c r="F424">
        <f t="shared" ca="1" si="13"/>
        <v>26</v>
      </c>
      <c r="G424">
        <f>COUNTIF(BRON!A:A,'schades-leeftijd'!A424)</f>
        <v>5</v>
      </c>
    </row>
    <row r="425" spans="1:7" x14ac:dyDescent="0.25">
      <c r="A425">
        <v>39610</v>
      </c>
      <c r="B425" t="s">
        <v>3272</v>
      </c>
      <c r="C425" t="s">
        <v>3273</v>
      </c>
      <c r="D425" s="3">
        <v>35615</v>
      </c>
      <c r="E425">
        <f t="shared" si="12"/>
        <v>1997</v>
      </c>
      <c r="F425">
        <f t="shared" ca="1" si="13"/>
        <v>28</v>
      </c>
      <c r="G425">
        <f>COUNTIF(BRON!A:A,'schades-leeftijd'!A425)</f>
        <v>1</v>
      </c>
    </row>
    <row r="426" spans="1:7" x14ac:dyDescent="0.25">
      <c r="A426">
        <v>39651</v>
      </c>
      <c r="B426" t="s">
        <v>1621</v>
      </c>
      <c r="C426" t="s">
        <v>1622</v>
      </c>
      <c r="D426" s="3">
        <v>32321</v>
      </c>
      <c r="E426">
        <f t="shared" si="12"/>
        <v>1988</v>
      </c>
      <c r="F426">
        <f t="shared" ca="1" si="13"/>
        <v>37</v>
      </c>
      <c r="G426">
        <f>COUNTIF(BRON!A:A,'schades-leeftijd'!A426)</f>
        <v>4</v>
      </c>
    </row>
    <row r="427" spans="1:7" x14ac:dyDescent="0.25">
      <c r="A427">
        <v>39654</v>
      </c>
      <c r="B427" t="s">
        <v>2365</v>
      </c>
      <c r="C427" t="s">
        <v>2366</v>
      </c>
      <c r="D427" s="3">
        <v>35555</v>
      </c>
      <c r="E427">
        <f t="shared" si="12"/>
        <v>1997</v>
      </c>
      <c r="F427">
        <f t="shared" ca="1" si="13"/>
        <v>28</v>
      </c>
      <c r="G427">
        <f>COUNTIF(BRON!A:A,'schades-leeftijd'!A427)</f>
        <v>2</v>
      </c>
    </row>
    <row r="428" spans="1:7" x14ac:dyDescent="0.25">
      <c r="A428">
        <v>39660</v>
      </c>
      <c r="B428" t="s">
        <v>2795</v>
      </c>
      <c r="C428" t="s">
        <v>2792</v>
      </c>
      <c r="D428" s="3">
        <v>32368</v>
      </c>
      <c r="E428">
        <f t="shared" si="12"/>
        <v>1988</v>
      </c>
      <c r="F428">
        <f t="shared" ca="1" si="13"/>
        <v>37</v>
      </c>
      <c r="G428">
        <f>COUNTIF(BRON!A:A,'schades-leeftijd'!A428)</f>
        <v>6</v>
      </c>
    </row>
    <row r="429" spans="1:7" x14ac:dyDescent="0.25">
      <c r="A429">
        <v>39673</v>
      </c>
      <c r="B429" t="s">
        <v>2732</v>
      </c>
      <c r="C429" t="s">
        <v>2733</v>
      </c>
      <c r="D429" s="3">
        <v>25391</v>
      </c>
      <c r="E429">
        <f t="shared" si="12"/>
        <v>1969</v>
      </c>
      <c r="F429">
        <f t="shared" ca="1" si="13"/>
        <v>56</v>
      </c>
      <c r="G429">
        <f>COUNTIF(BRON!A:A,'schades-leeftijd'!A429)</f>
        <v>5</v>
      </c>
    </row>
    <row r="430" spans="1:7" x14ac:dyDescent="0.25">
      <c r="A430">
        <v>39677</v>
      </c>
      <c r="B430" t="s">
        <v>2574</v>
      </c>
      <c r="C430" t="s">
        <v>2575</v>
      </c>
      <c r="D430" s="3">
        <v>36222</v>
      </c>
      <c r="E430">
        <f t="shared" si="12"/>
        <v>1999</v>
      </c>
      <c r="F430">
        <f t="shared" ca="1" si="13"/>
        <v>26</v>
      </c>
      <c r="G430">
        <f>COUNTIF(BRON!A:A,'schades-leeftijd'!A430)</f>
        <v>1</v>
      </c>
    </row>
    <row r="431" spans="1:7" x14ac:dyDescent="0.25">
      <c r="A431">
        <v>39712</v>
      </c>
      <c r="B431" t="s">
        <v>1048</v>
      </c>
      <c r="C431" t="s">
        <v>1210</v>
      </c>
      <c r="D431" s="3">
        <v>35461</v>
      </c>
      <c r="E431">
        <f t="shared" si="12"/>
        <v>1997</v>
      </c>
      <c r="F431">
        <f t="shared" ca="1" si="13"/>
        <v>28</v>
      </c>
      <c r="G431">
        <f>COUNTIF(BRON!A:A,'schades-leeftijd'!A431)</f>
        <v>4</v>
      </c>
    </row>
    <row r="432" spans="1:7" x14ac:dyDescent="0.25">
      <c r="A432">
        <v>39715</v>
      </c>
      <c r="B432" t="s">
        <v>2641</v>
      </c>
      <c r="C432" t="s">
        <v>2642</v>
      </c>
      <c r="D432" s="3">
        <v>29587</v>
      </c>
      <c r="E432">
        <f t="shared" si="12"/>
        <v>1981</v>
      </c>
      <c r="F432">
        <f t="shared" ca="1" si="13"/>
        <v>44</v>
      </c>
      <c r="G432">
        <f>COUNTIF(BRON!A:A,'schades-leeftijd'!A432)</f>
        <v>0</v>
      </c>
    </row>
    <row r="433" spans="1:7" x14ac:dyDescent="0.25">
      <c r="A433">
        <v>39728</v>
      </c>
      <c r="B433" t="s">
        <v>3294</v>
      </c>
      <c r="C433" t="s">
        <v>3295</v>
      </c>
      <c r="D433" s="3">
        <v>36347</v>
      </c>
      <c r="E433">
        <f t="shared" si="12"/>
        <v>1999</v>
      </c>
      <c r="F433">
        <f t="shared" ca="1" si="13"/>
        <v>26</v>
      </c>
      <c r="G433">
        <f>COUNTIF(BRON!A:A,'schades-leeftijd'!A433)</f>
        <v>2</v>
      </c>
    </row>
    <row r="434" spans="1:7" x14ac:dyDescent="0.25">
      <c r="A434">
        <v>39779</v>
      </c>
      <c r="B434" t="s">
        <v>2132</v>
      </c>
      <c r="C434" t="s">
        <v>2133</v>
      </c>
      <c r="D434" s="3">
        <v>33855</v>
      </c>
      <c r="E434">
        <f t="shared" si="12"/>
        <v>1992</v>
      </c>
      <c r="F434">
        <f t="shared" ca="1" si="13"/>
        <v>33</v>
      </c>
      <c r="G434">
        <f>COUNTIF(BRON!A:A,'schades-leeftijd'!A434)</f>
        <v>7</v>
      </c>
    </row>
    <row r="435" spans="1:7" x14ac:dyDescent="0.25">
      <c r="A435">
        <v>39829</v>
      </c>
      <c r="B435" t="s">
        <v>1692</v>
      </c>
      <c r="C435" t="s">
        <v>1693</v>
      </c>
      <c r="D435" s="3">
        <v>32321</v>
      </c>
      <c r="E435">
        <f t="shared" si="12"/>
        <v>1988</v>
      </c>
      <c r="F435">
        <f t="shared" ca="1" si="13"/>
        <v>37</v>
      </c>
      <c r="G435">
        <f>COUNTIF(BRON!A:A,'schades-leeftijd'!A435)</f>
        <v>2</v>
      </c>
    </row>
    <row r="436" spans="1:7" x14ac:dyDescent="0.25">
      <c r="A436">
        <v>39831</v>
      </c>
      <c r="B436" t="s">
        <v>2120</v>
      </c>
      <c r="C436" t="s">
        <v>2121</v>
      </c>
      <c r="D436" s="3">
        <v>35158</v>
      </c>
      <c r="E436">
        <f t="shared" si="12"/>
        <v>1996</v>
      </c>
      <c r="F436">
        <f t="shared" ca="1" si="13"/>
        <v>29</v>
      </c>
      <c r="G436">
        <f>COUNTIF(BRON!A:A,'schades-leeftijd'!A436)</f>
        <v>1</v>
      </c>
    </row>
    <row r="437" spans="1:7" x14ac:dyDescent="0.25">
      <c r="A437">
        <v>39850</v>
      </c>
      <c r="B437" t="s">
        <v>1477</v>
      </c>
      <c r="C437" t="s">
        <v>1478</v>
      </c>
      <c r="D437" s="3">
        <v>26488</v>
      </c>
      <c r="E437">
        <f t="shared" si="12"/>
        <v>1972</v>
      </c>
      <c r="F437">
        <f t="shared" ca="1" si="13"/>
        <v>53</v>
      </c>
      <c r="G437">
        <f>COUNTIF(BRON!A:A,'schades-leeftijd'!A437)</f>
        <v>2</v>
      </c>
    </row>
    <row r="438" spans="1:7" x14ac:dyDescent="0.25">
      <c r="A438">
        <v>39856</v>
      </c>
      <c r="B438" t="s">
        <v>3268</v>
      </c>
      <c r="C438" t="s">
        <v>3269</v>
      </c>
      <c r="D438" s="3">
        <v>33698</v>
      </c>
      <c r="E438">
        <f t="shared" si="12"/>
        <v>1992</v>
      </c>
      <c r="F438">
        <f t="shared" ca="1" si="13"/>
        <v>33</v>
      </c>
      <c r="G438">
        <f>COUNTIF(BRON!A:A,'schades-leeftijd'!A438)</f>
        <v>2</v>
      </c>
    </row>
    <row r="439" spans="1:7" x14ac:dyDescent="0.25">
      <c r="A439">
        <v>39858</v>
      </c>
      <c r="B439" t="s">
        <v>2952</v>
      </c>
      <c r="C439" t="s">
        <v>2953</v>
      </c>
      <c r="D439" s="3">
        <v>36686</v>
      </c>
      <c r="E439">
        <f t="shared" si="12"/>
        <v>2000</v>
      </c>
      <c r="F439">
        <f t="shared" ca="1" si="13"/>
        <v>25</v>
      </c>
      <c r="G439">
        <f>COUNTIF(BRON!A:A,'schades-leeftijd'!A439)</f>
        <v>2</v>
      </c>
    </row>
    <row r="440" spans="1:7" x14ac:dyDescent="0.25">
      <c r="A440">
        <v>39859</v>
      </c>
      <c r="B440" t="s">
        <v>2486</v>
      </c>
      <c r="C440" t="s">
        <v>2483</v>
      </c>
      <c r="D440" s="3">
        <v>29906</v>
      </c>
      <c r="E440">
        <f t="shared" si="12"/>
        <v>1981</v>
      </c>
      <c r="F440">
        <f t="shared" ca="1" si="13"/>
        <v>44</v>
      </c>
      <c r="G440">
        <f>COUNTIF(BRON!A:A,'schades-leeftijd'!A440)</f>
        <v>4</v>
      </c>
    </row>
    <row r="441" spans="1:7" x14ac:dyDescent="0.25">
      <c r="A441">
        <v>39889</v>
      </c>
      <c r="B441" t="s">
        <v>1852</v>
      </c>
      <c r="C441" t="s">
        <v>1853</v>
      </c>
      <c r="D441" s="3">
        <v>28307</v>
      </c>
      <c r="E441">
        <f t="shared" si="12"/>
        <v>1977</v>
      </c>
      <c r="F441">
        <f t="shared" ca="1" si="13"/>
        <v>48</v>
      </c>
      <c r="G441">
        <f>COUNTIF(BRON!A:A,'schades-leeftijd'!A441)</f>
        <v>1</v>
      </c>
    </row>
    <row r="442" spans="1:7" x14ac:dyDescent="0.25">
      <c r="A442">
        <v>39899</v>
      </c>
      <c r="B442" t="s">
        <v>3264</v>
      </c>
      <c r="C442" t="s">
        <v>3453</v>
      </c>
      <c r="D442" s="3">
        <v>22796</v>
      </c>
      <c r="E442">
        <f t="shared" si="12"/>
        <v>1962</v>
      </c>
      <c r="F442">
        <f t="shared" ca="1" si="13"/>
        <v>63</v>
      </c>
      <c r="G442">
        <f>COUNTIF(BRON!A:A,'schades-leeftijd'!A442)</f>
        <v>1</v>
      </c>
    </row>
    <row r="443" spans="1:7" x14ac:dyDescent="0.25">
      <c r="A443">
        <v>39901</v>
      </c>
      <c r="B443" t="s">
        <v>2645</v>
      </c>
      <c r="C443" t="s">
        <v>2646</v>
      </c>
      <c r="D443" s="3">
        <v>34727</v>
      </c>
      <c r="E443">
        <f t="shared" si="12"/>
        <v>1995</v>
      </c>
      <c r="F443">
        <f t="shared" ca="1" si="13"/>
        <v>30</v>
      </c>
      <c r="G443">
        <f>COUNTIF(BRON!A:A,'schades-leeftijd'!A443)</f>
        <v>1</v>
      </c>
    </row>
    <row r="444" spans="1:7" x14ac:dyDescent="0.25">
      <c r="A444">
        <v>39907</v>
      </c>
      <c r="B444" t="s">
        <v>3215</v>
      </c>
      <c r="C444" t="s">
        <v>3216</v>
      </c>
      <c r="D444" s="3">
        <v>29982</v>
      </c>
      <c r="E444">
        <f t="shared" si="12"/>
        <v>1982</v>
      </c>
      <c r="F444">
        <f t="shared" ca="1" si="13"/>
        <v>43</v>
      </c>
      <c r="G444">
        <f>COUNTIF(BRON!A:A,'schades-leeftijd'!A444)</f>
        <v>1</v>
      </c>
    </row>
    <row r="445" spans="1:7" x14ac:dyDescent="0.25">
      <c r="A445">
        <v>39927</v>
      </c>
      <c r="B445" t="s">
        <v>2545</v>
      </c>
      <c r="C445" t="s">
        <v>2546</v>
      </c>
      <c r="D445" s="3">
        <v>34161</v>
      </c>
      <c r="E445">
        <f t="shared" si="12"/>
        <v>1993</v>
      </c>
      <c r="F445">
        <f t="shared" ca="1" si="13"/>
        <v>32</v>
      </c>
      <c r="G445">
        <f>COUNTIF(BRON!A:A,'schades-leeftijd'!A445)</f>
        <v>2</v>
      </c>
    </row>
    <row r="446" spans="1:7" x14ac:dyDescent="0.25">
      <c r="A446">
        <v>39928</v>
      </c>
      <c r="B446" t="s">
        <v>3591</v>
      </c>
      <c r="C446" t="s">
        <v>3438</v>
      </c>
      <c r="D446" s="3">
        <v>35796</v>
      </c>
      <c r="E446">
        <f t="shared" si="12"/>
        <v>1998</v>
      </c>
      <c r="F446">
        <f t="shared" ca="1" si="13"/>
        <v>27</v>
      </c>
      <c r="G446">
        <f>COUNTIF(BRON!A:A,'schades-leeftijd'!A446)</f>
        <v>1</v>
      </c>
    </row>
    <row r="447" spans="1:7" x14ac:dyDescent="0.25">
      <c r="A447">
        <v>39929</v>
      </c>
      <c r="B447" t="s">
        <v>2268</v>
      </c>
      <c r="C447" t="s">
        <v>2269</v>
      </c>
      <c r="D447" s="3">
        <v>30553</v>
      </c>
      <c r="E447">
        <f t="shared" si="12"/>
        <v>1983</v>
      </c>
      <c r="F447">
        <f t="shared" ca="1" si="13"/>
        <v>42</v>
      </c>
      <c r="G447">
        <f>COUNTIF(BRON!A:A,'schades-leeftijd'!A447)</f>
        <v>9</v>
      </c>
    </row>
    <row r="448" spans="1:7" x14ac:dyDescent="0.25">
      <c r="A448">
        <v>39930</v>
      </c>
      <c r="B448" t="s">
        <v>1894</v>
      </c>
      <c r="C448" t="s">
        <v>1895</v>
      </c>
      <c r="D448" s="3">
        <v>33604</v>
      </c>
      <c r="E448">
        <f t="shared" si="12"/>
        <v>1992</v>
      </c>
      <c r="F448">
        <f t="shared" ca="1" si="13"/>
        <v>33</v>
      </c>
      <c r="G448">
        <f>COUNTIF(BRON!A:A,'schades-leeftijd'!A448)</f>
        <v>2</v>
      </c>
    </row>
    <row r="449" spans="1:7" x14ac:dyDescent="0.25">
      <c r="A449">
        <v>39985</v>
      </c>
      <c r="B449" t="s">
        <v>2330</v>
      </c>
      <c r="C449" t="s">
        <v>2331</v>
      </c>
      <c r="D449" s="3">
        <v>35670</v>
      </c>
      <c r="E449">
        <f t="shared" si="12"/>
        <v>1997</v>
      </c>
      <c r="F449">
        <f t="shared" ca="1" si="13"/>
        <v>28</v>
      </c>
      <c r="G449">
        <f>COUNTIF(BRON!A:A,'schades-leeftijd'!A449)</f>
        <v>0</v>
      </c>
    </row>
    <row r="450" spans="1:7" x14ac:dyDescent="0.25">
      <c r="A450">
        <v>39988</v>
      </c>
      <c r="B450" t="s">
        <v>2317</v>
      </c>
      <c r="C450" t="s">
        <v>2311</v>
      </c>
      <c r="D450" s="3">
        <v>30468</v>
      </c>
      <c r="E450">
        <f t="shared" si="12"/>
        <v>1983</v>
      </c>
      <c r="F450">
        <f t="shared" ca="1" si="13"/>
        <v>42</v>
      </c>
      <c r="G450">
        <f>COUNTIF(BRON!A:A,'schades-leeftijd'!A450)</f>
        <v>0</v>
      </c>
    </row>
    <row r="451" spans="1:7" x14ac:dyDescent="0.25">
      <c r="A451">
        <v>40005</v>
      </c>
      <c r="B451" t="s">
        <v>1917</v>
      </c>
      <c r="C451" t="s">
        <v>1918</v>
      </c>
      <c r="D451" s="3">
        <v>33365</v>
      </c>
      <c r="E451">
        <f t="shared" ref="E451:E514" si="14">YEAR(D451)</f>
        <v>1991</v>
      </c>
      <c r="F451">
        <f t="shared" ref="F451:F514" ca="1" si="15">YEAR(TODAY())-E451</f>
        <v>34</v>
      </c>
      <c r="G451">
        <f>COUNTIF(BRON!A:A,'schades-leeftijd'!A451)</f>
        <v>2</v>
      </c>
    </row>
    <row r="452" spans="1:7" x14ac:dyDescent="0.25">
      <c r="A452">
        <v>40006</v>
      </c>
      <c r="B452" t="s">
        <v>3101</v>
      </c>
      <c r="C452" t="s">
        <v>3251</v>
      </c>
      <c r="D452" s="3">
        <v>38314</v>
      </c>
      <c r="E452">
        <f t="shared" si="14"/>
        <v>2004</v>
      </c>
      <c r="F452">
        <f t="shared" ca="1" si="15"/>
        <v>21</v>
      </c>
      <c r="G452">
        <f>COUNTIF(BRON!A:A,'schades-leeftijd'!A452)</f>
        <v>1</v>
      </c>
    </row>
    <row r="453" spans="1:7" x14ac:dyDescent="0.25">
      <c r="A453">
        <v>40036</v>
      </c>
      <c r="B453" t="s">
        <v>2048</v>
      </c>
      <c r="C453" t="s">
        <v>2049</v>
      </c>
      <c r="D453" s="3">
        <v>28723</v>
      </c>
      <c r="E453">
        <f t="shared" si="14"/>
        <v>1978</v>
      </c>
      <c r="F453">
        <f t="shared" ca="1" si="15"/>
        <v>47</v>
      </c>
      <c r="G453">
        <f>COUNTIF(BRON!A:A,'schades-leeftijd'!A453)</f>
        <v>2</v>
      </c>
    </row>
    <row r="454" spans="1:7" x14ac:dyDescent="0.25">
      <c r="A454">
        <v>40055</v>
      </c>
      <c r="B454" t="s">
        <v>3369</v>
      </c>
      <c r="C454" t="s">
        <v>3370</v>
      </c>
      <c r="D454" s="3">
        <v>34746</v>
      </c>
      <c r="E454">
        <f t="shared" si="14"/>
        <v>1995</v>
      </c>
      <c r="F454">
        <f t="shared" ca="1" si="15"/>
        <v>30</v>
      </c>
      <c r="G454">
        <f>COUNTIF(BRON!A:A,'schades-leeftijd'!A454)</f>
        <v>2</v>
      </c>
    </row>
    <row r="455" spans="1:7" x14ac:dyDescent="0.25">
      <c r="A455">
        <v>40058</v>
      </c>
      <c r="B455" t="s">
        <v>3176</v>
      </c>
      <c r="C455" t="s">
        <v>3177</v>
      </c>
      <c r="D455" s="3">
        <v>37636</v>
      </c>
      <c r="E455">
        <f t="shared" si="14"/>
        <v>2003</v>
      </c>
      <c r="F455">
        <f t="shared" ca="1" si="15"/>
        <v>22</v>
      </c>
      <c r="G455">
        <f>COUNTIF(BRON!A:A,'schades-leeftijd'!A455)</f>
        <v>3</v>
      </c>
    </row>
    <row r="456" spans="1:7" x14ac:dyDescent="0.25">
      <c r="A456">
        <v>40110</v>
      </c>
      <c r="B456" t="s">
        <v>1738</v>
      </c>
      <c r="C456" t="s">
        <v>1733</v>
      </c>
      <c r="D456" s="3">
        <v>26869</v>
      </c>
      <c r="E456">
        <f t="shared" si="14"/>
        <v>1973</v>
      </c>
      <c r="F456">
        <f t="shared" ca="1" si="15"/>
        <v>52</v>
      </c>
      <c r="G456">
        <f>COUNTIF(BRON!A:A,'schades-leeftijd'!A456)</f>
        <v>7</v>
      </c>
    </row>
    <row r="457" spans="1:7" x14ac:dyDescent="0.25">
      <c r="A457">
        <v>40134</v>
      </c>
      <c r="B457" t="s">
        <v>1689</v>
      </c>
      <c r="C457" t="s">
        <v>1686</v>
      </c>
      <c r="D457" s="3">
        <v>34917</v>
      </c>
      <c r="E457">
        <f t="shared" si="14"/>
        <v>1995</v>
      </c>
      <c r="F457">
        <f t="shared" ca="1" si="15"/>
        <v>30</v>
      </c>
      <c r="G457">
        <f>COUNTIF(BRON!A:A,'schades-leeftijd'!A457)</f>
        <v>4</v>
      </c>
    </row>
    <row r="458" spans="1:7" x14ac:dyDescent="0.25">
      <c r="A458">
        <v>40138</v>
      </c>
      <c r="B458" t="s">
        <v>1578</v>
      </c>
      <c r="C458" t="s">
        <v>1579</v>
      </c>
      <c r="D458" s="3">
        <v>37726</v>
      </c>
      <c r="E458">
        <f t="shared" si="14"/>
        <v>2003</v>
      </c>
      <c r="F458">
        <f t="shared" ca="1" si="15"/>
        <v>22</v>
      </c>
      <c r="G458">
        <f>COUNTIF(BRON!A:A,'schades-leeftijd'!A458)</f>
        <v>10</v>
      </c>
    </row>
    <row r="459" spans="1:7" x14ac:dyDescent="0.25">
      <c r="A459">
        <v>40143</v>
      </c>
      <c r="B459" t="s">
        <v>2202</v>
      </c>
      <c r="C459" t="s">
        <v>2203</v>
      </c>
      <c r="D459" s="3">
        <v>33333</v>
      </c>
      <c r="E459">
        <f t="shared" si="14"/>
        <v>1991</v>
      </c>
      <c r="F459">
        <f t="shared" ca="1" si="15"/>
        <v>34</v>
      </c>
      <c r="G459">
        <f>COUNTIF(BRON!A:A,'schades-leeftijd'!A459)</f>
        <v>0</v>
      </c>
    </row>
    <row r="460" spans="1:7" x14ac:dyDescent="0.25">
      <c r="A460">
        <v>40200</v>
      </c>
      <c r="B460" t="s">
        <v>2444</v>
      </c>
      <c r="C460" t="s">
        <v>2445</v>
      </c>
      <c r="D460" s="3">
        <v>33970</v>
      </c>
      <c r="E460">
        <f t="shared" si="14"/>
        <v>1993</v>
      </c>
      <c r="F460">
        <f t="shared" ca="1" si="15"/>
        <v>32</v>
      </c>
      <c r="G460">
        <f>COUNTIF(BRON!A:A,'schades-leeftijd'!A460)</f>
        <v>2</v>
      </c>
    </row>
    <row r="461" spans="1:7" x14ac:dyDescent="0.25">
      <c r="A461">
        <v>40201</v>
      </c>
      <c r="B461" t="s">
        <v>3087</v>
      </c>
      <c r="C461" t="s">
        <v>3321</v>
      </c>
      <c r="D461" s="3">
        <v>37879</v>
      </c>
      <c r="E461">
        <f t="shared" si="14"/>
        <v>2003</v>
      </c>
      <c r="F461">
        <f t="shared" ca="1" si="15"/>
        <v>22</v>
      </c>
      <c r="G461">
        <f>COUNTIF(BRON!A:A,'schades-leeftijd'!A461)</f>
        <v>0</v>
      </c>
    </row>
    <row r="462" spans="1:7" x14ac:dyDescent="0.25">
      <c r="A462">
        <v>40222</v>
      </c>
      <c r="B462" t="s">
        <v>1685</v>
      </c>
      <c r="C462" t="s">
        <v>1686</v>
      </c>
      <c r="D462" s="3">
        <v>35955</v>
      </c>
      <c r="E462">
        <f t="shared" si="14"/>
        <v>1998</v>
      </c>
      <c r="F462">
        <f t="shared" ca="1" si="15"/>
        <v>27</v>
      </c>
      <c r="G462">
        <f>COUNTIF(BRON!A:A,'schades-leeftijd'!A462)</f>
        <v>2</v>
      </c>
    </row>
    <row r="463" spans="1:7" x14ac:dyDescent="0.25">
      <c r="A463">
        <v>40264</v>
      </c>
      <c r="B463" t="s">
        <v>2541</v>
      </c>
      <c r="C463" t="s">
        <v>2542</v>
      </c>
      <c r="D463" s="3">
        <v>32793</v>
      </c>
      <c r="E463">
        <f t="shared" si="14"/>
        <v>1989</v>
      </c>
      <c r="F463">
        <f t="shared" ca="1" si="15"/>
        <v>36</v>
      </c>
      <c r="G463">
        <f>COUNTIF(BRON!A:A,'schades-leeftijd'!A463)</f>
        <v>0</v>
      </c>
    </row>
    <row r="464" spans="1:7" x14ac:dyDescent="0.25">
      <c r="A464">
        <v>40266</v>
      </c>
      <c r="B464" t="s">
        <v>1421</v>
      </c>
      <c r="C464" t="s">
        <v>1422</v>
      </c>
      <c r="D464" s="3">
        <v>35989</v>
      </c>
      <c r="E464">
        <f t="shared" si="14"/>
        <v>1998</v>
      </c>
      <c r="F464">
        <f t="shared" ca="1" si="15"/>
        <v>27</v>
      </c>
      <c r="G464">
        <f>COUNTIF(BRON!A:A,'schades-leeftijd'!A464)</f>
        <v>3</v>
      </c>
    </row>
    <row r="465" spans="1:7" x14ac:dyDescent="0.25">
      <c r="A465">
        <v>40278</v>
      </c>
      <c r="B465" t="s">
        <v>2875</v>
      </c>
      <c r="C465" t="s">
        <v>2876</v>
      </c>
      <c r="D465" s="3">
        <v>30353</v>
      </c>
      <c r="E465">
        <f t="shared" si="14"/>
        <v>1983</v>
      </c>
      <c r="F465">
        <f t="shared" ca="1" si="15"/>
        <v>42</v>
      </c>
      <c r="G465">
        <f>COUNTIF(BRON!A:A,'schades-leeftijd'!A465)</f>
        <v>4</v>
      </c>
    </row>
    <row r="466" spans="1:7" x14ac:dyDescent="0.25">
      <c r="A466">
        <v>40294</v>
      </c>
      <c r="B466" t="s">
        <v>3324</v>
      </c>
      <c r="C466" t="s">
        <v>3325</v>
      </c>
      <c r="D466" s="3">
        <v>33604</v>
      </c>
      <c r="E466">
        <f t="shared" si="14"/>
        <v>1992</v>
      </c>
      <c r="F466">
        <f t="shared" ca="1" si="15"/>
        <v>33</v>
      </c>
      <c r="G466">
        <f>COUNTIF(BRON!A:A,'schades-leeftijd'!A466)</f>
        <v>1</v>
      </c>
    </row>
    <row r="467" spans="1:7" x14ac:dyDescent="0.25">
      <c r="A467">
        <v>40362</v>
      </c>
      <c r="B467" t="s">
        <v>3163</v>
      </c>
      <c r="C467" t="s">
        <v>1701</v>
      </c>
      <c r="D467" s="3">
        <v>28613</v>
      </c>
      <c r="E467">
        <f t="shared" si="14"/>
        <v>1978</v>
      </c>
      <c r="F467">
        <f t="shared" ca="1" si="15"/>
        <v>47</v>
      </c>
      <c r="G467">
        <f>COUNTIF(BRON!A:A,'schades-leeftijd'!A467)</f>
        <v>3</v>
      </c>
    </row>
    <row r="468" spans="1:7" x14ac:dyDescent="0.25">
      <c r="A468">
        <v>40393</v>
      </c>
      <c r="B468" t="s">
        <v>2912</v>
      </c>
      <c r="C468" t="s">
        <v>2913</v>
      </c>
      <c r="D468" s="3">
        <v>35772</v>
      </c>
      <c r="E468">
        <f t="shared" si="14"/>
        <v>1997</v>
      </c>
      <c r="F468">
        <f t="shared" ca="1" si="15"/>
        <v>28</v>
      </c>
      <c r="G468">
        <f>COUNTIF(BRON!A:A,'schades-leeftijd'!A468)</f>
        <v>1</v>
      </c>
    </row>
    <row r="469" spans="1:7" x14ac:dyDescent="0.25">
      <c r="A469">
        <v>40400</v>
      </c>
      <c r="B469" t="s">
        <v>2832</v>
      </c>
      <c r="C469" t="s">
        <v>2833</v>
      </c>
      <c r="D469" s="3">
        <v>25646</v>
      </c>
      <c r="E469">
        <f t="shared" si="14"/>
        <v>1970</v>
      </c>
      <c r="F469">
        <f t="shared" ca="1" si="15"/>
        <v>55</v>
      </c>
      <c r="G469">
        <f>COUNTIF(BRON!A:A,'schades-leeftijd'!A469)</f>
        <v>0</v>
      </c>
    </row>
    <row r="470" spans="1:7" x14ac:dyDescent="0.25">
      <c r="A470">
        <v>40403</v>
      </c>
      <c r="B470" t="s">
        <v>2198</v>
      </c>
      <c r="C470" t="s">
        <v>2199</v>
      </c>
      <c r="D470" s="3">
        <v>28898</v>
      </c>
      <c r="E470">
        <f t="shared" si="14"/>
        <v>1979</v>
      </c>
      <c r="F470">
        <f t="shared" ca="1" si="15"/>
        <v>46</v>
      </c>
      <c r="G470">
        <f>COUNTIF(BRON!A:A,'schades-leeftijd'!A470)</f>
        <v>3</v>
      </c>
    </row>
    <row r="471" spans="1:7" x14ac:dyDescent="0.25">
      <c r="A471">
        <v>40414</v>
      </c>
      <c r="B471" t="s">
        <v>2440</v>
      </c>
      <c r="C471" t="s">
        <v>2441</v>
      </c>
      <c r="D471" s="3">
        <v>37300</v>
      </c>
      <c r="E471">
        <f t="shared" si="14"/>
        <v>2002</v>
      </c>
      <c r="F471">
        <f t="shared" ca="1" si="15"/>
        <v>23</v>
      </c>
      <c r="G471">
        <f>COUNTIF(BRON!A:A,'schades-leeftijd'!A471)</f>
        <v>1</v>
      </c>
    </row>
    <row r="472" spans="1:7" x14ac:dyDescent="0.25">
      <c r="A472">
        <v>40421</v>
      </c>
      <c r="B472" t="s">
        <v>2934</v>
      </c>
      <c r="C472" t="s">
        <v>2931</v>
      </c>
      <c r="D472" s="3">
        <v>20536</v>
      </c>
      <c r="E472">
        <f t="shared" si="14"/>
        <v>1956</v>
      </c>
      <c r="F472">
        <f t="shared" ca="1" si="15"/>
        <v>69</v>
      </c>
      <c r="G472">
        <f>COUNTIF(BRON!A:A,'schades-leeftijd'!A472)</f>
        <v>0</v>
      </c>
    </row>
    <row r="473" spans="1:7" x14ac:dyDescent="0.25">
      <c r="A473">
        <v>40422</v>
      </c>
      <c r="B473" t="s">
        <v>1950</v>
      </c>
      <c r="C473" t="s">
        <v>1951</v>
      </c>
      <c r="D473" s="3">
        <v>20716</v>
      </c>
      <c r="E473">
        <f t="shared" si="14"/>
        <v>1956</v>
      </c>
      <c r="F473">
        <f t="shared" ca="1" si="15"/>
        <v>69</v>
      </c>
      <c r="G473">
        <f>COUNTIF(BRON!A:A,'schades-leeftijd'!A473)</f>
        <v>0</v>
      </c>
    </row>
    <row r="474" spans="1:7" x14ac:dyDescent="0.25">
      <c r="A474">
        <v>40443</v>
      </c>
      <c r="B474" t="s">
        <v>2314</v>
      </c>
      <c r="C474" t="s">
        <v>2311</v>
      </c>
      <c r="D474" s="3">
        <v>37624</v>
      </c>
      <c r="E474">
        <f t="shared" si="14"/>
        <v>2003</v>
      </c>
      <c r="F474">
        <f t="shared" ca="1" si="15"/>
        <v>22</v>
      </c>
      <c r="G474">
        <f>COUNTIF(BRON!A:A,'schades-leeftijd'!A474)</f>
        <v>1</v>
      </c>
    </row>
    <row r="475" spans="1:7" x14ac:dyDescent="0.25">
      <c r="A475">
        <v>40444</v>
      </c>
      <c r="B475" t="s">
        <v>1959</v>
      </c>
      <c r="C475" t="s">
        <v>2792</v>
      </c>
      <c r="D475" s="3">
        <v>34034</v>
      </c>
      <c r="E475">
        <f t="shared" si="14"/>
        <v>1993</v>
      </c>
      <c r="F475">
        <f t="shared" ca="1" si="15"/>
        <v>32</v>
      </c>
      <c r="G475">
        <f>COUNTIF(BRON!A:A,'schades-leeftijd'!A475)</f>
        <v>1</v>
      </c>
    </row>
    <row r="476" spans="1:7" x14ac:dyDescent="0.25">
      <c r="A476">
        <v>40469</v>
      </c>
      <c r="B476" t="s">
        <v>2728</v>
      </c>
      <c r="C476" t="s">
        <v>2729</v>
      </c>
      <c r="D476" s="3">
        <v>29573</v>
      </c>
      <c r="E476">
        <f t="shared" si="14"/>
        <v>1980</v>
      </c>
      <c r="F476">
        <f t="shared" ca="1" si="15"/>
        <v>45</v>
      </c>
      <c r="G476">
        <f>COUNTIF(BRON!A:A,'schades-leeftijd'!A476)</f>
        <v>0</v>
      </c>
    </row>
    <row r="477" spans="1:7" x14ac:dyDescent="0.25">
      <c r="A477">
        <v>40478</v>
      </c>
      <c r="B477" t="s">
        <v>3373</v>
      </c>
      <c r="C477" t="s">
        <v>3374</v>
      </c>
      <c r="D477" s="3">
        <v>36547</v>
      </c>
      <c r="E477">
        <f t="shared" si="14"/>
        <v>2000</v>
      </c>
      <c r="F477">
        <f t="shared" ca="1" si="15"/>
        <v>25</v>
      </c>
      <c r="G477">
        <f>COUNTIF(BRON!A:A,'schades-leeftijd'!A477)</f>
        <v>4</v>
      </c>
    </row>
    <row r="478" spans="1:7" x14ac:dyDescent="0.25">
      <c r="A478">
        <v>40486</v>
      </c>
      <c r="B478" t="s">
        <v>2291</v>
      </c>
      <c r="C478" t="s">
        <v>2292</v>
      </c>
      <c r="D478" s="3">
        <v>36922</v>
      </c>
      <c r="E478">
        <f t="shared" si="14"/>
        <v>2001</v>
      </c>
      <c r="F478">
        <f t="shared" ca="1" si="15"/>
        <v>24</v>
      </c>
      <c r="G478">
        <f>COUNTIF(BRON!A:A,'schades-leeftijd'!A478)</f>
        <v>1</v>
      </c>
    </row>
    <row r="479" spans="1:7" x14ac:dyDescent="0.25">
      <c r="A479">
        <v>40521</v>
      </c>
      <c r="B479" t="s">
        <v>3377</v>
      </c>
      <c r="C479" t="s">
        <v>3378</v>
      </c>
      <c r="D479" s="3">
        <v>31462</v>
      </c>
      <c r="E479">
        <f t="shared" si="14"/>
        <v>1986</v>
      </c>
      <c r="F479">
        <f t="shared" ca="1" si="15"/>
        <v>39</v>
      </c>
      <c r="G479">
        <f>COUNTIF(BRON!A:A,'schades-leeftijd'!A479)</f>
        <v>2</v>
      </c>
    </row>
    <row r="480" spans="1:7" x14ac:dyDescent="0.25">
      <c r="A480">
        <v>40590</v>
      </c>
      <c r="B480" t="s">
        <v>2361</v>
      </c>
      <c r="C480" t="s">
        <v>2362</v>
      </c>
      <c r="D480" s="3">
        <v>31306</v>
      </c>
      <c r="E480">
        <f t="shared" si="14"/>
        <v>1985</v>
      </c>
      <c r="F480">
        <f t="shared" ca="1" si="15"/>
        <v>40</v>
      </c>
      <c r="G480">
        <f>COUNTIF(BRON!A:A,'schades-leeftijd'!A480)</f>
        <v>0</v>
      </c>
    </row>
    <row r="481" spans="1:7" x14ac:dyDescent="0.25">
      <c r="A481">
        <v>40591</v>
      </c>
      <c r="B481" t="s">
        <v>2310</v>
      </c>
      <c r="C481" t="s">
        <v>2311</v>
      </c>
      <c r="D481" s="3">
        <v>27167</v>
      </c>
      <c r="E481">
        <f t="shared" si="14"/>
        <v>1974</v>
      </c>
      <c r="F481">
        <f t="shared" ca="1" si="15"/>
        <v>51</v>
      </c>
      <c r="G481">
        <f>COUNTIF(BRON!A:A,'schades-leeftijd'!A481)</f>
        <v>2</v>
      </c>
    </row>
    <row r="482" spans="1:7" x14ac:dyDescent="0.25">
      <c r="A482">
        <v>40608</v>
      </c>
      <c r="B482" t="s">
        <v>3005</v>
      </c>
      <c r="C482" t="s">
        <v>3006</v>
      </c>
      <c r="D482" s="3">
        <v>34274</v>
      </c>
      <c r="E482">
        <f t="shared" si="14"/>
        <v>1993</v>
      </c>
      <c r="F482">
        <f t="shared" ca="1" si="15"/>
        <v>32</v>
      </c>
      <c r="G482">
        <f>COUNTIF(BRON!A:A,'schades-leeftijd'!A482)</f>
        <v>1</v>
      </c>
    </row>
    <row r="483" spans="1:7" x14ac:dyDescent="0.25">
      <c r="A483">
        <v>40645</v>
      </c>
      <c r="B483" t="s">
        <v>2622</v>
      </c>
      <c r="C483" t="s">
        <v>2623</v>
      </c>
      <c r="D483" s="3">
        <v>34393</v>
      </c>
      <c r="E483">
        <f t="shared" si="14"/>
        <v>1994</v>
      </c>
      <c r="F483">
        <f t="shared" ca="1" si="15"/>
        <v>31</v>
      </c>
      <c r="G483">
        <f>COUNTIF(BRON!A:A,'schades-leeftijd'!A483)</f>
        <v>2</v>
      </c>
    </row>
    <row r="484" spans="1:7" x14ac:dyDescent="0.25">
      <c r="A484">
        <v>40652</v>
      </c>
      <c r="B484" t="s">
        <v>1959</v>
      </c>
      <c r="C484" t="s">
        <v>2800</v>
      </c>
      <c r="D484" s="3">
        <v>36483</v>
      </c>
      <c r="E484">
        <f t="shared" si="14"/>
        <v>1999</v>
      </c>
      <c r="F484">
        <f t="shared" ca="1" si="15"/>
        <v>26</v>
      </c>
      <c r="G484">
        <f>COUNTIF(BRON!A:A,'schades-leeftijd'!A484)</f>
        <v>7</v>
      </c>
    </row>
    <row r="485" spans="1:7" x14ac:dyDescent="0.25">
      <c r="A485">
        <v>40744</v>
      </c>
      <c r="B485" t="s">
        <v>1531</v>
      </c>
      <c r="C485" t="s">
        <v>1532</v>
      </c>
      <c r="D485" s="3">
        <v>34859</v>
      </c>
      <c r="E485">
        <f t="shared" si="14"/>
        <v>1995</v>
      </c>
      <c r="F485">
        <f t="shared" ca="1" si="15"/>
        <v>30</v>
      </c>
      <c r="G485">
        <f>COUNTIF(BRON!A:A,'schades-leeftijd'!A485)</f>
        <v>6</v>
      </c>
    </row>
    <row r="486" spans="1:7" x14ac:dyDescent="0.25">
      <c r="A486">
        <v>40745</v>
      </c>
      <c r="B486" t="s">
        <v>2656</v>
      </c>
      <c r="C486" t="s">
        <v>2657</v>
      </c>
      <c r="D486" s="3">
        <v>33523</v>
      </c>
      <c r="E486">
        <f t="shared" si="14"/>
        <v>1991</v>
      </c>
      <c r="F486">
        <f t="shared" ca="1" si="15"/>
        <v>34</v>
      </c>
      <c r="G486">
        <f>COUNTIF(BRON!A:A,'schades-leeftijd'!A486)</f>
        <v>1</v>
      </c>
    </row>
    <row r="487" spans="1:7" x14ac:dyDescent="0.25">
      <c r="A487">
        <v>40761</v>
      </c>
      <c r="B487" t="s">
        <v>1467</v>
      </c>
      <c r="C487" t="s">
        <v>1452</v>
      </c>
      <c r="D487" s="3">
        <v>27082</v>
      </c>
      <c r="E487">
        <f t="shared" si="14"/>
        <v>1974</v>
      </c>
      <c r="F487">
        <f t="shared" ca="1" si="15"/>
        <v>51</v>
      </c>
      <c r="G487">
        <f>COUNTIF(BRON!A:A,'schades-leeftijd'!A487)</f>
        <v>1</v>
      </c>
    </row>
    <row r="488" spans="1:7" x14ac:dyDescent="0.25">
      <c r="A488">
        <v>40856</v>
      </c>
      <c r="B488" t="s">
        <v>1777</v>
      </c>
      <c r="C488" t="s">
        <v>1778</v>
      </c>
      <c r="D488" s="3">
        <v>31148</v>
      </c>
      <c r="E488">
        <f t="shared" si="14"/>
        <v>1985</v>
      </c>
      <c r="F488">
        <f t="shared" ca="1" si="15"/>
        <v>40</v>
      </c>
      <c r="G488">
        <f>COUNTIF(BRON!A:A,'schades-leeftijd'!A488)</f>
        <v>5</v>
      </c>
    </row>
    <row r="489" spans="1:7" x14ac:dyDescent="0.25">
      <c r="A489">
        <v>40859</v>
      </c>
      <c r="B489" t="s">
        <v>3468</v>
      </c>
      <c r="C489" t="s">
        <v>3469</v>
      </c>
      <c r="D489" s="3">
        <v>29961</v>
      </c>
      <c r="E489">
        <f t="shared" si="14"/>
        <v>1982</v>
      </c>
      <c r="F489">
        <f t="shared" ca="1" si="15"/>
        <v>43</v>
      </c>
      <c r="G489">
        <f>COUNTIF(BRON!A:A,'schades-leeftijd'!A489)</f>
        <v>4</v>
      </c>
    </row>
    <row r="490" spans="1:7" x14ac:dyDescent="0.25">
      <c r="A490">
        <v>40890</v>
      </c>
      <c r="B490" t="s">
        <v>3247</v>
      </c>
      <c r="C490" t="s">
        <v>3248</v>
      </c>
      <c r="D490" s="3">
        <v>37705</v>
      </c>
      <c r="E490">
        <f t="shared" si="14"/>
        <v>2003</v>
      </c>
      <c r="F490">
        <f t="shared" ca="1" si="15"/>
        <v>22</v>
      </c>
      <c r="G490">
        <f>COUNTIF(BRON!A:A,'schades-leeftijd'!A490)</f>
        <v>0</v>
      </c>
    </row>
    <row r="491" spans="1:7" x14ac:dyDescent="0.25">
      <c r="A491">
        <v>40938</v>
      </c>
      <c r="B491" t="s">
        <v>2080</v>
      </c>
      <c r="C491" t="s">
        <v>2081</v>
      </c>
      <c r="D491" s="3">
        <v>31961</v>
      </c>
      <c r="E491">
        <f t="shared" si="14"/>
        <v>1987</v>
      </c>
      <c r="F491">
        <f t="shared" ca="1" si="15"/>
        <v>38</v>
      </c>
      <c r="G491">
        <f>COUNTIF(BRON!A:A,'schades-leeftijd'!A491)</f>
        <v>4</v>
      </c>
    </row>
    <row r="492" spans="1:7" x14ac:dyDescent="0.25">
      <c r="A492">
        <v>40939</v>
      </c>
      <c r="B492" t="s">
        <v>1721</v>
      </c>
      <c r="C492" t="s">
        <v>1722</v>
      </c>
      <c r="D492" s="3">
        <v>37866</v>
      </c>
      <c r="E492">
        <f t="shared" si="14"/>
        <v>2003</v>
      </c>
      <c r="F492">
        <f t="shared" ca="1" si="15"/>
        <v>22</v>
      </c>
      <c r="G492">
        <f>COUNTIF(BRON!A:A,'schades-leeftijd'!A492)</f>
        <v>3</v>
      </c>
    </row>
    <row r="493" spans="1:7" x14ac:dyDescent="0.25">
      <c r="A493">
        <v>41012</v>
      </c>
      <c r="B493" t="s">
        <v>1412</v>
      </c>
      <c r="C493" t="s">
        <v>1413</v>
      </c>
      <c r="D493" s="3">
        <v>27187</v>
      </c>
      <c r="E493">
        <f t="shared" si="14"/>
        <v>1974</v>
      </c>
      <c r="F493">
        <f t="shared" ca="1" si="15"/>
        <v>51</v>
      </c>
      <c r="G493">
        <f>COUNTIF(BRON!A:A,'schades-leeftijd'!A493)</f>
        <v>2</v>
      </c>
    </row>
    <row r="494" spans="1:7" x14ac:dyDescent="0.25">
      <c r="A494">
        <v>41032</v>
      </c>
      <c r="B494" t="s">
        <v>2342</v>
      </c>
      <c r="C494" t="s">
        <v>2343</v>
      </c>
      <c r="D494" s="3">
        <v>36725</v>
      </c>
      <c r="E494">
        <f t="shared" si="14"/>
        <v>2000</v>
      </c>
      <c r="F494">
        <f t="shared" ca="1" si="15"/>
        <v>25</v>
      </c>
      <c r="G494">
        <f>COUNTIF(BRON!A:A,'schades-leeftijd'!A494)</f>
        <v>4</v>
      </c>
    </row>
    <row r="495" spans="1:7" x14ac:dyDescent="0.25">
      <c r="A495">
        <v>41064</v>
      </c>
      <c r="B495" t="s">
        <v>3313</v>
      </c>
      <c r="C495" t="s">
        <v>3314</v>
      </c>
      <c r="D495" s="3">
        <v>37647</v>
      </c>
      <c r="E495">
        <f t="shared" si="14"/>
        <v>2003</v>
      </c>
      <c r="F495">
        <f t="shared" ca="1" si="15"/>
        <v>22</v>
      </c>
      <c r="G495">
        <f>COUNTIF(BRON!A:A,'schades-leeftijd'!A495)</f>
        <v>2</v>
      </c>
    </row>
    <row r="496" spans="1:7" x14ac:dyDescent="0.25">
      <c r="A496">
        <v>41091</v>
      </c>
      <c r="B496" t="s">
        <v>1611</v>
      </c>
      <c r="C496" t="s">
        <v>1612</v>
      </c>
      <c r="D496" s="3">
        <v>32903</v>
      </c>
      <c r="E496">
        <f t="shared" si="14"/>
        <v>1990</v>
      </c>
      <c r="F496">
        <f t="shared" ca="1" si="15"/>
        <v>35</v>
      </c>
      <c r="G496">
        <f>COUNTIF(BRON!A:A,'schades-leeftijd'!A496)</f>
        <v>2</v>
      </c>
    </row>
    <row r="497" spans="1:7" x14ac:dyDescent="0.25">
      <c r="A497">
        <v>41092</v>
      </c>
      <c r="B497" t="s">
        <v>2986</v>
      </c>
      <c r="C497" t="s">
        <v>2987</v>
      </c>
      <c r="D497" s="3">
        <v>29089</v>
      </c>
      <c r="E497">
        <f t="shared" si="14"/>
        <v>1979</v>
      </c>
      <c r="F497">
        <f t="shared" ca="1" si="15"/>
        <v>46</v>
      </c>
      <c r="G497">
        <f>COUNTIF(BRON!A:A,'schades-leeftijd'!A497)</f>
        <v>8</v>
      </c>
    </row>
    <row r="498" spans="1:7" x14ac:dyDescent="0.25">
      <c r="A498">
        <v>41101</v>
      </c>
      <c r="B498" t="s">
        <v>1709</v>
      </c>
      <c r="C498" t="s">
        <v>1710</v>
      </c>
      <c r="D498" s="3">
        <v>35419</v>
      </c>
      <c r="E498">
        <f t="shared" si="14"/>
        <v>1996</v>
      </c>
      <c r="F498">
        <f t="shared" ca="1" si="15"/>
        <v>29</v>
      </c>
      <c r="G498">
        <f>COUNTIF(BRON!A:A,'schades-leeftijd'!A498)</f>
        <v>1</v>
      </c>
    </row>
    <row r="499" spans="1:7" x14ac:dyDescent="0.25">
      <c r="A499">
        <v>41137</v>
      </c>
      <c r="B499" t="s">
        <v>3018</v>
      </c>
      <c r="C499" t="s">
        <v>3015</v>
      </c>
      <c r="D499" s="3">
        <v>25087</v>
      </c>
      <c r="E499">
        <f t="shared" si="14"/>
        <v>1968</v>
      </c>
      <c r="F499">
        <f t="shared" ca="1" si="15"/>
        <v>57</v>
      </c>
      <c r="G499">
        <f>COUNTIF(BRON!A:A,'schades-leeftijd'!A499)</f>
        <v>1</v>
      </c>
    </row>
    <row r="500" spans="1:7" x14ac:dyDescent="0.25">
      <c r="A500">
        <v>41162</v>
      </c>
      <c r="B500" t="s">
        <v>2595</v>
      </c>
      <c r="C500" t="s">
        <v>2596</v>
      </c>
      <c r="D500" s="3">
        <v>28323</v>
      </c>
      <c r="E500">
        <f t="shared" si="14"/>
        <v>1977</v>
      </c>
      <c r="F500">
        <f t="shared" ca="1" si="15"/>
        <v>48</v>
      </c>
      <c r="G500">
        <f>COUNTIF(BRON!A:A,'schades-leeftijd'!A500)</f>
        <v>5</v>
      </c>
    </row>
    <row r="501" spans="1:7" x14ac:dyDescent="0.25">
      <c r="A501">
        <v>41230</v>
      </c>
      <c r="B501" t="s">
        <v>3279</v>
      </c>
      <c r="C501" t="s">
        <v>1351</v>
      </c>
      <c r="D501" s="3">
        <v>27424</v>
      </c>
      <c r="E501">
        <f t="shared" si="14"/>
        <v>1975</v>
      </c>
      <c r="F501">
        <f t="shared" ca="1" si="15"/>
        <v>50</v>
      </c>
      <c r="G501">
        <f>COUNTIF(BRON!A:A,'schades-leeftijd'!A501)</f>
        <v>2</v>
      </c>
    </row>
    <row r="502" spans="1:7" x14ac:dyDescent="0.25">
      <c r="A502">
        <v>41246</v>
      </c>
      <c r="B502" t="s">
        <v>1443</v>
      </c>
      <c r="C502" t="s">
        <v>1444</v>
      </c>
      <c r="D502" s="3">
        <v>36623</v>
      </c>
      <c r="E502">
        <f t="shared" si="14"/>
        <v>2000</v>
      </c>
      <c r="F502">
        <f t="shared" ca="1" si="15"/>
        <v>25</v>
      </c>
      <c r="G502">
        <f>COUNTIF(BRON!A:A,'schades-leeftijd'!A502)</f>
        <v>3</v>
      </c>
    </row>
    <row r="503" spans="1:7" x14ac:dyDescent="0.25">
      <c r="A503">
        <v>41296</v>
      </c>
      <c r="B503" t="s">
        <v>2052</v>
      </c>
      <c r="C503" t="s">
        <v>2053</v>
      </c>
      <c r="D503" s="3">
        <v>36719</v>
      </c>
      <c r="E503">
        <f t="shared" si="14"/>
        <v>2000</v>
      </c>
      <c r="F503">
        <f t="shared" ca="1" si="15"/>
        <v>25</v>
      </c>
      <c r="G503">
        <f>COUNTIF(BRON!A:A,'schades-leeftijd'!A503)</f>
        <v>2</v>
      </c>
    </row>
    <row r="504" spans="1:7" x14ac:dyDescent="0.25">
      <c r="A504">
        <v>41344</v>
      </c>
      <c r="B504" t="s">
        <v>2549</v>
      </c>
      <c r="C504" t="s">
        <v>2550</v>
      </c>
      <c r="D504" s="3">
        <v>34983</v>
      </c>
      <c r="E504">
        <f t="shared" si="14"/>
        <v>1995</v>
      </c>
      <c r="F504">
        <f t="shared" ca="1" si="15"/>
        <v>30</v>
      </c>
      <c r="G504">
        <f>COUNTIF(BRON!A:A,'schades-leeftijd'!A504)</f>
        <v>0</v>
      </c>
    </row>
    <row r="505" spans="1:7" x14ac:dyDescent="0.25">
      <c r="A505">
        <v>41348</v>
      </c>
      <c r="B505" t="s">
        <v>1582</v>
      </c>
      <c r="C505" t="s">
        <v>1583</v>
      </c>
      <c r="D505" s="3">
        <v>35443</v>
      </c>
      <c r="E505">
        <f t="shared" si="14"/>
        <v>1997</v>
      </c>
      <c r="F505">
        <f t="shared" ca="1" si="15"/>
        <v>28</v>
      </c>
      <c r="G505">
        <f>COUNTIF(BRON!A:A,'schades-leeftijd'!A505)</f>
        <v>1</v>
      </c>
    </row>
    <row r="506" spans="1:7" x14ac:dyDescent="0.25">
      <c r="A506">
        <v>41357</v>
      </c>
      <c r="B506" t="s">
        <v>1887</v>
      </c>
      <c r="C506" t="s">
        <v>1210</v>
      </c>
      <c r="D506" s="3">
        <v>35947</v>
      </c>
      <c r="E506">
        <f t="shared" si="14"/>
        <v>1998</v>
      </c>
      <c r="F506">
        <f t="shared" ca="1" si="15"/>
        <v>27</v>
      </c>
      <c r="G506">
        <f>COUNTIF(BRON!A:A,'schades-leeftijd'!A506)</f>
        <v>0</v>
      </c>
    </row>
    <row r="507" spans="1:7" x14ac:dyDescent="0.25">
      <c r="A507">
        <v>41383</v>
      </c>
      <c r="B507" t="s">
        <v>1539</v>
      </c>
      <c r="C507" t="s">
        <v>1536</v>
      </c>
      <c r="D507" s="3">
        <v>25272</v>
      </c>
      <c r="E507">
        <f t="shared" si="14"/>
        <v>1969</v>
      </c>
      <c r="F507">
        <f t="shared" ca="1" si="15"/>
        <v>56</v>
      </c>
      <c r="G507">
        <f>COUNTIF(BRON!A:A,'schades-leeftijd'!A507)</f>
        <v>1</v>
      </c>
    </row>
    <row r="508" spans="1:7" x14ac:dyDescent="0.25">
      <c r="A508">
        <v>41384</v>
      </c>
      <c r="B508" t="s">
        <v>1589</v>
      </c>
      <c r="C508" t="s">
        <v>1590</v>
      </c>
      <c r="D508" s="3">
        <v>37981</v>
      </c>
      <c r="E508">
        <f t="shared" si="14"/>
        <v>2003</v>
      </c>
      <c r="F508">
        <f t="shared" ca="1" si="15"/>
        <v>22</v>
      </c>
      <c r="G508">
        <f>COUNTIF(BRON!A:A,'schades-leeftijd'!A508)</f>
        <v>4</v>
      </c>
    </row>
    <row r="509" spans="1:7" x14ac:dyDescent="0.25">
      <c r="A509">
        <v>41482</v>
      </c>
      <c r="B509" t="s">
        <v>2022</v>
      </c>
      <c r="C509" t="s">
        <v>2023</v>
      </c>
      <c r="D509" s="3">
        <v>28837</v>
      </c>
      <c r="E509">
        <f t="shared" si="14"/>
        <v>1978</v>
      </c>
      <c r="F509">
        <f t="shared" ca="1" si="15"/>
        <v>47</v>
      </c>
      <c r="G509">
        <f>COUNTIF(BRON!A:A,'schades-leeftijd'!A509)</f>
        <v>3</v>
      </c>
    </row>
    <row r="510" spans="1:7" x14ac:dyDescent="0.25">
      <c r="A510">
        <v>41520</v>
      </c>
      <c r="B510" t="s">
        <v>3305</v>
      </c>
      <c r="C510" t="s">
        <v>3306</v>
      </c>
      <c r="D510" s="3">
        <v>35076</v>
      </c>
      <c r="E510">
        <f t="shared" si="14"/>
        <v>1996</v>
      </c>
      <c r="F510">
        <f t="shared" ca="1" si="15"/>
        <v>29</v>
      </c>
      <c r="G510">
        <f>COUNTIF(BRON!A:A,'schades-leeftijd'!A510)</f>
        <v>3</v>
      </c>
    </row>
    <row r="511" spans="1:7" x14ac:dyDescent="0.25">
      <c r="A511">
        <v>41521</v>
      </c>
      <c r="B511" t="s">
        <v>3264</v>
      </c>
      <c r="C511" t="s">
        <v>3265</v>
      </c>
      <c r="D511" s="3">
        <v>31115</v>
      </c>
      <c r="E511">
        <f t="shared" si="14"/>
        <v>1985</v>
      </c>
      <c r="F511">
        <f t="shared" ca="1" si="15"/>
        <v>40</v>
      </c>
      <c r="G511">
        <f>COUNTIF(BRON!A:A,'schades-leeftijd'!A511)</f>
        <v>0</v>
      </c>
    </row>
    <row r="512" spans="1:7" x14ac:dyDescent="0.25">
      <c r="A512">
        <v>41550</v>
      </c>
      <c r="B512" t="s">
        <v>3209</v>
      </c>
      <c r="C512" t="s">
        <v>1334</v>
      </c>
      <c r="D512" s="3">
        <v>31677</v>
      </c>
      <c r="E512">
        <f t="shared" si="14"/>
        <v>1986</v>
      </c>
      <c r="F512">
        <f t="shared" ca="1" si="15"/>
        <v>39</v>
      </c>
      <c r="G512">
        <f>COUNTIF(BRON!A:A,'schades-leeftijd'!A512)</f>
        <v>0</v>
      </c>
    </row>
    <row r="513" spans="1:7" x14ac:dyDescent="0.25">
      <c r="A513">
        <v>41588</v>
      </c>
      <c r="B513" t="s">
        <v>1398</v>
      </c>
      <c r="C513" t="s">
        <v>1399</v>
      </c>
      <c r="D513" s="3">
        <v>24023</v>
      </c>
      <c r="E513">
        <f t="shared" si="14"/>
        <v>1965</v>
      </c>
      <c r="F513">
        <f t="shared" ca="1" si="15"/>
        <v>60</v>
      </c>
      <c r="G513">
        <f>COUNTIF(BRON!A:A,'schades-leeftijd'!A513)</f>
        <v>2</v>
      </c>
    </row>
    <row r="514" spans="1:7" x14ac:dyDescent="0.25">
      <c r="A514">
        <v>41619</v>
      </c>
      <c r="B514" t="s">
        <v>2010</v>
      </c>
      <c r="C514" t="s">
        <v>2011</v>
      </c>
      <c r="D514" s="3">
        <v>33204</v>
      </c>
      <c r="E514">
        <f t="shared" si="14"/>
        <v>1990</v>
      </c>
      <c r="F514">
        <f t="shared" ca="1" si="15"/>
        <v>35</v>
      </c>
      <c r="G514">
        <f>COUNTIF(BRON!A:A,'schades-leeftijd'!A514)</f>
        <v>3</v>
      </c>
    </row>
    <row r="515" spans="1:7" x14ac:dyDescent="0.25">
      <c r="A515">
        <v>41632</v>
      </c>
      <c r="B515" t="s">
        <v>1807</v>
      </c>
      <c r="C515" t="s">
        <v>1808</v>
      </c>
      <c r="D515" s="3">
        <v>24767</v>
      </c>
      <c r="E515">
        <f t="shared" ref="E515:E578" si="16">YEAR(D515)</f>
        <v>1967</v>
      </c>
      <c r="F515">
        <f t="shared" ref="F515:F578" ca="1" si="17">YEAR(TODAY())-E515</f>
        <v>58</v>
      </c>
      <c r="G515">
        <f>COUNTIF(BRON!A:A,'schades-leeftijd'!A515)</f>
        <v>0</v>
      </c>
    </row>
    <row r="516" spans="1:7" x14ac:dyDescent="0.25">
      <c r="A516">
        <v>41671</v>
      </c>
      <c r="B516" t="s">
        <v>1769</v>
      </c>
      <c r="C516" t="s">
        <v>1770</v>
      </c>
      <c r="D516" s="3">
        <v>32357</v>
      </c>
      <c r="E516">
        <f t="shared" si="16"/>
        <v>1988</v>
      </c>
      <c r="F516">
        <f t="shared" ca="1" si="17"/>
        <v>37</v>
      </c>
      <c r="G516">
        <f>COUNTIF(BRON!A:A,'schades-leeftijd'!A516)</f>
        <v>1</v>
      </c>
    </row>
    <row r="517" spans="1:7" x14ac:dyDescent="0.25">
      <c r="A517">
        <v>41685</v>
      </c>
      <c r="B517" t="s">
        <v>2694</v>
      </c>
      <c r="C517" t="s">
        <v>2695</v>
      </c>
      <c r="D517" s="3">
        <v>37767</v>
      </c>
      <c r="E517">
        <f t="shared" si="16"/>
        <v>2003</v>
      </c>
      <c r="F517">
        <f t="shared" ca="1" si="17"/>
        <v>22</v>
      </c>
      <c r="G517">
        <f>COUNTIF(BRON!A:A,'schades-leeftijd'!A517)</f>
        <v>0</v>
      </c>
    </row>
    <row r="518" spans="1:7" x14ac:dyDescent="0.25">
      <c r="A518">
        <v>41690</v>
      </c>
      <c r="B518" t="s">
        <v>2482</v>
      </c>
      <c r="C518" t="s">
        <v>2483</v>
      </c>
      <c r="D518" s="3">
        <v>31471</v>
      </c>
      <c r="E518">
        <f t="shared" si="16"/>
        <v>1986</v>
      </c>
      <c r="F518">
        <f t="shared" ca="1" si="17"/>
        <v>39</v>
      </c>
      <c r="G518">
        <f>COUNTIF(BRON!A:A,'schades-leeftijd'!A518)</f>
        <v>1</v>
      </c>
    </row>
    <row r="519" spans="1:7" x14ac:dyDescent="0.25">
      <c r="A519">
        <v>41710</v>
      </c>
      <c r="B519" t="s">
        <v>2140</v>
      </c>
      <c r="C519" t="s">
        <v>2887</v>
      </c>
      <c r="D519" s="3">
        <v>25405</v>
      </c>
      <c r="E519">
        <f t="shared" si="16"/>
        <v>1969</v>
      </c>
      <c r="F519">
        <f t="shared" ca="1" si="17"/>
        <v>56</v>
      </c>
      <c r="G519">
        <f>COUNTIF(BRON!A:A,'schades-leeftijd'!A519)</f>
        <v>1</v>
      </c>
    </row>
    <row r="520" spans="1:7" x14ac:dyDescent="0.25">
      <c r="A520">
        <v>41721</v>
      </c>
      <c r="B520" t="s">
        <v>1914</v>
      </c>
      <c r="C520" t="s">
        <v>1911</v>
      </c>
      <c r="D520" s="3">
        <v>26073</v>
      </c>
      <c r="E520">
        <f t="shared" si="16"/>
        <v>1971</v>
      </c>
      <c r="F520">
        <f t="shared" ca="1" si="17"/>
        <v>54</v>
      </c>
      <c r="G520">
        <f>COUNTIF(BRON!A:A,'schades-leeftijd'!A520)</f>
        <v>1</v>
      </c>
    </row>
    <row r="521" spans="1:7" x14ac:dyDescent="0.25">
      <c r="A521">
        <v>41786</v>
      </c>
      <c r="B521" t="s">
        <v>3588</v>
      </c>
      <c r="C521" t="s">
        <v>2074</v>
      </c>
      <c r="D521" s="3">
        <v>34724</v>
      </c>
      <c r="E521">
        <f t="shared" si="16"/>
        <v>1995</v>
      </c>
      <c r="F521">
        <f t="shared" ca="1" si="17"/>
        <v>30</v>
      </c>
      <c r="G521">
        <f>COUNTIF(BRON!A:A,'schades-leeftijd'!A521)</f>
        <v>1</v>
      </c>
    </row>
    <row r="522" spans="1:7" x14ac:dyDescent="0.25">
      <c r="A522">
        <v>41821</v>
      </c>
      <c r="B522" t="s">
        <v>3456</v>
      </c>
      <c r="C522" t="s">
        <v>3457</v>
      </c>
      <c r="D522" s="3">
        <v>37792</v>
      </c>
      <c r="E522">
        <f t="shared" si="16"/>
        <v>2003</v>
      </c>
      <c r="F522">
        <f t="shared" ca="1" si="17"/>
        <v>22</v>
      </c>
      <c r="G522">
        <f>COUNTIF(BRON!A:A,'schades-leeftijd'!A522)</f>
        <v>0</v>
      </c>
    </row>
    <row r="523" spans="1:7" x14ac:dyDescent="0.25">
      <c r="A523">
        <v>41870</v>
      </c>
      <c r="B523" t="s">
        <v>1439</v>
      </c>
      <c r="C523" t="s">
        <v>1440</v>
      </c>
      <c r="D523" s="3">
        <v>36390</v>
      </c>
      <c r="E523">
        <f t="shared" si="16"/>
        <v>1999</v>
      </c>
      <c r="F523">
        <f t="shared" ca="1" si="17"/>
        <v>26</v>
      </c>
      <c r="G523">
        <f>COUNTIF(BRON!A:A,'schades-leeftijd'!A523)</f>
        <v>1</v>
      </c>
    </row>
    <row r="524" spans="1:7" x14ac:dyDescent="0.25">
      <c r="A524">
        <v>41871</v>
      </c>
      <c r="B524" t="s">
        <v>2690</v>
      </c>
      <c r="C524" t="s">
        <v>2691</v>
      </c>
      <c r="D524" s="3">
        <v>36357</v>
      </c>
      <c r="E524">
        <f t="shared" si="16"/>
        <v>1999</v>
      </c>
      <c r="F524">
        <f t="shared" ca="1" si="17"/>
        <v>26</v>
      </c>
      <c r="G524">
        <f>COUNTIF(BRON!A:A,'schades-leeftijd'!A524)</f>
        <v>2</v>
      </c>
    </row>
    <row r="525" spans="1:7" x14ac:dyDescent="0.25">
      <c r="A525">
        <v>41874</v>
      </c>
      <c r="B525" t="s">
        <v>3180</v>
      </c>
      <c r="C525" t="s">
        <v>3181</v>
      </c>
      <c r="D525" s="3">
        <v>26143</v>
      </c>
      <c r="E525">
        <f t="shared" si="16"/>
        <v>1971</v>
      </c>
      <c r="F525">
        <f t="shared" ca="1" si="17"/>
        <v>54</v>
      </c>
      <c r="G525">
        <f>COUNTIF(BRON!A:A,'schades-leeftijd'!A525)</f>
        <v>3</v>
      </c>
    </row>
    <row r="526" spans="1:7" x14ac:dyDescent="0.25">
      <c r="A526">
        <v>41882</v>
      </c>
      <c r="B526" t="s">
        <v>3258</v>
      </c>
      <c r="C526" t="s">
        <v>3259</v>
      </c>
      <c r="D526" s="3">
        <v>32479</v>
      </c>
      <c r="E526">
        <f t="shared" si="16"/>
        <v>1988</v>
      </c>
      <c r="F526">
        <f t="shared" ca="1" si="17"/>
        <v>37</v>
      </c>
      <c r="G526">
        <f>COUNTIF(BRON!A:A,'schades-leeftijd'!A526)</f>
        <v>0</v>
      </c>
    </row>
    <row r="527" spans="1:7" x14ac:dyDescent="0.25">
      <c r="A527">
        <v>41888</v>
      </c>
      <c r="B527" t="s">
        <v>3206</v>
      </c>
      <c r="C527" t="s">
        <v>1334</v>
      </c>
      <c r="D527" s="3">
        <v>28560</v>
      </c>
      <c r="E527">
        <f t="shared" si="16"/>
        <v>1978</v>
      </c>
      <c r="F527">
        <f t="shared" ca="1" si="17"/>
        <v>47</v>
      </c>
      <c r="G527">
        <f>COUNTIF(BRON!A:A,'schades-leeftijd'!A527)</f>
        <v>1</v>
      </c>
    </row>
    <row r="528" spans="1:7" x14ac:dyDescent="0.25">
      <c r="A528">
        <v>41918</v>
      </c>
      <c r="B528" t="s">
        <v>1792</v>
      </c>
      <c r="C528" t="s">
        <v>1793</v>
      </c>
      <c r="D528" s="3">
        <v>30683</v>
      </c>
      <c r="E528">
        <f t="shared" si="16"/>
        <v>1984</v>
      </c>
      <c r="F528">
        <f t="shared" ca="1" si="17"/>
        <v>41</v>
      </c>
      <c r="G528">
        <f>COUNTIF(BRON!A:A,'schades-leeftijd'!A528)</f>
        <v>1</v>
      </c>
    </row>
    <row r="529" spans="1:7" x14ac:dyDescent="0.25">
      <c r="A529">
        <v>41944</v>
      </c>
      <c r="B529" t="s">
        <v>2757</v>
      </c>
      <c r="C529" t="s">
        <v>2758</v>
      </c>
      <c r="D529" s="3">
        <v>36537</v>
      </c>
      <c r="E529">
        <f t="shared" si="16"/>
        <v>2000</v>
      </c>
      <c r="F529">
        <f t="shared" ca="1" si="17"/>
        <v>25</v>
      </c>
      <c r="G529">
        <f>COUNTIF(BRON!A:A,'schades-leeftijd'!A529)</f>
        <v>0</v>
      </c>
    </row>
    <row r="530" spans="1:7" x14ac:dyDescent="0.25">
      <c r="A530">
        <v>41948</v>
      </c>
      <c r="B530" t="s">
        <v>1464</v>
      </c>
      <c r="C530" t="s">
        <v>1452</v>
      </c>
      <c r="D530" s="3">
        <v>24230</v>
      </c>
      <c r="E530">
        <f t="shared" si="16"/>
        <v>1966</v>
      </c>
      <c r="F530">
        <f t="shared" ca="1" si="17"/>
        <v>59</v>
      </c>
      <c r="G530">
        <f>COUNTIF(BRON!A:A,'schades-leeftijd'!A530)</f>
        <v>2</v>
      </c>
    </row>
    <row r="531" spans="1:7" x14ac:dyDescent="0.25">
      <c r="A531">
        <v>41949</v>
      </c>
      <c r="B531" t="s">
        <v>2177</v>
      </c>
      <c r="C531" t="s">
        <v>2174</v>
      </c>
      <c r="D531" s="3">
        <v>32049</v>
      </c>
      <c r="E531">
        <f t="shared" si="16"/>
        <v>1987</v>
      </c>
      <c r="F531">
        <f t="shared" ca="1" si="17"/>
        <v>38</v>
      </c>
      <c r="G531">
        <f>COUNTIF(BRON!A:A,'schades-leeftijd'!A531)</f>
        <v>0</v>
      </c>
    </row>
    <row r="532" spans="1:7" x14ac:dyDescent="0.25">
      <c r="A532">
        <v>42002</v>
      </c>
      <c r="B532" t="s">
        <v>2452</v>
      </c>
      <c r="C532" t="s">
        <v>2453</v>
      </c>
      <c r="D532" s="3">
        <v>37670</v>
      </c>
      <c r="E532">
        <f t="shared" si="16"/>
        <v>2003</v>
      </c>
      <c r="F532">
        <f t="shared" ca="1" si="17"/>
        <v>22</v>
      </c>
      <c r="G532">
        <f>COUNTIF(BRON!A:A,'schades-leeftijd'!A532)</f>
        <v>3</v>
      </c>
    </row>
    <row r="533" spans="1:7" x14ac:dyDescent="0.25">
      <c r="A533">
        <v>42015</v>
      </c>
      <c r="B533" t="s">
        <v>3387</v>
      </c>
      <c r="C533" t="s">
        <v>3388</v>
      </c>
      <c r="D533" s="3">
        <v>31325</v>
      </c>
      <c r="E533">
        <f t="shared" si="16"/>
        <v>1985</v>
      </c>
      <c r="F533">
        <f t="shared" ca="1" si="17"/>
        <v>40</v>
      </c>
      <c r="G533">
        <f>COUNTIF(BRON!A:A,'schades-leeftijd'!A533)</f>
        <v>1</v>
      </c>
    </row>
    <row r="534" spans="1:7" x14ac:dyDescent="0.25">
      <c r="A534">
        <v>42022</v>
      </c>
      <c r="B534" t="s">
        <v>3365</v>
      </c>
      <c r="C534" t="s">
        <v>3366</v>
      </c>
      <c r="D534" s="3">
        <v>36225</v>
      </c>
      <c r="E534">
        <f t="shared" si="16"/>
        <v>1999</v>
      </c>
      <c r="F534">
        <f t="shared" ca="1" si="17"/>
        <v>26</v>
      </c>
      <c r="G534">
        <f>COUNTIF(BRON!A:A,'schades-leeftijd'!A534)</f>
        <v>0</v>
      </c>
    </row>
    <row r="535" spans="1:7" x14ac:dyDescent="0.25">
      <c r="A535">
        <v>42044</v>
      </c>
      <c r="B535" t="s">
        <v>2512</v>
      </c>
      <c r="C535" t="s">
        <v>2513</v>
      </c>
      <c r="D535" s="3">
        <v>33500</v>
      </c>
      <c r="E535">
        <f t="shared" si="16"/>
        <v>1991</v>
      </c>
      <c r="F535">
        <f t="shared" ca="1" si="17"/>
        <v>34</v>
      </c>
      <c r="G535">
        <f>COUNTIF(BRON!A:A,'schades-leeftijd'!A535)</f>
        <v>1</v>
      </c>
    </row>
    <row r="536" spans="1:7" x14ac:dyDescent="0.25">
      <c r="A536">
        <v>42082</v>
      </c>
      <c r="B536" t="s">
        <v>2014</v>
      </c>
      <c r="C536" t="s">
        <v>2015</v>
      </c>
      <c r="D536" s="3">
        <v>37796</v>
      </c>
      <c r="E536">
        <f t="shared" si="16"/>
        <v>2003</v>
      </c>
      <c r="F536">
        <f t="shared" ca="1" si="17"/>
        <v>22</v>
      </c>
      <c r="G536">
        <f>COUNTIF(BRON!A:A,'schades-leeftijd'!A536)</f>
        <v>1</v>
      </c>
    </row>
    <row r="537" spans="1:7" x14ac:dyDescent="0.25">
      <c r="A537">
        <v>42120</v>
      </c>
      <c r="B537" t="s">
        <v>2971</v>
      </c>
      <c r="C537" t="s">
        <v>2972</v>
      </c>
      <c r="D537" s="3">
        <v>38832</v>
      </c>
      <c r="E537">
        <f t="shared" si="16"/>
        <v>2006</v>
      </c>
      <c r="F537">
        <f t="shared" ca="1" si="17"/>
        <v>19</v>
      </c>
      <c r="G537">
        <f>COUNTIF(BRON!A:A,'schades-leeftijd'!A537)</f>
        <v>1</v>
      </c>
    </row>
    <row r="538" spans="1:7" x14ac:dyDescent="0.25">
      <c r="A538">
        <v>42141</v>
      </c>
      <c r="B538" t="s">
        <v>2173</v>
      </c>
      <c r="C538" t="s">
        <v>2174</v>
      </c>
      <c r="D538" s="3">
        <v>34485</v>
      </c>
      <c r="E538">
        <f t="shared" si="16"/>
        <v>1994</v>
      </c>
      <c r="F538">
        <f t="shared" ca="1" si="17"/>
        <v>31</v>
      </c>
      <c r="G538">
        <f>COUNTIF(BRON!A:A,'schades-leeftijd'!A538)</f>
        <v>0</v>
      </c>
    </row>
    <row r="539" spans="1:7" x14ac:dyDescent="0.25">
      <c r="A539">
        <v>42143</v>
      </c>
      <c r="B539" t="s">
        <v>3584</v>
      </c>
      <c r="C539" t="s">
        <v>3585</v>
      </c>
      <c r="D539" s="3">
        <v>32154</v>
      </c>
      <c r="E539">
        <f t="shared" si="16"/>
        <v>1988</v>
      </c>
      <c r="F539">
        <f t="shared" ca="1" si="17"/>
        <v>37</v>
      </c>
      <c r="G539">
        <f>COUNTIF(BRON!A:A,'schades-leeftijd'!A539)</f>
        <v>1</v>
      </c>
    </row>
    <row r="540" spans="1:7" x14ac:dyDescent="0.25">
      <c r="A540">
        <v>42144</v>
      </c>
      <c r="B540" t="s">
        <v>3580</v>
      </c>
      <c r="C540" t="s">
        <v>3581</v>
      </c>
      <c r="D540" s="3">
        <v>35367</v>
      </c>
      <c r="E540">
        <f t="shared" si="16"/>
        <v>1996</v>
      </c>
      <c r="F540">
        <f t="shared" ca="1" si="17"/>
        <v>29</v>
      </c>
      <c r="G540">
        <f>COUNTIF(BRON!A:A,'schades-leeftijd'!A540)</f>
        <v>0</v>
      </c>
    </row>
    <row r="541" spans="1:7" x14ac:dyDescent="0.25">
      <c r="A541">
        <v>42145</v>
      </c>
      <c r="B541" t="s">
        <v>1681</v>
      </c>
      <c r="C541" t="s">
        <v>1682</v>
      </c>
      <c r="D541" s="3">
        <v>36894</v>
      </c>
      <c r="E541">
        <f t="shared" si="16"/>
        <v>2001</v>
      </c>
      <c r="F541">
        <f t="shared" ca="1" si="17"/>
        <v>24</v>
      </c>
      <c r="G541">
        <f>COUNTIF(BRON!A:A,'schades-leeftijd'!A541)</f>
        <v>2</v>
      </c>
    </row>
    <row r="542" spans="1:7" x14ac:dyDescent="0.25">
      <c r="A542">
        <v>42146</v>
      </c>
      <c r="B542" t="s">
        <v>2519</v>
      </c>
      <c r="C542" t="s">
        <v>2520</v>
      </c>
      <c r="D542" s="3">
        <v>34251</v>
      </c>
      <c r="E542">
        <f t="shared" si="16"/>
        <v>1993</v>
      </c>
      <c r="F542">
        <f t="shared" ca="1" si="17"/>
        <v>32</v>
      </c>
      <c r="G542">
        <f>COUNTIF(BRON!A:A,'schades-leeftijd'!A542)</f>
        <v>3</v>
      </c>
    </row>
    <row r="543" spans="1:7" x14ac:dyDescent="0.25">
      <c r="A543">
        <v>42164</v>
      </c>
      <c r="B543" t="s">
        <v>1832</v>
      </c>
      <c r="C543" t="s">
        <v>1833</v>
      </c>
      <c r="D543" s="3">
        <v>30767</v>
      </c>
      <c r="E543">
        <f t="shared" si="16"/>
        <v>1984</v>
      </c>
      <c r="F543">
        <f t="shared" ca="1" si="17"/>
        <v>41</v>
      </c>
      <c r="G543">
        <f>COUNTIF(BRON!A:A,'schades-leeftijd'!A543)</f>
        <v>0</v>
      </c>
    </row>
    <row r="544" spans="1:7" x14ac:dyDescent="0.25">
      <c r="A544">
        <v>42195</v>
      </c>
      <c r="B544" t="s">
        <v>3575</v>
      </c>
      <c r="C544" t="s">
        <v>3576</v>
      </c>
      <c r="D544" s="3">
        <v>33465</v>
      </c>
      <c r="E544">
        <f t="shared" si="16"/>
        <v>1991</v>
      </c>
      <c r="F544">
        <f t="shared" ca="1" si="17"/>
        <v>34</v>
      </c>
      <c r="G544">
        <f>COUNTIF(BRON!A:A,'schades-leeftijd'!A544)</f>
        <v>0</v>
      </c>
    </row>
    <row r="545" spans="1:7" x14ac:dyDescent="0.25">
      <c r="A545">
        <v>42196</v>
      </c>
      <c r="B545" t="s">
        <v>3571</v>
      </c>
      <c r="C545" t="s">
        <v>3572</v>
      </c>
      <c r="D545" s="3">
        <v>37251</v>
      </c>
      <c r="E545">
        <f t="shared" si="16"/>
        <v>2001</v>
      </c>
      <c r="F545">
        <f t="shared" ca="1" si="17"/>
        <v>24</v>
      </c>
      <c r="G545">
        <f>COUNTIF(BRON!A:A,'schades-leeftijd'!A545)</f>
        <v>0</v>
      </c>
    </row>
    <row r="546" spans="1:7" x14ac:dyDescent="0.25">
      <c r="A546">
        <v>42211</v>
      </c>
      <c r="B546" t="s">
        <v>3567</v>
      </c>
      <c r="C546" t="s">
        <v>3568</v>
      </c>
      <c r="D546" s="3">
        <v>36604</v>
      </c>
      <c r="E546">
        <f t="shared" si="16"/>
        <v>2000</v>
      </c>
      <c r="F546">
        <f t="shared" ca="1" si="17"/>
        <v>25</v>
      </c>
      <c r="G546">
        <f>COUNTIF(BRON!A:A,'schades-leeftijd'!A546)</f>
        <v>0</v>
      </c>
    </row>
    <row r="547" spans="1:7" x14ac:dyDescent="0.25">
      <c r="A547">
        <v>42218</v>
      </c>
      <c r="B547" t="s">
        <v>2006</v>
      </c>
      <c r="C547" t="s">
        <v>3564</v>
      </c>
      <c r="D547" s="3">
        <v>37215</v>
      </c>
      <c r="E547">
        <f t="shared" si="16"/>
        <v>2001</v>
      </c>
      <c r="F547">
        <f t="shared" ca="1" si="17"/>
        <v>24</v>
      </c>
      <c r="G547">
        <f>COUNTIF(BRON!A:A,'schades-leeftijd'!A547)</f>
        <v>1</v>
      </c>
    </row>
    <row r="548" spans="1:7" x14ac:dyDescent="0.25">
      <c r="A548">
        <v>42249</v>
      </c>
      <c r="B548" t="s">
        <v>3561</v>
      </c>
      <c r="C548" t="s">
        <v>1662</v>
      </c>
      <c r="D548" s="3">
        <v>24857</v>
      </c>
      <c r="E548">
        <f t="shared" si="16"/>
        <v>1968</v>
      </c>
      <c r="F548">
        <f t="shared" ca="1" si="17"/>
        <v>57</v>
      </c>
      <c r="G548">
        <f>COUNTIF(BRON!A:A,'schades-leeftijd'!A548)</f>
        <v>1</v>
      </c>
    </row>
    <row r="549" spans="1:7" x14ac:dyDescent="0.25">
      <c r="A549">
        <v>42252</v>
      </c>
      <c r="B549" t="s">
        <v>3558</v>
      </c>
      <c r="C549" t="s">
        <v>3438</v>
      </c>
      <c r="D549" s="3">
        <v>37782</v>
      </c>
      <c r="E549">
        <f t="shared" si="16"/>
        <v>2003</v>
      </c>
      <c r="F549">
        <f t="shared" ca="1" si="17"/>
        <v>22</v>
      </c>
      <c r="G549">
        <f>COUNTIF(BRON!A:A,'schades-leeftijd'!A549)</f>
        <v>5</v>
      </c>
    </row>
    <row r="550" spans="1:7" x14ac:dyDescent="0.25">
      <c r="A550">
        <v>42269</v>
      </c>
      <c r="B550" t="s">
        <v>3423</v>
      </c>
      <c r="C550" t="s">
        <v>3555</v>
      </c>
      <c r="D550" s="3">
        <v>36642</v>
      </c>
      <c r="E550">
        <f t="shared" si="16"/>
        <v>2000</v>
      </c>
      <c r="F550">
        <f t="shared" ca="1" si="17"/>
        <v>25</v>
      </c>
      <c r="G550">
        <f>COUNTIF(BRON!A:A,'schades-leeftijd'!A550)</f>
        <v>0</v>
      </c>
    </row>
    <row r="551" spans="1:7" x14ac:dyDescent="0.25">
      <c r="A551">
        <v>42277</v>
      </c>
      <c r="B551" t="s">
        <v>3552</v>
      </c>
      <c r="C551" t="s">
        <v>3553</v>
      </c>
      <c r="D551" s="3">
        <v>30518</v>
      </c>
      <c r="E551">
        <f t="shared" si="16"/>
        <v>1983</v>
      </c>
      <c r="F551">
        <f t="shared" ca="1" si="17"/>
        <v>42</v>
      </c>
      <c r="G551">
        <f>COUNTIF(BRON!A:A,'schades-leeftijd'!A551)</f>
        <v>1</v>
      </c>
    </row>
    <row r="552" spans="1:7" x14ac:dyDescent="0.25">
      <c r="A552">
        <v>42307</v>
      </c>
      <c r="B552" t="s">
        <v>1477</v>
      </c>
      <c r="C552" t="s">
        <v>2604</v>
      </c>
      <c r="D552" s="3">
        <v>36846</v>
      </c>
      <c r="E552">
        <f t="shared" si="16"/>
        <v>2000</v>
      </c>
      <c r="F552">
        <f t="shared" ca="1" si="17"/>
        <v>25</v>
      </c>
      <c r="G552">
        <f>COUNTIF(BRON!A:A,'schades-leeftijd'!A552)</f>
        <v>3</v>
      </c>
    </row>
    <row r="553" spans="1:7" x14ac:dyDescent="0.25">
      <c r="A553">
        <v>42336</v>
      </c>
      <c r="B553" t="s">
        <v>3547</v>
      </c>
      <c r="C553" t="s">
        <v>3548</v>
      </c>
      <c r="D553" s="3">
        <v>38253</v>
      </c>
      <c r="E553">
        <f t="shared" si="16"/>
        <v>2004</v>
      </c>
      <c r="F553">
        <f t="shared" ca="1" si="17"/>
        <v>21</v>
      </c>
      <c r="G553">
        <f>COUNTIF(BRON!A:A,'schades-leeftijd'!A553)</f>
        <v>1</v>
      </c>
    </row>
    <row r="554" spans="1:7" x14ac:dyDescent="0.25">
      <c r="A554">
        <v>42358</v>
      </c>
      <c r="B554" t="s">
        <v>3879</v>
      </c>
      <c r="C554" t="s">
        <v>3880</v>
      </c>
      <c r="D554" s="3">
        <v>38840</v>
      </c>
      <c r="E554">
        <f t="shared" si="16"/>
        <v>2006</v>
      </c>
      <c r="F554">
        <f t="shared" ca="1" si="17"/>
        <v>19</v>
      </c>
      <c r="G554">
        <f>COUNTIF(BRON!A:A,'schades-leeftijd'!A554)</f>
        <v>0</v>
      </c>
    </row>
    <row r="555" spans="1:7" x14ac:dyDescent="0.25">
      <c r="A555">
        <v>42391</v>
      </c>
      <c r="B555" t="s">
        <v>3881</v>
      </c>
      <c r="C555" t="s">
        <v>1929</v>
      </c>
      <c r="D555" s="3">
        <v>22587</v>
      </c>
      <c r="E555">
        <f t="shared" si="16"/>
        <v>1961</v>
      </c>
      <c r="F555">
        <f t="shared" ca="1" si="17"/>
        <v>64</v>
      </c>
      <c r="G555">
        <f>COUNTIF(BRON!A:A,'schades-leeftijd'!A555)</f>
        <v>0</v>
      </c>
    </row>
    <row r="556" spans="1:7" x14ac:dyDescent="0.25">
      <c r="A556">
        <v>42393</v>
      </c>
      <c r="B556" t="s">
        <v>3882</v>
      </c>
      <c r="C556" t="s">
        <v>1884</v>
      </c>
      <c r="D556" s="3">
        <v>28987</v>
      </c>
      <c r="E556">
        <f t="shared" si="16"/>
        <v>1979</v>
      </c>
      <c r="F556">
        <f t="shared" ca="1" si="17"/>
        <v>46</v>
      </c>
      <c r="G556">
        <f>COUNTIF(BRON!A:A,'schades-leeftijd'!A556)</f>
        <v>0</v>
      </c>
    </row>
    <row r="557" spans="1:7" x14ac:dyDescent="0.25">
      <c r="A557">
        <v>42558</v>
      </c>
      <c r="B557" t="s">
        <v>3883</v>
      </c>
      <c r="C557" t="s">
        <v>3884</v>
      </c>
      <c r="D557" s="3">
        <v>37794</v>
      </c>
      <c r="E557">
        <f t="shared" si="16"/>
        <v>2003</v>
      </c>
      <c r="F557">
        <f t="shared" ca="1" si="17"/>
        <v>22</v>
      </c>
      <c r="G557">
        <f>COUNTIF(BRON!A:A,'schades-leeftijd'!A557)</f>
        <v>0</v>
      </c>
    </row>
    <row r="558" spans="1:7" x14ac:dyDescent="0.25">
      <c r="A558">
        <v>4419</v>
      </c>
      <c r="B558" t="s">
        <v>2967</v>
      </c>
      <c r="C558" t="s">
        <v>2968</v>
      </c>
      <c r="D558" s="3">
        <v>23958</v>
      </c>
      <c r="E558">
        <f t="shared" si="16"/>
        <v>1965</v>
      </c>
      <c r="F558">
        <f t="shared" ca="1" si="17"/>
        <v>60</v>
      </c>
      <c r="G558">
        <f>COUNTIF(BRON!A:A,'schades-leeftijd'!A558)</f>
        <v>4</v>
      </c>
    </row>
    <row r="559" spans="1:7" x14ac:dyDescent="0.25">
      <c r="A559">
        <v>4525</v>
      </c>
      <c r="B559" t="s">
        <v>2819</v>
      </c>
      <c r="C559" t="s">
        <v>2820</v>
      </c>
      <c r="D559" s="3">
        <v>24001</v>
      </c>
      <c r="E559">
        <f t="shared" si="16"/>
        <v>1965</v>
      </c>
      <c r="F559">
        <f t="shared" ca="1" si="17"/>
        <v>60</v>
      </c>
      <c r="G559">
        <f>COUNTIF(BRON!A:A,'schades-leeftijd'!A559)</f>
        <v>0</v>
      </c>
    </row>
    <row r="560" spans="1:7" x14ac:dyDescent="0.25">
      <c r="A560">
        <v>4608</v>
      </c>
      <c r="B560" t="s">
        <v>2561</v>
      </c>
      <c r="C560" t="s">
        <v>2562</v>
      </c>
      <c r="D560" s="3">
        <v>23029</v>
      </c>
      <c r="E560">
        <f t="shared" si="16"/>
        <v>1963</v>
      </c>
      <c r="F560">
        <f t="shared" ca="1" si="17"/>
        <v>62</v>
      </c>
      <c r="G560">
        <f>COUNTIF(BRON!A:A,'schades-leeftijd'!A560)</f>
        <v>1</v>
      </c>
    </row>
    <row r="561" spans="1:7" x14ac:dyDescent="0.25">
      <c r="A561">
        <v>4720</v>
      </c>
      <c r="B561" t="s">
        <v>1950</v>
      </c>
      <c r="C561" t="s">
        <v>2581</v>
      </c>
      <c r="D561" s="3">
        <v>24146</v>
      </c>
      <c r="E561">
        <f t="shared" si="16"/>
        <v>1966</v>
      </c>
      <c r="F561">
        <f t="shared" ca="1" si="17"/>
        <v>59</v>
      </c>
      <c r="G561">
        <f>COUNTIF(BRON!A:A,'schades-leeftijd'!A561)</f>
        <v>1</v>
      </c>
    </row>
    <row r="562" spans="1:7" x14ac:dyDescent="0.25">
      <c r="A562">
        <v>4764</v>
      </c>
      <c r="B562" t="s">
        <v>2924</v>
      </c>
      <c r="C562" t="s">
        <v>2925</v>
      </c>
      <c r="D562" s="3">
        <v>24539</v>
      </c>
      <c r="E562">
        <f t="shared" si="16"/>
        <v>1967</v>
      </c>
      <c r="F562">
        <f t="shared" ca="1" si="17"/>
        <v>58</v>
      </c>
      <c r="G562">
        <f>COUNTIF(BRON!A:A,'schades-leeftijd'!A562)</f>
        <v>0</v>
      </c>
    </row>
    <row r="563" spans="1:7" x14ac:dyDescent="0.25">
      <c r="A563">
        <v>4793</v>
      </c>
      <c r="B563" t="s">
        <v>1735</v>
      </c>
      <c r="C563" t="s">
        <v>1733</v>
      </c>
      <c r="D563" s="3">
        <v>25160</v>
      </c>
      <c r="E563">
        <f t="shared" si="16"/>
        <v>1968</v>
      </c>
      <c r="F563">
        <f t="shared" ca="1" si="17"/>
        <v>57</v>
      </c>
      <c r="G563">
        <f>COUNTIF(BRON!A:A,'schades-leeftijd'!A563)</f>
        <v>0</v>
      </c>
    </row>
    <row r="564" spans="1:7" x14ac:dyDescent="0.25">
      <c r="A564">
        <v>4943</v>
      </c>
      <c r="B564" t="s">
        <v>2784</v>
      </c>
      <c r="C564" t="s">
        <v>2785</v>
      </c>
      <c r="D564" s="3">
        <v>22990</v>
      </c>
      <c r="E564">
        <f t="shared" si="16"/>
        <v>1962</v>
      </c>
      <c r="F564">
        <f t="shared" ca="1" si="17"/>
        <v>63</v>
      </c>
      <c r="G564">
        <f>COUNTIF(BRON!A:A,'schades-leeftijd'!A564)</f>
        <v>0</v>
      </c>
    </row>
    <row r="565" spans="1:7" x14ac:dyDescent="0.25">
      <c r="A565">
        <v>5061</v>
      </c>
      <c r="B565" t="s">
        <v>1495</v>
      </c>
      <c r="C565" t="s">
        <v>1929</v>
      </c>
      <c r="D565" s="3">
        <v>24557</v>
      </c>
      <c r="E565">
        <f t="shared" si="16"/>
        <v>1967</v>
      </c>
      <c r="F565">
        <f t="shared" ca="1" si="17"/>
        <v>58</v>
      </c>
      <c r="G565">
        <f>COUNTIF(BRON!A:A,'schades-leeftijd'!A565)</f>
        <v>0</v>
      </c>
    </row>
    <row r="566" spans="1:7" x14ac:dyDescent="0.25">
      <c r="A566">
        <v>5063</v>
      </c>
      <c r="B566" t="s">
        <v>3276</v>
      </c>
      <c r="C566" t="s">
        <v>1351</v>
      </c>
      <c r="D566" s="3">
        <v>25160</v>
      </c>
      <c r="E566">
        <f t="shared" si="16"/>
        <v>1968</v>
      </c>
      <c r="F566">
        <f t="shared" ca="1" si="17"/>
        <v>57</v>
      </c>
      <c r="G566">
        <f>COUNTIF(BRON!A:A,'schades-leeftijd'!A566)</f>
        <v>1</v>
      </c>
    </row>
    <row r="567" spans="1:7" x14ac:dyDescent="0.25">
      <c r="A567">
        <v>5080</v>
      </c>
      <c r="B567" t="s">
        <v>1959</v>
      </c>
      <c r="C567" t="s">
        <v>2509</v>
      </c>
      <c r="D567" s="3">
        <v>24420</v>
      </c>
      <c r="E567">
        <f t="shared" si="16"/>
        <v>1966</v>
      </c>
      <c r="F567">
        <f t="shared" ca="1" si="17"/>
        <v>59</v>
      </c>
      <c r="G567">
        <f>COUNTIF(BRON!A:A,'schades-leeftijd'!A567)</f>
        <v>0</v>
      </c>
    </row>
    <row r="568" spans="1:7" x14ac:dyDescent="0.25">
      <c r="A568">
        <v>5559</v>
      </c>
      <c r="B568" t="s">
        <v>1560</v>
      </c>
      <c r="C568" t="s">
        <v>1605</v>
      </c>
      <c r="D568" s="3">
        <v>24869</v>
      </c>
      <c r="E568">
        <f t="shared" si="16"/>
        <v>1968</v>
      </c>
      <c r="F568">
        <f t="shared" ca="1" si="17"/>
        <v>57</v>
      </c>
      <c r="G568">
        <f>COUNTIF(BRON!A:A,'schades-leeftijd'!A568)</f>
        <v>2</v>
      </c>
    </row>
    <row r="569" spans="1:7" x14ac:dyDescent="0.25">
      <c r="A569">
        <v>5599</v>
      </c>
      <c r="B569" t="s">
        <v>1910</v>
      </c>
      <c r="C569" t="s">
        <v>1911</v>
      </c>
      <c r="D569" s="3">
        <v>24551</v>
      </c>
      <c r="E569">
        <f t="shared" si="16"/>
        <v>1967</v>
      </c>
      <c r="F569">
        <f t="shared" ca="1" si="17"/>
        <v>58</v>
      </c>
      <c r="G569">
        <f>COUNTIF(BRON!A:A,'schades-leeftijd'!A569)</f>
        <v>1</v>
      </c>
    </row>
    <row r="570" spans="1:7" x14ac:dyDescent="0.25">
      <c r="A570">
        <v>5718</v>
      </c>
      <c r="B570" t="s">
        <v>2674</v>
      </c>
      <c r="C570" t="s">
        <v>2675</v>
      </c>
      <c r="D570" s="3">
        <v>25098</v>
      </c>
      <c r="E570">
        <f t="shared" si="16"/>
        <v>1968</v>
      </c>
      <c r="F570">
        <f t="shared" ca="1" si="17"/>
        <v>57</v>
      </c>
      <c r="G570">
        <f>COUNTIF(BRON!A:A,'schades-leeftijd'!A570)</f>
        <v>2</v>
      </c>
    </row>
    <row r="571" spans="1:7" x14ac:dyDescent="0.25">
      <c r="A571">
        <v>5813</v>
      </c>
      <c r="B571" t="s">
        <v>1781</v>
      </c>
      <c r="C571" t="s">
        <v>1782</v>
      </c>
      <c r="D571" s="3">
        <v>24961</v>
      </c>
      <c r="E571">
        <f t="shared" si="16"/>
        <v>1968</v>
      </c>
      <c r="F571">
        <f t="shared" ca="1" si="17"/>
        <v>57</v>
      </c>
      <c r="G571">
        <f>COUNTIF(BRON!A:A,'schades-leeftijd'!A571)</f>
        <v>1</v>
      </c>
    </row>
    <row r="572" spans="1:7" x14ac:dyDescent="0.25">
      <c r="A572">
        <v>6049</v>
      </c>
      <c r="B572" t="s">
        <v>3403</v>
      </c>
      <c r="C572" t="s">
        <v>3404</v>
      </c>
      <c r="D572" s="3">
        <v>23942</v>
      </c>
      <c r="E572">
        <f t="shared" si="16"/>
        <v>1965</v>
      </c>
      <c r="F572">
        <f t="shared" ca="1" si="17"/>
        <v>60</v>
      </c>
      <c r="G572">
        <f>COUNTIF(BRON!A:A,'schades-leeftijd'!A572)</f>
        <v>0</v>
      </c>
    </row>
    <row r="573" spans="1:7" x14ac:dyDescent="0.25">
      <c r="A573">
        <v>6067</v>
      </c>
      <c r="B573" t="s">
        <v>2904</v>
      </c>
      <c r="C573" t="s">
        <v>2905</v>
      </c>
      <c r="D573" s="3">
        <v>25610</v>
      </c>
      <c r="E573">
        <f t="shared" si="16"/>
        <v>1970</v>
      </c>
      <c r="F573">
        <f t="shared" ca="1" si="17"/>
        <v>55</v>
      </c>
      <c r="G573">
        <f>COUNTIF(BRON!A:A,'schades-leeftijd'!A573)</f>
        <v>0</v>
      </c>
    </row>
    <row r="574" spans="1:7" x14ac:dyDescent="0.25">
      <c r="A574">
        <v>6092</v>
      </c>
      <c r="B574" t="s">
        <v>1994</v>
      </c>
      <c r="C574" t="s">
        <v>1991</v>
      </c>
      <c r="D574" s="3">
        <v>23986</v>
      </c>
      <c r="E574">
        <f t="shared" si="16"/>
        <v>1965</v>
      </c>
      <c r="F574">
        <f t="shared" ca="1" si="17"/>
        <v>60</v>
      </c>
      <c r="G574">
        <f>COUNTIF(BRON!A:A,'schades-leeftijd'!A574)</f>
        <v>0</v>
      </c>
    </row>
    <row r="575" spans="1:7" x14ac:dyDescent="0.25">
      <c r="A575">
        <v>6229</v>
      </c>
      <c r="B575" t="s">
        <v>1255</v>
      </c>
      <c r="C575" t="s">
        <v>3329</v>
      </c>
      <c r="D575" s="3">
        <v>20773</v>
      </c>
      <c r="E575">
        <f t="shared" si="16"/>
        <v>1956</v>
      </c>
      <c r="F575">
        <f t="shared" ca="1" si="17"/>
        <v>69</v>
      </c>
      <c r="G575">
        <f>COUNTIF(BRON!A:A,'schades-leeftijd'!A575)</f>
        <v>1</v>
      </c>
    </row>
    <row r="576" spans="1:7" x14ac:dyDescent="0.25">
      <c r="A576">
        <v>6309</v>
      </c>
      <c r="B576" t="s">
        <v>3014</v>
      </c>
      <c r="C576" t="s">
        <v>3015</v>
      </c>
      <c r="D576" s="3">
        <v>26147</v>
      </c>
      <c r="E576">
        <f t="shared" si="16"/>
        <v>1971</v>
      </c>
      <c r="F576">
        <f t="shared" ca="1" si="17"/>
        <v>54</v>
      </c>
      <c r="G576">
        <f>COUNTIF(BRON!A:A,'schades-leeftijd'!A576)</f>
        <v>0</v>
      </c>
    </row>
    <row r="577" spans="1:7" x14ac:dyDescent="0.25">
      <c r="A577">
        <v>7422</v>
      </c>
      <c r="B577" t="s">
        <v>2815</v>
      </c>
      <c r="C577" t="s">
        <v>1326</v>
      </c>
      <c r="D577" s="3">
        <v>26956</v>
      </c>
      <c r="E577">
        <f t="shared" si="16"/>
        <v>1973</v>
      </c>
      <c r="F577">
        <f t="shared" ca="1" si="17"/>
        <v>52</v>
      </c>
      <c r="G577">
        <f>COUNTIF(BRON!A:A,'schades-leeftijd'!A577)</f>
        <v>0</v>
      </c>
    </row>
    <row r="578" spans="1:7" x14ac:dyDescent="0.25">
      <c r="A578">
        <v>7746</v>
      </c>
      <c r="B578" t="s">
        <v>2350</v>
      </c>
      <c r="C578" t="s">
        <v>3045</v>
      </c>
      <c r="D578" s="3">
        <v>23497</v>
      </c>
      <c r="E578">
        <f t="shared" si="16"/>
        <v>1964</v>
      </c>
      <c r="F578">
        <f t="shared" ca="1" si="17"/>
        <v>61</v>
      </c>
      <c r="G578">
        <f>COUNTIF(BRON!A:A,'schades-leeftijd'!A578)</f>
        <v>1</v>
      </c>
    </row>
    <row r="579" spans="1:7" x14ac:dyDescent="0.25">
      <c r="A579">
        <v>7748</v>
      </c>
      <c r="B579" t="s">
        <v>1658</v>
      </c>
      <c r="C579" t="s">
        <v>1659</v>
      </c>
      <c r="D579" s="3">
        <v>25262</v>
      </c>
      <c r="E579">
        <f t="shared" ref="E579:E593" si="18">YEAR(D579)</f>
        <v>1969</v>
      </c>
      <c r="F579">
        <f t="shared" ref="F579:F593" ca="1" si="19">YEAR(TODAY())-E579</f>
        <v>56</v>
      </c>
      <c r="G579">
        <f>COUNTIF(BRON!A:A,'schades-leeftijd'!A579)</f>
        <v>0</v>
      </c>
    </row>
    <row r="580" spans="1:7" x14ac:dyDescent="0.25">
      <c r="A580">
        <v>8016</v>
      </c>
      <c r="B580" t="s">
        <v>1841</v>
      </c>
      <c r="C580" t="s">
        <v>1842</v>
      </c>
      <c r="D580" s="3">
        <v>24555</v>
      </c>
      <c r="E580">
        <f t="shared" si="18"/>
        <v>1967</v>
      </c>
      <c r="F580">
        <f t="shared" ca="1" si="19"/>
        <v>58</v>
      </c>
      <c r="G580">
        <f>COUNTIF(BRON!A:A,'schades-leeftijd'!A580)</f>
        <v>2</v>
      </c>
    </row>
    <row r="581" spans="1:7" x14ac:dyDescent="0.25">
      <c r="A581">
        <v>8196</v>
      </c>
      <c r="B581" t="s">
        <v>1460</v>
      </c>
      <c r="C581" t="s">
        <v>1452</v>
      </c>
      <c r="D581" s="3">
        <v>25922</v>
      </c>
      <c r="E581">
        <f t="shared" si="18"/>
        <v>1970</v>
      </c>
      <c r="F581">
        <f t="shared" ca="1" si="19"/>
        <v>55</v>
      </c>
      <c r="G581">
        <f>COUNTIF(BRON!A:A,'schades-leeftijd'!A581)</f>
        <v>0</v>
      </c>
    </row>
    <row r="582" spans="1:7" x14ac:dyDescent="0.25">
      <c r="A582">
        <v>8391</v>
      </c>
      <c r="B582" t="s">
        <v>2578</v>
      </c>
      <c r="C582" t="s">
        <v>2579</v>
      </c>
      <c r="D582" s="3">
        <v>25627</v>
      </c>
      <c r="E582">
        <f t="shared" si="18"/>
        <v>1970</v>
      </c>
      <c r="F582">
        <f t="shared" ca="1" si="19"/>
        <v>55</v>
      </c>
      <c r="G582">
        <f>COUNTIF(BRON!A:A,'schades-leeftijd'!A582)</f>
        <v>1</v>
      </c>
    </row>
    <row r="583" spans="1:7" x14ac:dyDescent="0.25">
      <c r="A583">
        <v>8393</v>
      </c>
      <c r="B583" t="s">
        <v>1732</v>
      </c>
      <c r="C583" t="s">
        <v>1733</v>
      </c>
      <c r="D583" s="3">
        <v>26380</v>
      </c>
      <c r="E583">
        <f t="shared" si="18"/>
        <v>1972</v>
      </c>
      <c r="F583">
        <f t="shared" ca="1" si="19"/>
        <v>53</v>
      </c>
      <c r="G583">
        <f>COUNTIF(BRON!A:A,'schades-leeftijd'!A583)</f>
        <v>0</v>
      </c>
    </row>
    <row r="584" spans="1:7" x14ac:dyDescent="0.25">
      <c r="A584">
        <v>8394</v>
      </c>
      <c r="B584" t="s">
        <v>3328</v>
      </c>
      <c r="C584" t="s">
        <v>3329</v>
      </c>
      <c r="D584" s="3">
        <v>26996</v>
      </c>
      <c r="E584">
        <f t="shared" si="18"/>
        <v>1973</v>
      </c>
      <c r="F584">
        <f t="shared" ca="1" si="19"/>
        <v>52</v>
      </c>
      <c r="G584">
        <f>COUNTIF(BRON!A:A,'schades-leeftijd'!A584)</f>
        <v>4</v>
      </c>
    </row>
    <row r="585" spans="1:7" x14ac:dyDescent="0.25">
      <c r="A585">
        <v>8708</v>
      </c>
      <c r="B585" t="s">
        <v>3346</v>
      </c>
      <c r="C585" t="s">
        <v>3347</v>
      </c>
      <c r="D585" s="3">
        <v>27571</v>
      </c>
      <c r="E585">
        <f t="shared" si="18"/>
        <v>1975</v>
      </c>
      <c r="F585">
        <f t="shared" ca="1" si="19"/>
        <v>50</v>
      </c>
      <c r="G585">
        <f>COUNTIF(BRON!A:A,'schades-leeftijd'!A585)</f>
        <v>1</v>
      </c>
    </row>
    <row r="586" spans="1:7" x14ac:dyDescent="0.25">
      <c r="A586">
        <v>8792</v>
      </c>
      <c r="B586" t="s">
        <v>3087</v>
      </c>
      <c r="C586" t="s">
        <v>3088</v>
      </c>
      <c r="D586" s="3">
        <v>27910</v>
      </c>
      <c r="E586">
        <f t="shared" si="18"/>
        <v>1976</v>
      </c>
      <c r="F586">
        <f t="shared" ca="1" si="19"/>
        <v>49</v>
      </c>
      <c r="G586">
        <f>COUNTIF(BRON!A:A,'schades-leeftijd'!A586)</f>
        <v>0</v>
      </c>
    </row>
    <row r="587" spans="1:7" x14ac:dyDescent="0.25">
      <c r="A587">
        <v>8918</v>
      </c>
      <c r="B587" t="s">
        <v>2295</v>
      </c>
      <c r="C587" t="s">
        <v>2296</v>
      </c>
      <c r="D587" s="3">
        <v>23172</v>
      </c>
      <c r="E587">
        <f t="shared" si="18"/>
        <v>1963</v>
      </c>
      <c r="F587">
        <f t="shared" ca="1" si="19"/>
        <v>62</v>
      </c>
      <c r="G587">
        <f>COUNTIF(BRON!A:A,'schades-leeftijd'!A587)</f>
        <v>1</v>
      </c>
    </row>
    <row r="588" spans="1:7" x14ac:dyDescent="0.25">
      <c r="A588">
        <v>9062</v>
      </c>
      <c r="B588" t="s">
        <v>3054</v>
      </c>
      <c r="C588" t="s">
        <v>3055</v>
      </c>
      <c r="D588" s="3">
        <v>26633</v>
      </c>
      <c r="E588">
        <f t="shared" si="18"/>
        <v>1972</v>
      </c>
      <c r="F588">
        <f t="shared" ca="1" si="19"/>
        <v>53</v>
      </c>
      <c r="G588">
        <f>COUNTIF(BRON!A:A,'schades-leeftijd'!A588)</f>
        <v>1</v>
      </c>
    </row>
    <row r="589" spans="1:7" x14ac:dyDescent="0.25">
      <c r="A589">
        <v>9065</v>
      </c>
      <c r="B589" t="s">
        <v>3091</v>
      </c>
      <c r="C589" t="s">
        <v>3092</v>
      </c>
      <c r="D589" s="3">
        <v>24694</v>
      </c>
      <c r="E589">
        <f t="shared" si="18"/>
        <v>1967</v>
      </c>
      <c r="F589">
        <f t="shared" ca="1" si="19"/>
        <v>58</v>
      </c>
      <c r="G589">
        <f>COUNTIF(BRON!A:A,'schades-leeftijd'!A589)</f>
        <v>1</v>
      </c>
    </row>
    <row r="590" spans="1:7" x14ac:dyDescent="0.25">
      <c r="A590">
        <v>9158</v>
      </c>
      <c r="B590" t="s">
        <v>979</v>
      </c>
      <c r="C590" t="s">
        <v>1824</v>
      </c>
      <c r="D590" s="3">
        <v>26119</v>
      </c>
      <c r="E590">
        <f t="shared" si="18"/>
        <v>1971</v>
      </c>
      <c r="F590">
        <f t="shared" ca="1" si="19"/>
        <v>54</v>
      </c>
      <c r="G590">
        <f>COUNTIF(BRON!A:A,'schades-leeftijd'!A590)</f>
        <v>1</v>
      </c>
    </row>
    <row r="591" spans="1:7" x14ac:dyDescent="0.25">
      <c r="A591">
        <v>9667</v>
      </c>
      <c r="B591" t="s">
        <v>3001</v>
      </c>
      <c r="C591" t="s">
        <v>3002</v>
      </c>
      <c r="D591" s="3">
        <v>26311</v>
      </c>
      <c r="E591">
        <f t="shared" si="18"/>
        <v>1972</v>
      </c>
      <c r="F591">
        <f t="shared" ca="1" si="19"/>
        <v>53</v>
      </c>
      <c r="G591">
        <f>COUNTIF(BRON!A:A,'schades-leeftijd'!A591)</f>
        <v>0</v>
      </c>
    </row>
    <row r="592" spans="1:7" x14ac:dyDescent="0.25">
      <c r="A592">
        <v>9824</v>
      </c>
      <c r="B592" t="s">
        <v>2397</v>
      </c>
      <c r="C592" t="s">
        <v>2931</v>
      </c>
      <c r="D592" s="3">
        <v>23784</v>
      </c>
      <c r="E592">
        <f t="shared" si="18"/>
        <v>1965</v>
      </c>
      <c r="F592">
        <f t="shared" ca="1" si="19"/>
        <v>60</v>
      </c>
      <c r="G592">
        <f>COUNTIF(BRON!A:A,'schades-leeftijd'!A592)</f>
        <v>1</v>
      </c>
    </row>
    <row r="593" spans="1:7" x14ac:dyDescent="0.25">
      <c r="A593">
        <v>9979</v>
      </c>
      <c r="B593" t="s">
        <v>1456</v>
      </c>
      <c r="C593" t="s">
        <v>1452</v>
      </c>
      <c r="D593" s="3">
        <v>28053</v>
      </c>
      <c r="E593">
        <f t="shared" si="18"/>
        <v>1976</v>
      </c>
      <c r="F593">
        <f t="shared" ca="1" si="19"/>
        <v>49</v>
      </c>
      <c r="G593">
        <f>COUNTIF(BRON!A:A,'schades-leeftijd'!A593)</f>
        <v>0</v>
      </c>
    </row>
  </sheetData>
  <pageMargins left="0.7" right="0.7" top="0.75" bottom="0.75" header="0.3" footer="0.3"/>
  <pageSetup paperSize="8" scale="10" orientation="landscape" r:id="rId2"/>
  <drawing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C5116-768F-43D9-BEB7-75B551EBEC19}">
  <dimension ref="A1:K615"/>
  <sheetViews>
    <sheetView tabSelected="1" topLeftCell="A16" zoomScale="90" zoomScaleNormal="90" workbookViewId="0">
      <selection activeCell="I29" sqref="I29"/>
    </sheetView>
  </sheetViews>
  <sheetFormatPr defaultRowHeight="15" x14ac:dyDescent="0.25"/>
  <cols>
    <col min="1" max="1" width="28" style="34" customWidth="1"/>
    <col min="2" max="3" width="14" style="34" customWidth="1"/>
    <col min="4" max="4" width="28" style="34" customWidth="1"/>
    <col min="5" max="5" width="18.7109375" style="34" bestFit="1" customWidth="1"/>
    <col min="6" max="6" width="16.28515625" style="3" bestFit="1" customWidth="1"/>
    <col min="7" max="7" width="16.28515625" style="38" customWidth="1"/>
    <col min="8" max="8" width="9.7109375" customWidth="1"/>
    <col min="10" max="10" width="11.140625" bestFit="1" customWidth="1"/>
    <col min="11" max="11" width="24" bestFit="1" customWidth="1"/>
  </cols>
  <sheetData>
    <row r="1" spans="1:11" x14ac:dyDescent="0.25">
      <c r="A1" t="s">
        <v>3888</v>
      </c>
      <c r="B1" t="s">
        <v>3846</v>
      </c>
      <c r="C1" t="s">
        <v>3847</v>
      </c>
      <c r="D1" t="s">
        <v>3848</v>
      </c>
      <c r="E1" t="s">
        <v>3849</v>
      </c>
      <c r="F1" s="3" t="s">
        <v>3850</v>
      </c>
      <c r="G1" s="38" t="s">
        <v>3868</v>
      </c>
      <c r="H1" t="s">
        <v>3887</v>
      </c>
    </row>
    <row r="2" spans="1:11" x14ac:dyDescent="0.25">
      <c r="A2" s="34" t="s">
        <v>3898</v>
      </c>
      <c r="B2" s="34" t="s">
        <v>2296</v>
      </c>
      <c r="C2" s="34" t="s">
        <v>1495</v>
      </c>
      <c r="D2">
        <v>3926</v>
      </c>
      <c r="E2" s="34" t="s">
        <v>3854</v>
      </c>
      <c r="F2" s="3">
        <v>29885.041666666701</v>
      </c>
      <c r="G2" s="38">
        <f ca="1">TRUNC(YEARFRAC(F2,TODAY(),1))</f>
        <v>44</v>
      </c>
      <c r="H2">
        <f>COUNTIF(BRON!A:A,Tabel6[[#This Row],[Personeelsnummer]])</f>
        <v>0</v>
      </c>
    </row>
    <row r="3" spans="1:11" x14ac:dyDescent="0.25">
      <c r="A3" s="34" t="s">
        <v>3899</v>
      </c>
      <c r="B3" s="34" t="s">
        <v>2968</v>
      </c>
      <c r="C3" s="34" t="s">
        <v>2967</v>
      </c>
      <c r="D3">
        <v>4419</v>
      </c>
      <c r="E3" s="34" t="s">
        <v>3855</v>
      </c>
      <c r="F3" s="3">
        <v>32223.041666666701</v>
      </c>
      <c r="G3" s="38">
        <f ca="1">TRUNC(YEARFRAC(F3,TODAY(),1))</f>
        <v>37</v>
      </c>
      <c r="H3">
        <f>COUNTIF(BRON!A:A,Tabel6[[#This Row],[Personeelsnummer]])</f>
        <v>4</v>
      </c>
      <c r="J3" s="1" t="s">
        <v>3807</v>
      </c>
      <c r="K3" t="s">
        <v>4527</v>
      </c>
    </row>
    <row r="4" spans="1:11" x14ac:dyDescent="0.25">
      <c r="A4" s="34" t="s">
        <v>3900</v>
      </c>
      <c r="B4" s="34" t="s">
        <v>2820</v>
      </c>
      <c r="C4" s="34" t="s">
        <v>2819</v>
      </c>
      <c r="D4">
        <v>4525</v>
      </c>
      <c r="E4" s="34" t="s">
        <v>3851</v>
      </c>
      <c r="F4" s="3">
        <v>32489.041666666701</v>
      </c>
      <c r="G4" s="38">
        <f ca="1">TRUNC(YEARFRAC(F4,TODAY(),1))</f>
        <v>36</v>
      </c>
      <c r="H4">
        <f>COUNTIF(BRON!A:A,Tabel6[[#This Row],[Personeelsnummer]])</f>
        <v>0</v>
      </c>
      <c r="J4" s="40">
        <v>0</v>
      </c>
      <c r="K4" s="35">
        <v>1.0163934426229508</v>
      </c>
    </row>
    <row r="5" spans="1:11" x14ac:dyDescent="0.25">
      <c r="A5" s="34" t="s">
        <v>3901</v>
      </c>
      <c r="B5" s="34" t="s">
        <v>2562</v>
      </c>
      <c r="C5" s="34" t="s">
        <v>2561</v>
      </c>
      <c r="D5">
        <v>4608</v>
      </c>
      <c r="E5" s="34" t="s">
        <v>3855</v>
      </c>
      <c r="F5" s="3">
        <v>32644.083333333299</v>
      </c>
      <c r="G5" s="38">
        <f ca="1">TRUNC(YEARFRAC(F5,TODAY(),1))</f>
        <v>36</v>
      </c>
      <c r="H5">
        <f>COUNTIF(BRON!A:A,Tabel6[[#This Row],[Personeelsnummer]])</f>
        <v>1</v>
      </c>
      <c r="J5" s="40">
        <v>1</v>
      </c>
      <c r="K5" s="35">
        <v>2.2028985507246377</v>
      </c>
    </row>
    <row r="6" spans="1:11" x14ac:dyDescent="0.25">
      <c r="A6" s="34" t="s">
        <v>3902</v>
      </c>
      <c r="B6" s="34" t="s">
        <v>2581</v>
      </c>
      <c r="C6" s="34" t="s">
        <v>1950</v>
      </c>
      <c r="D6">
        <v>4720</v>
      </c>
      <c r="E6" s="34" t="s">
        <v>3856</v>
      </c>
      <c r="F6" s="3">
        <v>32797.083333333299</v>
      </c>
      <c r="G6" s="38">
        <f ca="1">TRUNC(YEARFRAC(F6,TODAY(),1))</f>
        <v>36</v>
      </c>
      <c r="H6">
        <f>COUNTIF(BRON!A:A,Tabel6[[#This Row],[Personeelsnummer]])</f>
        <v>1</v>
      </c>
      <c r="J6" s="40">
        <v>2</v>
      </c>
      <c r="K6" s="35">
        <v>2.7272727272727271</v>
      </c>
    </row>
    <row r="7" spans="1:11" x14ac:dyDescent="0.25">
      <c r="A7" s="34" t="s">
        <v>3903</v>
      </c>
      <c r="B7" s="34" t="s">
        <v>2925</v>
      </c>
      <c r="C7" s="34" t="s">
        <v>2924</v>
      </c>
      <c r="D7">
        <v>4764</v>
      </c>
      <c r="E7" s="34" t="s">
        <v>3854</v>
      </c>
      <c r="F7" s="3">
        <v>32924.041666666701</v>
      </c>
      <c r="G7" s="38">
        <f ca="1">TRUNC(YEARFRAC(F7,TODAY(),1))</f>
        <v>35</v>
      </c>
      <c r="H7">
        <f>COUNTIF(BRON!A:A,Tabel6[[#This Row],[Personeelsnummer]])</f>
        <v>0</v>
      </c>
      <c r="J7" s="40">
        <v>3</v>
      </c>
      <c r="K7" s="35">
        <v>1.8421052631578947</v>
      </c>
    </row>
    <row r="8" spans="1:11" x14ac:dyDescent="0.25">
      <c r="A8" s="34" t="s">
        <v>3904</v>
      </c>
      <c r="B8" s="34" t="s">
        <v>1733</v>
      </c>
      <c r="C8" s="34" t="s">
        <v>1735</v>
      </c>
      <c r="D8">
        <v>4793</v>
      </c>
      <c r="E8" s="34" t="s">
        <v>3855</v>
      </c>
      <c r="F8" s="3">
        <v>32951.041666666701</v>
      </c>
      <c r="G8" s="38">
        <f ca="1">TRUNC(YEARFRAC(F8,TODAY(),1))</f>
        <v>35</v>
      </c>
      <c r="H8">
        <f>COUNTIF(BRON!A:A,Tabel6[[#This Row],[Personeelsnummer]])</f>
        <v>0</v>
      </c>
      <c r="J8" s="40">
        <v>4</v>
      </c>
      <c r="K8" s="35">
        <v>1.9393939393939394</v>
      </c>
    </row>
    <row r="9" spans="1:11" x14ac:dyDescent="0.25">
      <c r="A9" s="34" t="s">
        <v>3905</v>
      </c>
      <c r="B9" s="34" t="s">
        <v>2785</v>
      </c>
      <c r="C9" s="34" t="s">
        <v>2784</v>
      </c>
      <c r="D9">
        <v>4943</v>
      </c>
      <c r="E9" s="34" t="s">
        <v>3857</v>
      </c>
      <c r="F9" s="3">
        <v>33098.083333333299</v>
      </c>
      <c r="G9" s="38">
        <f ca="1">TRUNC(YEARFRAC(F9,TODAY(),1))</f>
        <v>35</v>
      </c>
      <c r="H9">
        <f>COUNTIF(BRON!A:A,Tabel6[[#This Row],[Personeelsnummer]])</f>
        <v>0</v>
      </c>
      <c r="J9" s="40">
        <v>5</v>
      </c>
      <c r="K9" s="35">
        <v>1.2571428571428571</v>
      </c>
    </row>
    <row r="10" spans="1:11" x14ac:dyDescent="0.25">
      <c r="A10" s="34" t="s">
        <v>3906</v>
      </c>
      <c r="B10" s="34" t="s">
        <v>1929</v>
      </c>
      <c r="C10" s="34" t="s">
        <v>1495</v>
      </c>
      <c r="D10">
        <v>5061</v>
      </c>
      <c r="E10" s="34" t="s">
        <v>3851</v>
      </c>
      <c r="F10" s="3">
        <v>33287.041666666701</v>
      </c>
      <c r="G10" s="38">
        <f ca="1">TRUNC(YEARFRAC(F10,TODAY(),1))</f>
        <v>34</v>
      </c>
      <c r="H10">
        <f>COUNTIF(BRON!A:A,Tabel6[[#This Row],[Personeelsnummer]])</f>
        <v>0</v>
      </c>
      <c r="J10" s="40">
        <v>6</v>
      </c>
      <c r="K10" s="35">
        <v>1.6</v>
      </c>
    </row>
    <row r="11" spans="1:11" x14ac:dyDescent="0.25">
      <c r="A11" s="34" t="s">
        <v>3907</v>
      </c>
      <c r="B11" s="34" t="s">
        <v>1351</v>
      </c>
      <c r="C11" s="34" t="s">
        <v>3276</v>
      </c>
      <c r="D11">
        <v>5063</v>
      </c>
      <c r="E11" s="34" t="s">
        <v>3855</v>
      </c>
      <c r="F11" s="3">
        <v>33287.041666666701</v>
      </c>
      <c r="G11" s="38">
        <f ca="1">TRUNC(YEARFRAC(F11,TODAY(),1))</f>
        <v>34</v>
      </c>
      <c r="H11">
        <f>COUNTIF(BRON!A:A,Tabel6[[#This Row],[Personeelsnummer]])</f>
        <v>1</v>
      </c>
      <c r="J11" s="40">
        <v>7</v>
      </c>
      <c r="K11" s="35">
        <v>2.2222222222222223</v>
      </c>
    </row>
    <row r="12" spans="1:11" x14ac:dyDescent="0.25">
      <c r="A12" s="34" t="s">
        <v>3908</v>
      </c>
      <c r="B12" s="34" t="s">
        <v>2509</v>
      </c>
      <c r="C12" s="34" t="s">
        <v>1959</v>
      </c>
      <c r="D12">
        <v>5080</v>
      </c>
      <c r="E12" s="34" t="s">
        <v>3856</v>
      </c>
      <c r="F12" s="3">
        <v>33308.041666666701</v>
      </c>
      <c r="G12" s="38">
        <f ca="1">TRUNC(YEARFRAC(F12,TODAY(),1))</f>
        <v>34</v>
      </c>
      <c r="H12">
        <f>COUNTIF(BRON!A:A,Tabel6[[#This Row],[Personeelsnummer]])</f>
        <v>0</v>
      </c>
      <c r="J12" s="40">
        <v>8</v>
      </c>
      <c r="K12" s="35">
        <v>1.25</v>
      </c>
    </row>
    <row r="13" spans="1:11" x14ac:dyDescent="0.25">
      <c r="A13" s="34" t="s">
        <v>3909</v>
      </c>
      <c r="B13" s="34" t="s">
        <v>1605</v>
      </c>
      <c r="C13" s="34" t="s">
        <v>1560</v>
      </c>
      <c r="D13">
        <v>5559</v>
      </c>
      <c r="E13" s="34" t="s">
        <v>3858</v>
      </c>
      <c r="F13" s="3">
        <v>33546.041666666701</v>
      </c>
      <c r="G13" s="38">
        <f ca="1">TRUNC(YEARFRAC(F13,TODAY(),1))</f>
        <v>34</v>
      </c>
      <c r="H13">
        <f>COUNTIF(BRON!A:A,Tabel6[[#This Row],[Personeelsnummer]])</f>
        <v>2</v>
      </c>
      <c r="J13" s="40">
        <v>9</v>
      </c>
      <c r="K13" s="35">
        <v>1.7272727272727273</v>
      </c>
    </row>
    <row r="14" spans="1:11" x14ac:dyDescent="0.25">
      <c r="A14" s="34" t="s">
        <v>3910</v>
      </c>
      <c r="B14" s="34" t="s">
        <v>1911</v>
      </c>
      <c r="C14" s="34" t="s">
        <v>1910</v>
      </c>
      <c r="D14">
        <v>5599</v>
      </c>
      <c r="E14" s="34" t="s">
        <v>3858</v>
      </c>
      <c r="F14" s="3">
        <v>33609.041666666701</v>
      </c>
      <c r="G14" s="38">
        <f ca="1">TRUNC(YEARFRAC(F14,TODAY(),1))</f>
        <v>33</v>
      </c>
      <c r="H14">
        <f>COUNTIF(BRON!A:A,Tabel6[[#This Row],[Personeelsnummer]])</f>
        <v>1</v>
      </c>
      <c r="J14" s="40">
        <v>10</v>
      </c>
      <c r="K14" s="35">
        <v>0.92307692307692313</v>
      </c>
    </row>
    <row r="15" spans="1:11" x14ac:dyDescent="0.25">
      <c r="A15" s="34" t="s">
        <v>3911</v>
      </c>
      <c r="B15" s="34" t="s">
        <v>2675</v>
      </c>
      <c r="C15" s="34" t="s">
        <v>2674</v>
      </c>
      <c r="D15">
        <v>5718</v>
      </c>
      <c r="E15" s="34" t="s">
        <v>3851</v>
      </c>
      <c r="F15" s="3">
        <v>33707.083333333299</v>
      </c>
      <c r="G15" s="38">
        <f ca="1">TRUNC(YEARFRAC(F15,TODAY(),1))</f>
        <v>33</v>
      </c>
      <c r="H15">
        <f>COUNTIF(BRON!A:A,Tabel6[[#This Row],[Personeelsnummer]])</f>
        <v>2</v>
      </c>
      <c r="J15" s="40">
        <v>11</v>
      </c>
      <c r="K15" s="35">
        <v>1.1875</v>
      </c>
    </row>
    <row r="16" spans="1:11" x14ac:dyDescent="0.25">
      <c r="A16" s="34" t="s">
        <v>3912</v>
      </c>
      <c r="B16" s="34" t="s">
        <v>1782</v>
      </c>
      <c r="C16" s="34" t="s">
        <v>1781</v>
      </c>
      <c r="D16">
        <v>5813</v>
      </c>
      <c r="E16" s="34" t="s">
        <v>3855</v>
      </c>
      <c r="F16" s="3">
        <v>33742.083333333299</v>
      </c>
      <c r="G16" s="38">
        <f ca="1">TRUNC(YEARFRAC(F16,TODAY(),1))</f>
        <v>33</v>
      </c>
      <c r="H16">
        <f>COUNTIF(BRON!A:A,Tabel6[[#This Row],[Personeelsnummer]])</f>
        <v>1</v>
      </c>
      <c r="J16" s="40">
        <v>12</v>
      </c>
      <c r="K16" s="35">
        <v>0.14285714285714285</v>
      </c>
    </row>
    <row r="17" spans="1:11" x14ac:dyDescent="0.25">
      <c r="A17" s="34" t="s">
        <v>3913</v>
      </c>
      <c r="B17" s="34" t="s">
        <v>3404</v>
      </c>
      <c r="C17" s="34" t="s">
        <v>3403</v>
      </c>
      <c r="D17">
        <v>6049</v>
      </c>
      <c r="E17" s="34" t="s">
        <v>3855</v>
      </c>
      <c r="F17" s="3">
        <v>33819.083333333299</v>
      </c>
      <c r="G17" s="38">
        <f ca="1">TRUNC(YEARFRAC(F17,TODAY(),1))</f>
        <v>33</v>
      </c>
      <c r="H17">
        <f>COUNTIF(BRON!A:A,Tabel6[[#This Row],[Personeelsnummer]])</f>
        <v>0</v>
      </c>
      <c r="J17" s="40">
        <v>13</v>
      </c>
      <c r="K17" s="35">
        <v>1.1111111111111112</v>
      </c>
    </row>
    <row r="18" spans="1:11" x14ac:dyDescent="0.25">
      <c r="A18" s="34" t="s">
        <v>3914</v>
      </c>
      <c r="B18" s="34" t="s">
        <v>2905</v>
      </c>
      <c r="C18" s="34" t="s">
        <v>2904</v>
      </c>
      <c r="D18">
        <v>6067</v>
      </c>
      <c r="E18" s="34" t="s">
        <v>3855</v>
      </c>
      <c r="F18" s="3">
        <v>33848.083333333299</v>
      </c>
      <c r="G18" s="38">
        <f ca="1">TRUNC(YEARFRAC(F18,TODAY(),1))</f>
        <v>33</v>
      </c>
      <c r="H18">
        <f>COUNTIF(BRON!A:A,Tabel6[[#This Row],[Personeelsnummer]])</f>
        <v>0</v>
      </c>
      <c r="J18" s="40">
        <v>14</v>
      </c>
      <c r="K18" s="35">
        <v>1.0833333333333333</v>
      </c>
    </row>
    <row r="19" spans="1:11" x14ac:dyDescent="0.25">
      <c r="A19" s="34" t="s">
        <v>3915</v>
      </c>
      <c r="B19" s="34" t="s">
        <v>1991</v>
      </c>
      <c r="C19" s="34" t="s">
        <v>1994</v>
      </c>
      <c r="D19">
        <v>6092</v>
      </c>
      <c r="E19" s="34" t="s">
        <v>3858</v>
      </c>
      <c r="F19" s="3">
        <v>33868.083333333299</v>
      </c>
      <c r="G19" s="38">
        <f ca="1">TRUNC(YEARFRAC(F19,TODAY(),1))</f>
        <v>33</v>
      </c>
      <c r="H19">
        <f>COUNTIF(BRON!A:A,Tabel6[[#This Row],[Personeelsnummer]])</f>
        <v>0</v>
      </c>
      <c r="J19" s="40">
        <v>15</v>
      </c>
      <c r="K19" s="35">
        <v>1.4285714285714286</v>
      </c>
    </row>
    <row r="20" spans="1:11" x14ac:dyDescent="0.25">
      <c r="A20" s="34" t="s">
        <v>3916</v>
      </c>
      <c r="B20" s="34" t="s">
        <v>3329</v>
      </c>
      <c r="C20" s="34" t="s">
        <v>1255</v>
      </c>
      <c r="D20">
        <v>6229</v>
      </c>
      <c r="E20" s="34" t="s">
        <v>3856</v>
      </c>
      <c r="F20" s="3">
        <v>34008.041666666701</v>
      </c>
      <c r="G20" s="38">
        <f ca="1">TRUNC(YEARFRAC(F20,TODAY(),1))</f>
        <v>32</v>
      </c>
      <c r="H20">
        <f>COUNTIF(BRON!A:A,Tabel6[[#This Row],[Personeelsnummer]])</f>
        <v>1</v>
      </c>
      <c r="J20" s="40">
        <v>16</v>
      </c>
      <c r="K20" s="35">
        <v>0.66666666666666663</v>
      </c>
    </row>
    <row r="21" spans="1:11" x14ac:dyDescent="0.25">
      <c r="A21" s="34" t="s">
        <v>3917</v>
      </c>
      <c r="B21" s="34" t="s">
        <v>3015</v>
      </c>
      <c r="C21" s="34" t="s">
        <v>3014</v>
      </c>
      <c r="D21">
        <v>6309</v>
      </c>
      <c r="E21" s="34" t="s">
        <v>3851</v>
      </c>
      <c r="F21" s="3">
        <v>34078.083333333299</v>
      </c>
      <c r="G21" s="38">
        <f ca="1">TRUNC(YEARFRAC(F21,TODAY(),1))</f>
        <v>32</v>
      </c>
      <c r="H21">
        <f>COUNTIF(BRON!A:A,Tabel6[[#This Row],[Personeelsnummer]])</f>
        <v>0</v>
      </c>
      <c r="J21" s="40">
        <v>17</v>
      </c>
      <c r="K21" s="35">
        <v>0.75</v>
      </c>
    </row>
    <row r="22" spans="1:11" x14ac:dyDescent="0.25">
      <c r="A22" s="34" t="s">
        <v>3918</v>
      </c>
      <c r="B22" s="34" t="s">
        <v>1326</v>
      </c>
      <c r="C22" s="34" t="s">
        <v>2815</v>
      </c>
      <c r="D22">
        <v>7422</v>
      </c>
      <c r="E22" s="34" t="s">
        <v>3854</v>
      </c>
      <c r="F22" s="3">
        <v>34834.083333333299</v>
      </c>
      <c r="G22" s="38">
        <f ca="1">TRUNC(YEARFRAC(F22,TODAY(),1))</f>
        <v>30</v>
      </c>
      <c r="H22">
        <f>COUNTIF(BRON!A:A,Tabel6[[#This Row],[Personeelsnummer]])</f>
        <v>0</v>
      </c>
      <c r="J22" s="40">
        <v>18</v>
      </c>
      <c r="K22" s="35">
        <v>0.75862068965517238</v>
      </c>
    </row>
    <row r="23" spans="1:11" x14ac:dyDescent="0.25">
      <c r="A23" s="34" t="s">
        <v>3919</v>
      </c>
      <c r="B23" s="34" t="s">
        <v>3045</v>
      </c>
      <c r="C23" s="34" t="s">
        <v>2350</v>
      </c>
      <c r="D23">
        <v>7746</v>
      </c>
      <c r="E23" s="34" t="s">
        <v>3853</v>
      </c>
      <c r="F23" s="3">
        <v>34932.083333333299</v>
      </c>
      <c r="G23" s="38">
        <f ca="1">TRUNC(YEARFRAC(F23,TODAY(),1))</f>
        <v>30</v>
      </c>
      <c r="H23">
        <f>COUNTIF(BRON!A:A,Tabel6[[#This Row],[Personeelsnummer]])</f>
        <v>1</v>
      </c>
      <c r="J23" s="40">
        <v>19</v>
      </c>
      <c r="K23" s="35">
        <v>1.375</v>
      </c>
    </row>
    <row r="24" spans="1:11" x14ac:dyDescent="0.25">
      <c r="A24" s="34" t="s">
        <v>3920</v>
      </c>
      <c r="B24" s="34" t="s">
        <v>1659</v>
      </c>
      <c r="C24" s="34" t="s">
        <v>1658</v>
      </c>
      <c r="D24">
        <v>7748</v>
      </c>
      <c r="E24" s="34" t="s">
        <v>3855</v>
      </c>
      <c r="F24" s="3">
        <v>34932.083333333299</v>
      </c>
      <c r="G24" s="38">
        <f ca="1">TRUNC(YEARFRAC(F24,TODAY(),1))</f>
        <v>30</v>
      </c>
      <c r="H24">
        <f>COUNTIF(BRON!A:A,Tabel6[[#This Row],[Personeelsnummer]])</f>
        <v>0</v>
      </c>
      <c r="J24" s="40">
        <v>20</v>
      </c>
      <c r="K24" s="35">
        <v>0.7</v>
      </c>
    </row>
    <row r="25" spans="1:11" x14ac:dyDescent="0.25">
      <c r="A25" s="34" t="s">
        <v>3921</v>
      </c>
      <c r="B25" s="34" t="s">
        <v>1842</v>
      </c>
      <c r="C25" s="34" t="s">
        <v>1841</v>
      </c>
      <c r="D25">
        <v>8016</v>
      </c>
      <c r="E25" s="34" t="s">
        <v>3859</v>
      </c>
      <c r="F25" s="3">
        <v>35065.041666666701</v>
      </c>
      <c r="G25" s="38">
        <f ca="1">TRUNC(YEARFRAC(F25,TODAY(),1))</f>
        <v>29</v>
      </c>
      <c r="H25">
        <f>COUNTIF(BRON!A:A,Tabel6[[#This Row],[Personeelsnummer]])</f>
        <v>2</v>
      </c>
      <c r="J25" s="40">
        <v>21</v>
      </c>
      <c r="K25" s="35">
        <v>1.5</v>
      </c>
    </row>
    <row r="26" spans="1:11" x14ac:dyDescent="0.25">
      <c r="A26" s="34" t="s">
        <v>3922</v>
      </c>
      <c r="B26" s="34" t="s">
        <v>1452</v>
      </c>
      <c r="C26" s="34" t="s">
        <v>1460</v>
      </c>
      <c r="D26">
        <v>8196</v>
      </c>
      <c r="E26" s="34" t="s">
        <v>3853</v>
      </c>
      <c r="F26" s="3">
        <v>35177.083333333299</v>
      </c>
      <c r="G26" s="38">
        <f ca="1">TRUNC(YEARFRAC(F26,TODAY(),1))</f>
        <v>29</v>
      </c>
      <c r="H26">
        <f>COUNTIF(BRON!A:A,Tabel6[[#This Row],[Personeelsnummer]])</f>
        <v>0</v>
      </c>
      <c r="J26" s="40">
        <v>22</v>
      </c>
      <c r="K26" s="35">
        <v>0.76923076923076927</v>
      </c>
    </row>
    <row r="27" spans="1:11" x14ac:dyDescent="0.25">
      <c r="A27" s="34" t="s">
        <v>3923</v>
      </c>
      <c r="B27" s="34" t="s">
        <v>2579</v>
      </c>
      <c r="C27" s="34" t="s">
        <v>2578</v>
      </c>
      <c r="D27">
        <v>8391</v>
      </c>
      <c r="E27" s="34" t="s">
        <v>3856</v>
      </c>
      <c r="F27" s="3">
        <v>35219.083333333299</v>
      </c>
      <c r="G27" s="38">
        <f ca="1">TRUNC(YEARFRAC(F27,TODAY(),1))</f>
        <v>29</v>
      </c>
      <c r="H27">
        <f>COUNTIF(BRON!A:A,Tabel6[[#This Row],[Personeelsnummer]])</f>
        <v>1</v>
      </c>
      <c r="J27" s="40">
        <v>23</v>
      </c>
      <c r="K27" s="35">
        <v>1.1818181818181819</v>
      </c>
    </row>
    <row r="28" spans="1:11" x14ac:dyDescent="0.25">
      <c r="A28" s="34" t="s">
        <v>3924</v>
      </c>
      <c r="B28" s="34" t="s">
        <v>1733</v>
      </c>
      <c r="C28" s="34" t="s">
        <v>1732</v>
      </c>
      <c r="D28">
        <v>8393</v>
      </c>
      <c r="E28" s="34" t="s">
        <v>3858</v>
      </c>
      <c r="F28" s="3">
        <v>35219.083333333299</v>
      </c>
      <c r="G28" s="38">
        <f ca="1">TRUNC(YEARFRAC(F28,TODAY(),1))</f>
        <v>29</v>
      </c>
      <c r="H28">
        <f>COUNTIF(BRON!A:A,Tabel6[[#This Row],[Personeelsnummer]])</f>
        <v>0</v>
      </c>
      <c r="J28" s="40">
        <v>24</v>
      </c>
      <c r="K28" s="35">
        <v>0.55555555555555558</v>
      </c>
    </row>
    <row r="29" spans="1:11" x14ac:dyDescent="0.25">
      <c r="A29" s="34" t="s">
        <v>3925</v>
      </c>
      <c r="B29" s="34" t="s">
        <v>3329</v>
      </c>
      <c r="C29" s="34" t="s">
        <v>3328</v>
      </c>
      <c r="D29">
        <v>8394</v>
      </c>
      <c r="E29" s="34" t="s">
        <v>3855</v>
      </c>
      <c r="F29" s="3">
        <v>35219.083333333299</v>
      </c>
      <c r="G29" s="38">
        <f ca="1">TRUNC(YEARFRAC(F29,TODAY(),1))</f>
        <v>29</v>
      </c>
      <c r="H29">
        <f>COUNTIF(BRON!A:A,Tabel6[[#This Row],[Personeelsnummer]])</f>
        <v>4</v>
      </c>
      <c r="J29" s="40">
        <v>25</v>
      </c>
      <c r="K29" s="35">
        <v>1.8571428571428572</v>
      </c>
    </row>
    <row r="30" spans="1:11" x14ac:dyDescent="0.25">
      <c r="A30" s="34" t="s">
        <v>3926</v>
      </c>
      <c r="B30" s="34" t="s">
        <v>3347</v>
      </c>
      <c r="C30" s="34" t="s">
        <v>3346</v>
      </c>
      <c r="D30">
        <v>8708</v>
      </c>
      <c r="E30" s="34" t="s">
        <v>3855</v>
      </c>
      <c r="F30" s="3">
        <v>35303.083333333299</v>
      </c>
      <c r="G30" s="38">
        <f ca="1">TRUNC(YEARFRAC(F30,TODAY(),1))</f>
        <v>29</v>
      </c>
      <c r="H30">
        <f>COUNTIF(BRON!A:A,Tabel6[[#This Row],[Personeelsnummer]])</f>
        <v>1</v>
      </c>
      <c r="J30" s="40">
        <v>26</v>
      </c>
      <c r="K30" s="35">
        <v>1.5</v>
      </c>
    </row>
    <row r="31" spans="1:11" x14ac:dyDescent="0.25">
      <c r="A31" s="34" t="s">
        <v>3927</v>
      </c>
      <c r="B31" s="34" t="s">
        <v>3088</v>
      </c>
      <c r="C31" s="34" t="s">
        <v>3087</v>
      </c>
      <c r="D31">
        <v>8792</v>
      </c>
      <c r="E31" s="34" t="s">
        <v>3854</v>
      </c>
      <c r="F31" s="3">
        <v>35338.083333333299</v>
      </c>
      <c r="G31" s="38">
        <f ca="1">TRUNC(YEARFRAC(F31,TODAY(),1))</f>
        <v>29</v>
      </c>
      <c r="H31">
        <f>COUNTIF(BRON!A:A,Tabel6[[#This Row],[Personeelsnummer]])</f>
        <v>0</v>
      </c>
      <c r="J31" s="40">
        <v>27</v>
      </c>
      <c r="K31" s="35">
        <v>0.6</v>
      </c>
    </row>
    <row r="32" spans="1:11" x14ac:dyDescent="0.25">
      <c r="A32" s="34" t="s">
        <v>3928</v>
      </c>
      <c r="B32" s="34" t="s">
        <v>2296</v>
      </c>
      <c r="C32" s="34" t="s">
        <v>2295</v>
      </c>
      <c r="D32">
        <v>8918</v>
      </c>
      <c r="E32" s="34" t="s">
        <v>3851</v>
      </c>
      <c r="F32" s="3">
        <v>35394.041666666701</v>
      </c>
      <c r="G32" s="38">
        <f ca="1">TRUNC(YEARFRAC(F32,TODAY(),1))</f>
        <v>29</v>
      </c>
      <c r="H32">
        <f>COUNTIF(BRON!A:A,Tabel6[[#This Row],[Personeelsnummer]])</f>
        <v>1</v>
      </c>
      <c r="J32" s="40">
        <v>28</v>
      </c>
      <c r="K32" s="35">
        <v>0.8</v>
      </c>
    </row>
    <row r="33" spans="1:11" x14ac:dyDescent="0.25">
      <c r="A33" s="34" t="s">
        <v>3889</v>
      </c>
      <c r="B33" s="34" t="s">
        <v>3002</v>
      </c>
      <c r="C33" s="34" t="s">
        <v>3001</v>
      </c>
      <c r="D33">
        <v>9667</v>
      </c>
      <c r="E33" s="34" t="s">
        <v>3851</v>
      </c>
      <c r="F33" s="3">
        <v>35667.083333333299</v>
      </c>
      <c r="G33" s="38">
        <f ca="1">TRUNC(YEARFRAC(F33,TODAY(),1))</f>
        <v>28</v>
      </c>
      <c r="H33">
        <f>COUNTIF(BRON!A:A,Tabel6[[#This Row],[Personeelsnummer]])</f>
        <v>0</v>
      </c>
      <c r="J33" s="40">
        <v>29</v>
      </c>
      <c r="K33" s="35">
        <v>1.125</v>
      </c>
    </row>
    <row r="34" spans="1:11" x14ac:dyDescent="0.25">
      <c r="A34" s="34" t="s">
        <v>3929</v>
      </c>
      <c r="B34" s="34" t="s">
        <v>3055</v>
      </c>
      <c r="C34" s="34" t="s">
        <v>3054</v>
      </c>
      <c r="D34">
        <v>9062</v>
      </c>
      <c r="E34" s="34" t="s">
        <v>3851</v>
      </c>
      <c r="F34" s="3">
        <v>35478.041666666701</v>
      </c>
      <c r="G34" s="38">
        <f ca="1">TRUNC(YEARFRAC(F34,TODAY(),1))</f>
        <v>28</v>
      </c>
      <c r="H34">
        <f>COUNTIF(BRON!A:A,Tabel6[[#This Row],[Personeelsnummer]])</f>
        <v>1</v>
      </c>
      <c r="J34" s="40">
        <v>30</v>
      </c>
      <c r="K34" s="35">
        <v>0.33333333333333331</v>
      </c>
    </row>
    <row r="35" spans="1:11" x14ac:dyDescent="0.25">
      <c r="A35" s="34" t="s">
        <v>3930</v>
      </c>
      <c r="B35" s="34" t="s">
        <v>3092</v>
      </c>
      <c r="C35" s="34" t="s">
        <v>3091</v>
      </c>
      <c r="D35">
        <v>9065</v>
      </c>
      <c r="E35" s="34" t="s">
        <v>3856</v>
      </c>
      <c r="F35" s="3">
        <v>35478.041666666701</v>
      </c>
      <c r="G35" s="38">
        <f ca="1">TRUNC(YEARFRAC(F35,TODAY(),1))</f>
        <v>28</v>
      </c>
      <c r="H35">
        <f>COUNTIF(BRON!A:A,Tabel6[[#This Row],[Personeelsnummer]])</f>
        <v>1</v>
      </c>
      <c r="J35" s="40">
        <v>32</v>
      </c>
      <c r="K35" s="35">
        <v>0.5</v>
      </c>
    </row>
    <row r="36" spans="1:11" x14ac:dyDescent="0.25">
      <c r="A36" s="34" t="s">
        <v>3931</v>
      </c>
      <c r="B36" s="34" t="s">
        <v>1824</v>
      </c>
      <c r="C36" s="34" t="s">
        <v>979</v>
      </c>
      <c r="D36">
        <v>9158</v>
      </c>
      <c r="E36" s="34" t="s">
        <v>3858</v>
      </c>
      <c r="F36" s="3">
        <v>35513.041666666701</v>
      </c>
      <c r="G36" s="38">
        <f ca="1">TRUNC(YEARFRAC(F36,TODAY(),1))</f>
        <v>28</v>
      </c>
      <c r="H36">
        <f>COUNTIF(BRON!A:A,Tabel6[[#This Row],[Personeelsnummer]])</f>
        <v>1</v>
      </c>
      <c r="J36" s="40">
        <v>33</v>
      </c>
      <c r="K36" s="35">
        <v>0.66666666666666663</v>
      </c>
    </row>
    <row r="37" spans="1:11" x14ac:dyDescent="0.25">
      <c r="A37" s="34" t="s">
        <v>3932</v>
      </c>
      <c r="B37" s="34" t="s">
        <v>2931</v>
      </c>
      <c r="C37" s="34" t="s">
        <v>2397</v>
      </c>
      <c r="D37">
        <v>9824</v>
      </c>
      <c r="E37" s="34" t="s">
        <v>3858</v>
      </c>
      <c r="F37" s="3">
        <v>35723.083333333299</v>
      </c>
      <c r="G37" s="38">
        <f ca="1">TRUNC(YEARFRAC(F37,TODAY(),1))</f>
        <v>28</v>
      </c>
      <c r="H37">
        <f>COUNTIF(BRON!A:A,Tabel6[[#This Row],[Personeelsnummer]])</f>
        <v>1</v>
      </c>
      <c r="J37" s="40">
        <v>34</v>
      </c>
      <c r="K37" s="35">
        <v>0.75</v>
      </c>
    </row>
    <row r="38" spans="1:11" x14ac:dyDescent="0.25">
      <c r="A38" s="34" t="s">
        <v>3933</v>
      </c>
      <c r="B38" s="34" t="s">
        <v>1452</v>
      </c>
      <c r="C38" s="34" t="s">
        <v>1456</v>
      </c>
      <c r="D38">
        <v>9979</v>
      </c>
      <c r="E38" s="34" t="s">
        <v>3854</v>
      </c>
      <c r="F38" s="3">
        <v>35796.041666666701</v>
      </c>
      <c r="G38" s="38">
        <f ca="1">TRUNC(YEARFRAC(F38,TODAY(),1))</f>
        <v>27</v>
      </c>
      <c r="H38">
        <f>COUNTIF(BRON!A:A,Tabel6[[#This Row],[Personeelsnummer]])</f>
        <v>0</v>
      </c>
      <c r="J38" s="40">
        <v>35</v>
      </c>
      <c r="K38" s="35">
        <v>0</v>
      </c>
    </row>
    <row r="39" spans="1:11" x14ac:dyDescent="0.25">
      <c r="A39" s="34" t="s">
        <v>3934</v>
      </c>
      <c r="B39" s="34" t="s">
        <v>1536</v>
      </c>
      <c r="C39" s="34" t="s">
        <v>1535</v>
      </c>
      <c r="D39">
        <v>10150</v>
      </c>
      <c r="E39" s="34" t="s">
        <v>3858</v>
      </c>
      <c r="F39" s="3">
        <v>35891.083333333299</v>
      </c>
      <c r="G39" s="38">
        <f ca="1">TRUNC(YEARFRAC(F39,TODAY(),1))</f>
        <v>27</v>
      </c>
      <c r="H39">
        <f>COUNTIF(BRON!A:A,Tabel6[[#This Row],[Personeelsnummer]])</f>
        <v>1</v>
      </c>
      <c r="J39" s="40">
        <v>36</v>
      </c>
      <c r="K39" s="35">
        <v>0.66666666666666663</v>
      </c>
    </row>
    <row r="40" spans="1:11" x14ac:dyDescent="0.25">
      <c r="A40" s="34" t="s">
        <v>3935</v>
      </c>
      <c r="B40" s="34" t="s">
        <v>1452</v>
      </c>
      <c r="C40" s="34" t="s">
        <v>1451</v>
      </c>
      <c r="D40">
        <v>10324</v>
      </c>
      <c r="E40" s="34" t="s">
        <v>3854</v>
      </c>
      <c r="F40" s="3">
        <v>35948.083333333299</v>
      </c>
      <c r="G40" s="38">
        <f ca="1">TRUNC(YEARFRAC(F40,TODAY(),1))</f>
        <v>27</v>
      </c>
      <c r="H40">
        <f>COUNTIF(BRON!A:A,Tabel6[[#This Row],[Personeelsnummer]])</f>
        <v>1</v>
      </c>
      <c r="J40" s="40">
        <v>37</v>
      </c>
      <c r="K40" s="35">
        <v>4</v>
      </c>
    </row>
    <row r="41" spans="1:11" x14ac:dyDescent="0.25">
      <c r="A41" s="34" t="s">
        <v>3936</v>
      </c>
      <c r="B41" s="34" t="s">
        <v>2038</v>
      </c>
      <c r="C41" s="34" t="s">
        <v>2037</v>
      </c>
      <c r="D41">
        <v>10326</v>
      </c>
      <c r="E41" s="34" t="s">
        <v>3854</v>
      </c>
      <c r="F41" s="3">
        <v>35948.083333333299</v>
      </c>
      <c r="G41" s="38">
        <f ca="1">TRUNC(YEARFRAC(F41,TODAY(),1))</f>
        <v>27</v>
      </c>
      <c r="H41">
        <f>COUNTIF(BRON!A:A,Tabel6[[#This Row],[Personeelsnummer]])</f>
        <v>0</v>
      </c>
      <c r="J41" s="40">
        <v>44</v>
      </c>
      <c r="K41" s="35">
        <v>0</v>
      </c>
    </row>
    <row r="42" spans="1:11" x14ac:dyDescent="0.25">
      <c r="A42" s="34" t="s">
        <v>3937</v>
      </c>
      <c r="B42" s="34" t="s">
        <v>2679</v>
      </c>
      <c r="C42" s="34" t="s">
        <v>2678</v>
      </c>
      <c r="D42">
        <v>10782</v>
      </c>
      <c r="E42" s="34" t="s">
        <v>3851</v>
      </c>
      <c r="F42" s="3">
        <v>36080.083333333299</v>
      </c>
      <c r="G42" s="38">
        <f ca="1">TRUNC(YEARFRAC(F42,TODAY(),1))</f>
        <v>27</v>
      </c>
      <c r="H42">
        <f>COUNTIF(BRON!A:A,Tabel6[[#This Row],[Personeelsnummer]])</f>
        <v>1</v>
      </c>
      <c r="J42" s="40" t="s">
        <v>65</v>
      </c>
      <c r="K42" s="43">
        <v>1.4462540716612378</v>
      </c>
    </row>
    <row r="43" spans="1:11" x14ac:dyDescent="0.25">
      <c r="A43" s="34" t="s">
        <v>3938</v>
      </c>
      <c r="B43" s="34" t="s">
        <v>2265</v>
      </c>
      <c r="C43" s="34" t="s">
        <v>2264</v>
      </c>
      <c r="D43">
        <v>11021</v>
      </c>
      <c r="E43" s="34" t="s">
        <v>3858</v>
      </c>
      <c r="F43" s="3">
        <v>36227.041666666701</v>
      </c>
      <c r="G43" s="38">
        <f ca="1">TRUNC(YEARFRAC(F43,TODAY(),1))</f>
        <v>26</v>
      </c>
      <c r="H43">
        <f>COUNTIF(BRON!A:A,Tabel6[[#This Row],[Personeelsnummer]])</f>
        <v>1</v>
      </c>
    </row>
    <row r="44" spans="1:11" x14ac:dyDescent="0.25">
      <c r="A44" s="34" t="s">
        <v>3939</v>
      </c>
      <c r="B44" s="34" t="s">
        <v>2611</v>
      </c>
      <c r="C44" s="34" t="s">
        <v>2610</v>
      </c>
      <c r="D44">
        <v>11023</v>
      </c>
      <c r="E44" s="34" t="s">
        <v>3856</v>
      </c>
      <c r="F44" s="3">
        <v>36227.041666666701</v>
      </c>
      <c r="G44" s="38">
        <f ca="1">TRUNC(YEARFRAC(F44,TODAY(),1))</f>
        <v>26</v>
      </c>
      <c r="H44">
        <f>COUNTIF(BRON!A:A,Tabel6[[#This Row],[Personeelsnummer]])</f>
        <v>1</v>
      </c>
    </row>
    <row r="45" spans="1:11" x14ac:dyDescent="0.25">
      <c r="A45" s="34" t="s">
        <v>3940</v>
      </c>
      <c r="B45" s="34" t="s">
        <v>2347</v>
      </c>
      <c r="C45" s="34" t="s">
        <v>2346</v>
      </c>
      <c r="D45">
        <v>11120</v>
      </c>
      <c r="E45" s="34" t="s">
        <v>3855</v>
      </c>
      <c r="F45" s="3">
        <v>36262.083333333299</v>
      </c>
      <c r="G45" s="38">
        <f ca="1">TRUNC(YEARFRAC(F45,TODAY(),1))</f>
        <v>26</v>
      </c>
      <c r="H45">
        <f>COUNTIF(BRON!A:A,Tabel6[[#This Row],[Personeelsnummer]])</f>
        <v>1</v>
      </c>
    </row>
    <row r="46" spans="1:11" x14ac:dyDescent="0.25">
      <c r="A46" s="34" t="s">
        <v>3941</v>
      </c>
      <c r="B46" s="34" t="s">
        <v>2781</v>
      </c>
      <c r="C46" s="34" t="s">
        <v>2780</v>
      </c>
      <c r="D46">
        <v>11213</v>
      </c>
      <c r="E46" s="34" t="s">
        <v>3854</v>
      </c>
      <c r="F46" s="3">
        <v>36311.083333333299</v>
      </c>
      <c r="G46" s="38">
        <f ca="1">TRUNC(YEARFRAC(F46,TODAY(),1))</f>
        <v>26</v>
      </c>
      <c r="H46">
        <f>COUNTIF(BRON!A:A,Tabel6[[#This Row],[Personeelsnummer]])</f>
        <v>1</v>
      </c>
    </row>
    <row r="47" spans="1:11" x14ac:dyDescent="0.25">
      <c r="A47" s="34" t="s">
        <v>3942</v>
      </c>
      <c r="B47" s="34" t="s">
        <v>2850</v>
      </c>
      <c r="C47" s="34" t="s">
        <v>1816</v>
      </c>
      <c r="D47">
        <v>11236</v>
      </c>
      <c r="E47" s="34" t="s">
        <v>3854</v>
      </c>
      <c r="F47" s="3">
        <v>36332.083333333299</v>
      </c>
      <c r="G47" s="38">
        <f ca="1">TRUNC(YEARFRAC(F47,TODAY(),1))</f>
        <v>26</v>
      </c>
      <c r="H47">
        <f>COUNTIF(BRON!A:A,Tabel6[[#This Row],[Personeelsnummer]])</f>
        <v>4</v>
      </c>
    </row>
    <row r="48" spans="1:11" x14ac:dyDescent="0.25">
      <c r="A48" s="34" t="s">
        <v>3943</v>
      </c>
      <c r="B48" s="34" t="s">
        <v>2065</v>
      </c>
      <c r="C48" s="34" t="s">
        <v>2064</v>
      </c>
      <c r="D48">
        <v>11508</v>
      </c>
      <c r="E48" s="34" t="s">
        <v>3855</v>
      </c>
      <c r="F48" s="3">
        <v>36388.083333333299</v>
      </c>
      <c r="G48" s="38">
        <f ca="1">TRUNC(YEARFRAC(F48,TODAY(),1))</f>
        <v>26</v>
      </c>
      <c r="H48">
        <f>COUNTIF(BRON!A:A,Tabel6[[#This Row],[Personeelsnummer]])</f>
        <v>1</v>
      </c>
    </row>
    <row r="49" spans="1:8" x14ac:dyDescent="0.25">
      <c r="A49" s="34" t="s">
        <v>3944</v>
      </c>
      <c r="B49" s="34" t="s">
        <v>1991</v>
      </c>
      <c r="C49" s="34" t="s">
        <v>1990</v>
      </c>
      <c r="D49">
        <v>11866</v>
      </c>
      <c r="E49" s="34" t="s">
        <v>3855</v>
      </c>
      <c r="F49" s="3">
        <v>36542.041666666701</v>
      </c>
      <c r="G49" s="38">
        <f ca="1">TRUNC(YEARFRAC(F49,TODAY(),1))</f>
        <v>25</v>
      </c>
      <c r="H49">
        <f>COUNTIF(BRON!A:A,Tabel6[[#This Row],[Personeelsnummer]])</f>
        <v>1</v>
      </c>
    </row>
    <row r="50" spans="1:8" x14ac:dyDescent="0.25">
      <c r="A50" s="34" t="s">
        <v>3945</v>
      </c>
      <c r="B50" s="34" t="s">
        <v>2394</v>
      </c>
      <c r="C50" s="34" t="s">
        <v>2393</v>
      </c>
      <c r="D50">
        <v>12024</v>
      </c>
      <c r="E50" s="34" t="s">
        <v>3855</v>
      </c>
      <c r="F50" s="3">
        <v>36612.083333333299</v>
      </c>
      <c r="G50" s="38">
        <f ca="1">TRUNC(YEARFRAC(F50,TODAY(),1))</f>
        <v>25</v>
      </c>
      <c r="H50">
        <f>COUNTIF(BRON!A:A,Tabel6[[#This Row],[Personeelsnummer]])</f>
        <v>1</v>
      </c>
    </row>
    <row r="51" spans="1:8" x14ac:dyDescent="0.25">
      <c r="A51" s="34" t="s">
        <v>3946</v>
      </c>
      <c r="B51" s="34" t="s">
        <v>1550</v>
      </c>
      <c r="C51" s="34" t="s">
        <v>1549</v>
      </c>
      <c r="D51">
        <v>12124</v>
      </c>
      <c r="E51" s="34" t="s">
        <v>3858</v>
      </c>
      <c r="F51" s="3">
        <v>36654.083333333299</v>
      </c>
      <c r="G51" s="38">
        <f ca="1">TRUNC(YEARFRAC(F51,TODAY(),1))</f>
        <v>25</v>
      </c>
      <c r="H51">
        <f>COUNTIF(BRON!A:A,Tabel6[[#This Row],[Personeelsnummer]])</f>
        <v>5</v>
      </c>
    </row>
    <row r="52" spans="1:8" x14ac:dyDescent="0.25">
      <c r="A52" s="34" t="s">
        <v>3947</v>
      </c>
      <c r="B52" s="34" t="s">
        <v>2405</v>
      </c>
      <c r="C52" s="34" t="s">
        <v>3067</v>
      </c>
      <c r="D52">
        <v>12173</v>
      </c>
      <c r="E52" s="34" t="s">
        <v>3856</v>
      </c>
      <c r="F52" s="3">
        <v>36690.083333333299</v>
      </c>
      <c r="G52" s="38">
        <f ca="1">TRUNC(YEARFRAC(F52,TODAY(),1))</f>
        <v>25</v>
      </c>
      <c r="H52">
        <f>COUNTIF(BRON!A:A,Tabel6[[#This Row],[Personeelsnummer]])</f>
        <v>1</v>
      </c>
    </row>
    <row r="53" spans="1:8" x14ac:dyDescent="0.25">
      <c r="A53" s="34" t="s">
        <v>3948</v>
      </c>
      <c r="B53" s="34" t="s">
        <v>1341</v>
      </c>
      <c r="C53" s="34" t="s">
        <v>2256</v>
      </c>
      <c r="D53">
        <v>12514</v>
      </c>
      <c r="E53" s="34" t="s">
        <v>3855</v>
      </c>
      <c r="F53" s="3">
        <v>36759.083333333299</v>
      </c>
      <c r="G53" s="38">
        <f ca="1">TRUNC(YEARFRAC(F53,TODAY(),1))</f>
        <v>25</v>
      </c>
      <c r="H53">
        <f>COUNTIF(BRON!A:A,Tabel6[[#This Row],[Personeelsnummer]])</f>
        <v>1</v>
      </c>
    </row>
    <row r="54" spans="1:8" x14ac:dyDescent="0.25">
      <c r="A54" s="34" t="s">
        <v>3949</v>
      </c>
      <c r="B54" s="34" t="s">
        <v>2257</v>
      </c>
      <c r="C54" s="34" t="s">
        <v>2261</v>
      </c>
      <c r="D54">
        <v>12684</v>
      </c>
      <c r="E54" s="34" t="s">
        <v>3856</v>
      </c>
      <c r="F54" s="3">
        <v>36815.083333333299</v>
      </c>
      <c r="G54" s="38">
        <f ca="1">TRUNC(YEARFRAC(F54,TODAY(),1))</f>
        <v>25</v>
      </c>
      <c r="H54">
        <f>COUNTIF(BRON!A:A,Tabel6[[#This Row],[Personeelsnummer]])</f>
        <v>3</v>
      </c>
    </row>
    <row r="55" spans="1:8" x14ac:dyDescent="0.25">
      <c r="A55" s="34" t="s">
        <v>3950</v>
      </c>
      <c r="B55" s="34" t="s">
        <v>2405</v>
      </c>
      <c r="C55" s="34" t="s">
        <v>3081</v>
      </c>
      <c r="D55">
        <v>12819</v>
      </c>
      <c r="E55" s="34" t="s">
        <v>3854</v>
      </c>
      <c r="F55" s="3">
        <v>36853.041666666701</v>
      </c>
      <c r="G55" s="38">
        <f ca="1">TRUNC(YEARFRAC(F55,TODAY(),1))</f>
        <v>25</v>
      </c>
      <c r="H55">
        <f>COUNTIF(BRON!A:A,Tabel6[[#This Row],[Personeelsnummer]])</f>
        <v>1</v>
      </c>
    </row>
    <row r="56" spans="1:8" x14ac:dyDescent="0.25">
      <c r="A56" s="34" t="s">
        <v>3951</v>
      </c>
      <c r="B56" s="34" t="s">
        <v>549</v>
      </c>
      <c r="C56" s="34" t="s">
        <v>1482</v>
      </c>
      <c r="D56">
        <v>13017</v>
      </c>
      <c r="E56" s="34" t="s">
        <v>3851</v>
      </c>
      <c r="F56" s="3">
        <v>36923.041666666701</v>
      </c>
      <c r="G56" s="38">
        <f ca="1">TRUNC(YEARFRAC(F56,TODAY(),1))</f>
        <v>24</v>
      </c>
      <c r="H56">
        <f>COUNTIF(BRON!A:A,Tabel6[[#This Row],[Personeelsnummer]])</f>
        <v>0</v>
      </c>
    </row>
    <row r="57" spans="1:8" x14ac:dyDescent="0.25">
      <c r="A57" s="34" t="s">
        <v>3952</v>
      </c>
      <c r="B57" s="34" t="s">
        <v>3124</v>
      </c>
      <c r="C57" s="34" t="s">
        <v>3009</v>
      </c>
      <c r="D57">
        <v>13088</v>
      </c>
      <c r="E57" s="34" t="s">
        <v>3859</v>
      </c>
      <c r="F57" s="3">
        <v>36948.041666666701</v>
      </c>
      <c r="G57" s="38">
        <f ca="1">TRUNC(YEARFRAC(F57,TODAY(),1))</f>
        <v>24</v>
      </c>
      <c r="H57">
        <f>COUNTIF(BRON!A:A,Tabel6[[#This Row],[Personeelsnummer]])</f>
        <v>1</v>
      </c>
    </row>
    <row r="58" spans="1:8" x14ac:dyDescent="0.25">
      <c r="A58" s="34" t="s">
        <v>3953</v>
      </c>
      <c r="B58" s="34" t="s">
        <v>2631</v>
      </c>
      <c r="C58" s="34" t="s">
        <v>1473</v>
      </c>
      <c r="D58">
        <v>13089</v>
      </c>
      <c r="E58" s="34" t="s">
        <v>3853</v>
      </c>
      <c r="F58" s="3">
        <v>36948.041666666701</v>
      </c>
      <c r="G58" s="38">
        <f ca="1">TRUNC(YEARFRAC(F58,TODAY(),1))</f>
        <v>24</v>
      </c>
      <c r="H58">
        <f>COUNTIF(BRON!A:A,Tabel6[[#This Row],[Personeelsnummer]])</f>
        <v>1</v>
      </c>
    </row>
    <row r="59" spans="1:8" x14ac:dyDescent="0.25">
      <c r="A59" s="34" t="s">
        <v>3954</v>
      </c>
      <c r="B59" s="34" t="s">
        <v>1647</v>
      </c>
      <c r="C59" s="34" t="s">
        <v>1656</v>
      </c>
      <c r="D59">
        <v>13257</v>
      </c>
      <c r="E59" s="34" t="s">
        <v>3851</v>
      </c>
      <c r="F59" s="3">
        <v>36998.083333333299</v>
      </c>
      <c r="G59" s="38">
        <f ca="1">TRUNC(YEARFRAC(F59,TODAY(),1))</f>
        <v>24</v>
      </c>
      <c r="H59">
        <f>COUNTIF(BRON!A:A,Tabel6[[#This Row],[Personeelsnummer]])</f>
        <v>0</v>
      </c>
    </row>
    <row r="60" spans="1:8" x14ac:dyDescent="0.25">
      <c r="A60" s="34" t="s">
        <v>3955</v>
      </c>
      <c r="B60" s="34" t="s">
        <v>1824</v>
      </c>
      <c r="C60" s="34" t="s">
        <v>1829</v>
      </c>
      <c r="D60">
        <v>13345</v>
      </c>
      <c r="E60" s="34" t="s">
        <v>3851</v>
      </c>
      <c r="F60" s="3">
        <v>37018.083333333299</v>
      </c>
      <c r="G60" s="38">
        <f ca="1">TRUNC(YEARFRAC(F60,TODAY(),1))</f>
        <v>24</v>
      </c>
      <c r="H60">
        <f>COUNTIF(BRON!A:A,Tabel6[[#This Row],[Personeelsnummer]])</f>
        <v>1</v>
      </c>
    </row>
    <row r="61" spans="1:8" x14ac:dyDescent="0.25">
      <c r="A61" s="34" t="s">
        <v>3956</v>
      </c>
      <c r="B61" s="34" t="s">
        <v>1210</v>
      </c>
      <c r="C61" s="34" t="s">
        <v>1625</v>
      </c>
      <c r="D61">
        <v>13398</v>
      </c>
      <c r="E61" s="34" t="s">
        <v>3859</v>
      </c>
      <c r="F61" s="3">
        <v>37047.083333333299</v>
      </c>
      <c r="G61" s="38">
        <f ca="1">TRUNC(YEARFRAC(F61,TODAY(),1))</f>
        <v>24</v>
      </c>
      <c r="H61">
        <f>COUNTIF(BRON!A:A,Tabel6[[#This Row],[Personeelsnummer]])</f>
        <v>1</v>
      </c>
    </row>
    <row r="62" spans="1:8" x14ac:dyDescent="0.25">
      <c r="A62" s="34" t="s">
        <v>3957</v>
      </c>
      <c r="B62" s="34" t="s">
        <v>3151</v>
      </c>
      <c r="C62" s="34" t="s">
        <v>3154</v>
      </c>
      <c r="D62">
        <v>14021</v>
      </c>
      <c r="E62" s="34" t="s">
        <v>3858</v>
      </c>
      <c r="F62" s="3">
        <v>37193.041666666701</v>
      </c>
      <c r="G62" s="38">
        <f ca="1">TRUNC(YEARFRAC(F62,TODAY(),1))</f>
        <v>24</v>
      </c>
      <c r="H62">
        <f>COUNTIF(BRON!A:A,Tabel6[[#This Row],[Personeelsnummer]])</f>
        <v>0</v>
      </c>
    </row>
    <row r="63" spans="1:8" x14ac:dyDescent="0.25">
      <c r="A63" s="34" t="s">
        <v>3958</v>
      </c>
      <c r="B63" s="34" t="s">
        <v>1782</v>
      </c>
      <c r="C63" s="34" t="s">
        <v>1785</v>
      </c>
      <c r="D63">
        <v>14070</v>
      </c>
      <c r="E63" s="34" t="s">
        <v>3857</v>
      </c>
      <c r="F63" s="3">
        <v>37214.041666666701</v>
      </c>
      <c r="G63" s="38">
        <f ca="1">TRUNC(YEARFRAC(F63,TODAY(),1))</f>
        <v>24</v>
      </c>
      <c r="H63">
        <f>COUNTIF(BRON!A:A,Tabel6[[#This Row],[Personeelsnummer]])</f>
        <v>0</v>
      </c>
    </row>
    <row r="64" spans="1:8" x14ac:dyDescent="0.25">
      <c r="A64" s="34" t="s">
        <v>3959</v>
      </c>
      <c r="B64" s="34" t="s">
        <v>2427</v>
      </c>
      <c r="C64" s="34" t="s">
        <v>2433</v>
      </c>
      <c r="D64">
        <v>14072</v>
      </c>
      <c r="E64" s="34" t="s">
        <v>3855</v>
      </c>
      <c r="F64" s="3">
        <v>37214.041666666701</v>
      </c>
      <c r="G64" s="38">
        <f ca="1">TRUNC(YEARFRAC(F64,TODAY(),1))</f>
        <v>24</v>
      </c>
      <c r="H64">
        <f>COUNTIF(BRON!A:A,Tabel6[[#This Row],[Personeelsnummer]])</f>
        <v>1</v>
      </c>
    </row>
    <row r="65" spans="1:8" x14ac:dyDescent="0.25">
      <c r="A65" s="34" t="s">
        <v>3960</v>
      </c>
      <c r="B65" s="34" t="s">
        <v>1677</v>
      </c>
      <c r="C65" s="34" t="s">
        <v>1554</v>
      </c>
      <c r="D65">
        <v>14261</v>
      </c>
      <c r="E65" s="34" t="s">
        <v>3856</v>
      </c>
      <c r="F65" s="3">
        <v>37284.041666666701</v>
      </c>
      <c r="G65" s="38">
        <f ca="1">TRUNC(YEARFRAC(F65,TODAY(),1))</f>
        <v>23</v>
      </c>
      <c r="H65">
        <f>COUNTIF(BRON!A:A,Tabel6[[#This Row],[Personeelsnummer]])</f>
        <v>2</v>
      </c>
    </row>
    <row r="66" spans="1:8" x14ac:dyDescent="0.25">
      <c r="A66" s="34" t="s">
        <v>3961</v>
      </c>
      <c r="B66" s="34" t="s">
        <v>1597</v>
      </c>
      <c r="C66" s="34" t="s">
        <v>1554</v>
      </c>
      <c r="D66">
        <v>14425</v>
      </c>
      <c r="E66" s="34" t="s">
        <v>3854</v>
      </c>
      <c r="F66" s="3">
        <v>37333.041666666701</v>
      </c>
      <c r="G66" s="38">
        <f ca="1">TRUNC(YEARFRAC(F66,TODAY(),1))</f>
        <v>23</v>
      </c>
      <c r="H66">
        <f>COUNTIF(BRON!A:A,Tabel6[[#This Row],[Personeelsnummer]])</f>
        <v>0</v>
      </c>
    </row>
    <row r="67" spans="1:8" x14ac:dyDescent="0.25">
      <c r="A67" s="34" t="s">
        <v>3962</v>
      </c>
      <c r="B67" s="34" t="s">
        <v>1504</v>
      </c>
      <c r="C67" s="34" t="s">
        <v>1503</v>
      </c>
      <c r="D67">
        <v>14625</v>
      </c>
      <c r="E67" s="34" t="s">
        <v>3855</v>
      </c>
      <c r="F67" s="3">
        <v>37397.083333333299</v>
      </c>
      <c r="G67" s="38">
        <f ca="1">TRUNC(YEARFRAC(F67,TODAY(),1))</f>
        <v>23</v>
      </c>
      <c r="H67">
        <f>COUNTIF(BRON!A:A,Tabel6[[#This Row],[Personeelsnummer]])</f>
        <v>1</v>
      </c>
    </row>
    <row r="68" spans="1:8" x14ac:dyDescent="0.25">
      <c r="A68" s="34" t="s">
        <v>3963</v>
      </c>
      <c r="B68" s="34" t="s">
        <v>1918</v>
      </c>
      <c r="C68" s="34" t="s">
        <v>1925</v>
      </c>
      <c r="D68">
        <v>14665</v>
      </c>
      <c r="E68" s="34" t="s">
        <v>3854</v>
      </c>
      <c r="F68" s="3">
        <v>37424.083333333299</v>
      </c>
      <c r="G68" s="38">
        <f ca="1">TRUNC(YEARFRAC(F68,TODAY(),1))</f>
        <v>23</v>
      </c>
      <c r="H68">
        <f>COUNTIF(BRON!A:A,Tabel6[[#This Row],[Personeelsnummer]])</f>
        <v>2</v>
      </c>
    </row>
    <row r="69" spans="1:8" x14ac:dyDescent="0.25">
      <c r="A69" s="34" t="s">
        <v>3964</v>
      </c>
      <c r="B69" s="34" t="s">
        <v>2717</v>
      </c>
      <c r="C69" s="34" t="s">
        <v>2716</v>
      </c>
      <c r="D69">
        <v>14667</v>
      </c>
      <c r="E69" s="34" t="s">
        <v>3857</v>
      </c>
      <c r="F69" s="3">
        <v>37424.083333333299</v>
      </c>
      <c r="G69" s="38">
        <f ca="1">TRUNC(YEARFRAC(F69,TODAY(),1))</f>
        <v>23</v>
      </c>
      <c r="H69">
        <f>COUNTIF(BRON!A:A,Tabel6[[#This Row],[Personeelsnummer]])</f>
        <v>0</v>
      </c>
    </row>
    <row r="70" spans="1:8" x14ac:dyDescent="0.25">
      <c r="A70" s="34" t="s">
        <v>3965</v>
      </c>
      <c r="B70" s="34" t="s">
        <v>3015</v>
      </c>
      <c r="C70" s="34" t="s">
        <v>3027</v>
      </c>
      <c r="D70">
        <v>15088</v>
      </c>
      <c r="E70" s="34" t="s">
        <v>3856</v>
      </c>
      <c r="F70" s="3">
        <v>37501.083333333299</v>
      </c>
      <c r="G70" s="38">
        <f ca="1">TRUNC(YEARFRAC(F70,TODAY(),1))</f>
        <v>23</v>
      </c>
      <c r="H70">
        <f>COUNTIF(BRON!A:A,Tabel6[[#This Row],[Personeelsnummer]])</f>
        <v>2</v>
      </c>
    </row>
    <row r="71" spans="1:8" x14ac:dyDescent="0.25">
      <c r="A71" s="34" t="s">
        <v>3966</v>
      </c>
      <c r="B71" s="34" t="s">
        <v>3147</v>
      </c>
      <c r="C71" s="34" t="s">
        <v>3146</v>
      </c>
      <c r="D71">
        <v>15218</v>
      </c>
      <c r="E71" s="34" t="s">
        <v>3856</v>
      </c>
      <c r="F71" s="3">
        <v>37543.083333333299</v>
      </c>
      <c r="G71" s="38">
        <f ca="1">TRUNC(YEARFRAC(F71,TODAY(),1))</f>
        <v>23</v>
      </c>
      <c r="H71">
        <f>COUNTIF(BRON!A:A,Tabel6[[#This Row],[Personeelsnummer]])</f>
        <v>0</v>
      </c>
    </row>
    <row r="72" spans="1:8" x14ac:dyDescent="0.25">
      <c r="A72" s="34" t="s">
        <v>3967</v>
      </c>
      <c r="B72" s="34" t="s">
        <v>1929</v>
      </c>
      <c r="C72" s="34" t="s">
        <v>1943</v>
      </c>
      <c r="D72">
        <v>15219</v>
      </c>
      <c r="E72" s="34" t="s">
        <v>3854</v>
      </c>
      <c r="F72" s="3">
        <v>37543.083333333299</v>
      </c>
      <c r="G72" s="38">
        <f ca="1">TRUNC(YEARFRAC(F72,TODAY(),1))</f>
        <v>23</v>
      </c>
      <c r="H72">
        <f>COUNTIF(BRON!A:A,Tabel6[[#This Row],[Personeelsnummer]])</f>
        <v>1</v>
      </c>
    </row>
    <row r="73" spans="1:8" x14ac:dyDescent="0.25">
      <c r="A73" s="34" t="s">
        <v>3968</v>
      </c>
      <c r="B73" s="34" t="s">
        <v>2495</v>
      </c>
      <c r="C73" s="34" t="s">
        <v>2498</v>
      </c>
      <c r="D73">
        <v>15220</v>
      </c>
      <c r="E73" s="34" t="s">
        <v>3859</v>
      </c>
      <c r="F73" s="3">
        <v>37543.083333333299</v>
      </c>
      <c r="G73" s="38">
        <f ca="1">TRUNC(YEARFRAC(F73,TODAY(),1))</f>
        <v>23</v>
      </c>
      <c r="H73">
        <f>COUNTIF(BRON!A:A,Tabel6[[#This Row],[Personeelsnummer]])</f>
        <v>1</v>
      </c>
    </row>
    <row r="74" spans="1:8" x14ac:dyDescent="0.25">
      <c r="A74" s="34" t="s">
        <v>3969</v>
      </c>
      <c r="B74" s="34" t="s">
        <v>2409</v>
      </c>
      <c r="C74" s="34" t="s">
        <v>2408</v>
      </c>
      <c r="D74">
        <v>15282</v>
      </c>
      <c r="E74" s="34" t="s">
        <v>3851</v>
      </c>
      <c r="F74" s="3">
        <v>37564.041666666701</v>
      </c>
      <c r="G74" s="38">
        <f ca="1">TRUNC(YEARFRAC(F74,TODAY(),1))</f>
        <v>23</v>
      </c>
      <c r="H74">
        <f>COUNTIF(BRON!A:A,Tabel6[[#This Row],[Personeelsnummer]])</f>
        <v>2</v>
      </c>
    </row>
    <row r="75" spans="1:8" x14ac:dyDescent="0.25">
      <c r="A75" s="34" t="s">
        <v>3970</v>
      </c>
      <c r="B75" s="34" t="s">
        <v>2879</v>
      </c>
      <c r="C75" s="34" t="s">
        <v>2206</v>
      </c>
      <c r="D75">
        <v>15320</v>
      </c>
      <c r="E75" s="34" t="s">
        <v>3856</v>
      </c>
      <c r="F75" s="3">
        <v>37585.041666666701</v>
      </c>
      <c r="G75" s="38">
        <f ca="1">TRUNC(YEARFRAC(F75,TODAY(),1))</f>
        <v>23</v>
      </c>
      <c r="H75">
        <f>COUNTIF(BRON!A:A,Tabel6[[#This Row],[Personeelsnummer]])</f>
        <v>2</v>
      </c>
    </row>
    <row r="76" spans="1:8" x14ac:dyDescent="0.25">
      <c r="A76" s="34" t="s">
        <v>3971</v>
      </c>
      <c r="B76" s="34" t="s">
        <v>2866</v>
      </c>
      <c r="C76" s="34" t="s">
        <v>2872</v>
      </c>
      <c r="D76">
        <v>15412</v>
      </c>
      <c r="E76" s="34" t="s">
        <v>3854</v>
      </c>
      <c r="F76" s="3">
        <v>37634.041666666701</v>
      </c>
      <c r="G76" s="38">
        <f ca="1">TRUNC(YEARFRAC(F76,TODAY(),1))</f>
        <v>22</v>
      </c>
      <c r="H76">
        <f>COUNTIF(BRON!A:A,Tabel6[[#This Row],[Personeelsnummer]])</f>
        <v>2</v>
      </c>
    </row>
    <row r="77" spans="1:8" x14ac:dyDescent="0.25">
      <c r="A77" s="34" t="s">
        <v>3972</v>
      </c>
      <c r="B77" s="34" t="s">
        <v>1838</v>
      </c>
      <c r="C77" s="34" t="s">
        <v>1837</v>
      </c>
      <c r="D77">
        <v>15626</v>
      </c>
      <c r="E77" s="34" t="s">
        <v>3854</v>
      </c>
      <c r="F77" s="3">
        <v>37718.083333333299</v>
      </c>
      <c r="G77" s="38">
        <f ca="1">TRUNC(YEARFRAC(F77,TODAY(),1))</f>
        <v>22</v>
      </c>
      <c r="H77">
        <f>COUNTIF(BRON!A:A,Tabel6[[#This Row],[Personeelsnummer]])</f>
        <v>0</v>
      </c>
    </row>
    <row r="78" spans="1:8" x14ac:dyDescent="0.25">
      <c r="A78" s="34" t="s">
        <v>3973</v>
      </c>
      <c r="B78" s="34" t="s">
        <v>1326</v>
      </c>
      <c r="C78" s="34" t="s">
        <v>2998</v>
      </c>
      <c r="D78">
        <v>15628</v>
      </c>
      <c r="E78" s="34" t="s">
        <v>3851</v>
      </c>
      <c r="F78" s="3">
        <v>37718.083333333299</v>
      </c>
      <c r="G78" s="38">
        <f ca="1">TRUNC(YEARFRAC(F78,TODAY(),1))</f>
        <v>22</v>
      </c>
      <c r="H78">
        <f>COUNTIF(BRON!A:A,Tabel6[[#This Row],[Personeelsnummer]])</f>
        <v>3</v>
      </c>
    </row>
    <row r="79" spans="1:8" x14ac:dyDescent="0.25">
      <c r="A79" s="34" t="s">
        <v>3974</v>
      </c>
      <c r="B79" s="34" t="s">
        <v>1536</v>
      </c>
      <c r="C79" s="34" t="s">
        <v>1545</v>
      </c>
      <c r="D79">
        <v>15676</v>
      </c>
      <c r="E79" s="34" t="s">
        <v>3855</v>
      </c>
      <c r="F79" s="3">
        <v>37739.083333333299</v>
      </c>
      <c r="G79" s="38">
        <f ca="1">TRUNC(YEARFRAC(F79,TODAY(),1))</f>
        <v>22</v>
      </c>
      <c r="H79">
        <f>COUNTIF(BRON!A:A,Tabel6[[#This Row],[Personeelsnummer]])</f>
        <v>1</v>
      </c>
    </row>
    <row r="80" spans="1:8" x14ac:dyDescent="0.25">
      <c r="A80" s="34" t="s">
        <v>3975</v>
      </c>
      <c r="B80" s="34" t="s">
        <v>1960</v>
      </c>
      <c r="C80" s="34" t="s">
        <v>1979</v>
      </c>
      <c r="D80">
        <v>15726</v>
      </c>
      <c r="E80" s="34" t="s">
        <v>3854</v>
      </c>
      <c r="F80" s="3">
        <v>37767.083333333299</v>
      </c>
      <c r="G80" s="38">
        <f ca="1">TRUNC(YEARFRAC(F80,TODAY(),1))</f>
        <v>22</v>
      </c>
      <c r="H80">
        <f>COUNTIF(BRON!A:A,Tabel6[[#This Row],[Personeelsnummer]])</f>
        <v>0</v>
      </c>
    </row>
    <row r="81" spans="1:8" x14ac:dyDescent="0.25">
      <c r="A81" s="34" t="s">
        <v>3976</v>
      </c>
      <c r="B81" s="34" t="s">
        <v>1521</v>
      </c>
      <c r="C81" s="34" t="s">
        <v>1524</v>
      </c>
      <c r="D81">
        <v>15852</v>
      </c>
      <c r="E81" s="34" t="s">
        <v>3851</v>
      </c>
      <c r="F81" s="3">
        <v>37788.083333333299</v>
      </c>
      <c r="G81" s="38">
        <f ca="1">TRUNC(YEARFRAC(F81,TODAY(),1))</f>
        <v>22</v>
      </c>
      <c r="H81">
        <f>COUNTIF(BRON!A:A,Tabel6[[#This Row],[Personeelsnummer]])</f>
        <v>1</v>
      </c>
    </row>
    <row r="82" spans="1:8" x14ac:dyDescent="0.25">
      <c r="A82" s="34" t="s">
        <v>3977</v>
      </c>
      <c r="B82" s="34" t="s">
        <v>1929</v>
      </c>
      <c r="C82" s="34" t="s">
        <v>1940</v>
      </c>
      <c r="D82">
        <v>16094</v>
      </c>
      <c r="E82" s="34" t="s">
        <v>3851</v>
      </c>
      <c r="F82" s="3">
        <v>37830.083333333299</v>
      </c>
      <c r="G82" s="38">
        <f ca="1">TRUNC(YEARFRAC(F82,TODAY(),1))</f>
        <v>22</v>
      </c>
      <c r="H82">
        <f>COUNTIF(BRON!A:A,Tabel6[[#This Row],[Personeelsnummer]])</f>
        <v>0</v>
      </c>
    </row>
    <row r="83" spans="1:8" x14ac:dyDescent="0.25">
      <c r="A83" s="34" t="s">
        <v>3978</v>
      </c>
      <c r="B83" s="34" t="s">
        <v>2596</v>
      </c>
      <c r="C83" s="34" t="s">
        <v>2601</v>
      </c>
      <c r="D83">
        <v>16095</v>
      </c>
      <c r="E83" s="34" t="s">
        <v>3851</v>
      </c>
      <c r="F83" s="3">
        <v>37830.083333333299</v>
      </c>
      <c r="G83" s="38">
        <f ca="1">TRUNC(YEARFRAC(F83,TODAY(),1))</f>
        <v>22</v>
      </c>
      <c r="H83">
        <f>COUNTIF(BRON!A:A,Tabel6[[#This Row],[Personeelsnummer]])</f>
        <v>0</v>
      </c>
    </row>
    <row r="84" spans="1:8" x14ac:dyDescent="0.25">
      <c r="A84" s="34" t="s">
        <v>3979</v>
      </c>
      <c r="B84" s="34" t="s">
        <v>1605</v>
      </c>
      <c r="C84" s="34" t="s">
        <v>1608</v>
      </c>
      <c r="D84">
        <v>16098</v>
      </c>
      <c r="E84" s="34" t="s">
        <v>3853</v>
      </c>
      <c r="F84" s="3">
        <v>37830.083333333299</v>
      </c>
      <c r="G84" s="38">
        <f ca="1">TRUNC(YEARFRAC(F84,TODAY(),1))</f>
        <v>22</v>
      </c>
      <c r="H84">
        <f>COUNTIF(BRON!A:A,Tabel6[[#This Row],[Personeelsnummer]])</f>
        <v>0</v>
      </c>
    </row>
    <row r="85" spans="1:8" x14ac:dyDescent="0.25">
      <c r="A85" s="34" t="s">
        <v>3980</v>
      </c>
      <c r="B85" s="34" t="s">
        <v>1960</v>
      </c>
      <c r="C85" s="34" t="s">
        <v>1976</v>
      </c>
      <c r="D85">
        <v>16275</v>
      </c>
      <c r="E85" s="34" t="s">
        <v>3857</v>
      </c>
      <c r="F85" s="3">
        <v>37886.083333333299</v>
      </c>
      <c r="G85" s="38">
        <f ca="1">TRUNC(YEARFRAC(F85,TODAY(),1))</f>
        <v>22</v>
      </c>
      <c r="H85">
        <f>COUNTIF(BRON!A:A,Tabel6[[#This Row],[Personeelsnummer]])</f>
        <v>1</v>
      </c>
    </row>
    <row r="86" spans="1:8" x14ac:dyDescent="0.25">
      <c r="A86" s="34" t="s">
        <v>3981</v>
      </c>
      <c r="B86" s="34" t="s">
        <v>3116</v>
      </c>
      <c r="C86" s="34" t="s">
        <v>3121</v>
      </c>
      <c r="D86">
        <v>16279</v>
      </c>
      <c r="E86" s="34" t="s">
        <v>3859</v>
      </c>
      <c r="F86" s="3">
        <v>37886.083333333299</v>
      </c>
      <c r="G86" s="38">
        <f ca="1">TRUNC(YEARFRAC(F86,TODAY(),1))</f>
        <v>22</v>
      </c>
      <c r="H86">
        <f>COUNTIF(BRON!A:A,Tabel6[[#This Row],[Personeelsnummer]])</f>
        <v>0</v>
      </c>
    </row>
    <row r="87" spans="1:8" x14ac:dyDescent="0.25">
      <c r="A87" s="34" t="s">
        <v>3982</v>
      </c>
      <c r="B87" s="34" t="s">
        <v>2671</v>
      </c>
      <c r="C87" s="34" t="s">
        <v>2670</v>
      </c>
      <c r="D87">
        <v>16280</v>
      </c>
      <c r="E87" s="34" t="s">
        <v>3855</v>
      </c>
      <c r="F87" s="3">
        <v>37886.083333333299</v>
      </c>
      <c r="G87" s="38">
        <f ca="1">TRUNC(YEARFRAC(F87,TODAY(),1))</f>
        <v>22</v>
      </c>
      <c r="H87">
        <f>COUNTIF(BRON!A:A,Tabel6[[#This Row],[Personeelsnummer]])</f>
        <v>1</v>
      </c>
    </row>
    <row r="88" spans="1:8" x14ac:dyDescent="0.25">
      <c r="A88" s="34" t="s">
        <v>3983</v>
      </c>
      <c r="B88" s="34" t="s">
        <v>1801</v>
      </c>
      <c r="C88" s="34" t="s">
        <v>1800</v>
      </c>
      <c r="D88">
        <v>16282</v>
      </c>
      <c r="E88" s="34" t="s">
        <v>3851</v>
      </c>
      <c r="F88" s="3">
        <v>37886.083333333299</v>
      </c>
      <c r="G88" s="38">
        <f ca="1">TRUNC(YEARFRAC(F88,TODAY(),1))</f>
        <v>22</v>
      </c>
      <c r="H88">
        <f>COUNTIF(BRON!A:A,Tabel6[[#This Row],[Personeelsnummer]])</f>
        <v>1</v>
      </c>
    </row>
    <row r="89" spans="1:8" x14ac:dyDescent="0.25">
      <c r="A89" s="34" t="s">
        <v>3984</v>
      </c>
      <c r="B89" s="34" t="s">
        <v>2921</v>
      </c>
      <c r="C89" s="34" t="s">
        <v>2920</v>
      </c>
      <c r="D89">
        <v>16545</v>
      </c>
      <c r="E89" s="34" t="s">
        <v>3854</v>
      </c>
      <c r="F89" s="3">
        <v>37991.041666666701</v>
      </c>
      <c r="G89" s="38">
        <f ca="1">TRUNC(YEARFRAC(F89,TODAY(),1))</f>
        <v>21</v>
      </c>
      <c r="H89">
        <f>COUNTIF(BRON!A:A,Tabel6[[#This Row],[Personeelsnummer]])</f>
        <v>2</v>
      </c>
    </row>
    <row r="90" spans="1:8" x14ac:dyDescent="0.25">
      <c r="A90" s="34" t="s">
        <v>3985</v>
      </c>
      <c r="B90" s="34" t="s">
        <v>1817</v>
      </c>
      <c r="C90" s="34" t="s">
        <v>1816</v>
      </c>
      <c r="D90">
        <v>16546</v>
      </c>
      <c r="E90" s="34" t="s">
        <v>3853</v>
      </c>
      <c r="F90" s="3">
        <v>37991.041666666701</v>
      </c>
      <c r="G90" s="38">
        <f ca="1">TRUNC(YEARFRAC(F90,TODAY(),1))</f>
        <v>21</v>
      </c>
      <c r="H90">
        <f>COUNTIF(BRON!A:A,Tabel6[[#This Row],[Personeelsnummer]])</f>
        <v>2</v>
      </c>
    </row>
    <row r="91" spans="1:8" x14ac:dyDescent="0.25">
      <c r="A91" s="34" t="s">
        <v>3986</v>
      </c>
      <c r="B91" s="34" t="s">
        <v>2089</v>
      </c>
      <c r="C91" s="34" t="s">
        <v>2088</v>
      </c>
      <c r="D91">
        <v>16623</v>
      </c>
      <c r="E91" s="34" t="s">
        <v>3856</v>
      </c>
      <c r="F91" s="3">
        <v>38019.041666666701</v>
      </c>
      <c r="G91" s="38">
        <f ca="1">TRUNC(YEARFRAC(F91,TODAY(),1))</f>
        <v>21</v>
      </c>
      <c r="H91">
        <f>COUNTIF(BRON!A:A,Tabel6[[#This Row],[Personeelsnummer]])</f>
        <v>0</v>
      </c>
    </row>
    <row r="92" spans="1:8" x14ac:dyDescent="0.25">
      <c r="A92" s="34" t="s">
        <v>3987</v>
      </c>
      <c r="B92" s="34" t="s">
        <v>2850</v>
      </c>
      <c r="C92" s="34" t="s">
        <v>2854</v>
      </c>
      <c r="D92">
        <v>16895</v>
      </c>
      <c r="E92" s="34" t="s">
        <v>3854</v>
      </c>
      <c r="F92" s="3">
        <v>38103.083333333299</v>
      </c>
      <c r="G92" s="38">
        <f ca="1">TRUNC(YEARFRAC(F92,TODAY(),1))</f>
        <v>21</v>
      </c>
      <c r="H92">
        <f>COUNTIF(BRON!A:A,Tabel6[[#This Row],[Personeelsnummer]])</f>
        <v>6</v>
      </c>
    </row>
    <row r="93" spans="1:8" x14ac:dyDescent="0.25">
      <c r="A93" s="34" t="s">
        <v>3988</v>
      </c>
      <c r="B93" s="34" t="s">
        <v>3347</v>
      </c>
      <c r="C93" s="34" t="s">
        <v>3087</v>
      </c>
      <c r="D93">
        <v>16897</v>
      </c>
      <c r="E93" s="34" t="s">
        <v>3858</v>
      </c>
      <c r="F93" s="3">
        <v>38103.083333333299</v>
      </c>
      <c r="G93" s="38">
        <f ca="1">TRUNC(YEARFRAC(F93,TODAY(),1))</f>
        <v>21</v>
      </c>
      <c r="H93">
        <f>COUNTIF(BRON!A:A,Tabel6[[#This Row],[Personeelsnummer]])</f>
        <v>2</v>
      </c>
    </row>
    <row r="94" spans="1:8" x14ac:dyDescent="0.25">
      <c r="A94" s="34" t="s">
        <v>3989</v>
      </c>
      <c r="B94" s="34" t="s">
        <v>2351</v>
      </c>
      <c r="C94" s="34" t="s">
        <v>2354</v>
      </c>
      <c r="D94">
        <v>16899</v>
      </c>
      <c r="E94" s="34" t="s">
        <v>3858</v>
      </c>
      <c r="F94" s="3">
        <v>38103.083333333299</v>
      </c>
      <c r="G94" s="38">
        <f ca="1">TRUNC(YEARFRAC(F94,TODAY(),1))</f>
        <v>21</v>
      </c>
      <c r="H94">
        <f>COUNTIF(BRON!A:A,Tabel6[[#This Row],[Personeelsnummer]])</f>
        <v>0</v>
      </c>
    </row>
    <row r="95" spans="1:8" x14ac:dyDescent="0.25">
      <c r="A95" s="34" t="s">
        <v>3990</v>
      </c>
      <c r="B95" s="34" t="s">
        <v>3055</v>
      </c>
      <c r="C95" s="34" t="s">
        <v>3061</v>
      </c>
      <c r="D95">
        <v>16970</v>
      </c>
      <c r="E95" s="34" t="s">
        <v>3854</v>
      </c>
      <c r="F95" s="3">
        <v>38124.083333333299</v>
      </c>
      <c r="G95" s="38">
        <f ca="1">TRUNC(YEARFRAC(F95,TODAY(),1))</f>
        <v>21</v>
      </c>
      <c r="H95">
        <f>COUNTIF(BRON!A:A,Tabel6[[#This Row],[Personeelsnummer]])</f>
        <v>0</v>
      </c>
    </row>
    <row r="96" spans="1:8" x14ac:dyDescent="0.25">
      <c r="A96" s="34" t="s">
        <v>3991</v>
      </c>
      <c r="B96" s="34" t="s">
        <v>2531</v>
      </c>
      <c r="C96" s="34" t="s">
        <v>2534</v>
      </c>
      <c r="D96">
        <v>16971</v>
      </c>
      <c r="E96" s="34" t="s">
        <v>3854</v>
      </c>
      <c r="F96" s="3">
        <v>38124.083333333299</v>
      </c>
      <c r="G96" s="38">
        <f ca="1">TRUNC(YEARFRAC(F96,TODAY(),1))</f>
        <v>21</v>
      </c>
      <c r="H96">
        <f>COUNTIF(BRON!A:A,Tabel6[[#This Row],[Personeelsnummer]])</f>
        <v>0</v>
      </c>
    </row>
    <row r="97" spans="1:8" x14ac:dyDescent="0.25">
      <c r="A97" s="34" t="s">
        <v>3992</v>
      </c>
      <c r="B97" s="34" t="s">
        <v>1491</v>
      </c>
      <c r="C97" s="34" t="s">
        <v>1499</v>
      </c>
      <c r="D97">
        <v>17555</v>
      </c>
      <c r="E97" s="34" t="s">
        <v>3854</v>
      </c>
      <c r="F97" s="3">
        <v>38222.083333333299</v>
      </c>
      <c r="G97" s="38">
        <f ca="1">TRUNC(YEARFRAC(F97,TODAY(),1))</f>
        <v>21</v>
      </c>
      <c r="H97">
        <f>COUNTIF(BRON!A:A,Tabel6[[#This Row],[Personeelsnummer]])</f>
        <v>1</v>
      </c>
    </row>
    <row r="98" spans="1:8" x14ac:dyDescent="0.25">
      <c r="A98" s="34" t="s">
        <v>3993</v>
      </c>
      <c r="B98" s="34" t="s">
        <v>1873</v>
      </c>
      <c r="C98" s="34" t="s">
        <v>1872</v>
      </c>
      <c r="D98">
        <v>17566</v>
      </c>
      <c r="E98" s="34" t="s">
        <v>3854</v>
      </c>
      <c r="F98" s="3">
        <v>38222.083333333299</v>
      </c>
      <c r="G98" s="38">
        <f ca="1">TRUNC(YEARFRAC(F98,TODAY(),1))</f>
        <v>21</v>
      </c>
      <c r="H98">
        <f>COUNTIF(BRON!A:A,Tabel6[[#This Row],[Personeelsnummer]])</f>
        <v>2</v>
      </c>
    </row>
    <row r="99" spans="1:8" x14ac:dyDescent="0.25">
      <c r="A99" s="34" t="s">
        <v>3994</v>
      </c>
      <c r="B99" s="34" t="s">
        <v>2296</v>
      </c>
      <c r="C99" s="34" t="s">
        <v>3995</v>
      </c>
      <c r="D99">
        <v>17929</v>
      </c>
      <c r="E99" s="34" t="s">
        <v>3852</v>
      </c>
      <c r="F99" s="3">
        <v>38386.041666666701</v>
      </c>
      <c r="G99" s="38">
        <f ca="1">TRUNC(YEARFRAC(F99,TODAY(),1))</f>
        <v>20</v>
      </c>
      <c r="H99">
        <f>COUNTIF(BRON!A:A,Tabel6[[#This Row],[Personeelsnummer]])</f>
        <v>0</v>
      </c>
    </row>
    <row r="100" spans="1:8" x14ac:dyDescent="0.25">
      <c r="A100" s="34" t="s">
        <v>3996</v>
      </c>
      <c r="B100" s="34" t="s">
        <v>2749</v>
      </c>
      <c r="C100" s="34" t="s">
        <v>2748</v>
      </c>
      <c r="D100">
        <v>17931</v>
      </c>
      <c r="E100" s="34" t="s">
        <v>3857</v>
      </c>
      <c r="F100" s="3">
        <v>38390.041666666701</v>
      </c>
      <c r="G100" s="38">
        <f ca="1">TRUNC(YEARFRAC(F100,TODAY(),1))</f>
        <v>20</v>
      </c>
      <c r="H100">
        <f>COUNTIF(BRON!A:A,Tabel6[[#This Row],[Personeelsnummer]])</f>
        <v>2</v>
      </c>
    </row>
    <row r="101" spans="1:8" x14ac:dyDescent="0.25">
      <c r="A101" s="34" t="s">
        <v>3997</v>
      </c>
      <c r="B101" s="34" t="s">
        <v>3128</v>
      </c>
      <c r="C101" s="34" t="s">
        <v>3127</v>
      </c>
      <c r="D101">
        <v>17951</v>
      </c>
      <c r="E101" s="34" t="s">
        <v>3854</v>
      </c>
      <c r="F101" s="3">
        <v>38404.041666666701</v>
      </c>
      <c r="G101" s="38">
        <f ca="1">TRUNC(YEARFRAC(F101,TODAY(),1))</f>
        <v>20</v>
      </c>
      <c r="H101">
        <f>COUNTIF(BRON!A:A,Tabel6[[#This Row],[Personeelsnummer]])</f>
        <v>1</v>
      </c>
    </row>
    <row r="102" spans="1:8" x14ac:dyDescent="0.25">
      <c r="A102" s="34" t="s">
        <v>3998</v>
      </c>
      <c r="B102" s="34" t="s">
        <v>1804</v>
      </c>
      <c r="C102" s="34" t="s">
        <v>1738</v>
      </c>
      <c r="D102">
        <v>17954</v>
      </c>
      <c r="E102" s="34" t="s">
        <v>3855</v>
      </c>
      <c r="F102" s="3">
        <v>38404.041666666701</v>
      </c>
      <c r="G102" s="38">
        <f ca="1">TRUNC(YEARFRAC(F102,TODAY(),1))</f>
        <v>20</v>
      </c>
      <c r="H102">
        <f>COUNTIF(BRON!A:A,Tabel6[[#This Row],[Personeelsnummer]])</f>
        <v>0</v>
      </c>
    </row>
    <row r="103" spans="1:8" x14ac:dyDescent="0.25">
      <c r="A103" s="34" t="s">
        <v>3999</v>
      </c>
      <c r="B103" s="34" t="s">
        <v>2420</v>
      </c>
      <c r="C103" s="34" t="s">
        <v>4000</v>
      </c>
      <c r="D103">
        <v>17955</v>
      </c>
      <c r="E103" s="34" t="s">
        <v>3852</v>
      </c>
      <c r="F103" s="3">
        <v>38404.041666666701</v>
      </c>
      <c r="G103" s="38">
        <f ca="1">TRUNC(YEARFRAC(F103,TODAY(),1))</f>
        <v>20</v>
      </c>
      <c r="H103">
        <f>COUNTIF(BRON!A:A,Tabel6[[#This Row],[Personeelsnummer]])</f>
        <v>0</v>
      </c>
    </row>
    <row r="104" spans="1:8" x14ac:dyDescent="0.25">
      <c r="A104" s="34" t="s">
        <v>4001</v>
      </c>
      <c r="B104" s="34" t="s">
        <v>2879</v>
      </c>
      <c r="C104" s="34" t="s">
        <v>2882</v>
      </c>
      <c r="D104">
        <v>18051</v>
      </c>
      <c r="E104" s="34" t="s">
        <v>3853</v>
      </c>
      <c r="F104" s="3">
        <v>38446.083333333299</v>
      </c>
      <c r="G104" s="38">
        <f ca="1">TRUNC(YEARFRAC(F104,TODAY(),1))</f>
        <v>20</v>
      </c>
      <c r="H104">
        <f>COUNTIF(BRON!A:A,Tabel6[[#This Row],[Personeelsnummer]])</f>
        <v>3</v>
      </c>
    </row>
    <row r="105" spans="1:8" x14ac:dyDescent="0.25">
      <c r="A105" s="34" t="s">
        <v>4002</v>
      </c>
      <c r="B105" s="34" t="s">
        <v>2394</v>
      </c>
      <c r="C105" s="34" t="s">
        <v>2405</v>
      </c>
      <c r="D105">
        <v>18139</v>
      </c>
      <c r="E105" s="34" t="s">
        <v>3854</v>
      </c>
      <c r="F105" s="3">
        <v>38460.083333333299</v>
      </c>
      <c r="G105" s="38">
        <f ca="1">TRUNC(YEARFRAC(F105,TODAY(),1))</f>
        <v>20</v>
      </c>
      <c r="H105">
        <f>COUNTIF(BRON!A:A,Tabel6[[#This Row],[Personeelsnummer]])</f>
        <v>0</v>
      </c>
    </row>
    <row r="106" spans="1:8" x14ac:dyDescent="0.25">
      <c r="A106" s="34" t="s">
        <v>4003</v>
      </c>
      <c r="B106" s="34" t="s">
        <v>2339</v>
      </c>
      <c r="C106" s="34" t="s">
        <v>2338</v>
      </c>
      <c r="D106">
        <v>18141</v>
      </c>
      <c r="E106" s="34" t="s">
        <v>3853</v>
      </c>
      <c r="F106" s="3">
        <v>38460.083333333299</v>
      </c>
      <c r="G106" s="38">
        <f ca="1">TRUNC(YEARFRAC(F106,TODAY(),1))</f>
        <v>20</v>
      </c>
      <c r="H106">
        <f>COUNTIF(BRON!A:A,Tabel6[[#This Row],[Personeelsnummer]])</f>
        <v>0</v>
      </c>
    </row>
    <row r="107" spans="1:8" x14ac:dyDescent="0.25">
      <c r="A107" s="34" t="s">
        <v>4004</v>
      </c>
      <c r="B107" s="34" t="s">
        <v>2777</v>
      </c>
      <c r="C107" s="34" t="s">
        <v>2776</v>
      </c>
      <c r="D107">
        <v>18173</v>
      </c>
      <c r="E107" s="34" t="s">
        <v>3851</v>
      </c>
      <c r="F107" s="3">
        <v>38481.083333333299</v>
      </c>
      <c r="G107" s="38">
        <f ca="1">TRUNC(YEARFRAC(F107,TODAY(),1))</f>
        <v>20</v>
      </c>
      <c r="H107">
        <f>COUNTIF(BRON!A:A,Tabel6[[#This Row],[Personeelsnummer]])</f>
        <v>1</v>
      </c>
    </row>
    <row r="108" spans="1:8" x14ac:dyDescent="0.25">
      <c r="A108" s="34" t="s">
        <v>4005</v>
      </c>
      <c r="B108" s="34" t="s">
        <v>2335</v>
      </c>
      <c r="C108" s="34" t="s">
        <v>2334</v>
      </c>
      <c r="D108">
        <v>18624</v>
      </c>
      <c r="E108" s="34" t="s">
        <v>3854</v>
      </c>
      <c r="F108" s="3">
        <v>38593.083333333299</v>
      </c>
      <c r="G108" s="38">
        <f ca="1">TRUNC(YEARFRAC(F108,TODAY(),1))</f>
        <v>20</v>
      </c>
      <c r="H108">
        <f>COUNTIF(BRON!A:A,Tabel6[[#This Row],[Personeelsnummer]])</f>
        <v>0</v>
      </c>
    </row>
    <row r="109" spans="1:8" x14ac:dyDescent="0.25">
      <c r="A109" s="34" t="s">
        <v>4006</v>
      </c>
      <c r="B109" s="34" t="s">
        <v>3860</v>
      </c>
      <c r="C109" s="34" t="s">
        <v>3009</v>
      </c>
      <c r="D109">
        <v>18987</v>
      </c>
      <c r="E109" s="34" t="s">
        <v>3858</v>
      </c>
      <c r="F109" s="3">
        <v>38754.041666666701</v>
      </c>
      <c r="G109" s="38">
        <f ca="1">TRUNC(YEARFRAC(F109,TODAY(),1))</f>
        <v>19</v>
      </c>
      <c r="H109">
        <f>COUNTIF(BRON!A:A,Tabel6[[#This Row],[Personeelsnummer]])</f>
        <v>3</v>
      </c>
    </row>
    <row r="110" spans="1:8" x14ac:dyDescent="0.25">
      <c r="A110" s="34" t="s">
        <v>4007</v>
      </c>
      <c r="B110" s="34" t="s">
        <v>1513</v>
      </c>
      <c r="C110" s="34" t="s">
        <v>1517</v>
      </c>
      <c r="D110">
        <v>19016</v>
      </c>
      <c r="E110" s="34" t="s">
        <v>3856</v>
      </c>
      <c r="F110" s="3">
        <v>38775.041666666701</v>
      </c>
      <c r="G110" s="38">
        <f ca="1">TRUNC(YEARFRAC(F110,TODAY(),1))</f>
        <v>19</v>
      </c>
      <c r="H110">
        <f>COUNTIF(BRON!A:A,Tabel6[[#This Row],[Personeelsnummer]])</f>
        <v>0</v>
      </c>
    </row>
    <row r="111" spans="1:8" x14ac:dyDescent="0.25">
      <c r="A111" s="34" t="s">
        <v>4008</v>
      </c>
      <c r="B111" s="34" t="s">
        <v>3259</v>
      </c>
      <c r="C111" s="34" t="s">
        <v>2465</v>
      </c>
      <c r="D111">
        <v>19086</v>
      </c>
      <c r="E111" s="34" t="s">
        <v>3858</v>
      </c>
      <c r="F111" s="3">
        <v>38789.041666666701</v>
      </c>
      <c r="G111" s="38">
        <f ca="1">TRUNC(YEARFRAC(F111,TODAY(),1))</f>
        <v>19</v>
      </c>
      <c r="H111">
        <f>COUNTIF(BRON!A:A,Tabel6[[#This Row],[Personeelsnummer]])</f>
        <v>0</v>
      </c>
    </row>
    <row r="112" spans="1:8" x14ac:dyDescent="0.25">
      <c r="A112" s="34" t="s">
        <v>4009</v>
      </c>
      <c r="B112" s="34" t="s">
        <v>1929</v>
      </c>
      <c r="C112" s="34" t="s">
        <v>1937</v>
      </c>
      <c r="D112">
        <v>19087</v>
      </c>
      <c r="E112" s="34" t="s">
        <v>3856</v>
      </c>
      <c r="F112" s="3">
        <v>38789.041666666701</v>
      </c>
      <c r="G112" s="38">
        <f ca="1">TRUNC(YEARFRAC(F112,TODAY(),1))</f>
        <v>19</v>
      </c>
      <c r="H112">
        <f>COUNTIF(BRON!A:A,Tabel6[[#This Row],[Personeelsnummer]])</f>
        <v>1</v>
      </c>
    </row>
    <row r="113" spans="1:8" x14ac:dyDescent="0.25">
      <c r="A113" s="34" t="s">
        <v>4010</v>
      </c>
      <c r="B113" s="34" t="s">
        <v>2405</v>
      </c>
      <c r="C113" s="34" t="s">
        <v>3078</v>
      </c>
      <c r="D113">
        <v>19088</v>
      </c>
      <c r="E113" s="34" t="s">
        <v>3851</v>
      </c>
      <c r="F113" s="3">
        <v>38789.041666666701</v>
      </c>
      <c r="G113" s="38">
        <f ca="1">TRUNC(YEARFRAC(F113,TODAY(),1))</f>
        <v>19</v>
      </c>
      <c r="H113">
        <f>COUNTIF(BRON!A:A,Tabel6[[#This Row],[Personeelsnummer]])</f>
        <v>1</v>
      </c>
    </row>
    <row r="114" spans="1:8" x14ac:dyDescent="0.25">
      <c r="A114" s="34" t="s">
        <v>4011</v>
      </c>
      <c r="B114" s="34" t="s">
        <v>1491</v>
      </c>
      <c r="C114" s="34" t="s">
        <v>1495</v>
      </c>
      <c r="D114">
        <v>19127</v>
      </c>
      <c r="E114" s="34" t="s">
        <v>3853</v>
      </c>
      <c r="F114" s="3">
        <v>38810.083333333299</v>
      </c>
      <c r="G114" s="38">
        <f ca="1">TRUNC(YEARFRAC(F114,TODAY(),1))</f>
        <v>19</v>
      </c>
      <c r="H114">
        <f>COUNTIF(BRON!A:A,Tabel6[[#This Row],[Personeelsnummer]])</f>
        <v>0</v>
      </c>
    </row>
    <row r="115" spans="1:8" x14ac:dyDescent="0.25">
      <c r="A115" s="34" t="s">
        <v>4012</v>
      </c>
      <c r="B115" s="34" t="s">
        <v>2820</v>
      </c>
      <c r="C115" s="34" t="s">
        <v>2829</v>
      </c>
      <c r="D115">
        <v>19219</v>
      </c>
      <c r="E115" s="34" t="s">
        <v>3855</v>
      </c>
      <c r="F115" s="3">
        <v>38831.083333333299</v>
      </c>
      <c r="G115" s="38">
        <f ca="1">TRUNC(YEARFRAC(F115,TODAY(),1))</f>
        <v>19</v>
      </c>
      <c r="H115">
        <f>COUNTIF(BRON!A:A,Tabel6[[#This Row],[Personeelsnummer]])</f>
        <v>1</v>
      </c>
    </row>
    <row r="116" spans="1:8" x14ac:dyDescent="0.25">
      <c r="A116" s="34" t="s">
        <v>4013</v>
      </c>
      <c r="B116" s="34" t="s">
        <v>2524</v>
      </c>
      <c r="C116" s="34" t="s">
        <v>2527</v>
      </c>
      <c r="D116">
        <v>19249</v>
      </c>
      <c r="E116" s="34" t="s">
        <v>3855</v>
      </c>
      <c r="F116" s="3">
        <v>38852.083333333299</v>
      </c>
      <c r="G116" s="38">
        <f ca="1">TRUNC(YEARFRAC(F116,TODAY(),1))</f>
        <v>19</v>
      </c>
      <c r="H116">
        <f>COUNTIF(BRON!A:A,Tabel6[[#This Row],[Personeelsnummer]])</f>
        <v>4</v>
      </c>
    </row>
    <row r="117" spans="1:8" x14ac:dyDescent="0.25">
      <c r="A117" s="34" t="s">
        <v>4015</v>
      </c>
      <c r="B117" s="34" t="s">
        <v>2420</v>
      </c>
      <c r="C117" s="34" t="s">
        <v>2423</v>
      </c>
      <c r="D117">
        <v>19520</v>
      </c>
      <c r="E117" s="34" t="s">
        <v>3857</v>
      </c>
      <c r="F117" s="3">
        <v>38908.083333333299</v>
      </c>
      <c r="G117" s="38">
        <f ca="1">TRUNC(YEARFRAC(F117,TODAY(),1))</f>
        <v>19</v>
      </c>
      <c r="H117">
        <f>COUNTIF(BRON!A:A,Tabel6[[#This Row],[Personeelsnummer]])</f>
        <v>1</v>
      </c>
    </row>
    <row r="118" spans="1:8" x14ac:dyDescent="0.25">
      <c r="A118" s="34" t="s">
        <v>4016</v>
      </c>
      <c r="B118" s="34" t="s">
        <v>1670</v>
      </c>
      <c r="C118" s="34" t="s">
        <v>1669</v>
      </c>
      <c r="D118">
        <v>19675</v>
      </c>
      <c r="E118" s="34" t="s">
        <v>3851</v>
      </c>
      <c r="F118" s="3">
        <v>38929.083333333299</v>
      </c>
      <c r="G118" s="38">
        <f ca="1">TRUNC(YEARFRAC(F118,TODAY(),1))</f>
        <v>19</v>
      </c>
      <c r="H118">
        <f>COUNTIF(BRON!A:A,Tabel6[[#This Row],[Personeelsnummer]])</f>
        <v>0</v>
      </c>
    </row>
    <row r="119" spans="1:8" x14ac:dyDescent="0.25">
      <c r="A119" s="34" t="s">
        <v>4017</v>
      </c>
      <c r="B119" s="34" t="s">
        <v>2657</v>
      </c>
      <c r="C119" s="34" t="s">
        <v>2659</v>
      </c>
      <c r="D119">
        <v>19676</v>
      </c>
      <c r="E119" s="34" t="s">
        <v>3858</v>
      </c>
      <c r="F119" s="3">
        <v>38929.083333333299</v>
      </c>
      <c r="G119" s="38">
        <f ca="1">TRUNC(YEARFRAC(F119,TODAY(),1))</f>
        <v>19</v>
      </c>
      <c r="H119">
        <f>COUNTIF(BRON!A:A,Tabel6[[#This Row],[Personeelsnummer]])</f>
        <v>0</v>
      </c>
    </row>
    <row r="120" spans="1:8" x14ac:dyDescent="0.25">
      <c r="A120" s="34" t="s">
        <v>4018</v>
      </c>
      <c r="B120" s="34" t="s">
        <v>3423</v>
      </c>
      <c r="C120" s="34" t="s">
        <v>3425</v>
      </c>
      <c r="D120">
        <v>19691</v>
      </c>
      <c r="E120" s="34" t="s">
        <v>3856</v>
      </c>
      <c r="F120" s="3">
        <v>38936.083333333299</v>
      </c>
      <c r="G120" s="38">
        <f ca="1">TRUNC(YEARFRAC(F120,TODAY(),1))</f>
        <v>19</v>
      </c>
      <c r="H120">
        <f>COUNTIF(BRON!A:A,Tabel6[[#This Row],[Personeelsnummer]])</f>
        <v>0</v>
      </c>
    </row>
    <row r="121" spans="1:8" x14ac:dyDescent="0.25">
      <c r="A121" s="34" t="s">
        <v>4019</v>
      </c>
      <c r="B121" s="34" t="s">
        <v>2558</v>
      </c>
      <c r="C121" s="34" t="s">
        <v>2557</v>
      </c>
      <c r="D121">
        <v>19766</v>
      </c>
      <c r="E121" s="34" t="s">
        <v>3854</v>
      </c>
      <c r="F121" s="3">
        <v>38957.083333333299</v>
      </c>
      <c r="G121" s="38">
        <f ca="1">TRUNC(YEARFRAC(F121,TODAY(),1))</f>
        <v>19</v>
      </c>
      <c r="H121">
        <f>COUNTIF(BRON!A:A,Tabel6[[#This Row],[Personeelsnummer]])</f>
        <v>0</v>
      </c>
    </row>
    <row r="122" spans="1:8" x14ac:dyDescent="0.25">
      <c r="A122" s="34" t="s">
        <v>4020</v>
      </c>
      <c r="B122" s="34" t="s">
        <v>2416</v>
      </c>
      <c r="C122" s="34" t="s">
        <v>2415</v>
      </c>
      <c r="D122">
        <v>19810</v>
      </c>
      <c r="E122" s="34" t="s">
        <v>3859</v>
      </c>
      <c r="F122" s="3">
        <v>38971.083333333299</v>
      </c>
      <c r="G122" s="38">
        <f ca="1">TRUNC(YEARFRAC(F122,TODAY(),1))</f>
        <v>19</v>
      </c>
      <c r="H122">
        <f>COUNTIF(BRON!A:A,Tabel6[[#This Row],[Personeelsnummer]])</f>
        <v>0</v>
      </c>
    </row>
    <row r="123" spans="1:8" x14ac:dyDescent="0.25">
      <c r="A123" s="34" t="s">
        <v>4021</v>
      </c>
      <c r="B123" s="34" t="s">
        <v>1960</v>
      </c>
      <c r="C123" s="34" t="s">
        <v>1974</v>
      </c>
      <c r="D123">
        <v>19848</v>
      </c>
      <c r="E123" s="34" t="s">
        <v>3858</v>
      </c>
      <c r="F123" s="3">
        <v>38992.083333333299</v>
      </c>
      <c r="G123" s="38">
        <f ca="1">TRUNC(YEARFRAC(F123,TODAY(),1))</f>
        <v>19</v>
      </c>
      <c r="H123">
        <f>COUNTIF(BRON!A:A,Tabel6[[#This Row],[Personeelsnummer]])</f>
        <v>1</v>
      </c>
    </row>
    <row r="124" spans="1:8" x14ac:dyDescent="0.25">
      <c r="A124" s="34" t="s">
        <v>4022</v>
      </c>
      <c r="B124" s="34" t="s">
        <v>2866</v>
      </c>
      <c r="C124" s="34" t="s">
        <v>2869</v>
      </c>
      <c r="D124">
        <v>19917</v>
      </c>
      <c r="E124" s="34" t="s">
        <v>3854</v>
      </c>
      <c r="F124" s="3">
        <v>39006.083333333299</v>
      </c>
      <c r="G124" s="38">
        <f ca="1">TRUNC(YEARFRAC(F124,TODAY(),1))</f>
        <v>19</v>
      </c>
      <c r="H124">
        <f>COUNTIF(BRON!A:A,Tabel6[[#This Row],[Personeelsnummer]])</f>
        <v>10</v>
      </c>
    </row>
    <row r="125" spans="1:8" x14ac:dyDescent="0.25">
      <c r="A125" s="34" t="s">
        <v>4023</v>
      </c>
      <c r="B125" s="34" t="s">
        <v>2374</v>
      </c>
      <c r="C125" s="34" t="s">
        <v>2373</v>
      </c>
      <c r="D125">
        <v>20375</v>
      </c>
      <c r="E125" s="34" t="s">
        <v>3859</v>
      </c>
      <c r="F125" s="3">
        <v>39132.041666666701</v>
      </c>
      <c r="G125" s="38">
        <f ca="1">TRUNC(YEARFRAC(F125,TODAY(),1))</f>
        <v>18</v>
      </c>
      <c r="H125">
        <f>COUNTIF(BRON!A:A,Tabel6[[#This Row],[Personeelsnummer]])</f>
        <v>1</v>
      </c>
    </row>
    <row r="126" spans="1:8" x14ac:dyDescent="0.25">
      <c r="A126" s="34" t="s">
        <v>4024</v>
      </c>
      <c r="B126" s="34" t="s">
        <v>2277</v>
      </c>
      <c r="C126" s="34" t="s">
        <v>2280</v>
      </c>
      <c r="D126">
        <v>20376</v>
      </c>
      <c r="E126" s="34" t="s">
        <v>3858</v>
      </c>
      <c r="F126" s="3">
        <v>39132.041666666701</v>
      </c>
      <c r="G126" s="38">
        <f ca="1">TRUNC(YEARFRAC(F126,TODAY(),1))</f>
        <v>18</v>
      </c>
      <c r="H126">
        <f>COUNTIF(BRON!A:A,Tabel6[[#This Row],[Personeelsnummer]])</f>
        <v>0</v>
      </c>
    </row>
    <row r="127" spans="1:8" x14ac:dyDescent="0.25">
      <c r="A127" s="34" t="s">
        <v>4025</v>
      </c>
      <c r="B127" s="34" t="s">
        <v>1341</v>
      </c>
      <c r="C127" s="34" t="s">
        <v>2475</v>
      </c>
      <c r="D127">
        <v>20400</v>
      </c>
      <c r="E127" s="34" t="s">
        <v>3859</v>
      </c>
      <c r="F127" s="3">
        <v>39146.041666666701</v>
      </c>
      <c r="G127" s="38">
        <f ca="1">TRUNC(YEARFRAC(F127,TODAY(),1))</f>
        <v>18</v>
      </c>
      <c r="H127">
        <f>COUNTIF(BRON!A:A,Tabel6[[#This Row],[Personeelsnummer]])</f>
        <v>1</v>
      </c>
    </row>
    <row r="128" spans="1:8" x14ac:dyDescent="0.25">
      <c r="A128" s="34" t="s">
        <v>4026</v>
      </c>
      <c r="B128" s="34" t="s">
        <v>2394</v>
      </c>
      <c r="C128" s="34" t="s">
        <v>2402</v>
      </c>
      <c r="D128">
        <v>20402</v>
      </c>
      <c r="E128" s="34" t="s">
        <v>3857</v>
      </c>
      <c r="F128" s="3">
        <v>39146.041666666701</v>
      </c>
      <c r="G128" s="38">
        <f ca="1">TRUNC(YEARFRAC(F128,TODAY(),1))</f>
        <v>18</v>
      </c>
      <c r="H128">
        <f>COUNTIF(BRON!A:A,Tabel6[[#This Row],[Personeelsnummer]])</f>
        <v>0</v>
      </c>
    </row>
    <row r="129" spans="1:8" x14ac:dyDescent="0.25">
      <c r="A129" s="34" t="s">
        <v>4027</v>
      </c>
      <c r="B129" s="34" t="s">
        <v>1341</v>
      </c>
      <c r="C129" s="34" t="s">
        <v>1376</v>
      </c>
      <c r="D129">
        <v>20404</v>
      </c>
      <c r="E129" s="34" t="s">
        <v>3853</v>
      </c>
      <c r="F129" s="3">
        <v>39146.041666666701</v>
      </c>
      <c r="G129" s="38">
        <f ca="1">TRUNC(YEARFRAC(F129,TODAY(),1))</f>
        <v>18</v>
      </c>
      <c r="H129">
        <f>COUNTIF(BRON!A:A,Tabel6[[#This Row],[Personeelsnummer]])</f>
        <v>2</v>
      </c>
    </row>
    <row r="130" spans="1:8" x14ac:dyDescent="0.25">
      <c r="A130" s="34" t="s">
        <v>4028</v>
      </c>
      <c r="B130" s="34" t="s">
        <v>2925</v>
      </c>
      <c r="C130" s="34" t="s">
        <v>2928</v>
      </c>
      <c r="D130">
        <v>20476</v>
      </c>
      <c r="E130" s="34" t="s">
        <v>3859</v>
      </c>
      <c r="F130" s="3">
        <v>39160.041666666701</v>
      </c>
      <c r="G130" s="38">
        <f ca="1">TRUNC(YEARFRAC(F130,TODAY(),1))</f>
        <v>18</v>
      </c>
      <c r="H130">
        <f>COUNTIF(BRON!A:A,Tabel6[[#This Row],[Personeelsnummer]])</f>
        <v>0</v>
      </c>
    </row>
    <row r="131" spans="1:8" x14ac:dyDescent="0.25">
      <c r="A131" s="34" t="s">
        <v>4029</v>
      </c>
      <c r="B131" s="34" t="s">
        <v>2944</v>
      </c>
      <c r="C131" s="34" t="s">
        <v>2943</v>
      </c>
      <c r="D131">
        <v>20542</v>
      </c>
      <c r="E131" s="34" t="s">
        <v>3857</v>
      </c>
      <c r="F131" s="3">
        <v>39174.083333333299</v>
      </c>
      <c r="G131" s="38">
        <f ca="1">TRUNC(YEARFRAC(F131,TODAY(),1))</f>
        <v>18</v>
      </c>
      <c r="H131">
        <f>COUNTIF(BRON!A:A,Tabel6[[#This Row],[Personeelsnummer]])</f>
        <v>1</v>
      </c>
    </row>
    <row r="132" spans="1:8" x14ac:dyDescent="0.25">
      <c r="A132" s="34" t="s">
        <v>4030</v>
      </c>
      <c r="B132" s="34" t="s">
        <v>2687</v>
      </c>
      <c r="C132" s="34" t="s">
        <v>2686</v>
      </c>
      <c r="D132">
        <v>20543</v>
      </c>
      <c r="E132" s="34" t="s">
        <v>3851</v>
      </c>
      <c r="F132" s="3">
        <v>39174.083333333299</v>
      </c>
      <c r="G132" s="38">
        <f ca="1">TRUNC(YEARFRAC(F132,TODAY(),1))</f>
        <v>18</v>
      </c>
      <c r="H132">
        <f>COUNTIF(BRON!A:A,Tabel6[[#This Row],[Personeelsnummer]])</f>
        <v>1</v>
      </c>
    </row>
    <row r="133" spans="1:8" x14ac:dyDescent="0.25">
      <c r="A133" s="34" t="s">
        <v>4031</v>
      </c>
      <c r="B133" s="34" t="s">
        <v>2841</v>
      </c>
      <c r="C133" s="34" t="s">
        <v>2844</v>
      </c>
      <c r="D133">
        <v>20610</v>
      </c>
      <c r="E133" s="34" t="s">
        <v>3858</v>
      </c>
      <c r="F133" s="3">
        <v>39188.083333333299</v>
      </c>
      <c r="G133" s="38">
        <f ca="1">TRUNC(YEARFRAC(F133,TODAY(),1))</f>
        <v>18</v>
      </c>
      <c r="H133">
        <f>COUNTIF(BRON!A:A,Tabel6[[#This Row],[Personeelsnummer]])</f>
        <v>0</v>
      </c>
    </row>
    <row r="134" spans="1:8" x14ac:dyDescent="0.25">
      <c r="A134" s="34" t="s">
        <v>4032</v>
      </c>
      <c r="B134" s="34" t="s">
        <v>1733</v>
      </c>
      <c r="C134" s="34" t="s">
        <v>1744</v>
      </c>
      <c r="D134">
        <v>20612</v>
      </c>
      <c r="E134" s="34" t="s">
        <v>3858</v>
      </c>
      <c r="F134" s="3">
        <v>39188.083333333299</v>
      </c>
      <c r="G134" s="38">
        <f ca="1">TRUNC(YEARFRAC(F134,TODAY(),1))</f>
        <v>18</v>
      </c>
      <c r="H134">
        <f>COUNTIF(BRON!A:A,Tabel6[[#This Row],[Personeelsnummer]])</f>
        <v>0</v>
      </c>
    </row>
    <row r="135" spans="1:8" x14ac:dyDescent="0.25">
      <c r="A135" s="34" t="s">
        <v>4033</v>
      </c>
      <c r="B135" s="34" t="s">
        <v>2273</v>
      </c>
      <c r="C135" s="34" t="s">
        <v>2272</v>
      </c>
      <c r="D135">
        <v>20653</v>
      </c>
      <c r="E135" s="34" t="s">
        <v>3854</v>
      </c>
      <c r="F135" s="3">
        <v>39204.083333333299</v>
      </c>
      <c r="G135" s="38">
        <f ca="1">TRUNC(YEARFRAC(F135,TODAY(),1))</f>
        <v>18</v>
      </c>
      <c r="H135">
        <f>COUNTIF(BRON!A:A,Tabel6[[#This Row],[Personeelsnummer]])</f>
        <v>3</v>
      </c>
    </row>
    <row r="136" spans="1:8" x14ac:dyDescent="0.25">
      <c r="A136" s="34" t="s">
        <v>4034</v>
      </c>
      <c r="B136" s="34" t="s">
        <v>3347</v>
      </c>
      <c r="C136" s="34" t="s">
        <v>3352</v>
      </c>
      <c r="D136">
        <v>20655</v>
      </c>
      <c r="E136" s="34" t="s">
        <v>3857</v>
      </c>
      <c r="F136" s="3">
        <v>39204.083333333299</v>
      </c>
      <c r="G136" s="38">
        <f ca="1">TRUNC(YEARFRAC(F136,TODAY(),1))</f>
        <v>18</v>
      </c>
      <c r="H136">
        <f>COUNTIF(BRON!A:A,Tabel6[[#This Row],[Personeelsnummer]])</f>
        <v>0</v>
      </c>
    </row>
    <row r="137" spans="1:8" x14ac:dyDescent="0.25">
      <c r="A137" s="34" t="s">
        <v>4035</v>
      </c>
      <c r="B137" s="34" t="s">
        <v>1351</v>
      </c>
      <c r="C137" s="34" t="s">
        <v>1744</v>
      </c>
      <c r="D137">
        <v>20656</v>
      </c>
      <c r="E137" s="34" t="s">
        <v>3856</v>
      </c>
      <c r="F137" s="3">
        <v>39204.083333333299</v>
      </c>
      <c r="G137" s="38">
        <f ca="1">TRUNC(YEARFRAC(F137,TODAY(),1))</f>
        <v>18</v>
      </c>
      <c r="H137">
        <f>COUNTIF(BRON!A:A,Tabel6[[#This Row],[Personeelsnummer]])</f>
        <v>1</v>
      </c>
    </row>
    <row r="138" spans="1:8" x14ac:dyDescent="0.25">
      <c r="A138" s="34" t="s">
        <v>4036</v>
      </c>
      <c r="B138" s="34" t="s">
        <v>3042</v>
      </c>
      <c r="C138" s="34" t="s">
        <v>3041</v>
      </c>
      <c r="D138">
        <v>20705</v>
      </c>
      <c r="E138" s="34" t="s">
        <v>3856</v>
      </c>
      <c r="F138" s="3">
        <v>39223.083333333299</v>
      </c>
      <c r="G138" s="38">
        <f ca="1">TRUNC(YEARFRAC(F138,TODAY(),1))</f>
        <v>18</v>
      </c>
      <c r="H138">
        <f>COUNTIF(BRON!A:A,Tabel6[[#This Row],[Personeelsnummer]])</f>
        <v>0</v>
      </c>
    </row>
    <row r="139" spans="1:8" x14ac:dyDescent="0.25">
      <c r="A139" s="34" t="s">
        <v>4037</v>
      </c>
      <c r="B139" s="34" t="s">
        <v>2114</v>
      </c>
      <c r="C139" s="34" t="s">
        <v>2117</v>
      </c>
      <c r="D139">
        <v>20954</v>
      </c>
      <c r="E139" s="34" t="s">
        <v>3857</v>
      </c>
      <c r="F139" s="3">
        <v>39272.083333333299</v>
      </c>
      <c r="G139" s="38">
        <f ca="1">TRUNC(YEARFRAC(F139,TODAY(),1))</f>
        <v>18</v>
      </c>
      <c r="H139">
        <f>COUNTIF(BRON!A:A,Tabel6[[#This Row],[Personeelsnummer]])</f>
        <v>0</v>
      </c>
    </row>
    <row r="140" spans="1:8" x14ac:dyDescent="0.25">
      <c r="A140" s="34" t="s">
        <v>4038</v>
      </c>
      <c r="B140" s="34" t="s">
        <v>2174</v>
      </c>
      <c r="C140" s="34" t="s">
        <v>2180</v>
      </c>
      <c r="D140">
        <v>21121</v>
      </c>
      <c r="E140" s="34" t="s">
        <v>3851</v>
      </c>
      <c r="F140" s="3">
        <v>39286.083333333299</v>
      </c>
      <c r="G140" s="38">
        <f ca="1">TRUNC(YEARFRAC(F140,TODAY(),1))</f>
        <v>18</v>
      </c>
      <c r="H140">
        <f>COUNTIF(BRON!A:A,Tabel6[[#This Row],[Personeelsnummer]])</f>
        <v>2</v>
      </c>
    </row>
    <row r="141" spans="1:8" x14ac:dyDescent="0.25">
      <c r="A141" s="34" t="s">
        <v>4039</v>
      </c>
      <c r="B141" s="34" t="s">
        <v>3092</v>
      </c>
      <c r="C141" s="34" t="s">
        <v>3101</v>
      </c>
      <c r="D141">
        <v>21124</v>
      </c>
      <c r="E141" s="34" t="s">
        <v>3853</v>
      </c>
      <c r="F141" s="3">
        <v>39286.083333333299</v>
      </c>
      <c r="G141" s="38">
        <f ca="1">TRUNC(YEARFRAC(F141,TODAY(),1))</f>
        <v>18</v>
      </c>
      <c r="H141">
        <f>COUNTIF(BRON!A:A,Tabel6[[#This Row],[Personeelsnummer]])</f>
        <v>1</v>
      </c>
    </row>
    <row r="142" spans="1:8" x14ac:dyDescent="0.25">
      <c r="A142" s="34" t="s">
        <v>4040</v>
      </c>
      <c r="B142" s="34" t="s">
        <v>2210</v>
      </c>
      <c r="C142" s="34" t="s">
        <v>2209</v>
      </c>
      <c r="D142">
        <v>21160</v>
      </c>
      <c r="E142" s="34" t="s">
        <v>3858</v>
      </c>
      <c r="F142" s="3">
        <v>39300.083333333299</v>
      </c>
      <c r="G142" s="38">
        <f ca="1">TRUNC(YEARFRAC(F142,TODAY(),1))</f>
        <v>18</v>
      </c>
      <c r="H142">
        <f>COUNTIF(BRON!A:A,Tabel6[[#This Row],[Personeelsnummer]])</f>
        <v>0</v>
      </c>
    </row>
    <row r="143" spans="1:8" x14ac:dyDescent="0.25">
      <c r="A143" s="34" t="s">
        <v>4041</v>
      </c>
      <c r="B143" s="34" t="s">
        <v>3166</v>
      </c>
      <c r="C143" s="34" t="s">
        <v>2765</v>
      </c>
      <c r="D143">
        <v>21249</v>
      </c>
      <c r="E143" s="34" t="s">
        <v>3853</v>
      </c>
      <c r="F143" s="3">
        <v>39314.083333333299</v>
      </c>
      <c r="G143" s="38">
        <f ca="1">TRUNC(YEARFRAC(F143,TODAY(),1))</f>
        <v>18</v>
      </c>
      <c r="H143">
        <f>COUNTIF(BRON!A:A,Tabel6[[#This Row],[Personeelsnummer]])</f>
        <v>0</v>
      </c>
    </row>
    <row r="144" spans="1:8" x14ac:dyDescent="0.25">
      <c r="A144" s="34" t="s">
        <v>4042</v>
      </c>
      <c r="B144" s="34" t="s">
        <v>2296</v>
      </c>
      <c r="C144" s="34" t="s">
        <v>2303</v>
      </c>
      <c r="D144">
        <v>21382</v>
      </c>
      <c r="E144" s="34" t="s">
        <v>3857</v>
      </c>
      <c r="F144" s="3">
        <v>39356.083333333299</v>
      </c>
      <c r="G144" s="38">
        <f ca="1">TRUNC(YEARFRAC(F144,TODAY(),1))</f>
        <v>18</v>
      </c>
      <c r="H144">
        <f>COUNTIF(BRON!A:A,Tabel6[[#This Row],[Personeelsnummer]])</f>
        <v>1</v>
      </c>
    </row>
    <row r="145" spans="1:8" x14ac:dyDescent="0.25">
      <c r="A145" s="34" t="s">
        <v>4043</v>
      </c>
      <c r="B145" s="34" t="s">
        <v>1824</v>
      </c>
      <c r="C145" s="34" t="s">
        <v>1826</v>
      </c>
      <c r="D145">
        <v>21383</v>
      </c>
      <c r="E145" s="34" t="s">
        <v>3851</v>
      </c>
      <c r="F145" s="3">
        <v>39356.083333333299</v>
      </c>
      <c r="G145" s="38">
        <f ca="1">TRUNC(YEARFRAC(F145,TODAY(),1))</f>
        <v>18</v>
      </c>
      <c r="H145">
        <f>COUNTIF(BRON!A:A,Tabel6[[#This Row],[Personeelsnummer]])</f>
        <v>0</v>
      </c>
    </row>
    <row r="146" spans="1:8" x14ac:dyDescent="0.25">
      <c r="A146" s="34" t="s">
        <v>4044</v>
      </c>
      <c r="B146" s="34" t="s">
        <v>2531</v>
      </c>
      <c r="C146" s="34" t="s">
        <v>4045</v>
      </c>
      <c r="D146">
        <v>21423</v>
      </c>
      <c r="E146" s="34" t="s">
        <v>3852</v>
      </c>
      <c r="F146" s="3">
        <v>39370.083333333299</v>
      </c>
      <c r="G146" s="38">
        <f ca="1">TRUNC(YEARFRAC(F146,TODAY(),1))</f>
        <v>18</v>
      </c>
      <c r="H146">
        <f>COUNTIF(BRON!A:A,Tabel6[[#This Row],[Personeelsnummer]])</f>
        <v>0</v>
      </c>
    </row>
    <row r="147" spans="1:8" x14ac:dyDescent="0.25">
      <c r="A147" s="34" t="s">
        <v>4046</v>
      </c>
      <c r="B147" s="34" t="s">
        <v>2588</v>
      </c>
      <c r="C147" s="34" t="s">
        <v>2587</v>
      </c>
      <c r="D147">
        <v>21424</v>
      </c>
      <c r="E147" s="34" t="s">
        <v>3857</v>
      </c>
      <c r="F147" s="3">
        <v>39370.083333333299</v>
      </c>
      <c r="G147" s="38">
        <f ca="1">TRUNC(YEARFRAC(F147,TODAY(),1))</f>
        <v>18</v>
      </c>
      <c r="H147">
        <f>COUNTIF(BRON!A:A,Tabel6[[#This Row],[Personeelsnummer]])</f>
        <v>2</v>
      </c>
    </row>
    <row r="148" spans="1:8" x14ac:dyDescent="0.25">
      <c r="A148" s="34" t="s">
        <v>4047</v>
      </c>
      <c r="B148" s="34" t="s">
        <v>1521</v>
      </c>
      <c r="C148" s="34" t="s">
        <v>1520</v>
      </c>
      <c r="D148">
        <v>21428</v>
      </c>
      <c r="E148" s="34" t="s">
        <v>3856</v>
      </c>
      <c r="F148" s="3">
        <v>39370.083333333299</v>
      </c>
      <c r="G148" s="38">
        <f ca="1">TRUNC(YEARFRAC(F148,TODAY(),1))</f>
        <v>18</v>
      </c>
      <c r="H148">
        <f>COUNTIF(BRON!A:A,Tabel6[[#This Row],[Personeelsnummer]])</f>
        <v>0</v>
      </c>
    </row>
    <row r="149" spans="1:8" x14ac:dyDescent="0.25">
      <c r="A149" s="34" t="s">
        <v>4048</v>
      </c>
      <c r="B149" s="34" t="s">
        <v>1427</v>
      </c>
      <c r="C149" s="34" t="s">
        <v>1430</v>
      </c>
      <c r="D149">
        <v>21429</v>
      </c>
      <c r="E149" s="34" t="s">
        <v>3858</v>
      </c>
      <c r="F149" s="3">
        <v>39370.083333333299</v>
      </c>
      <c r="G149" s="38">
        <f ca="1">TRUNC(YEARFRAC(F149,TODAY(),1))</f>
        <v>18</v>
      </c>
      <c r="H149">
        <f>COUNTIF(BRON!A:A,Tabel6[[#This Row],[Personeelsnummer]])</f>
        <v>0</v>
      </c>
    </row>
    <row r="150" spans="1:8" x14ac:dyDescent="0.25">
      <c r="A150" s="34" t="s">
        <v>4049</v>
      </c>
      <c r="B150" s="34" t="s">
        <v>3395</v>
      </c>
      <c r="C150" s="34" t="s">
        <v>2064</v>
      </c>
      <c r="D150">
        <v>21466</v>
      </c>
      <c r="E150" s="34" t="s">
        <v>3855</v>
      </c>
      <c r="F150" s="3">
        <v>39391.041666666701</v>
      </c>
      <c r="G150" s="38">
        <f ca="1">TRUNC(YEARFRAC(F150,TODAY(),1))</f>
        <v>18</v>
      </c>
      <c r="H150">
        <f>COUNTIF(BRON!A:A,Tabel6[[#This Row],[Personeelsnummer]])</f>
        <v>0</v>
      </c>
    </row>
    <row r="151" spans="1:8" x14ac:dyDescent="0.25">
      <c r="A151" s="34" t="s">
        <v>4050</v>
      </c>
      <c r="B151" s="34" t="s">
        <v>1960</v>
      </c>
      <c r="C151" s="34" t="s">
        <v>1971</v>
      </c>
      <c r="D151">
        <v>21506</v>
      </c>
      <c r="E151" s="34" t="s">
        <v>3858</v>
      </c>
      <c r="F151" s="3">
        <v>39405.041666666701</v>
      </c>
      <c r="G151" s="38">
        <f ca="1">TRUNC(YEARFRAC(F151,TODAY(),1))</f>
        <v>18</v>
      </c>
      <c r="H151">
        <f>COUNTIF(BRON!A:A,Tabel6[[#This Row],[Personeelsnummer]])</f>
        <v>0</v>
      </c>
    </row>
    <row r="152" spans="1:8" x14ac:dyDescent="0.25">
      <c r="A152" s="34" t="s">
        <v>4051</v>
      </c>
      <c r="B152" s="34" t="s">
        <v>1351</v>
      </c>
      <c r="C152" s="34" t="s">
        <v>2393</v>
      </c>
      <c r="D152">
        <v>21507</v>
      </c>
      <c r="E152" s="34" t="s">
        <v>3851</v>
      </c>
      <c r="F152" s="3">
        <v>39405.041666666701</v>
      </c>
      <c r="G152" s="38">
        <f ca="1">TRUNC(YEARFRAC(F152,TODAY(),1))</f>
        <v>18</v>
      </c>
      <c r="H152">
        <f>COUNTIF(BRON!A:A,Tabel6[[#This Row],[Personeelsnummer]])</f>
        <v>0</v>
      </c>
    </row>
    <row r="153" spans="1:8" x14ac:dyDescent="0.25">
      <c r="A153" s="34" t="s">
        <v>4052</v>
      </c>
      <c r="B153" s="34" t="s">
        <v>2420</v>
      </c>
      <c r="C153" s="34" t="s">
        <v>2419</v>
      </c>
      <c r="D153">
        <v>21509</v>
      </c>
      <c r="E153" s="34" t="s">
        <v>3859</v>
      </c>
      <c r="F153" s="3">
        <v>39405.041666666701</v>
      </c>
      <c r="G153" s="38">
        <f ca="1">TRUNC(YEARFRAC(F153,TODAY(),1))</f>
        <v>18</v>
      </c>
      <c r="H153">
        <f>COUNTIF(BRON!A:A,Tabel6[[#This Row],[Personeelsnummer]])</f>
        <v>6</v>
      </c>
    </row>
    <row r="154" spans="1:8" x14ac:dyDescent="0.25">
      <c r="A154" s="34" t="s">
        <v>3890</v>
      </c>
      <c r="B154" s="34" t="s">
        <v>1769</v>
      </c>
      <c r="C154" s="34" t="s">
        <v>3891</v>
      </c>
      <c r="D154">
        <v>21665</v>
      </c>
      <c r="E154" s="34" t="s">
        <v>3852</v>
      </c>
      <c r="F154" s="3">
        <v>39454.041666666701</v>
      </c>
      <c r="G154" s="38">
        <f ca="1">TRUNC(YEARFRAC(F154,TODAY(),1))</f>
        <v>17</v>
      </c>
      <c r="H154">
        <f>COUNTIF(BRON!A:A,Tabel6[[#This Row],[Personeelsnummer]])</f>
        <v>0</v>
      </c>
    </row>
    <row r="155" spans="1:8" x14ac:dyDescent="0.25">
      <c r="A155" s="34" t="s">
        <v>4053</v>
      </c>
      <c r="B155" s="34" t="s">
        <v>2857</v>
      </c>
      <c r="C155" s="34" t="s">
        <v>2863</v>
      </c>
      <c r="D155">
        <v>21581</v>
      </c>
      <c r="E155" s="34" t="s">
        <v>3855</v>
      </c>
      <c r="F155" s="3">
        <v>39433.041666666701</v>
      </c>
      <c r="G155" s="38">
        <f ca="1">TRUNC(YEARFRAC(F155,TODAY(),1))</f>
        <v>17</v>
      </c>
      <c r="H155">
        <f>COUNTIF(BRON!A:A,Tabel6[[#This Row],[Personeelsnummer]])</f>
        <v>2</v>
      </c>
    </row>
    <row r="156" spans="1:8" x14ac:dyDescent="0.25">
      <c r="A156" s="34" t="s">
        <v>4054</v>
      </c>
      <c r="B156" s="34" t="s">
        <v>4055</v>
      </c>
      <c r="C156" s="34" t="s">
        <v>4056</v>
      </c>
      <c r="D156">
        <v>21657</v>
      </c>
      <c r="E156" s="34" t="s">
        <v>3852</v>
      </c>
      <c r="F156" s="3">
        <v>39454.041666666701</v>
      </c>
      <c r="G156" s="38">
        <f ca="1">TRUNC(YEARFRAC(F156,TODAY(),1))</f>
        <v>17</v>
      </c>
      <c r="H156">
        <f>COUNTIF(BRON!A:A,Tabel6[[#This Row],[Personeelsnummer]])</f>
        <v>0</v>
      </c>
    </row>
    <row r="157" spans="1:8" x14ac:dyDescent="0.25">
      <c r="A157" s="34" t="s">
        <v>4057</v>
      </c>
      <c r="B157" s="34" t="s">
        <v>1487</v>
      </c>
      <c r="C157" s="34" t="s">
        <v>1486</v>
      </c>
      <c r="D157">
        <v>21662</v>
      </c>
      <c r="E157" s="34" t="s">
        <v>3857</v>
      </c>
      <c r="F157" s="3">
        <v>39454.041666666701</v>
      </c>
      <c r="G157" s="38">
        <f ca="1">TRUNC(YEARFRAC(F157,TODAY(),1))</f>
        <v>17</v>
      </c>
      <c r="H157">
        <f>COUNTIF(BRON!A:A,Tabel6[[#This Row],[Personeelsnummer]])</f>
        <v>0</v>
      </c>
    </row>
    <row r="158" spans="1:8" x14ac:dyDescent="0.25">
      <c r="A158" s="34" t="s">
        <v>4058</v>
      </c>
      <c r="B158" s="34" t="s">
        <v>2631</v>
      </c>
      <c r="C158" s="34" t="s">
        <v>2637</v>
      </c>
      <c r="D158">
        <v>21738</v>
      </c>
      <c r="E158" s="34" t="s">
        <v>3857</v>
      </c>
      <c r="F158" s="3">
        <v>39468.041666666701</v>
      </c>
      <c r="G158" s="38">
        <f ca="1">TRUNC(YEARFRAC(F158,TODAY(),1))</f>
        <v>17</v>
      </c>
      <c r="H158">
        <f>COUNTIF(BRON!A:A,Tabel6[[#This Row],[Personeelsnummer]])</f>
        <v>0</v>
      </c>
    </row>
    <row r="159" spans="1:8" x14ac:dyDescent="0.25">
      <c r="A159" s="34" t="s">
        <v>4059</v>
      </c>
      <c r="B159" s="34" t="s">
        <v>2960</v>
      </c>
      <c r="C159" s="34" t="s">
        <v>2498</v>
      </c>
      <c r="D159">
        <v>21809</v>
      </c>
      <c r="E159" s="34" t="s">
        <v>3857</v>
      </c>
      <c r="F159" s="3">
        <v>39496.041666666701</v>
      </c>
      <c r="G159" s="38">
        <f ca="1">TRUNC(YEARFRAC(F159,TODAY(),1))</f>
        <v>17</v>
      </c>
      <c r="H159">
        <f>COUNTIF(BRON!A:A,Tabel6[[#This Row],[Personeelsnummer]])</f>
        <v>1</v>
      </c>
    </row>
    <row r="160" spans="1:8" x14ac:dyDescent="0.25">
      <c r="A160" s="34" t="s">
        <v>4060</v>
      </c>
      <c r="B160" s="34" t="s">
        <v>3084</v>
      </c>
      <c r="C160" s="34" t="s">
        <v>2553</v>
      </c>
      <c r="D160">
        <v>21845</v>
      </c>
      <c r="E160" s="34" t="s">
        <v>3858</v>
      </c>
      <c r="F160" s="3">
        <v>39510.041666666701</v>
      </c>
      <c r="G160" s="38">
        <f ca="1">TRUNC(YEARFRAC(F160,TODAY(),1))</f>
        <v>17</v>
      </c>
      <c r="H160">
        <f>COUNTIF(BRON!A:A,Tabel6[[#This Row],[Personeelsnummer]])</f>
        <v>0</v>
      </c>
    </row>
    <row r="161" spans="1:8" x14ac:dyDescent="0.25">
      <c r="A161" s="34" t="s">
        <v>4061</v>
      </c>
      <c r="B161" s="34" t="s">
        <v>1647</v>
      </c>
      <c r="C161" s="34" t="s">
        <v>1653</v>
      </c>
      <c r="D161">
        <v>21892</v>
      </c>
      <c r="E161" s="34" t="s">
        <v>3858</v>
      </c>
      <c r="F161" s="3">
        <v>39524.041666666701</v>
      </c>
      <c r="G161" s="38">
        <f ca="1">TRUNC(YEARFRAC(F161,TODAY(),1))</f>
        <v>17</v>
      </c>
      <c r="H161">
        <f>COUNTIF(BRON!A:A,Tabel6[[#This Row],[Personeelsnummer]])</f>
        <v>2</v>
      </c>
    </row>
    <row r="162" spans="1:8" x14ac:dyDescent="0.25">
      <c r="A162" s="34" t="s">
        <v>4062</v>
      </c>
      <c r="B162" s="34" t="s">
        <v>1351</v>
      </c>
      <c r="C162" s="34" t="s">
        <v>3287</v>
      </c>
      <c r="D162">
        <v>22042</v>
      </c>
      <c r="E162" s="34" t="s">
        <v>3858</v>
      </c>
      <c r="F162" s="3">
        <v>39538.083333333299</v>
      </c>
      <c r="G162" s="38">
        <f ca="1">TRUNC(YEARFRAC(F162,TODAY(),1))</f>
        <v>17</v>
      </c>
      <c r="H162">
        <f>COUNTIF(BRON!A:A,Tabel6[[#This Row],[Personeelsnummer]])</f>
        <v>0</v>
      </c>
    </row>
    <row r="163" spans="1:8" x14ac:dyDescent="0.25">
      <c r="A163" s="34" t="s">
        <v>4063</v>
      </c>
      <c r="B163" s="34" t="s">
        <v>1929</v>
      </c>
      <c r="C163" s="34" t="s">
        <v>1637</v>
      </c>
      <c r="D163">
        <v>22052</v>
      </c>
      <c r="E163" s="34" t="s">
        <v>3857</v>
      </c>
      <c r="F163" s="3">
        <v>39538.083333333299</v>
      </c>
      <c r="G163" s="38">
        <f ca="1">TRUNC(YEARFRAC(F163,TODAY(),1))</f>
        <v>17</v>
      </c>
      <c r="H163">
        <f>COUNTIF(BRON!A:A,Tabel6[[#This Row],[Personeelsnummer]])</f>
        <v>1</v>
      </c>
    </row>
    <row r="164" spans="1:8" x14ac:dyDescent="0.25">
      <c r="A164" s="34" t="s">
        <v>4064</v>
      </c>
      <c r="B164" s="34" t="s">
        <v>2324</v>
      </c>
      <c r="C164" s="34" t="s">
        <v>2327</v>
      </c>
      <c r="D164">
        <v>22143</v>
      </c>
      <c r="E164" s="34" t="s">
        <v>3856</v>
      </c>
      <c r="F164" s="3">
        <v>39552.083333333299</v>
      </c>
      <c r="G164" s="38">
        <f ca="1">TRUNC(YEARFRAC(F164,TODAY(),1))</f>
        <v>17</v>
      </c>
      <c r="H164">
        <f>COUNTIF(BRON!A:A,Tabel6[[#This Row],[Personeelsnummer]])</f>
        <v>0</v>
      </c>
    </row>
    <row r="165" spans="1:8" x14ac:dyDescent="0.25">
      <c r="A165" s="34" t="s">
        <v>4065</v>
      </c>
      <c r="B165" s="34" t="s">
        <v>1991</v>
      </c>
      <c r="C165" s="34" t="s">
        <v>2003</v>
      </c>
      <c r="D165">
        <v>22202</v>
      </c>
      <c r="E165" s="34" t="s">
        <v>3858</v>
      </c>
      <c r="F165" s="3">
        <v>39573.083333333299</v>
      </c>
      <c r="G165" s="38">
        <f ca="1">TRUNC(YEARFRAC(F165,TODAY(),1))</f>
        <v>17</v>
      </c>
      <c r="H165">
        <f>COUNTIF(BRON!A:A,Tabel6[[#This Row],[Personeelsnummer]])</f>
        <v>1</v>
      </c>
    </row>
    <row r="166" spans="1:8" x14ac:dyDescent="0.25">
      <c r="A166" s="34" t="s">
        <v>4066</v>
      </c>
      <c r="B166" s="34" t="s">
        <v>2506</v>
      </c>
      <c r="C166" s="34" t="s">
        <v>2505</v>
      </c>
      <c r="D166">
        <v>22240</v>
      </c>
      <c r="E166" s="34" t="s">
        <v>3857</v>
      </c>
      <c r="F166" s="3">
        <v>39587.083333333299</v>
      </c>
      <c r="G166" s="38">
        <f ca="1">TRUNC(YEARFRAC(F166,TODAY(),1))</f>
        <v>17</v>
      </c>
      <c r="H166">
        <f>COUNTIF(BRON!A:A,Tabel6[[#This Row],[Personeelsnummer]])</f>
        <v>2</v>
      </c>
    </row>
    <row r="167" spans="1:8" x14ac:dyDescent="0.25">
      <c r="A167" s="34" t="s">
        <v>4067</v>
      </c>
      <c r="B167" s="34" t="s">
        <v>1626</v>
      </c>
      <c r="C167" s="34" t="s">
        <v>1625</v>
      </c>
      <c r="D167">
        <v>22244</v>
      </c>
      <c r="E167" s="34" t="s">
        <v>3853</v>
      </c>
      <c r="F167" s="3">
        <v>39587.083333333299</v>
      </c>
      <c r="G167" s="38">
        <f ca="1">TRUNC(YEARFRAC(F167,TODAY(),1))</f>
        <v>17</v>
      </c>
      <c r="H167">
        <f>COUNTIF(BRON!A:A,Tabel6[[#This Row],[Personeelsnummer]])</f>
        <v>2</v>
      </c>
    </row>
    <row r="168" spans="1:8" x14ac:dyDescent="0.25">
      <c r="A168" s="34" t="s">
        <v>4068</v>
      </c>
      <c r="B168" s="34" t="s">
        <v>3011</v>
      </c>
      <c r="C168" s="34" t="s">
        <v>3010</v>
      </c>
      <c r="D168">
        <v>22296</v>
      </c>
      <c r="E168" s="34" t="s">
        <v>3857</v>
      </c>
      <c r="F168" s="3">
        <v>39601.083333333299</v>
      </c>
      <c r="G168" s="38">
        <f ca="1">TRUNC(YEARFRAC(F168,TODAY(),1))</f>
        <v>17</v>
      </c>
      <c r="H168">
        <f>COUNTIF(BRON!A:A,Tabel6[[#This Row],[Personeelsnummer]])</f>
        <v>0</v>
      </c>
    </row>
    <row r="169" spans="1:8" x14ac:dyDescent="0.25">
      <c r="A169" s="34" t="s">
        <v>4069</v>
      </c>
      <c r="B169" s="34" t="s">
        <v>3450</v>
      </c>
      <c r="C169" s="34" t="s">
        <v>3449</v>
      </c>
      <c r="D169">
        <v>22416</v>
      </c>
      <c r="E169" s="34" t="s">
        <v>3853</v>
      </c>
      <c r="F169" s="3">
        <v>39615.083333333299</v>
      </c>
      <c r="G169" s="38">
        <f ca="1">TRUNC(YEARFRAC(F169,TODAY(),1))</f>
        <v>17</v>
      </c>
      <c r="H169">
        <f>COUNTIF(BRON!A:A,Tabel6[[#This Row],[Personeelsnummer]])</f>
        <v>1</v>
      </c>
    </row>
    <row r="170" spans="1:8" x14ac:dyDescent="0.25">
      <c r="A170" s="34" t="s">
        <v>4070</v>
      </c>
      <c r="B170" s="34" t="s">
        <v>1907</v>
      </c>
      <c r="C170" s="34" t="s">
        <v>1906</v>
      </c>
      <c r="D170">
        <v>22625</v>
      </c>
      <c r="E170" s="34" t="s">
        <v>3854</v>
      </c>
      <c r="F170" s="3">
        <v>39643.083333333299</v>
      </c>
      <c r="G170" s="38">
        <f ca="1">TRUNC(YEARFRAC(F170,TODAY(),1))</f>
        <v>17</v>
      </c>
      <c r="H170">
        <f>COUNTIF(BRON!A:A,Tabel6[[#This Row],[Personeelsnummer]])</f>
        <v>1</v>
      </c>
    </row>
    <row r="171" spans="1:8" x14ac:dyDescent="0.25">
      <c r="A171" s="34" t="s">
        <v>4071</v>
      </c>
      <c r="B171" s="34" t="s">
        <v>2562</v>
      </c>
      <c r="C171" s="34" t="s">
        <v>2571</v>
      </c>
      <c r="D171">
        <v>22767</v>
      </c>
      <c r="E171" s="34" t="s">
        <v>3859</v>
      </c>
      <c r="F171" s="3">
        <v>39664.083333333299</v>
      </c>
      <c r="G171" s="38">
        <f ca="1">TRUNC(YEARFRAC(F171,TODAY(),1))</f>
        <v>17</v>
      </c>
      <c r="H171">
        <f>COUNTIF(BRON!A:A,Tabel6[[#This Row],[Personeelsnummer]])</f>
        <v>1</v>
      </c>
    </row>
    <row r="172" spans="1:8" x14ac:dyDescent="0.25">
      <c r="A172" s="34" t="s">
        <v>4072</v>
      </c>
      <c r="B172" s="34" t="s">
        <v>4073</v>
      </c>
      <c r="C172" s="34" t="s">
        <v>4074</v>
      </c>
      <c r="D172">
        <v>22811</v>
      </c>
      <c r="E172" s="34" t="s">
        <v>4075</v>
      </c>
      <c r="F172" s="3">
        <v>39678.083333333299</v>
      </c>
      <c r="G172" s="38">
        <f ca="1">TRUNC(YEARFRAC(F172,TODAY(),1))</f>
        <v>17</v>
      </c>
      <c r="H172">
        <f>COUNTIF(BRON!A:A,Tabel6[[#This Row],[Personeelsnummer]])</f>
        <v>0</v>
      </c>
    </row>
    <row r="173" spans="1:8" x14ac:dyDescent="0.25">
      <c r="A173" s="34" t="s">
        <v>4076</v>
      </c>
      <c r="B173" s="34" t="s">
        <v>2773</v>
      </c>
      <c r="C173" s="34" t="s">
        <v>1439</v>
      </c>
      <c r="D173">
        <v>22877</v>
      </c>
      <c r="E173" s="34" t="s">
        <v>3857</v>
      </c>
      <c r="F173" s="3">
        <v>39706.083333333299</v>
      </c>
      <c r="G173" s="38">
        <f ca="1">TRUNC(YEARFRAC(F173,TODAY(),1))</f>
        <v>17</v>
      </c>
      <c r="H173">
        <f>COUNTIF(BRON!A:A,Tabel6[[#This Row],[Personeelsnummer]])</f>
        <v>1</v>
      </c>
    </row>
    <row r="174" spans="1:8" x14ac:dyDescent="0.25">
      <c r="A174" s="34" t="s">
        <v>4077</v>
      </c>
      <c r="B174" s="34" t="s">
        <v>4078</v>
      </c>
      <c r="C174" s="34" t="s">
        <v>4079</v>
      </c>
      <c r="D174">
        <v>23261</v>
      </c>
      <c r="E174" s="34" t="s">
        <v>3852</v>
      </c>
      <c r="F174" s="3">
        <v>39814.041666666701</v>
      </c>
      <c r="G174" s="38">
        <f ca="1">TRUNC(YEARFRAC(F174,TODAY(),1))</f>
        <v>16</v>
      </c>
      <c r="H174">
        <f>COUNTIF(BRON!A:A,Tabel6[[#This Row],[Personeelsnummer]])</f>
        <v>0</v>
      </c>
    </row>
    <row r="175" spans="1:8" x14ac:dyDescent="0.25">
      <c r="A175" s="34" t="s">
        <v>4080</v>
      </c>
      <c r="B175" s="34" t="s">
        <v>3461</v>
      </c>
      <c r="C175" s="34" t="s">
        <v>3460</v>
      </c>
      <c r="D175">
        <v>23326</v>
      </c>
      <c r="E175" s="34" t="s">
        <v>3859</v>
      </c>
      <c r="F175" s="3">
        <v>39839.041666666701</v>
      </c>
      <c r="G175" s="38">
        <f ca="1">TRUNC(YEARFRAC(F175,TODAY(),1))</f>
        <v>16</v>
      </c>
      <c r="H175">
        <f>COUNTIF(BRON!A:A,Tabel6[[#This Row],[Personeelsnummer]])</f>
        <v>0</v>
      </c>
    </row>
    <row r="176" spans="1:8" x14ac:dyDescent="0.25">
      <c r="A176" s="34" t="s">
        <v>4081</v>
      </c>
      <c r="B176" s="34" t="s">
        <v>1857</v>
      </c>
      <c r="C176" s="34" t="s">
        <v>1856</v>
      </c>
      <c r="D176">
        <v>23481</v>
      </c>
      <c r="E176" s="34" t="s">
        <v>3854</v>
      </c>
      <c r="F176" s="3">
        <v>39881.041666666701</v>
      </c>
      <c r="G176" s="38">
        <f ca="1">TRUNC(YEARFRAC(F176,TODAY(),1))</f>
        <v>16</v>
      </c>
      <c r="H176">
        <f>COUNTIF(BRON!A:A,Tabel6[[#This Row],[Personeelsnummer]])</f>
        <v>0</v>
      </c>
    </row>
    <row r="177" spans="1:8" x14ac:dyDescent="0.25">
      <c r="A177" s="34" t="s">
        <v>4082</v>
      </c>
      <c r="B177" s="34" t="s">
        <v>2093</v>
      </c>
      <c r="C177" s="34" t="s">
        <v>2107</v>
      </c>
      <c r="D177">
        <v>23543</v>
      </c>
      <c r="E177" s="34" t="s">
        <v>3853</v>
      </c>
      <c r="F177" s="3">
        <v>39895.041666666701</v>
      </c>
      <c r="G177" s="38">
        <f ca="1">TRUNC(YEARFRAC(F177,TODAY(),1))</f>
        <v>16</v>
      </c>
      <c r="H177">
        <f>COUNTIF(BRON!A:A,Tabel6[[#This Row],[Personeelsnummer]])</f>
        <v>0</v>
      </c>
    </row>
    <row r="178" spans="1:8" x14ac:dyDescent="0.25">
      <c r="A178" s="34" t="s">
        <v>4083</v>
      </c>
      <c r="B178" s="34" t="s">
        <v>1536</v>
      </c>
      <c r="C178" s="34" t="s">
        <v>1542</v>
      </c>
      <c r="D178">
        <v>23545</v>
      </c>
      <c r="E178" s="34" t="s">
        <v>3855</v>
      </c>
      <c r="F178" s="3">
        <v>39895.041666666701</v>
      </c>
      <c r="G178" s="38">
        <f ca="1">TRUNC(YEARFRAC(F178,TODAY(),1))</f>
        <v>16</v>
      </c>
      <c r="H178">
        <f>COUNTIF(BRON!A:A,Tabel6[[#This Row],[Personeelsnummer]])</f>
        <v>0</v>
      </c>
    </row>
    <row r="179" spans="1:8" x14ac:dyDescent="0.25">
      <c r="A179" s="34" t="s">
        <v>4085</v>
      </c>
      <c r="B179" s="34" t="s">
        <v>3310</v>
      </c>
      <c r="C179" s="34" t="s">
        <v>3309</v>
      </c>
      <c r="D179">
        <v>23790</v>
      </c>
      <c r="E179" s="34" t="s">
        <v>3859</v>
      </c>
      <c r="F179" s="3">
        <v>39923.083333333299</v>
      </c>
      <c r="G179" s="38">
        <f ca="1">TRUNC(YEARFRAC(F179,TODAY(),1))</f>
        <v>16</v>
      </c>
      <c r="H179">
        <f>COUNTIF(BRON!A:A,Tabel6[[#This Row],[Personeelsnummer]])</f>
        <v>1</v>
      </c>
    </row>
    <row r="180" spans="1:8" x14ac:dyDescent="0.25">
      <c r="A180" s="34" t="s">
        <v>4086</v>
      </c>
      <c r="B180" s="34" t="s">
        <v>3143</v>
      </c>
      <c r="C180" s="34" t="s">
        <v>3142</v>
      </c>
      <c r="D180">
        <v>23791</v>
      </c>
      <c r="E180" s="34" t="s">
        <v>3859</v>
      </c>
      <c r="F180" s="3">
        <v>39923.083333333299</v>
      </c>
      <c r="G180" s="38">
        <f ca="1">TRUNC(YEARFRAC(F180,TODAY(),1))</f>
        <v>16</v>
      </c>
      <c r="H180">
        <f>COUNTIF(BRON!A:A,Tabel6[[#This Row],[Personeelsnummer]])</f>
        <v>0</v>
      </c>
    </row>
    <row r="181" spans="1:8" x14ac:dyDescent="0.25">
      <c r="A181" s="34" t="s">
        <v>4087</v>
      </c>
      <c r="B181" s="34" t="s">
        <v>1399</v>
      </c>
      <c r="C181" s="34" t="s">
        <v>1402</v>
      </c>
      <c r="D181">
        <v>23818</v>
      </c>
      <c r="E181" s="34" t="s">
        <v>3859</v>
      </c>
      <c r="F181" s="3">
        <v>39937.083333333299</v>
      </c>
      <c r="G181" s="38">
        <f ca="1">TRUNC(YEARFRAC(F181,TODAY(),1))</f>
        <v>16</v>
      </c>
      <c r="H181">
        <f>COUNTIF(BRON!A:A,Tabel6[[#This Row],[Personeelsnummer]])</f>
        <v>0</v>
      </c>
    </row>
    <row r="182" spans="1:8" x14ac:dyDescent="0.25">
      <c r="A182" s="34" t="s">
        <v>4088</v>
      </c>
      <c r="B182" s="34" t="s">
        <v>3861</v>
      </c>
      <c r="C182" s="34" t="s">
        <v>3862</v>
      </c>
      <c r="D182">
        <v>23880</v>
      </c>
      <c r="E182" s="34" t="s">
        <v>3859</v>
      </c>
      <c r="F182" s="3">
        <v>39958.083333333299</v>
      </c>
      <c r="G182" s="38">
        <f ca="1">TRUNC(YEARFRAC(F182,TODAY(),1))</f>
        <v>16</v>
      </c>
      <c r="H182">
        <f>COUNTIF(BRON!A:A,Tabel6[[#This Row],[Personeelsnummer]])</f>
        <v>1</v>
      </c>
    </row>
    <row r="183" spans="1:8" x14ac:dyDescent="0.25">
      <c r="A183" s="34" t="s">
        <v>4089</v>
      </c>
      <c r="B183" s="34" t="s">
        <v>3241</v>
      </c>
      <c r="C183" s="34" t="s">
        <v>3244</v>
      </c>
      <c r="D183">
        <v>23918</v>
      </c>
      <c r="E183" s="34" t="s">
        <v>3856</v>
      </c>
      <c r="F183" s="3">
        <v>39972.083333333299</v>
      </c>
      <c r="G183" s="38">
        <f ca="1">TRUNC(YEARFRAC(F183,TODAY(),1))</f>
        <v>16</v>
      </c>
      <c r="H183">
        <f>COUNTIF(BRON!A:A,Tabel6[[#This Row],[Personeelsnummer]])</f>
        <v>3</v>
      </c>
    </row>
    <row r="184" spans="1:8" x14ac:dyDescent="0.25">
      <c r="A184" s="34" t="s">
        <v>4090</v>
      </c>
      <c r="B184" s="34" t="s">
        <v>2538</v>
      </c>
      <c r="C184" s="34" t="s">
        <v>2537</v>
      </c>
      <c r="D184">
        <v>23924</v>
      </c>
      <c r="E184" s="34" t="s">
        <v>3853</v>
      </c>
      <c r="F184" s="3">
        <v>39979.083333333299</v>
      </c>
      <c r="G184" s="38">
        <f ca="1">TRUNC(YEARFRAC(F184,TODAY(),1))</f>
        <v>16</v>
      </c>
      <c r="H184">
        <f>COUNTIF(BRON!A:A,Tabel6[[#This Row],[Personeelsnummer]])</f>
        <v>0</v>
      </c>
    </row>
    <row r="185" spans="1:8" x14ac:dyDescent="0.25">
      <c r="A185" s="34" t="s">
        <v>4091</v>
      </c>
      <c r="B185" s="34" t="s">
        <v>2427</v>
      </c>
      <c r="C185" s="34" t="s">
        <v>2430</v>
      </c>
      <c r="D185">
        <v>24155</v>
      </c>
      <c r="E185" s="34" t="s">
        <v>3856</v>
      </c>
      <c r="F185" s="3">
        <v>40000.083333333299</v>
      </c>
      <c r="G185" s="38">
        <f ca="1">TRUNC(YEARFRAC(F185,TODAY(),1))</f>
        <v>16</v>
      </c>
      <c r="H185">
        <f>COUNTIF(BRON!A:A,Tabel6[[#This Row],[Personeelsnummer]])</f>
        <v>1</v>
      </c>
    </row>
    <row r="186" spans="1:8" x14ac:dyDescent="0.25">
      <c r="A186" s="34" t="s">
        <v>4092</v>
      </c>
      <c r="B186" s="34" t="s">
        <v>3302</v>
      </c>
      <c r="C186" s="34" t="s">
        <v>3298</v>
      </c>
      <c r="D186">
        <v>24156</v>
      </c>
      <c r="E186" s="34" t="s">
        <v>3853</v>
      </c>
      <c r="F186" s="3">
        <v>40000.083333333299</v>
      </c>
      <c r="G186" s="38">
        <f ca="1">TRUNC(YEARFRAC(F186,TODAY(),1))</f>
        <v>16</v>
      </c>
      <c r="H186">
        <f>COUNTIF(BRON!A:A,Tabel6[[#This Row],[Personeelsnummer]])</f>
        <v>0</v>
      </c>
    </row>
    <row r="187" spans="1:8" x14ac:dyDescent="0.25">
      <c r="A187" s="34" t="s">
        <v>4093</v>
      </c>
      <c r="B187" s="34" t="s">
        <v>3378</v>
      </c>
      <c r="C187" s="34" t="s">
        <v>3384</v>
      </c>
      <c r="D187">
        <v>24367</v>
      </c>
      <c r="E187" s="34" t="s">
        <v>3854</v>
      </c>
      <c r="F187" s="3">
        <v>40035.083333333299</v>
      </c>
      <c r="G187" s="38">
        <f ca="1">TRUNC(YEARFRAC(F187,TODAY(),1))</f>
        <v>16</v>
      </c>
      <c r="H187">
        <f>COUNTIF(BRON!A:A,Tabel6[[#This Row],[Personeelsnummer]])</f>
        <v>3</v>
      </c>
    </row>
    <row r="188" spans="1:8" x14ac:dyDescent="0.25">
      <c r="A188" s="34" t="s">
        <v>4094</v>
      </c>
      <c r="B188" s="34" t="s">
        <v>3064</v>
      </c>
      <c r="C188" s="34" t="s">
        <v>2096</v>
      </c>
      <c r="D188">
        <v>24472</v>
      </c>
      <c r="E188" s="34" t="s">
        <v>3859</v>
      </c>
      <c r="F188" s="3">
        <v>40049.083333333299</v>
      </c>
      <c r="G188" s="38">
        <f ca="1">TRUNC(YEARFRAC(F188,TODAY(),1))</f>
        <v>16</v>
      </c>
      <c r="H188">
        <f>COUNTIF(BRON!A:A,Tabel6[[#This Row],[Personeelsnummer]])</f>
        <v>1</v>
      </c>
    </row>
    <row r="189" spans="1:8" x14ac:dyDescent="0.25">
      <c r="A189" s="34" t="s">
        <v>4095</v>
      </c>
      <c r="B189" s="34" t="s">
        <v>2820</v>
      </c>
      <c r="C189" s="34" t="s">
        <v>2826</v>
      </c>
      <c r="D189">
        <v>25234</v>
      </c>
      <c r="E189" s="34" t="s">
        <v>3851</v>
      </c>
      <c r="F189" s="3">
        <v>40350.083333333299</v>
      </c>
      <c r="G189" s="38">
        <f ca="1">TRUNC(YEARFRAC(F189,TODAY(),1))</f>
        <v>15</v>
      </c>
      <c r="H189">
        <f>COUNTIF(BRON!A:A,Tabel6[[#This Row],[Personeelsnummer]])</f>
        <v>0</v>
      </c>
    </row>
    <row r="190" spans="1:8" x14ac:dyDescent="0.25">
      <c r="A190" s="34" t="s">
        <v>4096</v>
      </c>
      <c r="B190" s="34" t="s">
        <v>1351</v>
      </c>
      <c r="C190" s="34" t="s">
        <v>2610</v>
      </c>
      <c r="D190">
        <v>25486</v>
      </c>
      <c r="E190" s="34" t="s">
        <v>3853</v>
      </c>
      <c r="F190" s="3">
        <v>40385.083333333299</v>
      </c>
      <c r="G190" s="38">
        <f ca="1">TRUNC(YEARFRAC(F190,TODAY(),1))</f>
        <v>15</v>
      </c>
      <c r="H190">
        <f>COUNTIF(BRON!A:A,Tabel6[[#This Row],[Personeelsnummer]])</f>
        <v>1</v>
      </c>
    </row>
    <row r="191" spans="1:8" x14ac:dyDescent="0.25">
      <c r="A191" s="34" t="s">
        <v>4097</v>
      </c>
      <c r="B191" s="34" t="s">
        <v>1666</v>
      </c>
      <c r="C191" s="34" t="s">
        <v>1665</v>
      </c>
      <c r="D191">
        <v>25487</v>
      </c>
      <c r="E191" s="34" t="s">
        <v>3858</v>
      </c>
      <c r="F191" s="3">
        <v>40385.083333333299</v>
      </c>
      <c r="G191" s="38">
        <f ca="1">TRUNC(YEARFRAC(F191,TODAY(),1))</f>
        <v>15</v>
      </c>
      <c r="H191">
        <f>COUNTIF(BRON!A:A,Tabel6[[#This Row],[Personeelsnummer]])</f>
        <v>4</v>
      </c>
    </row>
    <row r="192" spans="1:8" x14ac:dyDescent="0.25">
      <c r="A192" s="34" t="s">
        <v>4098</v>
      </c>
      <c r="B192" s="34" t="s">
        <v>1697</v>
      </c>
      <c r="C192" s="34" t="s">
        <v>1696</v>
      </c>
      <c r="D192">
        <v>25679</v>
      </c>
      <c r="E192" s="34" t="s">
        <v>3853</v>
      </c>
      <c r="F192" s="3">
        <v>40455.083333333299</v>
      </c>
      <c r="G192" s="38">
        <f ca="1">TRUNC(YEARFRAC(F192,TODAY(),1))</f>
        <v>15</v>
      </c>
      <c r="H192">
        <f>COUNTIF(BRON!A:A,Tabel6[[#This Row],[Personeelsnummer]])</f>
        <v>2</v>
      </c>
    </row>
    <row r="193" spans="1:8" x14ac:dyDescent="0.25">
      <c r="A193" s="34" t="s">
        <v>4099</v>
      </c>
      <c r="B193" s="34" t="s">
        <v>1509</v>
      </c>
      <c r="C193" s="34" t="s">
        <v>1508</v>
      </c>
      <c r="D193">
        <v>25680</v>
      </c>
      <c r="E193" s="34" t="s">
        <v>3851</v>
      </c>
      <c r="F193" s="3">
        <v>40455.083333333299</v>
      </c>
      <c r="G193" s="38">
        <f ca="1">TRUNC(YEARFRAC(F193,TODAY(),1))</f>
        <v>15</v>
      </c>
      <c r="H193">
        <f>COUNTIF(BRON!A:A,Tabel6[[#This Row],[Personeelsnummer]])</f>
        <v>0</v>
      </c>
    </row>
    <row r="194" spans="1:8" x14ac:dyDescent="0.25">
      <c r="A194" s="34" t="s">
        <v>4100</v>
      </c>
      <c r="B194" s="34" t="s">
        <v>3438</v>
      </c>
      <c r="C194" s="34" t="s">
        <v>2666</v>
      </c>
      <c r="D194">
        <v>25733</v>
      </c>
      <c r="E194" s="34" t="s">
        <v>3856</v>
      </c>
      <c r="F194" s="3">
        <v>40469.083333333299</v>
      </c>
      <c r="G194" s="38">
        <f ca="1">TRUNC(YEARFRAC(F194,TODAY(),1))</f>
        <v>15</v>
      </c>
      <c r="H194">
        <f>COUNTIF(BRON!A:A,Tabel6[[#This Row],[Personeelsnummer]])</f>
        <v>2</v>
      </c>
    </row>
    <row r="195" spans="1:8" x14ac:dyDescent="0.25">
      <c r="A195" s="34" t="s">
        <v>4101</v>
      </c>
      <c r="B195" s="34" t="s">
        <v>1860</v>
      </c>
      <c r="C195" s="34" t="s">
        <v>3414</v>
      </c>
      <c r="D195">
        <v>25829</v>
      </c>
      <c r="E195" s="34" t="s">
        <v>3858</v>
      </c>
      <c r="F195" s="3">
        <v>40497.041666666701</v>
      </c>
      <c r="G195" s="38">
        <f ca="1">TRUNC(YEARFRAC(F195,TODAY(),1))</f>
        <v>15</v>
      </c>
      <c r="H195">
        <f>COUNTIF(BRON!A:A,Tabel6[[#This Row],[Personeelsnummer]])</f>
        <v>1</v>
      </c>
    </row>
    <row r="196" spans="1:8" x14ac:dyDescent="0.25">
      <c r="A196" s="34" t="s">
        <v>4102</v>
      </c>
      <c r="B196" s="34" t="s">
        <v>2847</v>
      </c>
      <c r="C196" s="34" t="s">
        <v>2846</v>
      </c>
      <c r="D196">
        <v>25871</v>
      </c>
      <c r="E196" s="34" t="s">
        <v>3851</v>
      </c>
      <c r="F196" s="3">
        <v>40525.041666666701</v>
      </c>
      <c r="G196" s="38">
        <f ca="1">TRUNC(YEARFRAC(F196,TODAY(),1))</f>
        <v>14</v>
      </c>
      <c r="H196">
        <f>COUNTIF(BRON!A:A,Tabel6[[#This Row],[Personeelsnummer]])</f>
        <v>0</v>
      </c>
    </row>
    <row r="197" spans="1:8" x14ac:dyDescent="0.25">
      <c r="A197" s="34" t="s">
        <v>4103</v>
      </c>
      <c r="B197" s="34" t="s">
        <v>2023</v>
      </c>
      <c r="C197" s="34" t="s">
        <v>2026</v>
      </c>
      <c r="D197">
        <v>25873</v>
      </c>
      <c r="E197" s="34" t="s">
        <v>3856</v>
      </c>
      <c r="F197" s="3">
        <v>40525.041666666701</v>
      </c>
      <c r="G197" s="38">
        <f ca="1">TRUNC(YEARFRAC(F197,TODAY(),1))</f>
        <v>14</v>
      </c>
      <c r="H197">
        <f>COUNTIF(BRON!A:A,Tabel6[[#This Row],[Personeelsnummer]])</f>
        <v>1</v>
      </c>
    </row>
    <row r="198" spans="1:8" x14ac:dyDescent="0.25">
      <c r="A198" s="34" t="s">
        <v>4104</v>
      </c>
      <c r="B198" s="34" t="s">
        <v>3181</v>
      </c>
      <c r="C198" s="34" t="s">
        <v>3187</v>
      </c>
      <c r="D198">
        <v>25993</v>
      </c>
      <c r="E198" s="34" t="s">
        <v>3853</v>
      </c>
      <c r="F198" s="3">
        <v>40567.041666666701</v>
      </c>
      <c r="G198" s="38">
        <f ca="1">TRUNC(YEARFRAC(F198,TODAY(),1))</f>
        <v>14</v>
      </c>
      <c r="H198">
        <f>COUNTIF(BRON!A:A,Tabel6[[#This Row],[Personeelsnummer]])</f>
        <v>1</v>
      </c>
    </row>
    <row r="199" spans="1:8" x14ac:dyDescent="0.25">
      <c r="A199" s="34" t="s">
        <v>4105</v>
      </c>
      <c r="B199" s="34" t="s">
        <v>2277</v>
      </c>
      <c r="C199" s="34" t="s">
        <v>2276</v>
      </c>
      <c r="D199">
        <v>25994</v>
      </c>
      <c r="E199" s="34" t="s">
        <v>3857</v>
      </c>
      <c r="F199" s="3">
        <v>40567.041666666701</v>
      </c>
      <c r="G199" s="38">
        <f ca="1">TRUNC(YEARFRAC(F199,TODAY(),1))</f>
        <v>14</v>
      </c>
      <c r="H199">
        <f>COUNTIF(BRON!A:A,Tabel6[[#This Row],[Personeelsnummer]])</f>
        <v>1</v>
      </c>
    </row>
    <row r="200" spans="1:8" x14ac:dyDescent="0.25">
      <c r="A200" s="34" t="s">
        <v>4106</v>
      </c>
      <c r="B200" s="34" t="s">
        <v>2405</v>
      </c>
      <c r="C200" s="34" t="s">
        <v>4107</v>
      </c>
      <c r="D200">
        <v>26004</v>
      </c>
      <c r="E200" s="34" t="s">
        <v>3852</v>
      </c>
      <c r="F200" s="3">
        <v>40574.041666666701</v>
      </c>
      <c r="G200" s="38">
        <f ca="1">TRUNC(YEARFRAC(F200,TODAY(),1))</f>
        <v>14</v>
      </c>
      <c r="H200">
        <f>COUNTIF(BRON!A:A,Tabel6[[#This Row],[Personeelsnummer]])</f>
        <v>0</v>
      </c>
    </row>
    <row r="201" spans="1:8" x14ac:dyDescent="0.25">
      <c r="A201" s="34" t="s">
        <v>4108</v>
      </c>
      <c r="B201" s="34" t="s">
        <v>2592</v>
      </c>
      <c r="C201" s="34" t="s">
        <v>2591</v>
      </c>
      <c r="D201">
        <v>26102</v>
      </c>
      <c r="E201" s="34" t="s">
        <v>3857</v>
      </c>
      <c r="F201" s="3">
        <v>40602.041666666701</v>
      </c>
      <c r="G201" s="38">
        <f ca="1">TRUNC(YEARFRAC(F201,TODAY(),1))</f>
        <v>14</v>
      </c>
      <c r="H201">
        <f>COUNTIF(BRON!A:A,Tabel6[[#This Row],[Personeelsnummer]])</f>
        <v>1</v>
      </c>
    </row>
    <row r="202" spans="1:8" x14ac:dyDescent="0.25">
      <c r="A202" s="34" t="s">
        <v>4109</v>
      </c>
      <c r="B202" s="34" t="s">
        <v>1842</v>
      </c>
      <c r="C202" s="34" t="s">
        <v>1845</v>
      </c>
      <c r="D202">
        <v>26137</v>
      </c>
      <c r="E202" s="34" t="s">
        <v>3858</v>
      </c>
      <c r="F202" s="3">
        <v>40623.041666666701</v>
      </c>
      <c r="G202" s="38">
        <f ca="1">TRUNC(YEARFRAC(F202,TODAY(),1))</f>
        <v>14</v>
      </c>
      <c r="H202">
        <f>COUNTIF(BRON!A:A,Tabel6[[#This Row],[Personeelsnummer]])</f>
        <v>4</v>
      </c>
    </row>
    <row r="203" spans="1:8" x14ac:dyDescent="0.25">
      <c r="A203" s="34" t="s">
        <v>4110</v>
      </c>
      <c r="B203" s="34" t="s">
        <v>1987</v>
      </c>
      <c r="C203" s="34" t="s">
        <v>1986</v>
      </c>
      <c r="D203">
        <v>26197</v>
      </c>
      <c r="E203" s="34" t="s">
        <v>3853</v>
      </c>
      <c r="F203" s="3">
        <v>40637.083333333299</v>
      </c>
      <c r="G203" s="38">
        <f ca="1">TRUNC(YEARFRAC(F203,TODAY(),1))</f>
        <v>14</v>
      </c>
      <c r="H203">
        <f>COUNTIF(BRON!A:A,Tabel6[[#This Row],[Personeelsnummer]])</f>
        <v>0</v>
      </c>
    </row>
    <row r="204" spans="1:8" x14ac:dyDescent="0.25">
      <c r="A204" s="34" t="s">
        <v>4111</v>
      </c>
      <c r="B204" s="34" t="s">
        <v>1328</v>
      </c>
      <c r="C204" s="34" t="s">
        <v>1643</v>
      </c>
      <c r="D204">
        <v>26198</v>
      </c>
      <c r="E204" s="34" t="s">
        <v>3851</v>
      </c>
      <c r="F204" s="3">
        <v>40637.083333333299</v>
      </c>
      <c r="G204" s="38">
        <f ca="1">TRUNC(YEARFRAC(F204,TODAY(),1))</f>
        <v>14</v>
      </c>
      <c r="H204">
        <f>COUNTIF(BRON!A:A,Tabel6[[#This Row],[Personeelsnummer]])</f>
        <v>3</v>
      </c>
    </row>
    <row r="205" spans="1:8" x14ac:dyDescent="0.25">
      <c r="A205" s="34" t="s">
        <v>4112</v>
      </c>
      <c r="B205" s="34" t="s">
        <v>2857</v>
      </c>
      <c r="C205" s="34" t="s">
        <v>2860</v>
      </c>
      <c r="D205">
        <v>26199</v>
      </c>
      <c r="E205" s="34" t="s">
        <v>3856</v>
      </c>
      <c r="F205" s="3">
        <v>40637.083333333299</v>
      </c>
      <c r="G205" s="38">
        <f ca="1">TRUNC(YEARFRAC(F205,TODAY(),1))</f>
        <v>14</v>
      </c>
      <c r="H205">
        <f>COUNTIF(BRON!A:A,Tabel6[[#This Row],[Personeelsnummer]])</f>
        <v>1</v>
      </c>
    </row>
    <row r="206" spans="1:8" x14ac:dyDescent="0.25">
      <c r="A206" s="34" t="s">
        <v>4113</v>
      </c>
      <c r="B206" s="34" t="s">
        <v>3092</v>
      </c>
      <c r="C206" s="34" t="s">
        <v>3098</v>
      </c>
      <c r="D206">
        <v>26265</v>
      </c>
      <c r="E206" s="34" t="s">
        <v>3853</v>
      </c>
      <c r="F206" s="3">
        <v>40658.083333333299</v>
      </c>
      <c r="G206" s="38">
        <f ca="1">TRUNC(YEARFRAC(F206,TODAY(),1))</f>
        <v>14</v>
      </c>
      <c r="H206">
        <f>COUNTIF(BRON!A:A,Tabel6[[#This Row],[Personeelsnummer]])</f>
        <v>0</v>
      </c>
    </row>
    <row r="207" spans="1:8" x14ac:dyDescent="0.25">
      <c r="A207" s="34" t="s">
        <v>4114</v>
      </c>
      <c r="B207" s="34" t="s">
        <v>2114</v>
      </c>
      <c r="C207" s="34" t="s">
        <v>2096</v>
      </c>
      <c r="D207">
        <v>26266</v>
      </c>
      <c r="E207" s="34" t="s">
        <v>3856</v>
      </c>
      <c r="F207" s="3">
        <v>40658.083333333299</v>
      </c>
      <c r="G207" s="38">
        <f ca="1">TRUNC(YEARFRAC(F207,TODAY(),1))</f>
        <v>14</v>
      </c>
      <c r="H207">
        <f>COUNTIF(BRON!A:A,Tabel6[[#This Row],[Personeelsnummer]])</f>
        <v>1</v>
      </c>
    </row>
    <row r="208" spans="1:8" x14ac:dyDescent="0.25">
      <c r="A208" s="34" t="s">
        <v>4115</v>
      </c>
      <c r="B208" s="34" t="s">
        <v>1991</v>
      </c>
      <c r="C208" s="34" t="s">
        <v>2000</v>
      </c>
      <c r="D208">
        <v>26331</v>
      </c>
      <c r="E208" s="34" t="s">
        <v>3854</v>
      </c>
      <c r="F208" s="3">
        <v>40679.083333333299</v>
      </c>
      <c r="G208" s="38">
        <f ca="1">TRUNC(YEARFRAC(F208,TODAY(),1))</f>
        <v>14</v>
      </c>
      <c r="H208">
        <f>COUNTIF(BRON!A:A,Tabel6[[#This Row],[Personeelsnummer]])</f>
        <v>3</v>
      </c>
    </row>
    <row r="209" spans="1:8" x14ac:dyDescent="0.25">
      <c r="A209" s="34" t="s">
        <v>4116</v>
      </c>
      <c r="B209" s="34" t="s">
        <v>2351</v>
      </c>
      <c r="C209" s="34" t="s">
        <v>2350</v>
      </c>
      <c r="D209">
        <v>26334</v>
      </c>
      <c r="E209" s="34" t="s">
        <v>3856</v>
      </c>
      <c r="F209" s="3">
        <v>40679.083333333299</v>
      </c>
      <c r="G209" s="38">
        <f ca="1">TRUNC(YEARFRAC(F209,TODAY(),1))</f>
        <v>14</v>
      </c>
      <c r="H209">
        <f>COUNTIF(BRON!A:A,Tabel6[[#This Row],[Personeelsnummer]])</f>
        <v>0</v>
      </c>
    </row>
    <row r="210" spans="1:8" x14ac:dyDescent="0.25">
      <c r="A210" s="34" t="s">
        <v>4117</v>
      </c>
      <c r="B210" s="34" t="s">
        <v>1328</v>
      </c>
      <c r="C210" s="34" t="s">
        <v>1640</v>
      </c>
      <c r="D210">
        <v>26384</v>
      </c>
      <c r="E210" s="34" t="s">
        <v>3857</v>
      </c>
      <c r="F210" s="3">
        <v>40700.083333333299</v>
      </c>
      <c r="G210" s="38">
        <f ca="1">TRUNC(YEARFRAC(F210,TODAY(),1))</f>
        <v>14</v>
      </c>
      <c r="H210">
        <f>COUNTIF(BRON!A:A,Tabel6[[#This Row],[Personeelsnummer]])</f>
        <v>1</v>
      </c>
    </row>
    <row r="211" spans="1:8" x14ac:dyDescent="0.25">
      <c r="A211" s="34" t="s">
        <v>4118</v>
      </c>
      <c r="B211" s="34" t="s">
        <v>2163</v>
      </c>
      <c r="C211" s="34" t="s">
        <v>2162</v>
      </c>
      <c r="D211">
        <v>26521</v>
      </c>
      <c r="E211" s="34" t="s">
        <v>3856</v>
      </c>
      <c r="F211" s="3">
        <v>40728.083333333299</v>
      </c>
      <c r="G211" s="38">
        <f ca="1">TRUNC(YEARFRAC(F211,TODAY(),1))</f>
        <v>14</v>
      </c>
      <c r="H211">
        <f>COUNTIF(BRON!A:A,Tabel6[[#This Row],[Personeelsnummer]])</f>
        <v>0</v>
      </c>
    </row>
    <row r="212" spans="1:8" x14ac:dyDescent="0.25">
      <c r="A212" s="34" t="s">
        <v>4119</v>
      </c>
      <c r="B212" s="34" t="s">
        <v>3116</v>
      </c>
      <c r="C212" s="34" t="s">
        <v>1990</v>
      </c>
      <c r="D212">
        <v>26524</v>
      </c>
      <c r="E212" s="34" t="s">
        <v>3856</v>
      </c>
      <c r="F212" s="3">
        <v>40728.083333333299</v>
      </c>
      <c r="G212" s="38">
        <f ca="1">TRUNC(YEARFRAC(F212,TODAY(),1))</f>
        <v>14</v>
      </c>
      <c r="H212">
        <f>COUNTIF(BRON!A:A,Tabel6[[#This Row],[Personeelsnummer]])</f>
        <v>1</v>
      </c>
    </row>
    <row r="213" spans="1:8" x14ac:dyDescent="0.25">
      <c r="A213" s="34" t="s">
        <v>4120</v>
      </c>
      <c r="B213" s="34" t="s">
        <v>2820</v>
      </c>
      <c r="C213" s="34" t="s">
        <v>2823</v>
      </c>
      <c r="D213">
        <v>26638</v>
      </c>
      <c r="E213" s="34" t="s">
        <v>3859</v>
      </c>
      <c r="F213" s="3">
        <v>40749.083333333299</v>
      </c>
      <c r="G213" s="38">
        <f ca="1">TRUNC(YEARFRAC(F213,TODAY(),1))</f>
        <v>14</v>
      </c>
      <c r="H213">
        <f>COUNTIF(BRON!A:A,Tabel6[[#This Row],[Personeelsnummer]])</f>
        <v>0</v>
      </c>
    </row>
    <row r="214" spans="1:8" x14ac:dyDescent="0.25">
      <c r="A214" s="34" t="s">
        <v>4121</v>
      </c>
      <c r="B214" s="34" t="s">
        <v>1491</v>
      </c>
      <c r="C214" s="34" t="s">
        <v>1490</v>
      </c>
      <c r="D214">
        <v>26639</v>
      </c>
      <c r="E214" s="34" t="s">
        <v>3851</v>
      </c>
      <c r="F214" s="3">
        <v>40749.083333333299</v>
      </c>
      <c r="G214" s="38">
        <f ca="1">TRUNC(YEARFRAC(F214,TODAY(),1))</f>
        <v>14</v>
      </c>
      <c r="H214">
        <f>COUNTIF(BRON!A:A,Tabel6[[#This Row],[Personeelsnummer]])</f>
        <v>1</v>
      </c>
    </row>
    <row r="215" spans="1:8" x14ac:dyDescent="0.25">
      <c r="A215" s="34" t="s">
        <v>4122</v>
      </c>
      <c r="B215" s="34" t="s">
        <v>2184</v>
      </c>
      <c r="C215" s="34" t="s">
        <v>2183</v>
      </c>
      <c r="D215">
        <v>26695</v>
      </c>
      <c r="E215" s="34" t="s">
        <v>3853</v>
      </c>
      <c r="F215" s="3">
        <v>40771.083333333299</v>
      </c>
      <c r="G215" s="38">
        <f ca="1">TRUNC(YEARFRAC(F215,TODAY(),1))</f>
        <v>14</v>
      </c>
      <c r="H215">
        <f>COUNTIF(BRON!A:A,Tabel6[[#This Row],[Personeelsnummer]])</f>
        <v>2</v>
      </c>
    </row>
    <row r="216" spans="1:8" x14ac:dyDescent="0.25">
      <c r="A216" s="34" t="s">
        <v>4123</v>
      </c>
      <c r="B216" s="34" t="s">
        <v>2812</v>
      </c>
      <c r="C216" s="34" t="s">
        <v>2811</v>
      </c>
      <c r="D216">
        <v>26792</v>
      </c>
      <c r="E216" s="34" t="s">
        <v>3855</v>
      </c>
      <c r="F216" s="3">
        <v>40812.083333333299</v>
      </c>
      <c r="G216" s="38">
        <f ca="1">TRUNC(YEARFRAC(F216,TODAY(),1))</f>
        <v>14</v>
      </c>
      <c r="H216">
        <f>COUNTIF(BRON!A:A,Tabel6[[#This Row],[Personeelsnummer]])</f>
        <v>0</v>
      </c>
    </row>
    <row r="217" spans="1:8" x14ac:dyDescent="0.25">
      <c r="A217" s="34" t="s">
        <v>4124</v>
      </c>
      <c r="B217" s="34" t="s">
        <v>2405</v>
      </c>
      <c r="C217" s="34" t="s">
        <v>2568</v>
      </c>
      <c r="D217">
        <v>26847</v>
      </c>
      <c r="E217" s="34" t="s">
        <v>3854</v>
      </c>
      <c r="F217" s="3">
        <v>40826.083333333299</v>
      </c>
      <c r="G217" s="38">
        <f ca="1">TRUNC(YEARFRAC(F217,TODAY(),1))</f>
        <v>14</v>
      </c>
      <c r="H217">
        <f>COUNTIF(BRON!A:A,Tabel6[[#This Row],[Personeelsnummer]])</f>
        <v>2</v>
      </c>
    </row>
    <row r="218" spans="1:8" x14ac:dyDescent="0.25">
      <c r="A218" s="34" t="s">
        <v>4125</v>
      </c>
      <c r="B218" s="34" t="s">
        <v>2038</v>
      </c>
      <c r="C218" s="34" t="s">
        <v>2041</v>
      </c>
      <c r="D218">
        <v>26959</v>
      </c>
      <c r="E218" s="34" t="s">
        <v>3859</v>
      </c>
      <c r="F218" s="3">
        <v>40861.041666666701</v>
      </c>
      <c r="G218" s="38">
        <f ca="1">TRUNC(YEARFRAC(F218,TODAY(),1))</f>
        <v>14</v>
      </c>
      <c r="H218">
        <f>COUNTIF(BRON!A:A,Tabel6[[#This Row],[Personeelsnummer]])</f>
        <v>0</v>
      </c>
    </row>
    <row r="219" spans="1:8" x14ac:dyDescent="0.25">
      <c r="A219" s="34" t="s">
        <v>4126</v>
      </c>
      <c r="B219" s="34" t="s">
        <v>2148</v>
      </c>
      <c r="C219" s="34" t="s">
        <v>1393</v>
      </c>
      <c r="D219">
        <v>26960</v>
      </c>
      <c r="E219" s="34" t="s">
        <v>3856</v>
      </c>
      <c r="F219" s="3">
        <v>40861.041666666701</v>
      </c>
      <c r="G219" s="38">
        <f ca="1">TRUNC(YEARFRAC(F219,TODAY(),1))</f>
        <v>14</v>
      </c>
      <c r="H219">
        <f>COUNTIF(BRON!A:A,Tabel6[[#This Row],[Personeelsnummer]])</f>
        <v>3</v>
      </c>
    </row>
    <row r="220" spans="1:8" x14ac:dyDescent="0.25">
      <c r="A220" s="34" t="s">
        <v>3892</v>
      </c>
      <c r="B220" s="34" t="s">
        <v>2837</v>
      </c>
      <c r="C220" s="34" t="s">
        <v>2836</v>
      </c>
      <c r="D220">
        <v>27607</v>
      </c>
      <c r="E220" s="34" t="s">
        <v>3851</v>
      </c>
      <c r="F220" s="3">
        <v>41141.083333333299</v>
      </c>
      <c r="G220" s="38">
        <f ca="1">TRUNC(YEARFRAC(F220,TODAY(),1))</f>
        <v>13</v>
      </c>
      <c r="H220">
        <f>COUNTIF(BRON!A:A,Tabel6[[#This Row],[Personeelsnummer]])</f>
        <v>0</v>
      </c>
    </row>
    <row r="221" spans="1:8" x14ac:dyDescent="0.25">
      <c r="A221" s="34" t="s">
        <v>4127</v>
      </c>
      <c r="B221" s="34" t="s">
        <v>1601</v>
      </c>
      <c r="C221" s="34" t="s">
        <v>1600</v>
      </c>
      <c r="D221">
        <v>27153</v>
      </c>
      <c r="E221" s="34" t="s">
        <v>3853</v>
      </c>
      <c r="F221" s="3">
        <v>40952.041666666701</v>
      </c>
      <c r="G221" s="38">
        <f ca="1">TRUNC(YEARFRAC(F221,TODAY(),1))</f>
        <v>13</v>
      </c>
      <c r="H221">
        <f>COUNTIF(BRON!A:A,Tabel6[[#This Row],[Personeelsnummer]])</f>
        <v>3</v>
      </c>
    </row>
    <row r="222" spans="1:8" x14ac:dyDescent="0.25">
      <c r="A222" s="34" t="s">
        <v>4129</v>
      </c>
      <c r="B222" s="34" t="s">
        <v>1328</v>
      </c>
      <c r="C222" s="34" t="s">
        <v>1637</v>
      </c>
      <c r="D222">
        <v>27209</v>
      </c>
      <c r="E222" s="34" t="s">
        <v>3857</v>
      </c>
      <c r="F222" s="3">
        <v>40973.041666666701</v>
      </c>
      <c r="G222" s="38">
        <f ca="1">TRUNC(YEARFRAC(F222,TODAY(),1))</f>
        <v>13</v>
      </c>
      <c r="H222">
        <f>COUNTIF(BRON!A:A,Tabel6[[#This Row],[Personeelsnummer]])</f>
        <v>3</v>
      </c>
    </row>
    <row r="223" spans="1:8" x14ac:dyDescent="0.25">
      <c r="A223" s="34" t="s">
        <v>4130</v>
      </c>
      <c r="B223" s="34" t="s">
        <v>2562</v>
      </c>
      <c r="C223" s="34" t="s">
        <v>2568</v>
      </c>
      <c r="D223">
        <v>27577</v>
      </c>
      <c r="E223" s="34" t="s">
        <v>3853</v>
      </c>
      <c r="F223" s="3">
        <v>41113.083333333299</v>
      </c>
      <c r="G223" s="38">
        <f ca="1">TRUNC(YEARFRAC(F223,TODAY(),1))</f>
        <v>13</v>
      </c>
      <c r="H223">
        <f>COUNTIF(BRON!A:A,Tabel6[[#This Row],[Personeelsnummer]])</f>
        <v>0</v>
      </c>
    </row>
    <row r="224" spans="1:8" x14ac:dyDescent="0.25">
      <c r="A224" s="34" t="s">
        <v>4131</v>
      </c>
      <c r="B224" s="34" t="s">
        <v>3112</v>
      </c>
      <c r="C224" s="34" t="s">
        <v>3111</v>
      </c>
      <c r="D224">
        <v>27635</v>
      </c>
      <c r="E224" s="34" t="s">
        <v>3851</v>
      </c>
      <c r="F224" s="3">
        <v>41176.083333333299</v>
      </c>
      <c r="G224" s="38">
        <f ca="1">TRUNC(YEARFRAC(F224,TODAY(),1))</f>
        <v>13</v>
      </c>
      <c r="H224">
        <f>COUNTIF(BRON!A:A,Tabel6[[#This Row],[Personeelsnummer]])</f>
        <v>1</v>
      </c>
    </row>
    <row r="225" spans="1:8" x14ac:dyDescent="0.25">
      <c r="A225" s="34" t="s">
        <v>4132</v>
      </c>
      <c r="B225" s="34" t="s">
        <v>1513</v>
      </c>
      <c r="C225" s="34" t="s">
        <v>1512</v>
      </c>
      <c r="D225">
        <v>27672</v>
      </c>
      <c r="E225" s="34" t="s">
        <v>3858</v>
      </c>
      <c r="F225" s="3">
        <v>41204.083333333299</v>
      </c>
      <c r="G225" s="38">
        <f ca="1">TRUNC(YEARFRAC(F225,TODAY(),1))</f>
        <v>13</v>
      </c>
      <c r="H225">
        <f>COUNTIF(BRON!A:A,Tabel6[[#This Row],[Personeelsnummer]])</f>
        <v>1</v>
      </c>
    </row>
    <row r="226" spans="1:8" x14ac:dyDescent="0.25">
      <c r="A226" s="34" t="s">
        <v>4133</v>
      </c>
      <c r="B226" s="34" t="s">
        <v>2427</v>
      </c>
      <c r="C226" s="34" t="s">
        <v>2426</v>
      </c>
      <c r="D226">
        <v>27673</v>
      </c>
      <c r="E226" s="34" t="s">
        <v>3853</v>
      </c>
      <c r="F226" s="3">
        <v>41204.083333333299</v>
      </c>
      <c r="G226" s="38">
        <f ca="1">TRUNC(YEARFRAC(F226,TODAY(),1))</f>
        <v>13</v>
      </c>
      <c r="H226">
        <f>COUNTIF(BRON!A:A,Tabel6[[#This Row],[Personeelsnummer]])</f>
        <v>1</v>
      </c>
    </row>
    <row r="227" spans="1:8" x14ac:dyDescent="0.25">
      <c r="A227" s="34" t="s">
        <v>4134</v>
      </c>
      <c r="B227" s="34" t="s">
        <v>2405</v>
      </c>
      <c r="C227" s="34" t="s">
        <v>3073</v>
      </c>
      <c r="D227">
        <v>27711</v>
      </c>
      <c r="E227" s="34" t="s">
        <v>3853</v>
      </c>
      <c r="F227" s="3">
        <v>41218.041666666701</v>
      </c>
      <c r="G227" s="38">
        <f ca="1">TRUNC(YEARFRAC(F227,TODAY(),1))</f>
        <v>13</v>
      </c>
      <c r="H227">
        <f>COUNTIF(BRON!A:A,Tabel6[[#This Row],[Personeelsnummer]])</f>
        <v>0</v>
      </c>
    </row>
    <row r="228" spans="1:8" x14ac:dyDescent="0.25">
      <c r="A228" s="34" t="s">
        <v>4135</v>
      </c>
      <c r="B228" s="34" t="s">
        <v>1351</v>
      </c>
      <c r="C228" s="34" t="s">
        <v>3282</v>
      </c>
      <c r="D228">
        <v>27713</v>
      </c>
      <c r="E228" s="34" t="s">
        <v>3857</v>
      </c>
      <c r="F228" s="3">
        <v>41218.041666666701</v>
      </c>
      <c r="G228" s="38">
        <f ca="1">TRUNC(YEARFRAC(F228,TODAY(),1))</f>
        <v>13</v>
      </c>
      <c r="H228">
        <f>COUNTIF(BRON!A:A,Tabel6[[#This Row],[Personeelsnummer]])</f>
        <v>1</v>
      </c>
    </row>
    <row r="229" spans="1:8" x14ac:dyDescent="0.25">
      <c r="A229" s="34" t="s">
        <v>4136</v>
      </c>
      <c r="B229" s="34" t="s">
        <v>2195</v>
      </c>
      <c r="C229" s="34" t="s">
        <v>2194</v>
      </c>
      <c r="D229">
        <v>27786</v>
      </c>
      <c r="E229" s="34" t="s">
        <v>3857</v>
      </c>
      <c r="F229" s="3">
        <v>41253.041666666701</v>
      </c>
      <c r="G229" s="38">
        <f ca="1">TRUNC(YEARFRAC(F229,TODAY(),1))</f>
        <v>12</v>
      </c>
      <c r="H229">
        <f>COUNTIF(BRON!A:A,Tabel6[[#This Row],[Personeelsnummer]])</f>
        <v>0</v>
      </c>
    </row>
    <row r="230" spans="1:8" x14ac:dyDescent="0.25">
      <c r="A230" s="34" t="s">
        <v>4137</v>
      </c>
      <c r="B230" s="34" t="s">
        <v>2382</v>
      </c>
      <c r="C230" s="34" t="s">
        <v>2381</v>
      </c>
      <c r="D230">
        <v>27865</v>
      </c>
      <c r="E230" s="34" t="s">
        <v>3857</v>
      </c>
      <c r="F230" s="3">
        <v>41313.041666666701</v>
      </c>
      <c r="G230" s="38">
        <f ca="1">TRUNC(YEARFRAC(F230,TODAY(),1))</f>
        <v>12</v>
      </c>
      <c r="H230">
        <f>COUNTIF(BRON!A:A,Tabel6[[#This Row],[Personeelsnummer]])</f>
        <v>1</v>
      </c>
    </row>
    <row r="231" spans="1:8" x14ac:dyDescent="0.25">
      <c r="A231" s="34" t="s">
        <v>4138</v>
      </c>
      <c r="B231" s="34" t="s">
        <v>3147</v>
      </c>
      <c r="C231" s="34" t="s">
        <v>4139</v>
      </c>
      <c r="D231">
        <v>28070</v>
      </c>
      <c r="E231" s="34" t="s">
        <v>3852</v>
      </c>
      <c r="F231" s="3">
        <v>41372.083333333299</v>
      </c>
      <c r="G231" s="38">
        <f ca="1">TRUNC(YEARFRAC(F231,TODAY(),1))</f>
        <v>12</v>
      </c>
      <c r="H231">
        <f>COUNTIF(BRON!A:A,Tabel6[[#This Row],[Personeelsnummer]])</f>
        <v>0</v>
      </c>
    </row>
    <row r="232" spans="1:8" x14ac:dyDescent="0.25">
      <c r="A232" s="34" t="s">
        <v>4140</v>
      </c>
      <c r="B232" s="34" t="s">
        <v>1774</v>
      </c>
      <c r="C232" s="34" t="s">
        <v>1773</v>
      </c>
      <c r="D232">
        <v>28071</v>
      </c>
      <c r="E232" s="34" t="s">
        <v>3857</v>
      </c>
      <c r="F232" s="3">
        <v>41372.083333333299</v>
      </c>
      <c r="G232" s="38">
        <f ca="1">TRUNC(YEARFRAC(F232,TODAY(),1))</f>
        <v>12</v>
      </c>
      <c r="H232">
        <f>COUNTIF(BRON!A:A,Tabel6[[#This Row],[Personeelsnummer]])</f>
        <v>0</v>
      </c>
    </row>
    <row r="233" spans="1:8" x14ac:dyDescent="0.25">
      <c r="A233" s="34" t="s">
        <v>4141</v>
      </c>
      <c r="B233" s="34" t="s">
        <v>2386</v>
      </c>
      <c r="C233" s="34" t="s">
        <v>2385</v>
      </c>
      <c r="D233">
        <v>28072</v>
      </c>
      <c r="E233" s="34" t="s">
        <v>3855</v>
      </c>
      <c r="F233" s="3">
        <v>41372.083333333299</v>
      </c>
      <c r="G233" s="38">
        <f ca="1">TRUNC(YEARFRAC(F233,TODAY(),1))</f>
        <v>12</v>
      </c>
      <c r="H233">
        <f>COUNTIF(BRON!A:A,Tabel6[[#This Row],[Personeelsnummer]])</f>
        <v>0</v>
      </c>
    </row>
    <row r="234" spans="1:8" x14ac:dyDescent="0.25">
      <c r="A234" s="34" t="s">
        <v>4142</v>
      </c>
      <c r="B234" s="34" t="s">
        <v>2394</v>
      </c>
      <c r="C234" s="34" t="s">
        <v>1539</v>
      </c>
      <c r="D234">
        <v>28165</v>
      </c>
      <c r="E234" s="34" t="s">
        <v>3857</v>
      </c>
      <c r="F234" s="3">
        <v>41421.083333333299</v>
      </c>
      <c r="G234" s="38">
        <f ca="1">TRUNC(YEARFRAC(F234,TODAY(),1))</f>
        <v>12</v>
      </c>
      <c r="H234">
        <f>COUNTIF(BRON!A:A,Tabel6[[#This Row],[Personeelsnummer]])</f>
        <v>0</v>
      </c>
    </row>
    <row r="235" spans="1:8" x14ac:dyDescent="0.25">
      <c r="A235" s="34" t="s">
        <v>4143</v>
      </c>
      <c r="B235" s="34" t="s">
        <v>4144</v>
      </c>
      <c r="C235" s="34" t="s">
        <v>1531</v>
      </c>
      <c r="D235">
        <v>28616</v>
      </c>
      <c r="E235" s="34" t="s">
        <v>3852</v>
      </c>
      <c r="F235" s="3">
        <v>41579.041666666701</v>
      </c>
      <c r="G235" s="38">
        <f ca="1">TRUNC(YEARFRAC(F235,TODAY(),1))</f>
        <v>12</v>
      </c>
      <c r="H235">
        <f>COUNTIF(BRON!A:A,Tabel6[[#This Row],[Personeelsnummer]])</f>
        <v>0</v>
      </c>
    </row>
    <row r="236" spans="1:8" x14ac:dyDescent="0.25">
      <c r="A236" s="34" t="s">
        <v>4145</v>
      </c>
      <c r="B236" s="34" t="s">
        <v>1865</v>
      </c>
      <c r="C236" s="34" t="s">
        <v>1864</v>
      </c>
      <c r="D236">
        <v>28690</v>
      </c>
      <c r="E236" s="34" t="s">
        <v>3856</v>
      </c>
      <c r="F236" s="3">
        <v>41617.041666666701</v>
      </c>
      <c r="G236" s="38">
        <f ca="1">TRUNC(YEARFRAC(F236,TODAY(),1))</f>
        <v>11</v>
      </c>
      <c r="H236">
        <f>COUNTIF(BRON!A:A,Tabel6[[#This Row],[Personeelsnummer]])</f>
        <v>0</v>
      </c>
    </row>
    <row r="237" spans="1:8" x14ac:dyDescent="0.25">
      <c r="A237" s="34" t="s">
        <v>4146</v>
      </c>
      <c r="B237" s="34" t="s">
        <v>1330</v>
      </c>
      <c r="C237" s="34" t="s">
        <v>2674</v>
      </c>
      <c r="D237">
        <v>28717</v>
      </c>
      <c r="E237" s="34" t="s">
        <v>3855</v>
      </c>
      <c r="F237" s="3">
        <v>41659.041666666701</v>
      </c>
      <c r="G237" s="38">
        <f ca="1">TRUNC(YEARFRAC(F237,TODAY(),1))</f>
        <v>11</v>
      </c>
      <c r="H237">
        <f>COUNTIF(BRON!A:A,Tabel6[[#This Row],[Personeelsnummer]])</f>
        <v>1</v>
      </c>
    </row>
    <row r="238" spans="1:8" x14ac:dyDescent="0.25">
      <c r="A238" s="34" t="s">
        <v>4147</v>
      </c>
      <c r="B238" s="34" t="s">
        <v>2159</v>
      </c>
      <c r="C238" s="34" t="s">
        <v>2158</v>
      </c>
      <c r="D238">
        <v>28737</v>
      </c>
      <c r="E238" s="34" t="s">
        <v>3855</v>
      </c>
      <c r="F238" s="3">
        <v>41680.041666666701</v>
      </c>
      <c r="G238" s="38">
        <f ca="1">TRUNC(YEARFRAC(F238,TODAY(),1))</f>
        <v>11</v>
      </c>
      <c r="H238">
        <f>COUNTIF(BRON!A:A,Tabel6[[#This Row],[Personeelsnummer]])</f>
        <v>3</v>
      </c>
    </row>
    <row r="239" spans="1:8" x14ac:dyDescent="0.25">
      <c r="A239" s="34" t="s">
        <v>4148</v>
      </c>
      <c r="B239" s="34" t="s">
        <v>2061</v>
      </c>
      <c r="C239" s="34" t="s">
        <v>2060</v>
      </c>
      <c r="D239">
        <v>28794</v>
      </c>
      <c r="E239" s="34" t="s">
        <v>3855</v>
      </c>
      <c r="F239" s="3">
        <v>41701.041666666701</v>
      </c>
      <c r="G239" s="38">
        <f ca="1">TRUNC(YEARFRAC(F239,TODAY(),1))</f>
        <v>11</v>
      </c>
      <c r="H239">
        <f>COUNTIF(BRON!A:A,Tabel6[[#This Row],[Personeelsnummer]])</f>
        <v>1</v>
      </c>
    </row>
    <row r="240" spans="1:8" x14ac:dyDescent="0.25">
      <c r="A240" s="34" t="s">
        <v>4149</v>
      </c>
      <c r="B240" s="34" t="s">
        <v>1330</v>
      </c>
      <c r="C240" s="34" t="s">
        <v>2949</v>
      </c>
      <c r="D240">
        <v>28821</v>
      </c>
      <c r="E240" s="34" t="s">
        <v>3854</v>
      </c>
      <c r="F240" s="3">
        <v>41708.041666666701</v>
      </c>
      <c r="G240" s="38">
        <f ca="1">TRUNC(YEARFRAC(F240,TODAY(),1))</f>
        <v>11</v>
      </c>
      <c r="H240">
        <f>COUNTIF(BRON!A:A,Tabel6[[#This Row],[Personeelsnummer]])</f>
        <v>0</v>
      </c>
    </row>
    <row r="241" spans="1:8" x14ac:dyDescent="0.25">
      <c r="A241" s="34" t="s">
        <v>4150</v>
      </c>
      <c r="B241" s="34" t="s">
        <v>2045</v>
      </c>
      <c r="C241" s="34" t="s">
        <v>2044</v>
      </c>
      <c r="D241">
        <v>28830</v>
      </c>
      <c r="E241" s="34" t="s">
        <v>3853</v>
      </c>
      <c r="F241" s="3">
        <v>41722.041666666701</v>
      </c>
      <c r="G241" s="38">
        <f ca="1">TRUNC(YEARFRAC(F241,TODAY(),1))</f>
        <v>11</v>
      </c>
      <c r="H241">
        <f>COUNTIF(BRON!A:A,Tabel6[[#This Row],[Personeelsnummer]])</f>
        <v>1</v>
      </c>
    </row>
    <row r="242" spans="1:8" x14ac:dyDescent="0.25">
      <c r="A242" s="34" t="s">
        <v>4151</v>
      </c>
      <c r="B242" s="34" t="s">
        <v>3232</v>
      </c>
      <c r="C242" s="34" t="s">
        <v>3231</v>
      </c>
      <c r="D242">
        <v>28835</v>
      </c>
      <c r="E242" s="34" t="s">
        <v>3853</v>
      </c>
      <c r="F242" s="3">
        <v>41722.041666666701</v>
      </c>
      <c r="G242" s="38">
        <f ca="1">TRUNC(YEARFRAC(F242,TODAY(),1))</f>
        <v>11</v>
      </c>
      <c r="H242">
        <f>COUNTIF(BRON!A:A,Tabel6[[#This Row],[Personeelsnummer]])</f>
        <v>0</v>
      </c>
    </row>
    <row r="243" spans="1:8" x14ac:dyDescent="0.25">
      <c r="A243" s="34" t="s">
        <v>4152</v>
      </c>
      <c r="B243" s="34" t="s">
        <v>2019</v>
      </c>
      <c r="C243" s="34" t="s">
        <v>2018</v>
      </c>
      <c r="D243">
        <v>28910</v>
      </c>
      <c r="E243" s="34" t="s">
        <v>3854</v>
      </c>
      <c r="F243" s="3">
        <v>41743.083333333299</v>
      </c>
      <c r="G243" s="38">
        <f ca="1">TRUNC(YEARFRAC(F243,TODAY(),1))</f>
        <v>11</v>
      </c>
      <c r="H243">
        <f>COUNTIF(BRON!A:A,Tabel6[[#This Row],[Personeelsnummer]])</f>
        <v>2</v>
      </c>
    </row>
    <row r="244" spans="1:8" x14ac:dyDescent="0.25">
      <c r="A244" s="34" t="s">
        <v>4153</v>
      </c>
      <c r="B244" s="34" t="s">
        <v>2151</v>
      </c>
      <c r="C244" s="34" t="s">
        <v>4154</v>
      </c>
      <c r="D244">
        <v>28947</v>
      </c>
      <c r="E244" s="34" t="s">
        <v>3852</v>
      </c>
      <c r="F244" s="3">
        <v>41751.083333333299</v>
      </c>
      <c r="G244" s="38">
        <f ca="1">TRUNC(YEARFRAC(F244,TODAY(),1))</f>
        <v>11</v>
      </c>
      <c r="H244">
        <f>COUNTIF(BRON!A:A,Tabel6[[#This Row],[Personeelsnummer]])</f>
        <v>0</v>
      </c>
    </row>
    <row r="245" spans="1:8" x14ac:dyDescent="0.25">
      <c r="A245" s="34" t="s">
        <v>4155</v>
      </c>
      <c r="B245" s="34" t="s">
        <v>2378</v>
      </c>
      <c r="C245" s="34" t="s">
        <v>2377</v>
      </c>
      <c r="D245">
        <v>28995</v>
      </c>
      <c r="E245" s="34" t="s">
        <v>3853</v>
      </c>
      <c r="F245" s="3">
        <v>41771.083333333299</v>
      </c>
      <c r="G245" s="38">
        <f ca="1">TRUNC(YEARFRAC(F245,TODAY(),1))</f>
        <v>11</v>
      </c>
      <c r="H245">
        <f>COUNTIF(BRON!A:A,Tabel6[[#This Row],[Personeelsnummer]])</f>
        <v>0</v>
      </c>
    </row>
    <row r="246" spans="1:8" x14ac:dyDescent="0.25">
      <c r="A246" s="34" t="s">
        <v>4156</v>
      </c>
      <c r="B246" s="34" t="s">
        <v>2982</v>
      </c>
      <c r="C246" s="34" t="s">
        <v>2981</v>
      </c>
      <c r="D246">
        <v>29179</v>
      </c>
      <c r="E246" s="34" t="s">
        <v>3857</v>
      </c>
      <c r="F246" s="3">
        <v>41827.083333333299</v>
      </c>
      <c r="G246" s="38">
        <f ca="1">TRUNC(YEARFRAC(F246,TODAY(),1))</f>
        <v>11</v>
      </c>
      <c r="H246">
        <f>COUNTIF(BRON!A:A,Tabel6[[#This Row],[Personeelsnummer]])</f>
        <v>6</v>
      </c>
    </row>
    <row r="247" spans="1:8" x14ac:dyDescent="0.25">
      <c r="A247" s="34" t="s">
        <v>4157</v>
      </c>
      <c r="B247" s="34" t="s">
        <v>2857</v>
      </c>
      <c r="C247" s="34" t="s">
        <v>2856</v>
      </c>
      <c r="D247">
        <v>29181</v>
      </c>
      <c r="E247" s="34" t="s">
        <v>3854</v>
      </c>
      <c r="F247" s="3">
        <v>41827.083333333299</v>
      </c>
      <c r="G247" s="38">
        <f ca="1">TRUNC(YEARFRAC(F247,TODAY(),1))</f>
        <v>11</v>
      </c>
      <c r="H247">
        <f>COUNTIF(BRON!A:A,Tabel6[[#This Row],[Personeelsnummer]])</f>
        <v>0</v>
      </c>
    </row>
    <row r="248" spans="1:8" x14ac:dyDescent="0.25">
      <c r="A248" s="34" t="s">
        <v>4158</v>
      </c>
      <c r="B248" s="34" t="s">
        <v>2879</v>
      </c>
      <c r="C248" s="34" t="s">
        <v>1542</v>
      </c>
      <c r="D248">
        <v>29271</v>
      </c>
      <c r="E248" s="34" t="s">
        <v>3857</v>
      </c>
      <c r="F248" s="3">
        <v>41855.083333333299</v>
      </c>
      <c r="G248" s="38">
        <f ca="1">TRUNC(YEARFRAC(F248,TODAY(),1))</f>
        <v>11</v>
      </c>
      <c r="H248">
        <f>COUNTIF(BRON!A:A,Tabel6[[#This Row],[Personeelsnummer]])</f>
        <v>1</v>
      </c>
    </row>
    <row r="249" spans="1:8" x14ac:dyDescent="0.25">
      <c r="A249" s="34" t="s">
        <v>4159</v>
      </c>
      <c r="B249" s="34" t="s">
        <v>1748</v>
      </c>
      <c r="C249" s="34" t="s">
        <v>1747</v>
      </c>
      <c r="D249">
        <v>29370</v>
      </c>
      <c r="E249" s="34" t="s">
        <v>3854</v>
      </c>
      <c r="F249" s="3">
        <v>41904.083333333299</v>
      </c>
      <c r="G249" s="38">
        <f ca="1">TRUNC(YEARFRAC(F249,TODAY(),1))</f>
        <v>11</v>
      </c>
      <c r="H249">
        <f>COUNTIF(BRON!A:A,Tabel6[[#This Row],[Personeelsnummer]])</f>
        <v>0</v>
      </c>
    </row>
    <row r="250" spans="1:8" x14ac:dyDescent="0.25">
      <c r="A250" s="34" t="s">
        <v>4160</v>
      </c>
      <c r="B250" s="34" t="s">
        <v>3203</v>
      </c>
      <c r="C250" s="34" t="s">
        <v>3202</v>
      </c>
      <c r="D250">
        <v>29477</v>
      </c>
      <c r="E250" s="34" t="s">
        <v>3855</v>
      </c>
      <c r="F250" s="3">
        <v>41946.041666666701</v>
      </c>
      <c r="G250" s="38">
        <f ca="1">TRUNC(YEARFRAC(F250,TODAY(),1))</f>
        <v>11</v>
      </c>
      <c r="H250">
        <f>COUNTIF(BRON!A:A,Tabel6[[#This Row],[Personeelsnummer]])</f>
        <v>1</v>
      </c>
    </row>
    <row r="251" spans="1:8" x14ac:dyDescent="0.25">
      <c r="A251" s="34" t="s">
        <v>4161</v>
      </c>
      <c r="B251" s="34" t="s">
        <v>2741</v>
      </c>
      <c r="C251" s="34" t="s">
        <v>2740</v>
      </c>
      <c r="D251">
        <v>29478</v>
      </c>
      <c r="E251" s="34" t="s">
        <v>3857</v>
      </c>
      <c r="F251" s="3">
        <v>41946.041666666701</v>
      </c>
      <c r="G251" s="38">
        <f ca="1">TRUNC(YEARFRAC(F251,TODAY(),1))</f>
        <v>11</v>
      </c>
      <c r="H251">
        <f>COUNTIF(BRON!A:A,Tabel6[[#This Row],[Personeelsnummer]])</f>
        <v>3</v>
      </c>
    </row>
    <row r="252" spans="1:8" x14ac:dyDescent="0.25">
      <c r="A252" s="34" t="s">
        <v>4162</v>
      </c>
      <c r="B252" s="34" t="s">
        <v>1328</v>
      </c>
      <c r="C252" s="34" t="s">
        <v>1632</v>
      </c>
      <c r="D252">
        <v>29539</v>
      </c>
      <c r="E252" s="34" t="s">
        <v>3859</v>
      </c>
      <c r="F252" s="3">
        <v>41981.041666666701</v>
      </c>
      <c r="G252" s="38">
        <f ca="1">TRUNC(YEARFRAC(F252,TODAY(),1))</f>
        <v>10</v>
      </c>
      <c r="H252">
        <f>COUNTIF(BRON!A:A,Tabel6[[#This Row],[Personeelsnummer]])</f>
        <v>0</v>
      </c>
    </row>
    <row r="253" spans="1:8" x14ac:dyDescent="0.25">
      <c r="A253" s="34" t="s">
        <v>4163</v>
      </c>
      <c r="B253" s="34" t="s">
        <v>2631</v>
      </c>
      <c r="C253" s="34" t="s">
        <v>2634</v>
      </c>
      <c r="D253">
        <v>29540</v>
      </c>
      <c r="E253" s="34" t="s">
        <v>3855</v>
      </c>
      <c r="F253" s="3">
        <v>41981.041666666701</v>
      </c>
      <c r="G253" s="38">
        <f ca="1">TRUNC(YEARFRAC(F253,TODAY(),1))</f>
        <v>10</v>
      </c>
      <c r="H253">
        <f>COUNTIF(BRON!A:A,Tabel6[[#This Row],[Personeelsnummer]])</f>
        <v>1</v>
      </c>
    </row>
    <row r="254" spans="1:8" x14ac:dyDescent="0.25">
      <c r="A254" s="34" t="s">
        <v>4164</v>
      </c>
      <c r="B254" s="34" t="s">
        <v>2111</v>
      </c>
      <c r="C254" s="34" t="s">
        <v>2110</v>
      </c>
      <c r="D254">
        <v>29591</v>
      </c>
      <c r="E254" s="34" t="s">
        <v>3853</v>
      </c>
      <c r="F254" s="3">
        <v>42023.041666666701</v>
      </c>
      <c r="G254" s="38">
        <f ca="1">TRUNC(YEARFRAC(F254,TODAY(),1))</f>
        <v>10</v>
      </c>
      <c r="H254">
        <f>COUNTIF(BRON!A:A,Tabel6[[#This Row],[Personeelsnummer]])</f>
        <v>0</v>
      </c>
    </row>
    <row r="255" spans="1:8" x14ac:dyDescent="0.25">
      <c r="A255" s="34" t="s">
        <v>4165</v>
      </c>
      <c r="B255" s="34" t="s">
        <v>2213</v>
      </c>
      <c r="C255" s="34" t="s">
        <v>2006</v>
      </c>
      <c r="D255">
        <v>29646</v>
      </c>
      <c r="E255" s="34" t="s">
        <v>3859</v>
      </c>
      <c r="F255" s="3">
        <v>42051.041666666701</v>
      </c>
      <c r="G255" s="38">
        <f ca="1">TRUNC(YEARFRAC(F255,TODAY(),1))</f>
        <v>10</v>
      </c>
      <c r="H255">
        <f>COUNTIF(BRON!A:A,Tabel6[[#This Row],[Personeelsnummer]])</f>
        <v>1</v>
      </c>
    </row>
    <row r="256" spans="1:8" x14ac:dyDescent="0.25">
      <c r="A256" s="34" t="s">
        <v>4167</v>
      </c>
      <c r="B256" s="34" t="s">
        <v>3339</v>
      </c>
      <c r="C256" s="34" t="s">
        <v>3338</v>
      </c>
      <c r="D256">
        <v>29746</v>
      </c>
      <c r="E256" s="34" t="s">
        <v>3854</v>
      </c>
      <c r="F256" s="3">
        <v>42093.083333333299</v>
      </c>
      <c r="G256" s="38">
        <f ca="1">TRUNC(YEARFRAC(F256,TODAY(),1))</f>
        <v>10</v>
      </c>
      <c r="H256">
        <f>COUNTIF(BRON!A:A,Tabel6[[#This Row],[Personeelsnummer]])</f>
        <v>3</v>
      </c>
    </row>
    <row r="257" spans="1:8" x14ac:dyDescent="0.25">
      <c r="A257" s="34" t="s">
        <v>4168</v>
      </c>
      <c r="B257" s="34" t="s">
        <v>2502</v>
      </c>
      <c r="C257" s="34" t="s">
        <v>2501</v>
      </c>
      <c r="D257">
        <v>29778</v>
      </c>
      <c r="E257" s="34" t="s">
        <v>3851</v>
      </c>
      <c r="F257" s="3">
        <v>42107.083333333299</v>
      </c>
      <c r="G257" s="38">
        <f ca="1">TRUNC(YEARFRAC(F257,TODAY(),1))</f>
        <v>10</v>
      </c>
      <c r="H257">
        <f>COUNTIF(BRON!A:A,Tabel6[[#This Row],[Personeelsnummer]])</f>
        <v>0</v>
      </c>
    </row>
    <row r="258" spans="1:8" x14ac:dyDescent="0.25">
      <c r="A258" s="34" t="s">
        <v>4169</v>
      </c>
      <c r="B258" s="34" t="s">
        <v>3343</v>
      </c>
      <c r="C258" s="34" t="s">
        <v>3342</v>
      </c>
      <c r="D258">
        <v>29818</v>
      </c>
      <c r="E258" s="34" t="s">
        <v>3859</v>
      </c>
      <c r="F258" s="3">
        <v>42121.083333333299</v>
      </c>
      <c r="G258" s="38">
        <f ca="1">TRUNC(YEARFRAC(F258,TODAY(),1))</f>
        <v>10</v>
      </c>
      <c r="H258">
        <f>COUNTIF(BRON!A:A,Tabel6[[#This Row],[Personeelsnummer]])</f>
        <v>0</v>
      </c>
    </row>
    <row r="259" spans="1:8" x14ac:dyDescent="0.25">
      <c r="A259" s="34" t="s">
        <v>4170</v>
      </c>
      <c r="B259" s="34" t="s">
        <v>2901</v>
      </c>
      <c r="C259" s="34" t="s">
        <v>2900</v>
      </c>
      <c r="D259">
        <v>29821</v>
      </c>
      <c r="E259" s="34" t="s">
        <v>3859</v>
      </c>
      <c r="F259" s="3">
        <v>42121.083333333299</v>
      </c>
      <c r="G259" s="38">
        <f ca="1">TRUNC(YEARFRAC(F259,TODAY(),1))</f>
        <v>10</v>
      </c>
      <c r="H259">
        <f>COUNTIF(BRON!A:A,Tabel6[[#This Row],[Personeelsnummer]])</f>
        <v>1</v>
      </c>
    </row>
    <row r="260" spans="1:8" x14ac:dyDescent="0.25">
      <c r="A260" s="34" t="s">
        <v>4171</v>
      </c>
      <c r="B260" s="34" t="s">
        <v>1550</v>
      </c>
      <c r="C260" s="34" t="s">
        <v>1567</v>
      </c>
      <c r="D260">
        <v>30119</v>
      </c>
      <c r="E260" s="34" t="s">
        <v>3859</v>
      </c>
      <c r="F260" s="3">
        <v>42198.083333333299</v>
      </c>
      <c r="G260" s="38">
        <f ca="1">TRUNC(YEARFRAC(F260,TODAY(),1))</f>
        <v>10</v>
      </c>
      <c r="H260">
        <f>COUNTIF(BRON!A:A,Tabel6[[#This Row],[Personeelsnummer]])</f>
        <v>2</v>
      </c>
    </row>
    <row r="261" spans="1:8" x14ac:dyDescent="0.25">
      <c r="A261" s="34" t="s">
        <v>4172</v>
      </c>
      <c r="B261" s="34" t="s">
        <v>3358</v>
      </c>
      <c r="C261" s="34" t="s">
        <v>3357</v>
      </c>
      <c r="D261">
        <v>30121</v>
      </c>
      <c r="E261" s="34" t="s">
        <v>3853</v>
      </c>
      <c r="F261" s="3">
        <v>42198.083333333299</v>
      </c>
      <c r="G261" s="38">
        <f ca="1">TRUNC(YEARFRAC(F261,TODAY(),1))</f>
        <v>10</v>
      </c>
      <c r="H261">
        <f>COUNTIF(BRON!A:A,Tabel6[[#This Row],[Personeelsnummer]])</f>
        <v>3</v>
      </c>
    </row>
    <row r="262" spans="1:8" x14ac:dyDescent="0.25">
      <c r="A262" s="34" t="s">
        <v>4173</v>
      </c>
      <c r="B262" s="34" t="s">
        <v>2596</v>
      </c>
      <c r="C262" s="34" t="s">
        <v>1940</v>
      </c>
      <c r="D262">
        <v>30271</v>
      </c>
      <c r="E262" s="34" t="s">
        <v>3857</v>
      </c>
      <c r="F262" s="3">
        <v>42268.083333333299</v>
      </c>
      <c r="G262" s="38">
        <f ca="1">TRUNC(YEARFRAC(F262,TODAY(),1))</f>
        <v>10</v>
      </c>
      <c r="H262">
        <f>COUNTIF(BRON!A:A,Tabel6[[#This Row],[Personeelsnummer]])</f>
        <v>1</v>
      </c>
    </row>
    <row r="263" spans="1:8" x14ac:dyDescent="0.25">
      <c r="A263" s="34" t="s">
        <v>4174</v>
      </c>
      <c r="B263" s="34" t="s">
        <v>1718</v>
      </c>
      <c r="C263" s="34" t="s">
        <v>1717</v>
      </c>
      <c r="D263">
        <v>30292</v>
      </c>
      <c r="E263" s="34" t="s">
        <v>3859</v>
      </c>
      <c r="F263" s="3">
        <v>42282.083333333299</v>
      </c>
      <c r="G263" s="38">
        <f ca="1">TRUNC(YEARFRAC(F263,TODAY(),1))</f>
        <v>10</v>
      </c>
      <c r="H263">
        <f>COUNTIF(BRON!A:A,Tabel6[[#This Row],[Personeelsnummer]])</f>
        <v>0</v>
      </c>
    </row>
    <row r="264" spans="1:8" x14ac:dyDescent="0.25">
      <c r="A264" s="34" t="s">
        <v>4175</v>
      </c>
      <c r="B264" s="34" t="s">
        <v>3051</v>
      </c>
      <c r="C264" s="34" t="s">
        <v>3050</v>
      </c>
      <c r="D264">
        <v>30323</v>
      </c>
      <c r="E264" s="34" t="s">
        <v>3854</v>
      </c>
      <c r="F264" s="3">
        <v>42296.083333333299</v>
      </c>
      <c r="G264" s="38">
        <f ca="1">TRUNC(YEARFRAC(F264,TODAY(),1))</f>
        <v>10</v>
      </c>
      <c r="H264">
        <f>COUNTIF(BRON!A:A,Tabel6[[#This Row],[Personeelsnummer]])</f>
        <v>0</v>
      </c>
    </row>
    <row r="265" spans="1:8" x14ac:dyDescent="0.25">
      <c r="A265" s="34" t="s">
        <v>3894</v>
      </c>
      <c r="B265" s="34" t="s">
        <v>2093</v>
      </c>
      <c r="C265" s="34" t="s">
        <v>2018</v>
      </c>
      <c r="D265">
        <v>30623</v>
      </c>
      <c r="E265" s="34" t="s">
        <v>3851</v>
      </c>
      <c r="F265" s="3">
        <v>42429.041666666701</v>
      </c>
      <c r="G265" s="38">
        <f ca="1">TRUNC(YEARFRAC(F265,TODAY(),1))</f>
        <v>9</v>
      </c>
      <c r="H265">
        <f>COUNTIF(BRON!A:A,Tabel6[[#This Row],[Personeelsnummer]])</f>
        <v>2</v>
      </c>
    </row>
    <row r="266" spans="1:8" x14ac:dyDescent="0.25">
      <c r="A266" s="34" t="s">
        <v>4176</v>
      </c>
      <c r="B266" s="34" t="s">
        <v>2562</v>
      </c>
      <c r="C266" s="34" t="s">
        <v>2565</v>
      </c>
      <c r="D266">
        <v>30901</v>
      </c>
      <c r="E266" s="34" t="s">
        <v>3857</v>
      </c>
      <c r="F266" s="3">
        <v>42534.083333333299</v>
      </c>
      <c r="G266" s="38">
        <f ca="1">TRUNC(YEARFRAC(F266,TODAY(),1))</f>
        <v>9</v>
      </c>
      <c r="H266">
        <f>COUNTIF(BRON!A:A,Tabel6[[#This Row],[Personeelsnummer]])</f>
        <v>2</v>
      </c>
    </row>
    <row r="267" spans="1:8" x14ac:dyDescent="0.25">
      <c r="A267" s="34" t="s">
        <v>4177</v>
      </c>
      <c r="B267" s="34" t="s">
        <v>2890</v>
      </c>
      <c r="C267" s="34" t="s">
        <v>2893</v>
      </c>
      <c r="D267">
        <v>30967</v>
      </c>
      <c r="E267" s="34" t="s">
        <v>3859</v>
      </c>
      <c r="F267" s="3">
        <v>42548.083333333299</v>
      </c>
      <c r="G267" s="38">
        <f ca="1">TRUNC(YEARFRAC(F267,TODAY(),1))</f>
        <v>9</v>
      </c>
      <c r="H267">
        <f>COUNTIF(BRON!A:A,Tabel6[[#This Row],[Personeelsnummer]])</f>
        <v>3</v>
      </c>
    </row>
    <row r="268" spans="1:8" x14ac:dyDescent="0.25">
      <c r="A268" s="34" t="s">
        <v>4178</v>
      </c>
      <c r="B268" s="34" t="s">
        <v>4179</v>
      </c>
      <c r="C268" s="34" t="s">
        <v>4180</v>
      </c>
      <c r="D268">
        <v>30988</v>
      </c>
      <c r="E268" s="34" t="s">
        <v>3852</v>
      </c>
      <c r="F268" s="3">
        <v>42553.083333333299</v>
      </c>
      <c r="G268" s="38">
        <f ca="1">TRUNC(YEARFRAC(F268,TODAY(),1))</f>
        <v>9</v>
      </c>
      <c r="H268">
        <f>COUNTIF(BRON!A:A,Tabel6[[#This Row],[Personeelsnummer]])</f>
        <v>0</v>
      </c>
    </row>
    <row r="269" spans="1:8" x14ac:dyDescent="0.25">
      <c r="A269" s="34" t="s">
        <v>4181</v>
      </c>
      <c r="B269" s="34" t="s">
        <v>2619</v>
      </c>
      <c r="C269" s="34" t="s">
        <v>2618</v>
      </c>
      <c r="D269">
        <v>30999</v>
      </c>
      <c r="E269" s="34" t="s">
        <v>3856</v>
      </c>
      <c r="F269" s="3">
        <v>42562.083333333299</v>
      </c>
      <c r="G269" s="38">
        <f ca="1">TRUNC(YEARFRAC(F269,TODAY(),1))</f>
        <v>9</v>
      </c>
      <c r="H269">
        <f>COUNTIF(BRON!A:A,Tabel6[[#This Row],[Personeelsnummer]])</f>
        <v>0</v>
      </c>
    </row>
    <row r="270" spans="1:8" x14ac:dyDescent="0.25">
      <c r="A270" s="34" t="s">
        <v>4182</v>
      </c>
      <c r="B270" s="34" t="s">
        <v>2453</v>
      </c>
      <c r="C270" s="34" t="s">
        <v>2459</v>
      </c>
      <c r="D270">
        <v>31092</v>
      </c>
      <c r="E270" s="34" t="s">
        <v>3855</v>
      </c>
      <c r="F270" s="3">
        <v>42604.083333333299</v>
      </c>
      <c r="G270" s="38">
        <f ca="1">TRUNC(YEARFRAC(F270,TODAY(),1))</f>
        <v>9</v>
      </c>
      <c r="H270">
        <f>COUNTIF(BRON!A:A,Tabel6[[#This Row],[Personeelsnummer]])</f>
        <v>2</v>
      </c>
    </row>
    <row r="271" spans="1:8" x14ac:dyDescent="0.25">
      <c r="A271" s="34" t="s">
        <v>4183</v>
      </c>
      <c r="B271" s="34" t="s">
        <v>2057</v>
      </c>
      <c r="C271" s="34" t="s">
        <v>2056</v>
      </c>
      <c r="D271">
        <v>31111</v>
      </c>
      <c r="E271" s="34" t="s">
        <v>3856</v>
      </c>
      <c r="F271" s="3">
        <v>42604.083333333299</v>
      </c>
      <c r="G271" s="38">
        <f ca="1">TRUNC(YEARFRAC(F271,TODAY(),1))</f>
        <v>9</v>
      </c>
      <c r="H271">
        <f>COUNTIF(BRON!A:A,Tabel6[[#This Row],[Personeelsnummer]])</f>
        <v>2</v>
      </c>
    </row>
    <row r="272" spans="1:8" x14ac:dyDescent="0.25">
      <c r="A272" s="34" t="s">
        <v>4184</v>
      </c>
      <c r="B272" s="34" t="s">
        <v>1343</v>
      </c>
      <c r="C272" s="34" t="s">
        <v>2191</v>
      </c>
      <c r="D272">
        <v>31118</v>
      </c>
      <c r="E272" s="34" t="s">
        <v>3857</v>
      </c>
      <c r="F272" s="3">
        <v>42618.083333333299</v>
      </c>
      <c r="G272" s="38">
        <f ca="1">TRUNC(YEARFRAC(F272,TODAY(),1))</f>
        <v>9</v>
      </c>
      <c r="H272">
        <f>COUNTIF(BRON!A:A,Tabel6[[#This Row],[Personeelsnummer]])</f>
        <v>2</v>
      </c>
    </row>
    <row r="273" spans="1:8" x14ac:dyDescent="0.25">
      <c r="A273" s="34" t="s">
        <v>4185</v>
      </c>
      <c r="B273" s="34" t="s">
        <v>2155</v>
      </c>
      <c r="C273" s="34" t="s">
        <v>2154</v>
      </c>
      <c r="D273">
        <v>31150</v>
      </c>
      <c r="E273" s="34" t="s">
        <v>3851</v>
      </c>
      <c r="F273" s="3">
        <v>42643.083333333299</v>
      </c>
      <c r="G273" s="38">
        <f ca="1">TRUNC(YEARFRAC(F273,TODAY(),1))</f>
        <v>9</v>
      </c>
      <c r="H273">
        <f>COUNTIF(BRON!A:A,Tabel6[[#This Row],[Personeelsnummer]])</f>
        <v>1</v>
      </c>
    </row>
    <row r="274" spans="1:8" x14ac:dyDescent="0.25">
      <c r="A274" s="34" t="s">
        <v>4186</v>
      </c>
      <c r="B274" s="34" t="s">
        <v>1729</v>
      </c>
      <c r="C274" s="34" t="s">
        <v>1728</v>
      </c>
      <c r="D274">
        <v>31165</v>
      </c>
      <c r="E274" s="34" t="s">
        <v>3855</v>
      </c>
      <c r="F274" s="3">
        <v>42646.083333333299</v>
      </c>
      <c r="G274" s="38">
        <f ca="1">TRUNC(YEARFRAC(F274,TODAY(),1))</f>
        <v>9</v>
      </c>
      <c r="H274">
        <f>COUNTIF(BRON!A:A,Tabel6[[#This Row],[Personeelsnummer]])</f>
        <v>2</v>
      </c>
    </row>
    <row r="275" spans="1:8" x14ac:dyDescent="0.25">
      <c r="A275" s="34" t="s">
        <v>4187</v>
      </c>
      <c r="B275" s="34" t="s">
        <v>2972</v>
      </c>
      <c r="C275" s="34" t="s">
        <v>2978</v>
      </c>
      <c r="D275">
        <v>31231</v>
      </c>
      <c r="E275" s="34" t="s">
        <v>3856</v>
      </c>
      <c r="F275" s="3">
        <v>42674.041666666701</v>
      </c>
      <c r="G275" s="38">
        <f ca="1">TRUNC(YEARFRAC(F275,TODAY(),1))</f>
        <v>9</v>
      </c>
      <c r="H275">
        <f>COUNTIF(BRON!A:A,Tabel6[[#This Row],[Personeelsnummer]])</f>
        <v>3</v>
      </c>
    </row>
    <row r="276" spans="1:8" x14ac:dyDescent="0.25">
      <c r="A276" s="34" t="s">
        <v>4188</v>
      </c>
      <c r="B276" s="34" t="s">
        <v>2890</v>
      </c>
      <c r="C276" s="34" t="s">
        <v>2666</v>
      </c>
      <c r="D276">
        <v>31360</v>
      </c>
      <c r="E276" s="34" t="s">
        <v>3859</v>
      </c>
      <c r="F276" s="3">
        <v>42744.041666666701</v>
      </c>
      <c r="G276" s="38">
        <f ca="1">TRUNC(YEARFRAC(F276,TODAY(),1))</f>
        <v>8</v>
      </c>
      <c r="H276">
        <f>COUNTIF(BRON!A:A,Tabel6[[#This Row],[Personeelsnummer]])</f>
        <v>3</v>
      </c>
    </row>
    <row r="277" spans="1:8" x14ac:dyDescent="0.25">
      <c r="A277" s="34" t="s">
        <v>4189</v>
      </c>
      <c r="B277" s="34" t="s">
        <v>1991</v>
      </c>
      <c r="C277" s="34" t="s">
        <v>1997</v>
      </c>
      <c r="D277">
        <v>31361</v>
      </c>
      <c r="E277" s="34" t="s">
        <v>3856</v>
      </c>
      <c r="F277" s="3">
        <v>42751.041666666701</v>
      </c>
      <c r="G277" s="38">
        <f ca="1">TRUNC(YEARFRAC(F277,TODAY(),1))</f>
        <v>8</v>
      </c>
      <c r="H277">
        <f>COUNTIF(BRON!A:A,Tabel6[[#This Row],[Personeelsnummer]])</f>
        <v>0</v>
      </c>
    </row>
    <row r="278" spans="1:8" x14ac:dyDescent="0.25">
      <c r="A278" s="34" t="s">
        <v>4190</v>
      </c>
      <c r="B278" s="34" t="s">
        <v>2074</v>
      </c>
      <c r="C278" s="34" t="s">
        <v>2077</v>
      </c>
      <c r="D278">
        <v>31404</v>
      </c>
      <c r="E278" s="34" t="s">
        <v>3859</v>
      </c>
      <c r="F278" s="3">
        <v>42758.041666666701</v>
      </c>
      <c r="G278" s="38">
        <f ca="1">TRUNC(YEARFRAC(F278,TODAY(),1))</f>
        <v>8</v>
      </c>
      <c r="H278">
        <f>COUNTIF(BRON!A:A,Tabel6[[#This Row],[Personeelsnummer]])</f>
        <v>0</v>
      </c>
    </row>
    <row r="279" spans="1:8" x14ac:dyDescent="0.25">
      <c r="A279" s="34" t="s">
        <v>4191</v>
      </c>
      <c r="B279" s="34" t="s">
        <v>1702</v>
      </c>
      <c r="C279" s="34" t="s">
        <v>1701</v>
      </c>
      <c r="D279">
        <v>31550</v>
      </c>
      <c r="E279" s="34" t="s">
        <v>3859</v>
      </c>
      <c r="F279" s="3">
        <v>42828.083333333299</v>
      </c>
      <c r="G279" s="38">
        <f ca="1">TRUNC(YEARFRAC(F279,TODAY(),1))</f>
        <v>8</v>
      </c>
      <c r="H279">
        <f>COUNTIF(BRON!A:A,Tabel6[[#This Row],[Personeelsnummer]])</f>
        <v>0</v>
      </c>
    </row>
    <row r="280" spans="1:8" x14ac:dyDescent="0.25">
      <c r="A280" s="34" t="s">
        <v>4192</v>
      </c>
      <c r="B280" s="34" t="s">
        <v>1550</v>
      </c>
      <c r="C280" s="34" t="s">
        <v>1563</v>
      </c>
      <c r="D280">
        <v>31600</v>
      </c>
      <c r="E280" s="34" t="s">
        <v>3857</v>
      </c>
      <c r="F280" s="3">
        <v>42843.083333333299</v>
      </c>
      <c r="G280" s="38">
        <f ca="1">TRUNC(YEARFRAC(F280,TODAY(),1))</f>
        <v>8</v>
      </c>
      <c r="H280">
        <f>COUNTIF(BRON!A:A,Tabel6[[#This Row],[Personeelsnummer]])</f>
        <v>2</v>
      </c>
    </row>
    <row r="281" spans="1:8" x14ac:dyDescent="0.25">
      <c r="A281" s="34" t="s">
        <v>4193</v>
      </c>
      <c r="B281" s="34" t="s">
        <v>1861</v>
      </c>
      <c r="C281" s="34" t="s">
        <v>1860</v>
      </c>
      <c r="D281">
        <v>31601</v>
      </c>
      <c r="E281" s="34" t="s">
        <v>3859</v>
      </c>
      <c r="F281" s="3">
        <v>42843.083333333299</v>
      </c>
      <c r="G281" s="38">
        <f ca="1">TRUNC(YEARFRAC(F281,TODAY(),1))</f>
        <v>8</v>
      </c>
      <c r="H281">
        <f>COUNTIF(BRON!A:A,Tabel6[[#This Row],[Personeelsnummer]])</f>
        <v>0</v>
      </c>
    </row>
    <row r="282" spans="1:8" x14ac:dyDescent="0.25">
      <c r="A282" s="34" t="s">
        <v>4194</v>
      </c>
      <c r="B282" s="34" t="s">
        <v>2034</v>
      </c>
      <c r="C282" s="34" t="s">
        <v>2033</v>
      </c>
      <c r="D282">
        <v>31634</v>
      </c>
      <c r="E282" s="34" t="s">
        <v>3856</v>
      </c>
      <c r="F282" s="3">
        <v>42863.083333333299</v>
      </c>
      <c r="G282" s="38">
        <f ca="1">TRUNC(YEARFRAC(F282,TODAY(),1))</f>
        <v>8</v>
      </c>
      <c r="H282">
        <f>COUNTIF(BRON!A:A,Tabel6[[#This Row],[Personeelsnummer]])</f>
        <v>1</v>
      </c>
    </row>
    <row r="283" spans="1:8" x14ac:dyDescent="0.25">
      <c r="A283" s="34" t="s">
        <v>4195</v>
      </c>
      <c r="B283" s="34" t="s">
        <v>2188</v>
      </c>
      <c r="C283" s="34" t="s">
        <v>2187</v>
      </c>
      <c r="D283">
        <v>31635</v>
      </c>
      <c r="E283" s="34" t="s">
        <v>3856</v>
      </c>
      <c r="F283" s="3">
        <v>42863.083333333299</v>
      </c>
      <c r="G283" s="38">
        <f ca="1">TRUNC(YEARFRAC(F283,TODAY(),1))</f>
        <v>8</v>
      </c>
      <c r="H283">
        <f>COUNTIF(BRON!A:A,Tabel6[[#This Row],[Personeelsnummer]])</f>
        <v>2</v>
      </c>
    </row>
    <row r="284" spans="1:8" x14ac:dyDescent="0.25">
      <c r="A284" s="34" t="s">
        <v>4196</v>
      </c>
      <c r="B284" s="34" t="s">
        <v>1341</v>
      </c>
      <c r="C284" s="34" t="s">
        <v>2472</v>
      </c>
      <c r="D284">
        <v>31659</v>
      </c>
      <c r="E284" s="34" t="s">
        <v>3854</v>
      </c>
      <c r="F284" s="3">
        <v>42877.083333333299</v>
      </c>
      <c r="G284" s="38">
        <f ca="1">TRUNC(YEARFRAC(F284,TODAY(),1))</f>
        <v>8</v>
      </c>
      <c r="H284">
        <f>COUNTIF(BRON!A:A,Tabel6[[#This Row],[Personeelsnummer]])</f>
        <v>0</v>
      </c>
    </row>
    <row r="285" spans="1:8" x14ac:dyDescent="0.25">
      <c r="A285" s="34" t="s">
        <v>4197</v>
      </c>
      <c r="B285" s="34" t="s">
        <v>2232</v>
      </c>
      <c r="C285" s="34" t="s">
        <v>2231</v>
      </c>
      <c r="D285">
        <v>31668</v>
      </c>
      <c r="E285" s="34" t="s">
        <v>3859</v>
      </c>
      <c r="F285" s="3">
        <v>42877.083333333299</v>
      </c>
      <c r="G285" s="38">
        <f ca="1">TRUNC(YEARFRAC(F285,TODAY(),1))</f>
        <v>8</v>
      </c>
      <c r="H285">
        <f>COUNTIF(BRON!A:A,Tabel6[[#This Row],[Personeelsnummer]])</f>
        <v>5</v>
      </c>
    </row>
    <row r="286" spans="1:8" x14ac:dyDescent="0.25">
      <c r="A286" s="34" t="s">
        <v>4198</v>
      </c>
      <c r="B286" s="34" t="s">
        <v>2615</v>
      </c>
      <c r="C286" s="34" t="s">
        <v>2614</v>
      </c>
      <c r="D286">
        <v>31689</v>
      </c>
      <c r="E286" s="34" t="s">
        <v>3858</v>
      </c>
      <c r="F286" s="3">
        <v>42892.083333333299</v>
      </c>
      <c r="G286" s="38">
        <f ca="1">TRUNC(YEARFRAC(F286,TODAY(),1))</f>
        <v>8</v>
      </c>
      <c r="H286">
        <f>COUNTIF(BRON!A:A,Tabel6[[#This Row],[Personeelsnummer]])</f>
        <v>1</v>
      </c>
    </row>
    <row r="287" spans="1:8" x14ac:dyDescent="0.25">
      <c r="A287" s="34" t="s">
        <v>4199</v>
      </c>
      <c r="B287" s="34" t="s">
        <v>2284</v>
      </c>
      <c r="C287" s="34" t="s">
        <v>2283</v>
      </c>
      <c r="D287">
        <v>31731</v>
      </c>
      <c r="E287" s="34" t="s">
        <v>3856</v>
      </c>
      <c r="F287" s="3">
        <v>42919.083333333299</v>
      </c>
      <c r="G287" s="38">
        <f ca="1">TRUNC(YEARFRAC(F287,TODAY(),1))</f>
        <v>8</v>
      </c>
      <c r="H287">
        <f>COUNTIF(BRON!A:A,Tabel6[[#This Row],[Personeelsnummer]])</f>
        <v>2</v>
      </c>
    </row>
    <row r="288" spans="1:8" x14ac:dyDescent="0.25">
      <c r="A288" s="34" t="s">
        <v>4200</v>
      </c>
      <c r="B288" s="34" t="s">
        <v>1347</v>
      </c>
      <c r="C288" s="34" t="s">
        <v>2412</v>
      </c>
      <c r="D288">
        <v>31733</v>
      </c>
      <c r="E288" s="34" t="s">
        <v>3859</v>
      </c>
      <c r="F288" s="3">
        <v>42919.083333333299</v>
      </c>
      <c r="G288" s="38">
        <f ca="1">TRUNC(YEARFRAC(F288,TODAY(),1))</f>
        <v>8</v>
      </c>
      <c r="H288">
        <f>COUNTIF(BRON!A:A,Tabel6[[#This Row],[Personeelsnummer]])</f>
        <v>2</v>
      </c>
    </row>
    <row r="289" spans="1:8" x14ac:dyDescent="0.25">
      <c r="A289" s="34" t="s">
        <v>4201</v>
      </c>
      <c r="B289" s="34" t="s">
        <v>1647</v>
      </c>
      <c r="C289" s="34" t="s">
        <v>1650</v>
      </c>
      <c r="D289">
        <v>31776</v>
      </c>
      <c r="E289" s="34" t="s">
        <v>3859</v>
      </c>
      <c r="F289" s="3">
        <v>42933.083333333299</v>
      </c>
      <c r="G289" s="38">
        <f ca="1">TRUNC(YEARFRAC(F289,TODAY(),1))</f>
        <v>8</v>
      </c>
      <c r="H289">
        <f>COUNTIF(BRON!A:A,Tabel6[[#This Row],[Personeelsnummer]])</f>
        <v>1</v>
      </c>
    </row>
    <row r="290" spans="1:8" x14ac:dyDescent="0.25">
      <c r="A290" s="34" t="s">
        <v>4203</v>
      </c>
      <c r="B290" s="34" t="s">
        <v>2737</v>
      </c>
      <c r="C290" s="34" t="s">
        <v>2736</v>
      </c>
      <c r="D290">
        <v>32002</v>
      </c>
      <c r="E290" s="34" t="s">
        <v>3858</v>
      </c>
      <c r="F290" s="3">
        <v>42989.083333333299</v>
      </c>
      <c r="G290" s="38">
        <f ca="1">TRUNC(YEARFRAC(F290,TODAY(),1))</f>
        <v>8</v>
      </c>
      <c r="H290">
        <f>COUNTIF(BRON!A:A,Tabel6[[#This Row],[Personeelsnummer]])</f>
        <v>2</v>
      </c>
    </row>
    <row r="291" spans="1:8" x14ac:dyDescent="0.25">
      <c r="A291" s="34" t="s">
        <v>4204</v>
      </c>
      <c r="B291" s="34" t="s">
        <v>2940</v>
      </c>
      <c r="C291" s="34" t="s">
        <v>2939</v>
      </c>
      <c r="D291">
        <v>32091</v>
      </c>
      <c r="E291" s="34" t="s">
        <v>3851</v>
      </c>
      <c r="F291" s="3">
        <v>43003.083333333299</v>
      </c>
      <c r="G291" s="38">
        <f ca="1">TRUNC(YEARFRAC(F291,TODAY(),1))</f>
        <v>8</v>
      </c>
      <c r="H291">
        <f>COUNTIF(BRON!A:A,Tabel6[[#This Row],[Personeelsnummer]])</f>
        <v>1</v>
      </c>
    </row>
    <row r="292" spans="1:8" x14ac:dyDescent="0.25">
      <c r="A292" s="34" t="s">
        <v>4205</v>
      </c>
      <c r="B292" s="34" t="s">
        <v>1571</v>
      </c>
      <c r="C292" s="34" t="s">
        <v>1570</v>
      </c>
      <c r="D292">
        <v>32092</v>
      </c>
      <c r="E292" s="34" t="s">
        <v>3854</v>
      </c>
      <c r="F292" s="3">
        <v>43003.083333333299</v>
      </c>
      <c r="G292" s="38">
        <f ca="1">TRUNC(YEARFRAC(F292,TODAY(),1))</f>
        <v>8</v>
      </c>
      <c r="H292">
        <f>COUNTIF(BRON!A:A,Tabel6[[#This Row],[Personeelsnummer]])</f>
        <v>0</v>
      </c>
    </row>
    <row r="293" spans="1:8" x14ac:dyDescent="0.25">
      <c r="A293" s="34" t="s">
        <v>4206</v>
      </c>
      <c r="B293" s="34" t="s">
        <v>1377</v>
      </c>
      <c r="C293" s="34" t="s">
        <v>1376</v>
      </c>
      <c r="D293">
        <v>32168</v>
      </c>
      <c r="E293" s="34" t="s">
        <v>3851</v>
      </c>
      <c r="F293" s="3">
        <v>43045.041666666701</v>
      </c>
      <c r="G293" s="38">
        <f ca="1">TRUNC(YEARFRAC(F293,TODAY(),1))</f>
        <v>8</v>
      </c>
      <c r="H293">
        <f>COUNTIF(BRON!A:A,Tabel6[[#This Row],[Personeelsnummer]])</f>
        <v>1</v>
      </c>
    </row>
    <row r="294" spans="1:8" x14ac:dyDescent="0.25">
      <c r="A294" s="34" t="s">
        <v>4207</v>
      </c>
      <c r="B294" s="34" t="s">
        <v>1899</v>
      </c>
      <c r="C294" s="34" t="s">
        <v>1898</v>
      </c>
      <c r="D294">
        <v>32169</v>
      </c>
      <c r="E294" s="34" t="s">
        <v>3858</v>
      </c>
      <c r="F294" s="3">
        <v>43031.083333333299</v>
      </c>
      <c r="G294" s="38">
        <f ca="1">TRUNC(YEARFRAC(F294,TODAY(),1))</f>
        <v>8</v>
      </c>
      <c r="H294">
        <f>COUNTIF(BRON!A:A,Tabel6[[#This Row],[Personeelsnummer]])</f>
        <v>0</v>
      </c>
    </row>
    <row r="295" spans="1:8" x14ac:dyDescent="0.25">
      <c r="A295" s="34" t="s">
        <v>4208</v>
      </c>
      <c r="B295" s="34" t="s">
        <v>3236</v>
      </c>
      <c r="C295" s="34" t="s">
        <v>3235</v>
      </c>
      <c r="D295">
        <v>32245</v>
      </c>
      <c r="E295" s="34" t="s">
        <v>3856</v>
      </c>
      <c r="F295" s="3">
        <v>43073.041666666701</v>
      </c>
      <c r="G295" s="38">
        <f ca="1">TRUNC(YEARFRAC(F295,TODAY(),1))</f>
        <v>8</v>
      </c>
      <c r="H295">
        <f>COUNTIF(BRON!A:A,Tabel6[[#This Row],[Personeelsnummer]])</f>
        <v>2</v>
      </c>
    </row>
    <row r="296" spans="1:8" x14ac:dyDescent="0.25">
      <c r="A296" s="34" t="s">
        <v>4209</v>
      </c>
      <c r="B296" s="34" t="s">
        <v>1960</v>
      </c>
      <c r="C296" s="34" t="s">
        <v>1967</v>
      </c>
      <c r="D296">
        <v>32369</v>
      </c>
      <c r="E296" s="34" t="s">
        <v>3856</v>
      </c>
      <c r="F296" s="3">
        <v>43108.041666666701</v>
      </c>
      <c r="G296" s="38">
        <f ca="1">TRUNC(YEARFRAC(F296,TODAY(),1))</f>
        <v>7</v>
      </c>
      <c r="H296">
        <f>COUNTIF(BRON!A:A,Tabel6[[#This Row],[Personeelsnummer]])</f>
        <v>1</v>
      </c>
    </row>
    <row r="297" spans="1:8" x14ac:dyDescent="0.25">
      <c r="A297" s="34" t="s">
        <v>4210</v>
      </c>
      <c r="B297" s="34" t="s">
        <v>2725</v>
      </c>
      <c r="C297" s="34" t="s">
        <v>2724</v>
      </c>
      <c r="D297">
        <v>32387</v>
      </c>
      <c r="E297" s="34" t="s">
        <v>3858</v>
      </c>
      <c r="F297" s="3">
        <v>43108.041666666701</v>
      </c>
      <c r="G297" s="38">
        <f ca="1">TRUNC(YEARFRAC(F297,TODAY(),1))</f>
        <v>7</v>
      </c>
      <c r="H297">
        <f>COUNTIF(BRON!A:A,Tabel6[[#This Row],[Personeelsnummer]])</f>
        <v>4</v>
      </c>
    </row>
    <row r="298" spans="1:8" x14ac:dyDescent="0.25">
      <c r="A298" s="34" t="s">
        <v>4211</v>
      </c>
      <c r="B298" s="34" t="s">
        <v>1714</v>
      </c>
      <c r="C298" s="34" t="s">
        <v>1713</v>
      </c>
      <c r="D298">
        <v>32458</v>
      </c>
      <c r="E298" s="34" t="s">
        <v>3857</v>
      </c>
      <c r="F298" s="3">
        <v>43150.041666666701</v>
      </c>
      <c r="G298" s="38">
        <f ca="1">TRUNC(YEARFRAC(F298,TODAY(),1))</f>
        <v>7</v>
      </c>
      <c r="H298">
        <f>COUNTIF(BRON!A:A,Tabel6[[#This Row],[Personeelsnummer]])</f>
        <v>0</v>
      </c>
    </row>
    <row r="299" spans="1:8" x14ac:dyDescent="0.25">
      <c r="A299" s="34" t="s">
        <v>4212</v>
      </c>
      <c r="B299" s="34" t="s">
        <v>3465</v>
      </c>
      <c r="C299" s="34" t="s">
        <v>3464</v>
      </c>
      <c r="D299">
        <v>32528</v>
      </c>
      <c r="E299" s="34" t="s">
        <v>3858</v>
      </c>
      <c r="F299" s="3">
        <v>43164.041666666701</v>
      </c>
      <c r="G299" s="38">
        <f ca="1">TRUNC(YEARFRAC(F299,TODAY(),1))</f>
        <v>7</v>
      </c>
      <c r="H299">
        <f>COUNTIF(BRON!A:A,Tabel6[[#This Row],[Personeelsnummer]])</f>
        <v>2</v>
      </c>
    </row>
    <row r="300" spans="1:8" x14ac:dyDescent="0.25">
      <c r="A300" s="34" t="s">
        <v>4213</v>
      </c>
      <c r="B300" s="34" t="s">
        <v>2462</v>
      </c>
      <c r="C300" s="34" t="s">
        <v>2468</v>
      </c>
      <c r="D300">
        <v>32542</v>
      </c>
      <c r="E300" s="34" t="s">
        <v>3859</v>
      </c>
      <c r="F300" s="3">
        <v>43150.041666666701</v>
      </c>
      <c r="G300" s="38">
        <f ca="1">TRUNC(YEARFRAC(F300,TODAY(),1))</f>
        <v>7</v>
      </c>
      <c r="H300">
        <f>COUNTIF(BRON!A:A,Tabel6[[#This Row],[Personeelsnummer]])</f>
        <v>2</v>
      </c>
    </row>
    <row r="301" spans="1:8" x14ac:dyDescent="0.25">
      <c r="A301" s="34" t="s">
        <v>4214</v>
      </c>
      <c r="B301" s="34" t="s">
        <v>2007</v>
      </c>
      <c r="C301" s="34" t="s">
        <v>2006</v>
      </c>
      <c r="D301">
        <v>32611</v>
      </c>
      <c r="E301" s="34" t="s">
        <v>3851</v>
      </c>
      <c r="F301" s="3">
        <v>43178.041666666701</v>
      </c>
      <c r="G301" s="38">
        <f ca="1">TRUNC(YEARFRAC(F301,TODAY(),1))</f>
        <v>7</v>
      </c>
      <c r="H301">
        <f>COUNTIF(BRON!A:A,Tabel6[[#This Row],[Personeelsnummer]])</f>
        <v>2</v>
      </c>
    </row>
    <row r="302" spans="1:8" x14ac:dyDescent="0.25">
      <c r="A302" s="34" t="s">
        <v>4215</v>
      </c>
      <c r="B302" s="34" t="s">
        <v>2964</v>
      </c>
      <c r="C302" s="34" t="s">
        <v>2963</v>
      </c>
      <c r="D302">
        <v>32620</v>
      </c>
      <c r="E302" s="34" t="s">
        <v>3856</v>
      </c>
      <c r="F302" s="3">
        <v>43193.083333333299</v>
      </c>
      <c r="G302" s="38">
        <f ca="1">TRUNC(YEARFRAC(F302,TODAY(),1))</f>
        <v>7</v>
      </c>
      <c r="H302">
        <f>COUNTIF(BRON!A:A,Tabel6[[#This Row],[Personeelsnummer]])</f>
        <v>3</v>
      </c>
    </row>
    <row r="303" spans="1:8" x14ac:dyDescent="0.25">
      <c r="A303" s="34" t="s">
        <v>4216</v>
      </c>
      <c r="B303" s="34" t="s">
        <v>1674</v>
      </c>
      <c r="C303" s="34" t="s">
        <v>1673</v>
      </c>
      <c r="D303">
        <v>32951</v>
      </c>
      <c r="E303" s="34" t="s">
        <v>3855</v>
      </c>
      <c r="F303" s="3">
        <v>43304.083333333299</v>
      </c>
      <c r="G303" s="38">
        <f ca="1">TRUNC(YEARFRAC(F303,TODAY(),1))</f>
        <v>7</v>
      </c>
      <c r="H303">
        <f>COUNTIF(BRON!A:A,Tabel6[[#This Row],[Personeelsnummer]])</f>
        <v>6</v>
      </c>
    </row>
    <row r="304" spans="1:8" x14ac:dyDescent="0.25">
      <c r="A304" s="34" t="s">
        <v>4217</v>
      </c>
      <c r="B304" s="34" t="s">
        <v>3015</v>
      </c>
      <c r="C304" s="34" t="s">
        <v>3024</v>
      </c>
      <c r="D304">
        <v>33049</v>
      </c>
      <c r="E304" s="34" t="s">
        <v>3851</v>
      </c>
      <c r="F304" s="3">
        <v>43318.083333333299</v>
      </c>
      <c r="G304" s="38">
        <f ca="1">TRUNC(YEARFRAC(F304,TODAY(),1))</f>
        <v>7</v>
      </c>
      <c r="H304">
        <f>COUNTIF(BRON!A:A,Tabel6[[#This Row],[Personeelsnummer]])</f>
        <v>0</v>
      </c>
    </row>
    <row r="305" spans="1:8" x14ac:dyDescent="0.25">
      <c r="A305" s="34" t="s">
        <v>4219</v>
      </c>
      <c r="B305" s="34" t="s">
        <v>3116</v>
      </c>
      <c r="C305" s="34" t="s">
        <v>3115</v>
      </c>
      <c r="D305">
        <v>33400</v>
      </c>
      <c r="E305" s="34" t="s">
        <v>3853</v>
      </c>
      <c r="F305" s="3">
        <v>43444.041666666701</v>
      </c>
      <c r="G305" s="38">
        <f ca="1">TRUNC(YEARFRAC(F305,TODAY(),1))</f>
        <v>6</v>
      </c>
      <c r="H305">
        <f>COUNTIF(BRON!A:A,Tabel6[[#This Row],[Personeelsnummer]])</f>
        <v>3</v>
      </c>
    </row>
    <row r="306" spans="1:8" x14ac:dyDescent="0.25">
      <c r="A306" s="34" t="s">
        <v>4220</v>
      </c>
      <c r="B306" s="34" t="s">
        <v>3151</v>
      </c>
      <c r="C306" s="34" t="s">
        <v>3150</v>
      </c>
      <c r="D306">
        <v>33450</v>
      </c>
      <c r="E306" s="34" t="s">
        <v>3851</v>
      </c>
      <c r="F306" s="3">
        <v>43472.041666666701</v>
      </c>
      <c r="G306" s="38">
        <f ca="1">TRUNC(YEARFRAC(F306,TODAY(),1))</f>
        <v>6</v>
      </c>
      <c r="H306">
        <f>COUNTIF(BRON!A:A,Tabel6[[#This Row],[Personeelsnummer]])</f>
        <v>2</v>
      </c>
    </row>
    <row r="307" spans="1:8" x14ac:dyDescent="0.25">
      <c r="A307" s="34" t="s">
        <v>4221</v>
      </c>
      <c r="B307" s="34" t="s">
        <v>1956</v>
      </c>
      <c r="C307" s="34" t="s">
        <v>1955</v>
      </c>
      <c r="D307">
        <v>33488</v>
      </c>
      <c r="E307" s="34" t="s">
        <v>3856</v>
      </c>
      <c r="F307" s="3">
        <v>43486.041666666701</v>
      </c>
      <c r="G307" s="38">
        <f ca="1">TRUNC(YEARFRAC(F307,TODAY(),1))</f>
        <v>6</v>
      </c>
      <c r="H307">
        <f>COUNTIF(BRON!A:A,Tabel6[[#This Row],[Personeelsnummer]])</f>
        <v>2</v>
      </c>
    </row>
    <row r="308" spans="1:8" x14ac:dyDescent="0.25">
      <c r="A308" s="34" t="s">
        <v>4223</v>
      </c>
      <c r="B308" s="34" t="s">
        <v>2241</v>
      </c>
      <c r="C308" s="34" t="s">
        <v>2240</v>
      </c>
      <c r="D308">
        <v>33600</v>
      </c>
      <c r="E308" s="34" t="s">
        <v>3851</v>
      </c>
      <c r="F308" s="3">
        <v>43514.041666666701</v>
      </c>
      <c r="G308" s="38">
        <f ca="1">TRUNC(YEARFRAC(F308,TODAY(),1))</f>
        <v>6</v>
      </c>
      <c r="H308">
        <f>COUNTIF(BRON!A:A,Tabel6[[#This Row],[Personeelsnummer]])</f>
        <v>0</v>
      </c>
    </row>
    <row r="309" spans="1:8" x14ac:dyDescent="0.25">
      <c r="A309" s="34" t="s">
        <v>4224</v>
      </c>
      <c r="B309" s="34" t="s">
        <v>1528</v>
      </c>
      <c r="C309" s="34" t="s">
        <v>1527</v>
      </c>
      <c r="D309">
        <v>33639</v>
      </c>
      <c r="E309" s="34" t="s">
        <v>3855</v>
      </c>
      <c r="F309" s="3">
        <v>43528.041666666701</v>
      </c>
      <c r="G309" s="38">
        <f ca="1">TRUNC(YEARFRAC(F309,TODAY(),1))</f>
        <v>6</v>
      </c>
      <c r="H309">
        <f>COUNTIF(BRON!A:A,Tabel6[[#This Row],[Personeelsnummer]])</f>
        <v>0</v>
      </c>
    </row>
    <row r="310" spans="1:8" x14ac:dyDescent="0.25">
      <c r="A310" s="34" t="s">
        <v>4225</v>
      </c>
      <c r="B310" s="34" t="s">
        <v>1960</v>
      </c>
      <c r="C310" s="34" t="s">
        <v>1964</v>
      </c>
      <c r="D310">
        <v>33640</v>
      </c>
      <c r="E310" s="34" t="s">
        <v>3858</v>
      </c>
      <c r="F310" s="3">
        <v>43528.041666666701</v>
      </c>
      <c r="G310" s="38">
        <f ca="1">TRUNC(YEARFRAC(F310,TODAY(),1))</f>
        <v>6</v>
      </c>
      <c r="H310">
        <f>COUNTIF(BRON!A:A,Tabel6[[#This Row],[Personeelsnummer]])</f>
        <v>1</v>
      </c>
    </row>
    <row r="311" spans="1:8" x14ac:dyDescent="0.25">
      <c r="A311" s="34" t="s">
        <v>4226</v>
      </c>
      <c r="B311" s="34" t="s">
        <v>3092</v>
      </c>
      <c r="C311" s="34" t="s">
        <v>3095</v>
      </c>
      <c r="D311">
        <v>33698</v>
      </c>
      <c r="E311" s="34" t="s">
        <v>3858</v>
      </c>
      <c r="F311" s="3">
        <v>43542.041666666701</v>
      </c>
      <c r="G311" s="38">
        <f ca="1">TRUNC(YEARFRAC(F311,TODAY(),1))</f>
        <v>6</v>
      </c>
      <c r="H311">
        <f>COUNTIF(BRON!A:A,Tabel6[[#This Row],[Personeelsnummer]])</f>
        <v>0</v>
      </c>
    </row>
    <row r="312" spans="1:8" x14ac:dyDescent="0.25">
      <c r="A312" s="34" t="s">
        <v>4227</v>
      </c>
      <c r="B312" s="34" t="s">
        <v>2706</v>
      </c>
      <c r="C312" s="34" t="s">
        <v>2709</v>
      </c>
      <c r="D312">
        <v>33757</v>
      </c>
      <c r="E312" s="34" t="s">
        <v>3858</v>
      </c>
      <c r="F312" s="3">
        <v>43556.083333333299</v>
      </c>
      <c r="G312" s="38">
        <f ca="1">TRUNC(YEARFRAC(F312,TODAY(),1))</f>
        <v>6</v>
      </c>
      <c r="H312">
        <f>COUNTIF(BRON!A:A,Tabel6[[#This Row],[Personeelsnummer]])</f>
        <v>0</v>
      </c>
    </row>
    <row r="313" spans="1:8" x14ac:dyDescent="0.25">
      <c r="A313" s="34" t="s">
        <v>4228</v>
      </c>
      <c r="B313" s="34" t="s">
        <v>1349</v>
      </c>
      <c r="C313" s="34" t="s">
        <v>1585</v>
      </c>
      <c r="D313">
        <v>33982</v>
      </c>
      <c r="E313" s="34" t="s">
        <v>3857</v>
      </c>
      <c r="F313" s="3">
        <v>43605.083333333299</v>
      </c>
      <c r="G313" s="38">
        <f ca="1">TRUNC(YEARFRAC(F313,TODAY(),1))</f>
        <v>6</v>
      </c>
      <c r="H313">
        <f>COUNTIF(BRON!A:A,Tabel6[[#This Row],[Personeelsnummer]])</f>
        <v>0</v>
      </c>
    </row>
    <row r="314" spans="1:8" x14ac:dyDescent="0.25">
      <c r="A314" s="34" t="s">
        <v>4229</v>
      </c>
      <c r="B314" s="34" t="s">
        <v>2125</v>
      </c>
      <c r="C314" s="34" t="s">
        <v>2124</v>
      </c>
      <c r="D314">
        <v>33986</v>
      </c>
      <c r="E314" s="34" t="s">
        <v>3851</v>
      </c>
      <c r="F314" s="3">
        <v>43605.083333333299</v>
      </c>
      <c r="G314" s="38">
        <f ca="1">TRUNC(YEARFRAC(F314,TODAY(),1))</f>
        <v>6</v>
      </c>
      <c r="H314">
        <f>COUNTIF(BRON!A:A,Tabel6[[#This Row],[Personeelsnummer]])</f>
        <v>4</v>
      </c>
    </row>
    <row r="315" spans="1:8" x14ac:dyDescent="0.25">
      <c r="A315" s="34" t="s">
        <v>4230</v>
      </c>
      <c r="B315" s="34" t="s">
        <v>1550</v>
      </c>
      <c r="C315" s="34" t="s">
        <v>1560</v>
      </c>
      <c r="D315">
        <v>34019</v>
      </c>
      <c r="E315" s="34" t="s">
        <v>3853</v>
      </c>
      <c r="F315" s="3">
        <v>43627.083333333299</v>
      </c>
      <c r="G315" s="38">
        <f ca="1">TRUNC(YEARFRAC(F315,TODAY(),1))</f>
        <v>6</v>
      </c>
      <c r="H315">
        <f>COUNTIF(BRON!A:A,Tabel6[[#This Row],[Personeelsnummer]])</f>
        <v>1</v>
      </c>
    </row>
    <row r="316" spans="1:8" x14ac:dyDescent="0.25">
      <c r="A316" s="34" t="s">
        <v>4231</v>
      </c>
      <c r="B316" s="34" t="s">
        <v>2453</v>
      </c>
      <c r="C316" s="34" t="s">
        <v>2456</v>
      </c>
      <c r="D316">
        <v>34044</v>
      </c>
      <c r="E316" s="34" t="s">
        <v>3853</v>
      </c>
      <c r="F316" s="3">
        <v>43640.083333333299</v>
      </c>
      <c r="G316" s="38">
        <f ca="1">TRUNC(YEARFRAC(F316,TODAY(),1))</f>
        <v>6</v>
      </c>
      <c r="H316">
        <f>COUNTIF(BRON!A:A,Tabel6[[#This Row],[Personeelsnummer]])</f>
        <v>2</v>
      </c>
    </row>
    <row r="317" spans="1:8" x14ac:dyDescent="0.25">
      <c r="A317" s="34" t="s">
        <v>4232</v>
      </c>
      <c r="B317" s="34" t="s">
        <v>1575</v>
      </c>
      <c r="C317" s="34" t="s">
        <v>1574</v>
      </c>
      <c r="D317">
        <v>34198</v>
      </c>
      <c r="E317" s="34" t="s">
        <v>3856</v>
      </c>
      <c r="F317" s="3">
        <v>43669.083333333299</v>
      </c>
      <c r="G317" s="38">
        <f ca="1">TRUNC(YEARFRAC(F317,TODAY(),1))</f>
        <v>6</v>
      </c>
      <c r="H317">
        <f>COUNTIF(BRON!A:A,Tabel6[[#This Row],[Personeelsnummer]])</f>
        <v>2</v>
      </c>
    </row>
    <row r="318" spans="1:8" x14ac:dyDescent="0.25">
      <c r="A318" s="34" t="s">
        <v>4233</v>
      </c>
      <c r="B318" s="34" t="s">
        <v>2141</v>
      </c>
      <c r="C318" s="34" t="s">
        <v>2140</v>
      </c>
      <c r="D318">
        <v>34286</v>
      </c>
      <c r="E318" s="34" t="s">
        <v>3858</v>
      </c>
      <c r="F318" s="3">
        <v>43724.083333333299</v>
      </c>
      <c r="G318" s="38">
        <f ca="1">TRUNC(YEARFRAC(F318,TODAY(),1))</f>
        <v>6</v>
      </c>
      <c r="H318">
        <f>COUNTIF(BRON!A:A,Tabel6[[#This Row],[Personeelsnummer]])</f>
        <v>2</v>
      </c>
    </row>
    <row r="319" spans="1:8" x14ac:dyDescent="0.25">
      <c r="A319" s="34" t="s">
        <v>4234</v>
      </c>
      <c r="B319" s="34" t="s">
        <v>2766</v>
      </c>
      <c r="C319" s="34" t="s">
        <v>2765</v>
      </c>
      <c r="D319">
        <v>34312</v>
      </c>
      <c r="E319" s="34" t="s">
        <v>3858</v>
      </c>
      <c r="F319" s="3">
        <v>43710.083333333299</v>
      </c>
      <c r="G319" s="38">
        <f ca="1">TRUNC(YEARFRAC(F319,TODAY(),1))</f>
        <v>6</v>
      </c>
      <c r="H319">
        <f>COUNTIF(BRON!A:A,Tabel6[[#This Row],[Personeelsnummer]])</f>
        <v>0</v>
      </c>
    </row>
    <row r="320" spans="1:8" x14ac:dyDescent="0.25">
      <c r="A320" s="34" t="s">
        <v>4236</v>
      </c>
      <c r="B320" s="34" t="s">
        <v>2531</v>
      </c>
      <c r="C320" s="34" t="s">
        <v>2530</v>
      </c>
      <c r="D320">
        <v>34328</v>
      </c>
      <c r="E320" s="34" t="s">
        <v>3851</v>
      </c>
      <c r="F320" s="3">
        <v>43710.083333333299</v>
      </c>
      <c r="G320" s="38">
        <f ca="1">TRUNC(YEARFRAC(F320,TODAY(),1))</f>
        <v>6</v>
      </c>
      <c r="H320">
        <f>COUNTIF(BRON!A:A,Tabel6[[#This Row],[Personeelsnummer]])</f>
        <v>4</v>
      </c>
    </row>
    <row r="321" spans="1:8" x14ac:dyDescent="0.25">
      <c r="A321" s="34" t="s">
        <v>4237</v>
      </c>
      <c r="B321" s="34" t="s">
        <v>3038</v>
      </c>
      <c r="C321" s="34" t="s">
        <v>3037</v>
      </c>
      <c r="D321">
        <v>34351</v>
      </c>
      <c r="E321" s="34" t="s">
        <v>3856</v>
      </c>
      <c r="F321" s="3">
        <v>43710.083333333299</v>
      </c>
      <c r="G321" s="38">
        <f ca="1">TRUNC(YEARFRAC(F321,TODAY(),1))</f>
        <v>6</v>
      </c>
      <c r="H321">
        <f>COUNTIF(BRON!A:A,Tabel6[[#This Row],[Personeelsnummer]])</f>
        <v>3</v>
      </c>
    </row>
    <row r="322" spans="1:8" x14ac:dyDescent="0.25">
      <c r="A322" s="34" t="s">
        <v>4238</v>
      </c>
      <c r="B322" s="34" t="s">
        <v>549</v>
      </c>
      <c r="C322" s="34" t="s">
        <v>1439</v>
      </c>
      <c r="D322">
        <v>34385</v>
      </c>
      <c r="E322" s="34" t="s">
        <v>3852</v>
      </c>
      <c r="F322" s="3">
        <v>43697.083333333299</v>
      </c>
      <c r="G322" s="38">
        <f ca="1">TRUNC(YEARFRAC(F322,TODAY(),1))</f>
        <v>6</v>
      </c>
      <c r="H322">
        <f>COUNTIF(BRON!A:A,Tabel6[[#This Row],[Personeelsnummer]])</f>
        <v>1</v>
      </c>
    </row>
    <row r="323" spans="1:8" x14ac:dyDescent="0.25">
      <c r="A323" s="34" t="s">
        <v>4239</v>
      </c>
      <c r="B323" s="34" t="s">
        <v>2683</v>
      </c>
      <c r="C323" s="34" t="s">
        <v>2682</v>
      </c>
      <c r="D323">
        <v>34445</v>
      </c>
      <c r="E323" s="34" t="s">
        <v>3859</v>
      </c>
      <c r="F323" s="3">
        <v>43752.083333333299</v>
      </c>
      <c r="G323" s="38">
        <f ca="1">TRUNC(YEARFRAC(F323,TODAY(),1))</f>
        <v>6</v>
      </c>
      <c r="H323">
        <f>COUNTIF(BRON!A:A,Tabel6[[#This Row],[Personeelsnummer]])</f>
        <v>5</v>
      </c>
    </row>
    <row r="324" spans="1:8" x14ac:dyDescent="0.25">
      <c r="A324" s="34" t="s">
        <v>4240</v>
      </c>
      <c r="B324" s="34" t="s">
        <v>2462</v>
      </c>
      <c r="C324" s="34" t="s">
        <v>2465</v>
      </c>
      <c r="D324">
        <v>34664</v>
      </c>
      <c r="E324" s="34" t="s">
        <v>3858</v>
      </c>
      <c r="F324" s="3">
        <v>43781.041666666701</v>
      </c>
      <c r="G324" s="38">
        <f ca="1">TRUNC(YEARFRAC(F324,TODAY(),1))</f>
        <v>6</v>
      </c>
      <c r="H324">
        <f>COUNTIF(BRON!A:A,Tabel6[[#This Row],[Personeelsnummer]])</f>
        <v>0</v>
      </c>
    </row>
    <row r="325" spans="1:8" x14ac:dyDescent="0.25">
      <c r="A325" s="34" t="s">
        <v>4241</v>
      </c>
      <c r="B325" s="34" t="s">
        <v>2093</v>
      </c>
      <c r="C325" s="34" t="s">
        <v>2102</v>
      </c>
      <c r="D325">
        <v>35005</v>
      </c>
      <c r="E325" s="34" t="s">
        <v>3854</v>
      </c>
      <c r="F325" s="3">
        <v>43850.041666666701</v>
      </c>
      <c r="G325" s="38">
        <f ca="1">TRUNC(YEARFRAC(F325,TODAY(),1))</f>
        <v>5</v>
      </c>
      <c r="H325">
        <f>COUNTIF(BRON!A:A,Tabel6[[#This Row],[Personeelsnummer]])</f>
        <v>0</v>
      </c>
    </row>
    <row r="326" spans="1:8" x14ac:dyDescent="0.25">
      <c r="A326" s="34" t="s">
        <v>4242</v>
      </c>
      <c r="B326" s="34" t="s">
        <v>1407</v>
      </c>
      <c r="C326" s="34" t="s">
        <v>1406</v>
      </c>
      <c r="D326">
        <v>35006</v>
      </c>
      <c r="E326" s="34" t="s">
        <v>3851</v>
      </c>
      <c r="F326" s="3">
        <v>43906.041666666701</v>
      </c>
      <c r="G326" s="38">
        <f ca="1">TRUNC(YEARFRAC(F326,TODAY(),1))</f>
        <v>5</v>
      </c>
      <c r="H326">
        <f>COUNTIF(BRON!A:A,Tabel6[[#This Row],[Personeelsnummer]])</f>
        <v>1</v>
      </c>
    </row>
    <row r="327" spans="1:8" x14ac:dyDescent="0.25">
      <c r="A327" s="34" t="s">
        <v>4243</v>
      </c>
      <c r="B327" s="34" t="s">
        <v>1821</v>
      </c>
      <c r="C327" s="34" t="s">
        <v>1820</v>
      </c>
      <c r="D327">
        <v>35026</v>
      </c>
      <c r="E327" s="34" t="s">
        <v>3858</v>
      </c>
      <c r="F327" s="3">
        <v>43850.041666666701</v>
      </c>
      <c r="G327" s="38">
        <f ca="1">TRUNC(YEARFRAC(F327,TODAY(),1))</f>
        <v>5</v>
      </c>
      <c r="H327">
        <f>COUNTIF(BRON!A:A,Tabel6[[#This Row],[Personeelsnummer]])</f>
        <v>0</v>
      </c>
    </row>
    <row r="328" spans="1:8" x14ac:dyDescent="0.25">
      <c r="A328" s="34" t="s">
        <v>4244</v>
      </c>
      <c r="B328" s="34" t="s">
        <v>1452</v>
      </c>
      <c r="C328" s="34" t="s">
        <v>1470</v>
      </c>
      <c r="D328">
        <v>35030</v>
      </c>
      <c r="E328" s="34" t="s">
        <v>3855</v>
      </c>
      <c r="F328" s="3">
        <v>43892.041666666701</v>
      </c>
      <c r="G328" s="38">
        <f ca="1">TRUNC(YEARFRAC(F328,TODAY(),1))</f>
        <v>5</v>
      </c>
      <c r="H328">
        <f>COUNTIF(BRON!A:A,Tabel6[[#This Row],[Personeelsnummer]])</f>
        <v>0</v>
      </c>
    </row>
    <row r="329" spans="1:8" x14ac:dyDescent="0.25">
      <c r="A329" s="34" t="s">
        <v>4245</v>
      </c>
      <c r="B329" s="34" t="s">
        <v>3442</v>
      </c>
      <c r="C329" s="34" t="s">
        <v>3441</v>
      </c>
      <c r="D329">
        <v>35055</v>
      </c>
      <c r="E329" s="34" t="s">
        <v>3856</v>
      </c>
      <c r="F329" s="3">
        <v>43864.041666666701</v>
      </c>
      <c r="G329" s="38">
        <f ca="1">TRUNC(YEARFRAC(F329,TODAY(),1))</f>
        <v>5</v>
      </c>
      <c r="H329">
        <f>COUNTIF(BRON!A:A,Tabel6[[#This Row],[Personeelsnummer]])</f>
        <v>2</v>
      </c>
    </row>
    <row r="330" spans="1:8" x14ac:dyDescent="0.25">
      <c r="A330" s="34" t="s">
        <v>4246</v>
      </c>
      <c r="B330" s="34" t="s">
        <v>1326</v>
      </c>
      <c r="C330" s="34" t="s">
        <v>2995</v>
      </c>
      <c r="D330">
        <v>35107</v>
      </c>
      <c r="E330" s="34" t="s">
        <v>3854</v>
      </c>
      <c r="F330" s="3">
        <v>43864.041666666701</v>
      </c>
      <c r="G330" s="38">
        <f ca="1">TRUNC(YEARFRAC(F330,TODAY(),1))</f>
        <v>5</v>
      </c>
      <c r="H330">
        <f>COUNTIF(BRON!A:A,Tabel6[[#This Row],[Personeelsnummer]])</f>
        <v>1</v>
      </c>
    </row>
    <row r="331" spans="1:8" x14ac:dyDescent="0.25">
      <c r="A331" s="34" t="s">
        <v>4247</v>
      </c>
      <c r="B331" s="34" t="s">
        <v>3105</v>
      </c>
      <c r="C331" s="34" t="s">
        <v>3108</v>
      </c>
      <c r="D331">
        <v>35120</v>
      </c>
      <c r="E331" s="34" t="s">
        <v>3857</v>
      </c>
      <c r="F331" s="3">
        <v>43878.041666666701</v>
      </c>
      <c r="G331" s="38">
        <f ca="1">TRUNC(YEARFRAC(F331,TODAY(),1))</f>
        <v>5</v>
      </c>
      <c r="H331">
        <f>COUNTIF(BRON!A:A,Tabel6[[#This Row],[Personeelsnummer]])</f>
        <v>1</v>
      </c>
    </row>
    <row r="332" spans="1:8" x14ac:dyDescent="0.25">
      <c r="A332" s="34" t="s">
        <v>4248</v>
      </c>
      <c r="B332" s="34" t="s">
        <v>2931</v>
      </c>
      <c r="C332" s="34" t="s">
        <v>2936</v>
      </c>
      <c r="D332">
        <v>35187</v>
      </c>
      <c r="E332" s="34" t="s">
        <v>3855</v>
      </c>
      <c r="F332" s="3">
        <v>43891.041666666701</v>
      </c>
      <c r="G332" s="38">
        <f ca="1">TRUNC(YEARFRAC(F332,TODAY(),1))</f>
        <v>5</v>
      </c>
      <c r="H332">
        <f>COUNTIF(BRON!A:A,Tabel6[[#This Row],[Personeelsnummer]])</f>
        <v>1</v>
      </c>
    </row>
    <row r="333" spans="1:8" x14ac:dyDescent="0.25">
      <c r="A333" s="34" t="s">
        <v>4249</v>
      </c>
      <c r="B333" s="34" t="s">
        <v>2220</v>
      </c>
      <c r="C333" s="34" t="s">
        <v>2219</v>
      </c>
      <c r="D333">
        <v>35216</v>
      </c>
      <c r="E333" s="34" t="s">
        <v>3855</v>
      </c>
      <c r="F333" s="3">
        <v>43892.041666666701</v>
      </c>
      <c r="G333" s="38">
        <f ca="1">TRUNC(YEARFRAC(F333,TODAY(),1))</f>
        <v>5</v>
      </c>
      <c r="H333">
        <f>COUNTIF(BRON!A:A,Tabel6[[#This Row],[Personeelsnummer]])</f>
        <v>1</v>
      </c>
    </row>
    <row r="334" spans="1:8" x14ac:dyDescent="0.25">
      <c r="A334" s="34" t="s">
        <v>4250</v>
      </c>
      <c r="B334" s="34" t="s">
        <v>3418</v>
      </c>
      <c r="C334" s="34" t="s">
        <v>3417</v>
      </c>
      <c r="D334">
        <v>35220</v>
      </c>
      <c r="E334" s="34" t="s">
        <v>3855</v>
      </c>
      <c r="F334" s="3">
        <v>43906.041666666701</v>
      </c>
      <c r="G334" s="38">
        <f ca="1">TRUNC(YEARFRAC(F334,TODAY(),1))</f>
        <v>5</v>
      </c>
      <c r="H334">
        <f>COUNTIF(BRON!A:A,Tabel6[[#This Row],[Personeelsnummer]])</f>
        <v>0</v>
      </c>
    </row>
    <row r="335" spans="1:8" x14ac:dyDescent="0.25">
      <c r="A335" s="34" t="s">
        <v>4251</v>
      </c>
      <c r="B335" s="34" t="s">
        <v>2516</v>
      </c>
      <c r="C335" s="34" t="s">
        <v>1255</v>
      </c>
      <c r="D335">
        <v>35246</v>
      </c>
      <c r="E335" s="34" t="s">
        <v>3856</v>
      </c>
      <c r="F335" s="3">
        <v>43906.041666666701</v>
      </c>
      <c r="G335" s="38">
        <f ca="1">TRUNC(YEARFRAC(F335,TODAY(),1))</f>
        <v>5</v>
      </c>
      <c r="H335">
        <f>COUNTIF(BRON!A:A,Tabel6[[#This Row],[Personeelsnummer]])</f>
        <v>2</v>
      </c>
    </row>
    <row r="336" spans="1:8" x14ac:dyDescent="0.25">
      <c r="A336" s="34" t="s">
        <v>4252</v>
      </c>
      <c r="B336" s="34" t="s">
        <v>2237</v>
      </c>
      <c r="C336" s="34" t="s">
        <v>2236</v>
      </c>
      <c r="D336">
        <v>35334</v>
      </c>
      <c r="E336" s="34" t="s">
        <v>3856</v>
      </c>
      <c r="F336" s="3">
        <v>43944.083333333299</v>
      </c>
      <c r="G336" s="38">
        <f ca="1">TRUNC(YEARFRAC(F336,TODAY(),1))</f>
        <v>5</v>
      </c>
      <c r="H336">
        <f>COUNTIF(BRON!A:A,Tabel6[[#This Row],[Personeelsnummer]])</f>
        <v>0</v>
      </c>
    </row>
    <row r="337" spans="1:8" x14ac:dyDescent="0.25">
      <c r="A337" s="34" t="s">
        <v>4253</v>
      </c>
      <c r="B337" s="34" t="s">
        <v>1766</v>
      </c>
      <c r="C337" s="34" t="s">
        <v>1490</v>
      </c>
      <c r="D337">
        <v>35379</v>
      </c>
      <c r="E337" s="34" t="s">
        <v>3856</v>
      </c>
      <c r="F337" s="3">
        <v>43969.083333333299</v>
      </c>
      <c r="G337" s="38">
        <f ca="1">TRUNC(YEARFRAC(F337,TODAY(),1))</f>
        <v>5</v>
      </c>
      <c r="H337">
        <f>COUNTIF(BRON!A:A,Tabel6[[#This Row],[Personeelsnummer]])</f>
        <v>2</v>
      </c>
    </row>
    <row r="338" spans="1:8" x14ac:dyDescent="0.25">
      <c r="A338" s="34" t="s">
        <v>4254</v>
      </c>
      <c r="B338" s="34" t="s">
        <v>2745</v>
      </c>
      <c r="C338" s="34" t="s">
        <v>2744</v>
      </c>
      <c r="D338">
        <v>35395</v>
      </c>
      <c r="E338" s="34" t="s">
        <v>3858</v>
      </c>
      <c r="F338" s="3">
        <v>43980.083333333299</v>
      </c>
      <c r="G338" s="38">
        <f ca="1">TRUNC(YEARFRAC(F338,TODAY(),1))</f>
        <v>5</v>
      </c>
      <c r="H338">
        <f>COUNTIF(BRON!A:A,Tabel6[[#This Row],[Personeelsnummer]])</f>
        <v>2</v>
      </c>
    </row>
    <row r="339" spans="1:8" x14ac:dyDescent="0.25">
      <c r="A339" s="34" t="s">
        <v>4255</v>
      </c>
      <c r="B339" s="34" t="s">
        <v>3408</v>
      </c>
      <c r="C339" s="34" t="s">
        <v>3407</v>
      </c>
      <c r="D339">
        <v>35397</v>
      </c>
      <c r="E339" s="34" t="s">
        <v>3855</v>
      </c>
      <c r="F339" s="3">
        <v>43984.083333333299</v>
      </c>
      <c r="G339" s="38">
        <f ca="1">TRUNC(YEARFRAC(F339,TODAY(),1))</f>
        <v>5</v>
      </c>
      <c r="H339">
        <f>COUNTIF(BRON!A:A,Tabel6[[#This Row],[Personeelsnummer]])</f>
        <v>2</v>
      </c>
    </row>
    <row r="340" spans="1:8" x14ac:dyDescent="0.25">
      <c r="A340" s="34" t="s">
        <v>4257</v>
      </c>
      <c r="B340" s="34" t="s">
        <v>3055</v>
      </c>
      <c r="C340" s="34" t="s">
        <v>3058</v>
      </c>
      <c r="D340">
        <v>35419</v>
      </c>
      <c r="E340" s="34" t="s">
        <v>3855</v>
      </c>
      <c r="F340" s="3">
        <v>44011.083333333299</v>
      </c>
      <c r="G340" s="38">
        <f ca="1">TRUNC(YEARFRAC(F340,TODAY(),1))</f>
        <v>5</v>
      </c>
      <c r="H340">
        <f>COUNTIF(BRON!A:A,Tabel6[[#This Row],[Personeelsnummer]])</f>
        <v>0</v>
      </c>
    </row>
    <row r="341" spans="1:8" x14ac:dyDescent="0.25">
      <c r="A341" s="34" t="s">
        <v>4258</v>
      </c>
      <c r="B341" s="34" t="s">
        <v>3015</v>
      </c>
      <c r="C341" s="34" t="s">
        <v>3021</v>
      </c>
      <c r="D341">
        <v>35430</v>
      </c>
      <c r="E341" s="34" t="s">
        <v>3856</v>
      </c>
      <c r="F341" s="3">
        <v>44011.083333333299</v>
      </c>
      <c r="G341" s="38">
        <f ca="1">TRUNC(YEARFRAC(F341,TODAY(),1))</f>
        <v>5</v>
      </c>
      <c r="H341">
        <f>COUNTIF(BRON!A:A,Tabel6[[#This Row],[Personeelsnummer]])</f>
        <v>2</v>
      </c>
    </row>
    <row r="342" spans="1:8" x14ac:dyDescent="0.25">
      <c r="A342" s="34" t="s">
        <v>4259</v>
      </c>
      <c r="B342" s="34" t="s">
        <v>3299</v>
      </c>
      <c r="C342" s="34" t="s">
        <v>3298</v>
      </c>
      <c r="D342">
        <v>35434</v>
      </c>
      <c r="E342" s="34" t="s">
        <v>3859</v>
      </c>
      <c r="F342" s="3">
        <v>44081.083333333299</v>
      </c>
      <c r="G342" s="38">
        <f ca="1">TRUNC(YEARFRAC(F342,TODAY(),1))</f>
        <v>5</v>
      </c>
      <c r="H342">
        <f>COUNTIF(BRON!A:A,Tabel6[[#This Row],[Personeelsnummer]])</f>
        <v>1</v>
      </c>
    </row>
    <row r="343" spans="1:8" x14ac:dyDescent="0.25">
      <c r="A343" s="34" t="s">
        <v>4260</v>
      </c>
      <c r="B343" s="34" t="s">
        <v>2706</v>
      </c>
      <c r="C343" s="34" t="s">
        <v>2705</v>
      </c>
      <c r="D343">
        <v>35450</v>
      </c>
      <c r="E343" s="34" t="s">
        <v>3857</v>
      </c>
      <c r="F343" s="3">
        <v>43997.083333333299</v>
      </c>
      <c r="G343" s="38">
        <f ca="1">TRUNC(YEARFRAC(F343,TODAY(),1))</f>
        <v>5</v>
      </c>
      <c r="H343">
        <f>COUNTIF(BRON!A:A,Tabel6[[#This Row],[Personeelsnummer]])</f>
        <v>4</v>
      </c>
    </row>
    <row r="344" spans="1:8" x14ac:dyDescent="0.25">
      <c r="A344" s="34" t="s">
        <v>4261</v>
      </c>
      <c r="B344" s="34" t="s">
        <v>1550</v>
      </c>
      <c r="C344" s="34" t="s">
        <v>1554</v>
      </c>
      <c r="D344">
        <v>35463</v>
      </c>
      <c r="E344" s="34" t="s">
        <v>3859</v>
      </c>
      <c r="F344" s="3">
        <v>44025.083333333299</v>
      </c>
      <c r="G344" s="38">
        <f ca="1">TRUNC(YEARFRAC(F344,TODAY(),1))</f>
        <v>5</v>
      </c>
      <c r="H344">
        <f>COUNTIF(BRON!A:A,Tabel6[[#This Row],[Personeelsnummer]])</f>
        <v>4</v>
      </c>
    </row>
    <row r="345" spans="1:8" x14ac:dyDescent="0.25">
      <c r="A345" s="34" t="s">
        <v>4262</v>
      </c>
      <c r="B345" s="34" t="s">
        <v>2850</v>
      </c>
      <c r="C345" s="34" t="s">
        <v>1744</v>
      </c>
      <c r="D345">
        <v>35471</v>
      </c>
      <c r="E345" s="34" t="s">
        <v>3855</v>
      </c>
      <c r="F345" s="3">
        <v>43993.083333333299</v>
      </c>
      <c r="G345" s="38">
        <f ca="1">TRUNC(YEARFRAC(F345,TODAY(),1))</f>
        <v>5</v>
      </c>
      <c r="H345">
        <f>COUNTIF(BRON!A:A,Tabel6[[#This Row],[Personeelsnummer]])</f>
        <v>0</v>
      </c>
    </row>
    <row r="346" spans="1:8" x14ac:dyDescent="0.25">
      <c r="A346" s="34" t="s">
        <v>4263</v>
      </c>
      <c r="B346" s="34" t="s">
        <v>3191</v>
      </c>
      <c r="C346" s="34" t="s">
        <v>3190</v>
      </c>
      <c r="D346">
        <v>35490</v>
      </c>
      <c r="E346" s="34" t="s">
        <v>3858</v>
      </c>
      <c r="F346" s="3">
        <v>44025.083333333299</v>
      </c>
      <c r="G346" s="38">
        <f ca="1">TRUNC(YEARFRAC(F346,TODAY(),1))</f>
        <v>5</v>
      </c>
      <c r="H346">
        <f>COUNTIF(BRON!A:A,Tabel6[[#This Row],[Personeelsnummer]])</f>
        <v>1</v>
      </c>
    </row>
    <row r="347" spans="1:8" x14ac:dyDescent="0.25">
      <c r="A347" s="34" t="s">
        <v>4264</v>
      </c>
      <c r="B347" s="34" t="s">
        <v>1394</v>
      </c>
      <c r="C347" s="34" t="s">
        <v>1393</v>
      </c>
      <c r="D347">
        <v>35491</v>
      </c>
      <c r="E347" s="34" t="s">
        <v>3856</v>
      </c>
      <c r="F347" s="3">
        <v>44025.083333333299</v>
      </c>
      <c r="G347" s="38">
        <f ca="1">TRUNC(YEARFRAC(F347,TODAY(),1))</f>
        <v>5</v>
      </c>
      <c r="H347">
        <f>COUNTIF(BRON!A:A,Tabel6[[#This Row],[Personeelsnummer]])</f>
        <v>2</v>
      </c>
    </row>
    <row r="348" spans="1:8" x14ac:dyDescent="0.25">
      <c r="A348" s="34" t="s">
        <v>4265</v>
      </c>
      <c r="B348" s="34" t="s">
        <v>2288</v>
      </c>
      <c r="C348" s="34" t="s">
        <v>2287</v>
      </c>
      <c r="D348">
        <v>35493</v>
      </c>
      <c r="E348" s="34" t="s">
        <v>3855</v>
      </c>
      <c r="F348" s="3">
        <v>44039.083333333299</v>
      </c>
      <c r="G348" s="38">
        <f ca="1">TRUNC(YEARFRAC(F348,TODAY(),1))</f>
        <v>5</v>
      </c>
      <c r="H348">
        <f>COUNTIF(BRON!A:A,Tabel6[[#This Row],[Personeelsnummer]])</f>
        <v>1</v>
      </c>
    </row>
    <row r="349" spans="1:8" x14ac:dyDescent="0.25">
      <c r="A349" s="34" t="s">
        <v>4266</v>
      </c>
      <c r="B349" s="34" t="s">
        <v>2324</v>
      </c>
      <c r="C349" s="34" t="s">
        <v>2323</v>
      </c>
      <c r="D349">
        <v>35494</v>
      </c>
      <c r="E349" s="34" t="s">
        <v>3856</v>
      </c>
      <c r="F349" s="3">
        <v>44039.083333333299</v>
      </c>
      <c r="G349" s="38">
        <f ca="1">TRUNC(YEARFRAC(F349,TODAY(),1))</f>
        <v>5</v>
      </c>
      <c r="H349">
        <f>COUNTIF(BRON!A:A,Tabel6[[#This Row],[Personeelsnummer]])</f>
        <v>0</v>
      </c>
    </row>
    <row r="350" spans="1:8" x14ac:dyDescent="0.25">
      <c r="A350" s="34" t="s">
        <v>4267</v>
      </c>
      <c r="B350" s="34" t="s">
        <v>2311</v>
      </c>
      <c r="C350" s="34" t="s">
        <v>2320</v>
      </c>
      <c r="D350">
        <v>35495</v>
      </c>
      <c r="E350" s="34" t="s">
        <v>3851</v>
      </c>
      <c r="F350" s="3">
        <v>44025.083333333299</v>
      </c>
      <c r="G350" s="38">
        <f ca="1">TRUNC(YEARFRAC(F350,TODAY(),1))</f>
        <v>5</v>
      </c>
      <c r="H350">
        <f>COUNTIF(BRON!A:A,Tabel6[[#This Row],[Personeelsnummer]])</f>
        <v>1</v>
      </c>
    </row>
    <row r="351" spans="1:8" x14ac:dyDescent="0.25">
      <c r="A351" s="34" t="s">
        <v>4268</v>
      </c>
      <c r="B351" s="34" t="s">
        <v>2792</v>
      </c>
      <c r="C351" s="34" t="s">
        <v>2068</v>
      </c>
      <c r="D351">
        <v>35588</v>
      </c>
      <c r="E351" s="34" t="s">
        <v>3855</v>
      </c>
      <c r="F351" s="3">
        <v>44039.083333333299</v>
      </c>
      <c r="G351" s="38">
        <f ca="1">TRUNC(YEARFRAC(F351,TODAY(),1))</f>
        <v>5</v>
      </c>
      <c r="H351">
        <f>COUNTIF(BRON!A:A,Tabel6[[#This Row],[Personeelsnummer]])</f>
        <v>3</v>
      </c>
    </row>
    <row r="352" spans="1:8" x14ac:dyDescent="0.25">
      <c r="A352" s="34" t="s">
        <v>4269</v>
      </c>
      <c r="B352" s="34" t="s">
        <v>1448</v>
      </c>
      <c r="C352" s="34" t="s">
        <v>1447</v>
      </c>
      <c r="D352">
        <v>35598</v>
      </c>
      <c r="E352" s="34" t="s">
        <v>3859</v>
      </c>
      <c r="F352" s="3">
        <v>44039.083333333299</v>
      </c>
      <c r="G352" s="38">
        <f ca="1">TRUNC(YEARFRAC(F352,TODAY(),1))</f>
        <v>5</v>
      </c>
      <c r="H352">
        <f>COUNTIF(BRON!A:A,Tabel6[[#This Row],[Personeelsnummer]])</f>
        <v>1</v>
      </c>
    </row>
    <row r="353" spans="1:8" x14ac:dyDescent="0.25">
      <c r="A353" s="34" t="s">
        <v>4270</v>
      </c>
      <c r="B353" s="34" t="s">
        <v>1389</v>
      </c>
      <c r="C353" s="34" t="s">
        <v>1388</v>
      </c>
      <c r="D353">
        <v>35619</v>
      </c>
      <c r="E353" s="34" t="s">
        <v>3858</v>
      </c>
      <c r="F353" s="3">
        <v>44067.083333333299</v>
      </c>
      <c r="G353" s="38">
        <f ca="1">TRUNC(YEARFRAC(F353,TODAY(),1))</f>
        <v>5</v>
      </c>
      <c r="H353">
        <f>COUNTIF(BRON!A:A,Tabel6[[#This Row],[Personeelsnummer]])</f>
        <v>1</v>
      </c>
    </row>
    <row r="354" spans="1:8" x14ac:dyDescent="0.25">
      <c r="A354" s="34" t="s">
        <v>4271</v>
      </c>
      <c r="B354" s="34" t="s">
        <v>3136</v>
      </c>
      <c r="C354" s="34" t="s">
        <v>3135</v>
      </c>
      <c r="D354">
        <v>35623</v>
      </c>
      <c r="E354" s="34" t="s">
        <v>3854</v>
      </c>
      <c r="F354" s="3">
        <v>44081.083333333299</v>
      </c>
      <c r="G354" s="38">
        <f ca="1">TRUNC(YEARFRAC(F354,TODAY(),1))</f>
        <v>5</v>
      </c>
      <c r="H354">
        <f>COUNTIF(BRON!A:A,Tabel6[[#This Row],[Personeelsnummer]])</f>
        <v>0</v>
      </c>
    </row>
    <row r="355" spans="1:8" x14ac:dyDescent="0.25">
      <c r="A355" s="34" t="s">
        <v>4272</v>
      </c>
      <c r="B355" s="34" t="s">
        <v>1435</v>
      </c>
      <c r="C355" s="34" t="s">
        <v>1434</v>
      </c>
      <c r="D355">
        <v>35645</v>
      </c>
      <c r="E355" s="34" t="s">
        <v>3858</v>
      </c>
      <c r="F355" s="3">
        <v>44070.083333333299</v>
      </c>
      <c r="G355" s="38">
        <f ca="1">TRUNC(YEARFRAC(F355,TODAY(),1))</f>
        <v>5</v>
      </c>
      <c r="H355">
        <f>COUNTIF(BRON!A:A,Tabel6[[#This Row],[Personeelsnummer]])</f>
        <v>4</v>
      </c>
    </row>
    <row r="356" spans="1:8" x14ac:dyDescent="0.25">
      <c r="A356" s="34" t="s">
        <v>4273</v>
      </c>
      <c r="B356" s="34" t="s">
        <v>1760</v>
      </c>
      <c r="C356" s="34" t="s">
        <v>1759</v>
      </c>
      <c r="D356">
        <v>35709</v>
      </c>
      <c r="E356" s="34" t="s">
        <v>3856</v>
      </c>
      <c r="F356" s="3">
        <v>44075.083333333299</v>
      </c>
      <c r="G356" s="38">
        <f ca="1">TRUNC(YEARFRAC(F356,TODAY(),1))</f>
        <v>5</v>
      </c>
      <c r="H356">
        <f>COUNTIF(BRON!A:A,Tabel6[[#This Row],[Personeelsnummer]])</f>
        <v>1</v>
      </c>
    </row>
    <row r="357" spans="1:8" x14ac:dyDescent="0.25">
      <c r="A357" s="34" t="s">
        <v>4274</v>
      </c>
      <c r="B357" s="34" t="s">
        <v>2698</v>
      </c>
      <c r="C357" s="34" t="s">
        <v>2666</v>
      </c>
      <c r="D357">
        <v>35761</v>
      </c>
      <c r="E357" s="34" t="s">
        <v>3857</v>
      </c>
      <c r="F357" s="3">
        <v>44067.083333333299</v>
      </c>
      <c r="G357" s="38">
        <f ca="1">TRUNC(YEARFRAC(F357,TODAY(),1))</f>
        <v>5</v>
      </c>
      <c r="H357">
        <f>COUNTIF(BRON!A:A,Tabel6[[#This Row],[Personeelsnummer]])</f>
        <v>0</v>
      </c>
    </row>
    <row r="358" spans="1:8" x14ac:dyDescent="0.25">
      <c r="A358" s="34" t="s">
        <v>4275</v>
      </c>
      <c r="B358" s="34" t="s">
        <v>1960</v>
      </c>
      <c r="C358" s="34" t="s">
        <v>1959</v>
      </c>
      <c r="D358">
        <v>35862</v>
      </c>
      <c r="E358" s="34" t="s">
        <v>3857</v>
      </c>
      <c r="F358" s="3">
        <v>44123.083333333299</v>
      </c>
      <c r="G358" s="38">
        <f ca="1">TRUNC(YEARFRAC(F358,TODAY(),1))</f>
        <v>5</v>
      </c>
      <c r="H358">
        <f>COUNTIF(BRON!A:A,Tabel6[[#This Row],[Personeelsnummer]])</f>
        <v>0</v>
      </c>
    </row>
    <row r="359" spans="1:8" x14ac:dyDescent="0.25">
      <c r="A359" s="34" t="s">
        <v>4276</v>
      </c>
      <c r="B359" s="34" t="s">
        <v>2841</v>
      </c>
      <c r="C359" s="34" t="s">
        <v>2840</v>
      </c>
      <c r="D359">
        <v>36021</v>
      </c>
      <c r="E359" s="34" t="s">
        <v>3855</v>
      </c>
      <c r="F359" s="3">
        <v>44151.041666666701</v>
      </c>
      <c r="G359" s="38">
        <f ca="1">TRUNC(YEARFRAC(F359,TODAY(),1))</f>
        <v>5</v>
      </c>
      <c r="H359">
        <f>COUNTIF(BRON!A:A,Tabel6[[#This Row],[Personeelsnummer]])</f>
        <v>3</v>
      </c>
    </row>
    <row r="360" spans="1:8" x14ac:dyDescent="0.25">
      <c r="A360" s="34" t="s">
        <v>3893</v>
      </c>
      <c r="B360" s="34" t="s">
        <v>2663</v>
      </c>
      <c r="C360" s="34" t="s">
        <v>2662</v>
      </c>
      <c r="D360">
        <v>30321</v>
      </c>
      <c r="E360" s="34" t="s">
        <v>3851</v>
      </c>
      <c r="F360" s="3">
        <v>44348.083333333299</v>
      </c>
      <c r="G360" s="38">
        <f ca="1">TRUNC(YEARFRAC(F360,TODAY(),1))</f>
        <v>4</v>
      </c>
      <c r="H360">
        <f>COUNTIF(BRON!A:A,Tabel6[[#This Row],[Personeelsnummer]])</f>
        <v>2</v>
      </c>
    </row>
    <row r="361" spans="1:8" x14ac:dyDescent="0.25">
      <c r="A361" s="34" t="s">
        <v>4256</v>
      </c>
      <c r="B361" s="34" t="s">
        <v>3199</v>
      </c>
      <c r="C361" s="34" t="s">
        <v>3198</v>
      </c>
      <c r="D361">
        <v>35414</v>
      </c>
      <c r="E361" s="34" t="s">
        <v>3858</v>
      </c>
      <c r="F361" s="3">
        <v>44207.041666666701</v>
      </c>
      <c r="G361" s="38">
        <f ca="1">TRUNC(YEARFRAC(F361,TODAY(),1))</f>
        <v>4</v>
      </c>
      <c r="H361">
        <f>COUNTIF(BRON!A:A,Tabel6[[#This Row],[Personeelsnummer]])</f>
        <v>0</v>
      </c>
    </row>
    <row r="362" spans="1:8" x14ac:dyDescent="0.25">
      <c r="A362" s="34" t="s">
        <v>4277</v>
      </c>
      <c r="B362" s="34" t="s">
        <v>1616</v>
      </c>
      <c r="C362" s="34" t="s">
        <v>1495</v>
      </c>
      <c r="D362">
        <v>36154</v>
      </c>
      <c r="E362" s="34" t="s">
        <v>3855</v>
      </c>
      <c r="F362" s="3">
        <v>44214.041666666701</v>
      </c>
      <c r="G362" s="38">
        <f ca="1">TRUNC(YEARFRAC(F362,TODAY(),1))</f>
        <v>4</v>
      </c>
      <c r="H362">
        <f>COUNTIF(BRON!A:A,Tabel6[[#This Row],[Personeelsnummer]])</f>
        <v>1</v>
      </c>
    </row>
    <row r="363" spans="1:8" x14ac:dyDescent="0.25">
      <c r="A363" s="34" t="s">
        <v>4278</v>
      </c>
      <c r="B363" s="34" t="s">
        <v>3318</v>
      </c>
      <c r="C363" s="34" t="s">
        <v>3317</v>
      </c>
      <c r="D363">
        <v>36228</v>
      </c>
      <c r="E363" s="34" t="s">
        <v>3856</v>
      </c>
      <c r="F363" s="3">
        <v>44256.041666666701</v>
      </c>
      <c r="G363" s="38">
        <f ca="1">TRUNC(YEARFRAC(F363,TODAY(),1))</f>
        <v>4</v>
      </c>
      <c r="H363">
        <f>COUNTIF(BRON!A:A,Tabel6[[#This Row],[Personeelsnummer]])</f>
        <v>1</v>
      </c>
    </row>
    <row r="364" spans="1:8" x14ac:dyDescent="0.25">
      <c r="A364" s="34" t="s">
        <v>4280</v>
      </c>
      <c r="B364" s="34" t="s">
        <v>1647</v>
      </c>
      <c r="C364" s="34" t="s">
        <v>1646</v>
      </c>
      <c r="D364">
        <v>36289</v>
      </c>
      <c r="E364" s="34" t="s">
        <v>3856</v>
      </c>
      <c r="F364" s="3">
        <v>44284.083333333299</v>
      </c>
      <c r="G364" s="38">
        <f ca="1">TRUNC(YEARFRAC(F364,TODAY(),1))</f>
        <v>4</v>
      </c>
      <c r="H364">
        <f>COUNTIF(BRON!A:A,Tabel6[[#This Row],[Personeelsnummer]])</f>
        <v>3</v>
      </c>
    </row>
    <row r="365" spans="1:8" x14ac:dyDescent="0.25">
      <c r="A365" s="34" t="s">
        <v>4281</v>
      </c>
      <c r="B365" s="34" t="s">
        <v>1929</v>
      </c>
      <c r="C365" s="34" t="s">
        <v>1932</v>
      </c>
      <c r="D365">
        <v>36336</v>
      </c>
      <c r="E365" s="34" t="s">
        <v>3855</v>
      </c>
      <c r="F365" s="3">
        <v>44284.083333333299</v>
      </c>
      <c r="G365" s="38">
        <f ca="1">TRUNC(YEARFRAC(F365,TODAY(),1))</f>
        <v>4</v>
      </c>
      <c r="H365">
        <f>COUNTIF(BRON!A:A,Tabel6[[#This Row],[Personeelsnummer]])</f>
        <v>1</v>
      </c>
    </row>
    <row r="366" spans="1:8" x14ac:dyDescent="0.25">
      <c r="A366" s="34" t="s">
        <v>4282</v>
      </c>
      <c r="B366" s="34" t="s">
        <v>3105</v>
      </c>
      <c r="C366" s="34" t="s">
        <v>3104</v>
      </c>
      <c r="D366">
        <v>36337</v>
      </c>
      <c r="E366" s="34" t="s">
        <v>3851</v>
      </c>
      <c r="F366" s="3">
        <v>44284.083333333299</v>
      </c>
      <c r="G366" s="38">
        <f ca="1">TRUNC(YEARFRAC(F366,TODAY(),1))</f>
        <v>4</v>
      </c>
      <c r="H366">
        <f>COUNTIF(BRON!A:A,Tabel6[[#This Row],[Personeelsnummer]])</f>
        <v>1</v>
      </c>
    </row>
    <row r="367" spans="1:8" x14ac:dyDescent="0.25">
      <c r="A367" s="34" t="s">
        <v>4283</v>
      </c>
      <c r="B367" s="34" t="s">
        <v>2713</v>
      </c>
      <c r="C367" s="34" t="s">
        <v>2712</v>
      </c>
      <c r="D367">
        <v>36354</v>
      </c>
      <c r="E367" s="34" t="s">
        <v>3856</v>
      </c>
      <c r="F367" s="3">
        <v>44298.083333333299</v>
      </c>
      <c r="G367" s="38">
        <f ca="1">TRUNC(YEARFRAC(F367,TODAY(),1))</f>
        <v>4</v>
      </c>
      <c r="H367">
        <f>COUNTIF(BRON!A:A,Tabel6[[#This Row],[Personeelsnummer]])</f>
        <v>0</v>
      </c>
    </row>
    <row r="368" spans="1:8" x14ac:dyDescent="0.25">
      <c r="A368" s="34" t="s">
        <v>4284</v>
      </c>
      <c r="B368" s="34" t="s">
        <v>2957</v>
      </c>
      <c r="C368" s="34" t="s">
        <v>2956</v>
      </c>
      <c r="D368">
        <v>36358</v>
      </c>
      <c r="E368" s="34" t="s">
        <v>3857</v>
      </c>
      <c r="F368" s="3">
        <v>44270.041666666701</v>
      </c>
      <c r="G368" s="38">
        <f ca="1">TRUNC(YEARFRAC(F368,TODAY(),1))</f>
        <v>4</v>
      </c>
      <c r="H368">
        <f>COUNTIF(BRON!A:A,Tabel6[[#This Row],[Personeelsnummer]])</f>
        <v>2</v>
      </c>
    </row>
    <row r="369" spans="1:8" x14ac:dyDescent="0.25">
      <c r="A369" s="34" t="s">
        <v>4285</v>
      </c>
      <c r="B369" s="34" t="s">
        <v>2808</v>
      </c>
      <c r="C369" s="34" t="s">
        <v>2807</v>
      </c>
      <c r="D369">
        <v>36378</v>
      </c>
      <c r="E369" s="34" t="s">
        <v>3855</v>
      </c>
      <c r="F369" s="3">
        <v>44336.083333333299</v>
      </c>
      <c r="G369" s="38">
        <f ca="1">TRUNC(YEARFRAC(F369,TODAY(),1))</f>
        <v>4</v>
      </c>
      <c r="H369">
        <f>COUNTIF(BRON!A:A,Tabel6[[#This Row],[Personeelsnummer]])</f>
        <v>0</v>
      </c>
    </row>
    <row r="370" spans="1:8" x14ac:dyDescent="0.25">
      <c r="A370" s="34" t="s">
        <v>4286</v>
      </c>
      <c r="B370" s="34" t="s">
        <v>2065</v>
      </c>
      <c r="C370" s="34" t="s">
        <v>2071</v>
      </c>
      <c r="D370">
        <v>36425</v>
      </c>
      <c r="E370" s="34" t="s">
        <v>3856</v>
      </c>
      <c r="F370" s="3">
        <v>44333.083333333299</v>
      </c>
      <c r="G370" s="38">
        <f ca="1">TRUNC(YEARFRAC(F370,TODAY(),1))</f>
        <v>4</v>
      </c>
      <c r="H370">
        <f>COUNTIF(BRON!A:A,Tabel6[[#This Row],[Personeelsnummer]])</f>
        <v>0</v>
      </c>
    </row>
    <row r="371" spans="1:8" x14ac:dyDescent="0.25">
      <c r="A371" s="34" t="s">
        <v>4287</v>
      </c>
      <c r="B371" s="34" t="s">
        <v>3446</v>
      </c>
      <c r="C371" s="34" t="s">
        <v>3445</v>
      </c>
      <c r="D371">
        <v>36426</v>
      </c>
      <c r="E371" s="34" t="s">
        <v>3854</v>
      </c>
      <c r="F371" s="3">
        <v>44305.083333333299</v>
      </c>
      <c r="G371" s="38">
        <f ca="1">TRUNC(YEARFRAC(F371,TODAY(),1))</f>
        <v>4</v>
      </c>
      <c r="H371">
        <f>COUNTIF(BRON!A:A,Tabel6[[#This Row],[Personeelsnummer]])</f>
        <v>3</v>
      </c>
    </row>
    <row r="372" spans="1:8" x14ac:dyDescent="0.25">
      <c r="A372" s="34" t="s">
        <v>4289</v>
      </c>
      <c r="B372" s="34" t="s">
        <v>1884</v>
      </c>
      <c r="C372" s="34" t="s">
        <v>1883</v>
      </c>
      <c r="D372">
        <v>36428</v>
      </c>
      <c r="E372" s="34" t="s">
        <v>3855</v>
      </c>
      <c r="F372" s="3">
        <v>44312.083333333299</v>
      </c>
      <c r="G372" s="38">
        <f ca="1">TRUNC(YEARFRAC(F372,TODAY(),1))</f>
        <v>4</v>
      </c>
      <c r="H372">
        <f>COUNTIF(BRON!A:A,Tabel6[[#This Row],[Personeelsnummer]])</f>
        <v>5</v>
      </c>
    </row>
    <row r="373" spans="1:8" x14ac:dyDescent="0.25">
      <c r="A373" s="34" t="s">
        <v>4290</v>
      </c>
      <c r="B373" s="34" t="s">
        <v>2449</v>
      </c>
      <c r="C373" s="34" t="s">
        <v>2448</v>
      </c>
      <c r="D373">
        <v>36429</v>
      </c>
      <c r="E373" s="34" t="s">
        <v>3851</v>
      </c>
      <c r="F373" s="3">
        <v>44312.083333333299</v>
      </c>
      <c r="G373" s="38">
        <f ca="1">TRUNC(YEARFRAC(F373,TODAY(),1))</f>
        <v>4</v>
      </c>
      <c r="H373">
        <f>COUNTIF(BRON!A:A,Tabel6[[#This Row],[Personeelsnummer]])</f>
        <v>1</v>
      </c>
    </row>
    <row r="374" spans="1:8" x14ac:dyDescent="0.25">
      <c r="A374" s="34" t="s">
        <v>4291</v>
      </c>
      <c r="B374" s="34" t="s">
        <v>3220</v>
      </c>
      <c r="C374" s="34" t="s">
        <v>3219</v>
      </c>
      <c r="D374">
        <v>36438</v>
      </c>
      <c r="E374" s="34" t="s">
        <v>3854</v>
      </c>
      <c r="F374" s="3">
        <v>44298.083333333299</v>
      </c>
      <c r="G374" s="38">
        <f ca="1">TRUNC(YEARFRAC(F374,TODAY(),1))</f>
        <v>4</v>
      </c>
      <c r="H374">
        <f>COUNTIF(BRON!A:A,Tabel6[[#This Row],[Personeelsnummer]])</f>
        <v>3</v>
      </c>
    </row>
    <row r="375" spans="1:8" x14ac:dyDescent="0.25">
      <c r="A375" s="34" t="s">
        <v>4292</v>
      </c>
      <c r="B375" s="34" t="s">
        <v>3034</v>
      </c>
      <c r="C375" s="34" t="s">
        <v>3033</v>
      </c>
      <c r="D375">
        <v>36503</v>
      </c>
      <c r="E375" s="34" t="s">
        <v>3853</v>
      </c>
      <c r="F375" s="3">
        <v>44333.083333333299</v>
      </c>
      <c r="G375" s="38">
        <f ca="1">TRUNC(YEARFRAC(F375,TODAY(),1))</f>
        <v>4</v>
      </c>
      <c r="H375">
        <f>COUNTIF(BRON!A:A,Tabel6[[#This Row],[Personeelsnummer]])</f>
        <v>1</v>
      </c>
    </row>
    <row r="376" spans="1:8" x14ac:dyDescent="0.25">
      <c r="A376" s="34" t="s">
        <v>4293</v>
      </c>
      <c r="B376" s="34" t="s">
        <v>1812</v>
      </c>
      <c r="C376" s="34" t="s">
        <v>1811</v>
      </c>
      <c r="D376">
        <v>36505</v>
      </c>
      <c r="E376" s="34" t="s">
        <v>3851</v>
      </c>
      <c r="F376" s="3">
        <v>44333.083333333299</v>
      </c>
      <c r="G376" s="38">
        <f ca="1">TRUNC(YEARFRAC(F376,TODAY(),1))</f>
        <v>4</v>
      </c>
      <c r="H376">
        <f>COUNTIF(BRON!A:A,Tabel6[[#This Row],[Personeelsnummer]])</f>
        <v>1</v>
      </c>
    </row>
    <row r="377" spans="1:8" x14ac:dyDescent="0.25">
      <c r="A377" s="34" t="s">
        <v>4294</v>
      </c>
      <c r="B377" s="34" t="s">
        <v>1947</v>
      </c>
      <c r="C377" s="34" t="s">
        <v>1946</v>
      </c>
      <c r="D377">
        <v>36507</v>
      </c>
      <c r="E377" s="34" t="s">
        <v>3858</v>
      </c>
      <c r="F377" s="3">
        <v>44347.083333333299</v>
      </c>
      <c r="G377" s="38">
        <f ca="1">TRUNC(YEARFRAC(F377,TODAY(),1))</f>
        <v>4</v>
      </c>
      <c r="H377">
        <f>COUNTIF(BRON!A:A,Tabel6[[#This Row],[Personeelsnummer]])</f>
        <v>0</v>
      </c>
    </row>
    <row r="378" spans="1:8" x14ac:dyDescent="0.25">
      <c r="A378" s="34" t="s">
        <v>4295</v>
      </c>
      <c r="B378" s="34" t="s">
        <v>3195</v>
      </c>
      <c r="C378" s="34" t="s">
        <v>3194</v>
      </c>
      <c r="D378">
        <v>36512</v>
      </c>
      <c r="E378" s="34" t="s">
        <v>3858</v>
      </c>
      <c r="F378" s="3">
        <v>44333.083333333299</v>
      </c>
      <c r="G378" s="38">
        <f ca="1">TRUNC(YEARFRAC(F378,TODAY(),1))</f>
        <v>4</v>
      </c>
      <c r="H378">
        <f>COUNTIF(BRON!A:A,Tabel6[[#This Row],[Personeelsnummer]])</f>
        <v>3</v>
      </c>
    </row>
    <row r="379" spans="1:8" x14ac:dyDescent="0.25">
      <c r="A379" s="34" t="s">
        <v>4296</v>
      </c>
      <c r="B379" s="34" t="s">
        <v>1880</v>
      </c>
      <c r="C379" s="34" t="s">
        <v>1240</v>
      </c>
      <c r="D379">
        <v>36513</v>
      </c>
      <c r="E379" s="34" t="s">
        <v>3851</v>
      </c>
      <c r="F379" s="3">
        <v>44333.083333333299</v>
      </c>
      <c r="G379" s="38">
        <f ca="1">TRUNC(YEARFRAC(F379,TODAY(),1))</f>
        <v>4</v>
      </c>
      <c r="H379">
        <f>COUNTIF(BRON!A:A,Tabel6[[#This Row],[Personeelsnummer]])</f>
        <v>1</v>
      </c>
    </row>
    <row r="380" spans="1:8" x14ac:dyDescent="0.25">
      <c r="A380" s="34" t="s">
        <v>4297</v>
      </c>
      <c r="B380" s="34" t="s">
        <v>1752</v>
      </c>
      <c r="C380" s="34" t="s">
        <v>1751</v>
      </c>
      <c r="D380">
        <v>36543</v>
      </c>
      <c r="E380" s="34" t="s">
        <v>3855</v>
      </c>
      <c r="F380" s="3">
        <v>44347.083333333299</v>
      </c>
      <c r="G380" s="38">
        <f ca="1">TRUNC(YEARFRAC(F380,TODAY(),1))</f>
        <v>4</v>
      </c>
      <c r="H380">
        <f>COUNTIF(BRON!A:A,Tabel6[[#This Row],[Personeelsnummer]])</f>
        <v>0</v>
      </c>
    </row>
    <row r="381" spans="1:8" x14ac:dyDescent="0.25">
      <c r="A381" s="34" t="s">
        <v>4298</v>
      </c>
      <c r="B381" s="34" t="s">
        <v>1733</v>
      </c>
      <c r="C381" s="34" t="s">
        <v>1741</v>
      </c>
      <c r="D381">
        <v>36559</v>
      </c>
      <c r="E381" s="34" t="s">
        <v>3851</v>
      </c>
      <c r="F381" s="3">
        <v>44347.083333333299</v>
      </c>
      <c r="G381" s="38">
        <f ca="1">TRUNC(YEARFRAC(F381,TODAY(),1))</f>
        <v>4</v>
      </c>
      <c r="H381">
        <f>COUNTIF(BRON!A:A,Tabel6[[#This Row],[Personeelsnummer]])</f>
        <v>2</v>
      </c>
    </row>
    <row r="382" spans="1:8" x14ac:dyDescent="0.25">
      <c r="A382" s="34" t="s">
        <v>4299</v>
      </c>
      <c r="B382" s="34" t="s">
        <v>3601</v>
      </c>
      <c r="C382" s="34" t="s">
        <v>3863</v>
      </c>
      <c r="D382">
        <v>36569</v>
      </c>
      <c r="E382" s="34" t="s">
        <v>3856</v>
      </c>
      <c r="F382" s="3">
        <v>44347.083333333299</v>
      </c>
      <c r="G382" s="38">
        <f ca="1">TRUNC(YEARFRAC(F382,TODAY(),1))</f>
        <v>4</v>
      </c>
      <c r="H382">
        <f>COUNTIF(BRON!A:A,Tabel6[[#This Row],[Personeelsnummer]])</f>
        <v>6</v>
      </c>
    </row>
    <row r="383" spans="1:8" x14ac:dyDescent="0.25">
      <c r="A383" s="34" t="s">
        <v>4300</v>
      </c>
      <c r="B383" s="34" t="s">
        <v>2257</v>
      </c>
      <c r="C383" s="34" t="s">
        <v>2256</v>
      </c>
      <c r="D383">
        <v>36577</v>
      </c>
      <c r="E383" s="34" t="s">
        <v>3857</v>
      </c>
      <c r="F383" s="3">
        <v>44389.083333333299</v>
      </c>
      <c r="G383" s="38">
        <f ca="1">TRUNC(YEARFRAC(F383,TODAY(),1))</f>
        <v>4</v>
      </c>
      <c r="H383">
        <f>COUNTIF(BRON!A:A,Tabel6[[#This Row],[Personeelsnummer]])</f>
        <v>1</v>
      </c>
    </row>
    <row r="384" spans="1:8" x14ac:dyDescent="0.25">
      <c r="A384" s="34" t="s">
        <v>4301</v>
      </c>
      <c r="B384" s="34" t="s">
        <v>4302</v>
      </c>
      <c r="C384" s="34" t="s">
        <v>2436</v>
      </c>
      <c r="D384">
        <v>36586</v>
      </c>
      <c r="E384" s="34" t="s">
        <v>3852</v>
      </c>
      <c r="F384" s="3">
        <v>44340.083333333299</v>
      </c>
      <c r="G384" s="38">
        <f ca="1">TRUNC(YEARFRAC(F384,TODAY(),1))</f>
        <v>4</v>
      </c>
      <c r="H384">
        <f>COUNTIF(BRON!A:A,Tabel6[[#This Row],[Personeelsnummer]])</f>
        <v>0</v>
      </c>
    </row>
    <row r="385" spans="1:8" x14ac:dyDescent="0.25">
      <c r="A385" s="34" t="s">
        <v>4303</v>
      </c>
      <c r="B385" s="34" t="s">
        <v>2394</v>
      </c>
      <c r="C385" s="34" t="s">
        <v>2397</v>
      </c>
      <c r="D385">
        <v>36624</v>
      </c>
      <c r="E385" s="34" t="s">
        <v>3859</v>
      </c>
      <c r="F385" s="3">
        <v>44375.083333333299</v>
      </c>
      <c r="G385" s="38">
        <f ca="1">TRUNC(YEARFRAC(F385,TODAY(),1))</f>
        <v>4</v>
      </c>
      <c r="H385">
        <f>COUNTIF(BRON!A:A,Tabel6[[#This Row],[Personeelsnummer]])</f>
        <v>3</v>
      </c>
    </row>
    <row r="386" spans="1:8" x14ac:dyDescent="0.25">
      <c r="A386" s="34" t="s">
        <v>4304</v>
      </c>
      <c r="B386" s="34" t="s">
        <v>2524</v>
      </c>
      <c r="C386" s="34" t="s">
        <v>2523</v>
      </c>
      <c r="D386">
        <v>36626</v>
      </c>
      <c r="E386" s="34" t="s">
        <v>3857</v>
      </c>
      <c r="F386" s="3">
        <v>44389.083333333299</v>
      </c>
      <c r="G386" s="38">
        <f ca="1">TRUNC(YEARFRAC(F386,TODAY(),1))</f>
        <v>4</v>
      </c>
      <c r="H386">
        <f>COUNTIF(BRON!A:A,Tabel6[[#This Row],[Personeelsnummer]])</f>
        <v>10</v>
      </c>
    </row>
    <row r="387" spans="1:8" x14ac:dyDescent="0.25">
      <c r="A387" s="34" t="s">
        <v>4305</v>
      </c>
      <c r="B387" s="34" t="s">
        <v>2405</v>
      </c>
      <c r="C387" s="34" t="s">
        <v>3070</v>
      </c>
      <c r="D387">
        <v>36627</v>
      </c>
      <c r="E387" s="34" t="s">
        <v>3857</v>
      </c>
      <c r="F387" s="3">
        <v>44384.083333333299</v>
      </c>
      <c r="G387" s="38">
        <f ca="1">TRUNC(YEARFRAC(F387,TODAY(),1))</f>
        <v>4</v>
      </c>
      <c r="H387">
        <f>COUNTIF(BRON!A:A,Tabel6[[#This Row],[Personeelsnummer]])</f>
        <v>5</v>
      </c>
    </row>
    <row r="388" spans="1:8" x14ac:dyDescent="0.25">
      <c r="A388" s="34" t="s">
        <v>4306</v>
      </c>
      <c r="B388" s="34" t="s">
        <v>2702</v>
      </c>
      <c r="C388" s="34" t="s">
        <v>2701</v>
      </c>
      <c r="D388">
        <v>36635</v>
      </c>
      <c r="E388" s="34" t="s">
        <v>3851</v>
      </c>
      <c r="F388" s="3">
        <v>44417.083333333299</v>
      </c>
      <c r="G388" s="38">
        <f ca="1">TRUNC(YEARFRAC(F388,TODAY(),1))</f>
        <v>4</v>
      </c>
      <c r="H388">
        <f>COUNTIF(BRON!A:A,Tabel6[[#This Row],[Personeelsnummer]])</f>
        <v>4</v>
      </c>
    </row>
    <row r="389" spans="1:8" x14ac:dyDescent="0.25">
      <c r="A389" s="34" t="s">
        <v>4307</v>
      </c>
      <c r="B389" s="34" t="s">
        <v>3435</v>
      </c>
      <c r="C389" s="34" t="s">
        <v>3434</v>
      </c>
      <c r="D389">
        <v>36663</v>
      </c>
      <c r="E389" s="34" t="s">
        <v>3859</v>
      </c>
      <c r="F389" s="3">
        <v>44431.083333333299</v>
      </c>
      <c r="G389" s="38">
        <f ca="1">TRUNC(YEARFRAC(F389,TODAY(),1))</f>
        <v>4</v>
      </c>
      <c r="H389">
        <f>COUNTIF(BRON!A:A,Tabel6[[#This Row],[Personeelsnummer]])</f>
        <v>3</v>
      </c>
    </row>
    <row r="390" spans="1:8" x14ac:dyDescent="0.25">
      <c r="A390" s="34" t="s">
        <v>4311</v>
      </c>
      <c r="B390" s="34" t="s">
        <v>1918</v>
      </c>
      <c r="C390" s="34" t="s">
        <v>1922</v>
      </c>
      <c r="D390">
        <v>36820</v>
      </c>
      <c r="E390" s="34" t="s">
        <v>3858</v>
      </c>
      <c r="F390" s="3">
        <v>44473.083333333299</v>
      </c>
      <c r="G390" s="38">
        <f ca="1">TRUNC(YEARFRAC(F390,TODAY(),1))</f>
        <v>4</v>
      </c>
      <c r="H390">
        <f>COUNTIF(BRON!A:A,Tabel6[[#This Row],[Personeelsnummer]])</f>
        <v>1</v>
      </c>
    </row>
    <row r="391" spans="1:8" x14ac:dyDescent="0.25">
      <c r="A391" s="34" t="s">
        <v>4312</v>
      </c>
      <c r="B391" s="34" t="s">
        <v>2167</v>
      </c>
      <c r="C391" s="34" t="s">
        <v>2170</v>
      </c>
      <c r="D391">
        <v>36838</v>
      </c>
      <c r="E391" s="34" t="s">
        <v>3859</v>
      </c>
      <c r="F391" s="3">
        <v>44480.083333333299</v>
      </c>
      <c r="G391" s="38">
        <f ca="1">TRUNC(YEARFRAC(F391,TODAY(),1))</f>
        <v>4</v>
      </c>
      <c r="H391">
        <f>COUNTIF(BRON!A:A,Tabel6[[#This Row],[Personeelsnummer]])</f>
        <v>0</v>
      </c>
    </row>
    <row r="392" spans="1:8" x14ac:dyDescent="0.25">
      <c r="A392" s="34" t="s">
        <v>4313</v>
      </c>
      <c r="B392" s="34" t="s">
        <v>2296</v>
      </c>
      <c r="C392" s="34" t="s">
        <v>2301</v>
      </c>
      <c r="D392">
        <v>36845</v>
      </c>
      <c r="E392" s="34" t="s">
        <v>3855</v>
      </c>
      <c r="F392" s="3">
        <v>44440.083333333299</v>
      </c>
      <c r="G392" s="38">
        <f ca="1">TRUNC(YEARFRAC(F392,TODAY(),1))</f>
        <v>4</v>
      </c>
      <c r="H392">
        <f>COUNTIF(BRON!A:A,Tabel6[[#This Row],[Personeelsnummer]])</f>
        <v>0</v>
      </c>
    </row>
    <row r="393" spans="1:8" x14ac:dyDescent="0.25">
      <c r="A393" s="34" t="s">
        <v>3895</v>
      </c>
      <c r="B393" s="34" t="s">
        <v>1849</v>
      </c>
      <c r="C393" s="34" t="s">
        <v>1848</v>
      </c>
      <c r="D393">
        <v>36625</v>
      </c>
      <c r="E393" s="34" t="s">
        <v>3851</v>
      </c>
      <c r="F393" s="3">
        <v>44818.083333333299</v>
      </c>
      <c r="G393" s="38">
        <f ca="1">TRUNC(YEARFRAC(F393,TODAY(),1))</f>
        <v>3</v>
      </c>
      <c r="H393">
        <f>COUNTIF(BRON!A:A,Tabel6[[#This Row],[Personeelsnummer]])</f>
        <v>0</v>
      </c>
    </row>
    <row r="394" spans="1:8" x14ac:dyDescent="0.25">
      <c r="A394" s="34" t="s">
        <v>4014</v>
      </c>
      <c r="B394" s="34" t="s">
        <v>2554</v>
      </c>
      <c r="C394" s="34" t="s">
        <v>2553</v>
      </c>
      <c r="D394">
        <v>19251</v>
      </c>
      <c r="E394" s="34" t="s">
        <v>3859</v>
      </c>
      <c r="F394" s="3">
        <v>44761.083333333299</v>
      </c>
      <c r="G394" s="38">
        <f ca="1">TRUNC(YEARFRAC(F394,TODAY(),1))</f>
        <v>3</v>
      </c>
      <c r="H394">
        <f>COUNTIF(BRON!A:A,Tabel6[[#This Row],[Personeelsnummer]])</f>
        <v>0</v>
      </c>
    </row>
    <row r="395" spans="1:8" x14ac:dyDescent="0.25">
      <c r="A395" s="34" t="s">
        <v>4279</v>
      </c>
      <c r="B395" s="34" t="s">
        <v>3255</v>
      </c>
      <c r="C395" s="34" t="s">
        <v>3254</v>
      </c>
      <c r="D395">
        <v>36275</v>
      </c>
      <c r="E395" s="34" t="s">
        <v>3859</v>
      </c>
      <c r="F395" s="3">
        <v>44687.083333333299</v>
      </c>
      <c r="G395" s="38">
        <f ca="1">TRUNC(YEARFRAC(F395,TODAY(),1))</f>
        <v>3</v>
      </c>
      <c r="H395">
        <f>COUNTIF(BRON!A:A,Tabel6[[#This Row],[Personeelsnummer]])</f>
        <v>2</v>
      </c>
    </row>
    <row r="396" spans="1:8" x14ac:dyDescent="0.25">
      <c r="A396" s="34" t="s">
        <v>4314</v>
      </c>
      <c r="B396" s="34" t="s">
        <v>2224</v>
      </c>
      <c r="C396" s="34" t="s">
        <v>2223</v>
      </c>
      <c r="D396">
        <v>37131</v>
      </c>
      <c r="E396" s="34" t="s">
        <v>3851</v>
      </c>
      <c r="F396" s="3">
        <v>44585.041666666701</v>
      </c>
      <c r="G396" s="38">
        <f ca="1">TRUNC(YEARFRAC(F396,TODAY(),1))</f>
        <v>3</v>
      </c>
      <c r="H396">
        <f>COUNTIF(BRON!A:A,Tabel6[[#This Row],[Personeelsnummer]])</f>
        <v>2</v>
      </c>
    </row>
    <row r="397" spans="1:8" x14ac:dyDescent="0.25">
      <c r="A397" s="34" t="s">
        <v>4315</v>
      </c>
      <c r="B397" s="34" t="s">
        <v>2917</v>
      </c>
      <c r="C397" s="34" t="s">
        <v>2916</v>
      </c>
      <c r="D397">
        <v>37132</v>
      </c>
      <c r="E397" s="34" t="s">
        <v>3859</v>
      </c>
      <c r="F397" s="3">
        <v>44599.041666666701</v>
      </c>
      <c r="G397" s="38">
        <f ca="1">TRUNC(YEARFRAC(F397,TODAY(),1))</f>
        <v>3</v>
      </c>
      <c r="H397">
        <f>COUNTIF(BRON!A:A,Tabel6[[#This Row],[Personeelsnummer]])</f>
        <v>2</v>
      </c>
    </row>
    <row r="398" spans="1:8" x14ac:dyDescent="0.25">
      <c r="A398" s="34" t="s">
        <v>4316</v>
      </c>
      <c r="B398" s="34" t="s">
        <v>2137</v>
      </c>
      <c r="C398" s="34" t="s">
        <v>2136</v>
      </c>
      <c r="D398">
        <v>37179</v>
      </c>
      <c r="E398" s="34" t="s">
        <v>3854</v>
      </c>
      <c r="F398" s="3">
        <v>44571.041666666701</v>
      </c>
      <c r="G398" s="38">
        <f ca="1">TRUNC(YEARFRAC(F398,TODAY(),1))</f>
        <v>3</v>
      </c>
      <c r="H398">
        <f>COUNTIF(BRON!A:A,Tabel6[[#This Row],[Personeelsnummer]])</f>
        <v>2</v>
      </c>
    </row>
    <row r="399" spans="1:8" x14ac:dyDescent="0.25">
      <c r="A399" s="34" t="s">
        <v>4317</v>
      </c>
      <c r="B399" s="34" t="s">
        <v>2789</v>
      </c>
      <c r="C399" s="34" t="s">
        <v>2788</v>
      </c>
      <c r="D399">
        <v>37208</v>
      </c>
      <c r="E399" s="34" t="s">
        <v>3851</v>
      </c>
      <c r="F399" s="3">
        <v>44641.041666666701</v>
      </c>
      <c r="G399" s="38">
        <f ca="1">TRUNC(YEARFRAC(F399,TODAY(),1))</f>
        <v>3</v>
      </c>
      <c r="H399">
        <f>COUNTIF(BRON!A:A,Tabel6[[#This Row],[Personeelsnummer]])</f>
        <v>1</v>
      </c>
    </row>
    <row r="400" spans="1:8" x14ac:dyDescent="0.25">
      <c r="A400" s="34" t="s">
        <v>4318</v>
      </c>
      <c r="B400" s="34" t="s">
        <v>1662</v>
      </c>
      <c r="C400" s="34" t="s">
        <v>1661</v>
      </c>
      <c r="D400">
        <v>37216</v>
      </c>
      <c r="E400" s="34" t="s">
        <v>3851</v>
      </c>
      <c r="F400" s="3">
        <v>44664.083333333299</v>
      </c>
      <c r="G400" s="38">
        <f ca="1">TRUNC(YEARFRAC(F400,TODAY(),1))</f>
        <v>3</v>
      </c>
      <c r="H400">
        <f>COUNTIF(BRON!A:A,Tabel6[[#This Row],[Personeelsnummer]])</f>
        <v>1</v>
      </c>
    </row>
    <row r="401" spans="1:8" x14ac:dyDescent="0.25">
      <c r="A401" s="34" t="s">
        <v>4319</v>
      </c>
      <c r="B401" s="34" t="s">
        <v>1326</v>
      </c>
      <c r="C401" s="34" t="s">
        <v>2992</v>
      </c>
      <c r="D401">
        <v>37222</v>
      </c>
      <c r="E401" s="34" t="s">
        <v>3855</v>
      </c>
      <c r="F401" s="3">
        <v>44599.041666666701</v>
      </c>
      <c r="G401" s="38">
        <f ca="1">TRUNC(YEARFRAC(F401,TODAY(),1))</f>
        <v>3</v>
      </c>
      <c r="H401">
        <f>COUNTIF(BRON!A:A,Tabel6[[#This Row],[Personeelsnummer]])</f>
        <v>1</v>
      </c>
    </row>
    <row r="402" spans="1:8" x14ac:dyDescent="0.25">
      <c r="A402" s="34" t="s">
        <v>4320</v>
      </c>
      <c r="B402" s="34" t="s">
        <v>1334</v>
      </c>
      <c r="C402" s="34" t="s">
        <v>3212</v>
      </c>
      <c r="D402">
        <v>37226</v>
      </c>
      <c r="E402" s="34" t="s">
        <v>3857</v>
      </c>
      <c r="F402" s="3">
        <v>44613.041666666701</v>
      </c>
      <c r="G402" s="38">
        <f ca="1">TRUNC(YEARFRAC(F402,TODAY(),1))</f>
        <v>3</v>
      </c>
      <c r="H402">
        <f>COUNTIF(BRON!A:A,Tabel6[[#This Row],[Personeelsnummer]])</f>
        <v>0</v>
      </c>
    </row>
    <row r="403" spans="1:8" x14ac:dyDescent="0.25">
      <c r="A403" s="34" t="s">
        <v>4321</v>
      </c>
      <c r="B403" s="34" t="s">
        <v>1877</v>
      </c>
      <c r="C403" s="34" t="s">
        <v>1876</v>
      </c>
      <c r="D403">
        <v>37254</v>
      </c>
      <c r="E403" s="34" t="s">
        <v>3851</v>
      </c>
      <c r="F403" s="3">
        <v>44585.041666666701</v>
      </c>
      <c r="G403" s="38">
        <f ca="1">TRUNC(YEARFRAC(F403,TODAY(),1))</f>
        <v>3</v>
      </c>
      <c r="H403">
        <f>COUNTIF(BRON!A:A,Tabel6[[#This Row],[Personeelsnummer]])</f>
        <v>2</v>
      </c>
    </row>
    <row r="404" spans="1:8" x14ac:dyDescent="0.25">
      <c r="A404" s="34" t="s">
        <v>4322</v>
      </c>
      <c r="B404" s="34" t="s">
        <v>1417</v>
      </c>
      <c r="C404" s="34" t="s">
        <v>1416</v>
      </c>
      <c r="D404">
        <v>37261</v>
      </c>
      <c r="E404" s="34" t="s">
        <v>3859</v>
      </c>
      <c r="F404" s="3">
        <v>44599.041666666701</v>
      </c>
      <c r="G404" s="38">
        <f ca="1">TRUNC(YEARFRAC(F404,TODAY(),1))</f>
        <v>3</v>
      </c>
      <c r="H404">
        <f>COUNTIF(BRON!A:A,Tabel6[[#This Row],[Personeelsnummer]])</f>
        <v>4</v>
      </c>
    </row>
    <row r="405" spans="1:8" x14ac:dyDescent="0.25">
      <c r="A405" s="34" t="s">
        <v>4323</v>
      </c>
      <c r="B405" s="34" t="s">
        <v>2228</v>
      </c>
      <c r="C405" s="34" t="s">
        <v>2227</v>
      </c>
      <c r="D405">
        <v>37313</v>
      </c>
      <c r="E405" s="34" t="s">
        <v>3854</v>
      </c>
      <c r="F405" s="3">
        <v>44704.083333333299</v>
      </c>
      <c r="G405" s="38">
        <f ca="1">TRUNC(YEARFRAC(F405,TODAY(),1))</f>
        <v>3</v>
      </c>
      <c r="H405">
        <f>COUNTIF(BRON!A:A,Tabel6[[#This Row],[Personeelsnummer]])</f>
        <v>1</v>
      </c>
    </row>
    <row r="406" spans="1:8" x14ac:dyDescent="0.25">
      <c r="A406" s="34" t="s">
        <v>4324</v>
      </c>
      <c r="B406" s="34" t="s">
        <v>1869</v>
      </c>
      <c r="C406" s="34" t="s">
        <v>1868</v>
      </c>
      <c r="D406">
        <v>37345</v>
      </c>
      <c r="E406" s="34" t="s">
        <v>3855</v>
      </c>
      <c r="F406" s="3">
        <v>44655.083333333299</v>
      </c>
      <c r="G406" s="38">
        <f ca="1">TRUNC(YEARFRAC(F406,TODAY(),1))</f>
        <v>3</v>
      </c>
      <c r="H406">
        <f>COUNTIF(BRON!A:A,Tabel6[[#This Row],[Personeelsnummer]])</f>
        <v>3</v>
      </c>
    </row>
    <row r="407" spans="1:8" x14ac:dyDescent="0.25">
      <c r="A407" s="34" t="s">
        <v>4325</v>
      </c>
      <c r="B407" s="34" t="s">
        <v>2093</v>
      </c>
      <c r="C407" s="34" t="s">
        <v>2099</v>
      </c>
      <c r="D407">
        <v>37439</v>
      </c>
      <c r="E407" s="34" t="s">
        <v>3851</v>
      </c>
      <c r="F407" s="3">
        <v>44655.083333333299</v>
      </c>
      <c r="G407" s="38">
        <f ca="1">TRUNC(YEARFRAC(F407,TODAY(),1))</f>
        <v>3</v>
      </c>
      <c r="H407">
        <f>COUNTIF(BRON!A:A,Tabel6[[#This Row],[Personeelsnummer]])</f>
        <v>4</v>
      </c>
    </row>
    <row r="408" spans="1:8" x14ac:dyDescent="0.25">
      <c r="A408" s="34" t="s">
        <v>4326</v>
      </c>
      <c r="B408" s="34" t="s">
        <v>1474</v>
      </c>
      <c r="C408" s="34" t="s">
        <v>1473</v>
      </c>
      <c r="D408">
        <v>37496</v>
      </c>
      <c r="E408" s="34" t="s">
        <v>3859</v>
      </c>
      <c r="F408" s="3">
        <v>44700.083333333299</v>
      </c>
      <c r="G408" s="38">
        <f ca="1">TRUNC(YEARFRAC(F408,TODAY(),1))</f>
        <v>3</v>
      </c>
      <c r="H408">
        <f>COUNTIF(BRON!A:A,Tabel6[[#This Row],[Personeelsnummer]])</f>
        <v>4</v>
      </c>
    </row>
    <row r="409" spans="1:8" x14ac:dyDescent="0.25">
      <c r="A409" s="34" t="s">
        <v>4327</v>
      </c>
      <c r="B409" s="34" t="s">
        <v>1797</v>
      </c>
      <c r="C409" s="34" t="s">
        <v>1796</v>
      </c>
      <c r="D409">
        <v>37509</v>
      </c>
      <c r="E409" s="34" t="s">
        <v>3854</v>
      </c>
      <c r="F409" s="3">
        <v>44670.083333333299</v>
      </c>
      <c r="G409" s="38">
        <f ca="1">TRUNC(YEARFRAC(F409,TODAY(),1))</f>
        <v>3</v>
      </c>
      <c r="H409">
        <f>COUNTIF(BRON!A:A,Tabel6[[#This Row],[Personeelsnummer]])</f>
        <v>3</v>
      </c>
    </row>
    <row r="410" spans="1:8" x14ac:dyDescent="0.25">
      <c r="A410" s="34" t="s">
        <v>4328</v>
      </c>
      <c r="B410" s="34" t="s">
        <v>2754</v>
      </c>
      <c r="C410" s="34" t="s">
        <v>2753</v>
      </c>
      <c r="D410">
        <v>37542</v>
      </c>
      <c r="E410" s="34" t="s">
        <v>3854</v>
      </c>
      <c r="F410" s="3">
        <v>44683.083333333299</v>
      </c>
      <c r="G410" s="38">
        <f ca="1">TRUNC(YEARFRAC(F410,TODAY(),1))</f>
        <v>3</v>
      </c>
      <c r="H410">
        <f>COUNTIF(BRON!A:A,Tabel6[[#This Row],[Personeelsnummer]])</f>
        <v>5</v>
      </c>
    </row>
    <row r="411" spans="1:8" x14ac:dyDescent="0.25">
      <c r="A411" s="34" t="s">
        <v>4329</v>
      </c>
      <c r="B411" s="34" t="s">
        <v>3228</v>
      </c>
      <c r="C411" s="34" t="s">
        <v>3227</v>
      </c>
      <c r="D411">
        <v>37543</v>
      </c>
      <c r="E411" s="34" t="s">
        <v>3851</v>
      </c>
      <c r="F411" s="3">
        <v>44683.083333333299</v>
      </c>
      <c r="G411" s="38">
        <f ca="1">TRUNC(YEARFRAC(F411,TODAY(),1))</f>
        <v>3</v>
      </c>
      <c r="H411">
        <f>COUNTIF(BRON!A:A,Tabel6[[#This Row],[Personeelsnummer]])</f>
        <v>6</v>
      </c>
    </row>
    <row r="412" spans="1:8" x14ac:dyDescent="0.25">
      <c r="A412" s="34" t="s">
        <v>4330</v>
      </c>
      <c r="B412" s="34" t="s">
        <v>2085</v>
      </c>
      <c r="C412" s="34" t="s">
        <v>2084</v>
      </c>
      <c r="D412">
        <v>37564</v>
      </c>
      <c r="E412" s="34" t="s">
        <v>3856</v>
      </c>
      <c r="F412" s="3">
        <v>44683.083333333299</v>
      </c>
      <c r="G412" s="38">
        <f ca="1">TRUNC(YEARFRAC(F412,TODAY(),1))</f>
        <v>3</v>
      </c>
      <c r="H412">
        <f>COUNTIF(BRON!A:A,Tabel6[[#This Row],[Personeelsnummer]])</f>
        <v>1</v>
      </c>
    </row>
    <row r="413" spans="1:8" x14ac:dyDescent="0.25">
      <c r="A413" s="34" t="s">
        <v>4331</v>
      </c>
      <c r="B413" s="34" t="s">
        <v>2065</v>
      </c>
      <c r="C413" s="34" t="s">
        <v>2068</v>
      </c>
      <c r="D413">
        <v>37600</v>
      </c>
      <c r="E413" s="34" t="s">
        <v>3855</v>
      </c>
      <c r="F413" s="3">
        <v>44704.083333333299</v>
      </c>
      <c r="G413" s="38">
        <f ca="1">TRUNC(YEARFRAC(F413,TODAY(),1))</f>
        <v>3</v>
      </c>
      <c r="H413">
        <f>COUNTIF(BRON!A:A,Tabel6[[#This Row],[Personeelsnummer]])</f>
        <v>0</v>
      </c>
    </row>
    <row r="414" spans="1:8" x14ac:dyDescent="0.25">
      <c r="A414" s="34" t="s">
        <v>4332</v>
      </c>
      <c r="B414" s="34" t="s">
        <v>2972</v>
      </c>
      <c r="C414" s="34" t="s">
        <v>2975</v>
      </c>
      <c r="D414">
        <v>37609</v>
      </c>
      <c r="E414" s="34" t="s">
        <v>3851</v>
      </c>
      <c r="F414" s="3">
        <v>44704.083333333299</v>
      </c>
      <c r="G414" s="38">
        <f ca="1">TRUNC(YEARFRAC(F414,TODAY(),1))</f>
        <v>3</v>
      </c>
      <c r="H414">
        <f>COUNTIF(BRON!A:A,Tabel6[[#This Row],[Personeelsnummer]])</f>
        <v>2</v>
      </c>
    </row>
    <row r="415" spans="1:8" x14ac:dyDescent="0.25">
      <c r="A415" s="34" t="s">
        <v>4333</v>
      </c>
      <c r="B415" s="34" t="s">
        <v>2538</v>
      </c>
      <c r="C415" s="34" t="s">
        <v>4334</v>
      </c>
      <c r="D415">
        <v>37623</v>
      </c>
      <c r="E415" s="34" t="s">
        <v>3852</v>
      </c>
      <c r="F415" s="3">
        <v>44774.083333333299</v>
      </c>
      <c r="G415" s="38">
        <f ca="1">TRUNC(YEARFRAC(F415,TODAY(),1))</f>
        <v>3</v>
      </c>
      <c r="H415">
        <f>COUNTIF(BRON!A:A,Tabel6[[#This Row],[Personeelsnummer]])</f>
        <v>0</v>
      </c>
    </row>
    <row r="416" spans="1:8" x14ac:dyDescent="0.25">
      <c r="A416" s="34" t="s">
        <v>4335</v>
      </c>
      <c r="B416" s="34" t="s">
        <v>1328</v>
      </c>
      <c r="C416" s="34" t="s">
        <v>1629</v>
      </c>
      <c r="D416">
        <v>37662</v>
      </c>
      <c r="E416" s="34" t="s">
        <v>3854</v>
      </c>
      <c r="F416" s="3">
        <v>44719.083333333299</v>
      </c>
      <c r="G416" s="38">
        <f ca="1">TRUNC(YEARFRAC(F416,TODAY(),1))</f>
        <v>3</v>
      </c>
      <c r="H416">
        <f>COUNTIF(BRON!A:A,Tabel6[[#This Row],[Personeelsnummer]])</f>
        <v>8</v>
      </c>
    </row>
    <row r="417" spans="1:8" x14ac:dyDescent="0.25">
      <c r="A417" s="34" t="s">
        <v>4336</v>
      </c>
      <c r="B417" s="34" t="s">
        <v>3157</v>
      </c>
      <c r="C417" s="34" t="s">
        <v>2327</v>
      </c>
      <c r="D417">
        <v>37683</v>
      </c>
      <c r="E417" s="34" t="s">
        <v>3858</v>
      </c>
      <c r="F417" s="3">
        <v>44739.083333333299</v>
      </c>
      <c r="G417" s="38">
        <f ca="1">TRUNC(YEARFRAC(F417,TODAY(),1))</f>
        <v>3</v>
      </c>
      <c r="H417">
        <f>COUNTIF(BRON!A:A,Tabel6[[#This Row],[Personeelsnummer]])</f>
        <v>1</v>
      </c>
    </row>
    <row r="418" spans="1:8" x14ac:dyDescent="0.25">
      <c r="A418" s="34" t="s">
        <v>4337</v>
      </c>
      <c r="B418" s="34" t="s">
        <v>2866</v>
      </c>
      <c r="C418" s="34" t="s">
        <v>1811</v>
      </c>
      <c r="D418">
        <v>37744</v>
      </c>
      <c r="E418" s="34" t="s">
        <v>3859</v>
      </c>
      <c r="F418" s="3">
        <v>44753.083333333299</v>
      </c>
      <c r="G418" s="38">
        <f ca="1">TRUNC(YEARFRAC(F418,TODAY(),1))</f>
        <v>3</v>
      </c>
      <c r="H418">
        <f>COUNTIF(BRON!A:A,Tabel6[[#This Row],[Personeelsnummer]])</f>
        <v>1</v>
      </c>
    </row>
    <row r="419" spans="1:8" x14ac:dyDescent="0.25">
      <c r="A419" s="34" t="s">
        <v>4338</v>
      </c>
      <c r="B419" s="34" t="s">
        <v>2492</v>
      </c>
      <c r="C419" s="34" t="s">
        <v>1692</v>
      </c>
      <c r="D419">
        <v>37794</v>
      </c>
      <c r="E419" s="34" t="s">
        <v>3858</v>
      </c>
      <c r="F419" s="3">
        <v>44790.083333333299</v>
      </c>
      <c r="G419" s="38">
        <f ca="1">TRUNC(YEARFRAC(F419,TODAY(),1))</f>
        <v>3</v>
      </c>
      <c r="H419">
        <f>COUNTIF(BRON!A:A,Tabel6[[#This Row],[Personeelsnummer]])</f>
        <v>1</v>
      </c>
    </row>
    <row r="420" spans="1:8" x14ac:dyDescent="0.25">
      <c r="A420" s="34" t="s">
        <v>4339</v>
      </c>
      <c r="B420" s="34" t="s">
        <v>2093</v>
      </c>
      <c r="C420" s="34" t="s">
        <v>2096</v>
      </c>
      <c r="D420">
        <v>37808</v>
      </c>
      <c r="E420" s="34" t="s">
        <v>3856</v>
      </c>
      <c r="F420" s="3">
        <v>44795.083333333299</v>
      </c>
      <c r="G420" s="38">
        <f ca="1">TRUNC(YEARFRAC(F420,TODAY(),1))</f>
        <v>3</v>
      </c>
      <c r="H420">
        <f>COUNTIF(BRON!A:A,Tabel6[[#This Row],[Personeelsnummer]])</f>
        <v>1</v>
      </c>
    </row>
    <row r="421" spans="1:8" x14ac:dyDescent="0.25">
      <c r="A421" s="34" t="s">
        <v>4340</v>
      </c>
      <c r="B421" s="34" t="s">
        <v>2462</v>
      </c>
      <c r="C421" s="34" t="s">
        <v>1557</v>
      </c>
      <c r="D421">
        <v>37809</v>
      </c>
      <c r="E421" s="34" t="s">
        <v>3858</v>
      </c>
      <c r="F421" s="3">
        <v>44809.083333333299</v>
      </c>
      <c r="G421" s="38">
        <f ca="1">TRUNC(YEARFRAC(F421,TODAY(),1))</f>
        <v>3</v>
      </c>
      <c r="H421">
        <f>COUNTIF(BRON!A:A,Tabel6[[#This Row],[Personeelsnummer]])</f>
        <v>3</v>
      </c>
    </row>
    <row r="422" spans="1:8" x14ac:dyDescent="0.25">
      <c r="A422" s="34" t="s">
        <v>4341</v>
      </c>
      <c r="B422" s="34" t="s">
        <v>3400</v>
      </c>
      <c r="C422" s="34" t="s">
        <v>3399</v>
      </c>
      <c r="D422">
        <v>37907</v>
      </c>
      <c r="E422" s="34" t="s">
        <v>3859</v>
      </c>
      <c r="F422" s="3">
        <v>44809.083333333299</v>
      </c>
      <c r="G422" s="38">
        <f ca="1">TRUNC(YEARFRAC(F422,TODAY(),1))</f>
        <v>3</v>
      </c>
      <c r="H422">
        <f>COUNTIF(BRON!A:A,Tabel6[[#This Row],[Personeelsnummer]])</f>
        <v>0</v>
      </c>
    </row>
    <row r="423" spans="1:8" x14ac:dyDescent="0.25">
      <c r="A423" s="34" t="s">
        <v>4342</v>
      </c>
      <c r="B423" s="34" t="s">
        <v>2203</v>
      </c>
      <c r="C423" s="34" t="s">
        <v>2206</v>
      </c>
      <c r="D423">
        <v>37908</v>
      </c>
      <c r="E423" s="34" t="s">
        <v>3858</v>
      </c>
      <c r="F423" s="3">
        <v>44823.083333333299</v>
      </c>
      <c r="G423" s="38">
        <f ca="1">TRUNC(YEARFRAC(F423,TODAY(),1))</f>
        <v>3</v>
      </c>
      <c r="H423">
        <f>COUNTIF(BRON!A:A,Tabel6[[#This Row],[Personeelsnummer]])</f>
        <v>1</v>
      </c>
    </row>
    <row r="424" spans="1:8" x14ac:dyDescent="0.25">
      <c r="A424" s="34" t="s">
        <v>4343</v>
      </c>
      <c r="B424" s="34" t="s">
        <v>3388</v>
      </c>
      <c r="C424" s="34" t="s">
        <v>3391</v>
      </c>
      <c r="D424">
        <v>37936</v>
      </c>
      <c r="E424" s="34" t="s">
        <v>3858</v>
      </c>
      <c r="F424" s="3">
        <v>44837.083333333299</v>
      </c>
      <c r="G424" s="38">
        <f ca="1">TRUNC(YEARFRAC(F424,TODAY(),1))</f>
        <v>3</v>
      </c>
      <c r="H424">
        <f>COUNTIF(BRON!A:A,Tabel6[[#This Row],[Personeelsnummer]])</f>
        <v>2</v>
      </c>
    </row>
    <row r="425" spans="1:8" x14ac:dyDescent="0.25">
      <c r="A425" s="34" t="s">
        <v>4344</v>
      </c>
      <c r="B425" s="34" t="s">
        <v>3181</v>
      </c>
      <c r="C425" s="34" t="s">
        <v>3184</v>
      </c>
      <c r="D425">
        <v>37950</v>
      </c>
      <c r="E425" s="34" t="s">
        <v>3859</v>
      </c>
      <c r="F425" s="3">
        <v>44809.083333333299</v>
      </c>
      <c r="G425" s="38">
        <f ca="1">TRUNC(YEARFRAC(F425,TODAY(),1))</f>
        <v>3</v>
      </c>
      <c r="H425">
        <f>COUNTIF(BRON!A:A,Tabel6[[#This Row],[Personeelsnummer]])</f>
        <v>3</v>
      </c>
    </row>
    <row r="426" spans="1:8" x14ac:dyDescent="0.25">
      <c r="A426" s="34" t="s">
        <v>4345</v>
      </c>
      <c r="B426" s="34" t="s">
        <v>3132</v>
      </c>
      <c r="C426" s="34" t="s">
        <v>3131</v>
      </c>
      <c r="D426">
        <v>37951</v>
      </c>
      <c r="E426" s="34" t="s">
        <v>3855</v>
      </c>
      <c r="F426" s="3">
        <v>44837.083333333299</v>
      </c>
      <c r="G426" s="38">
        <f ca="1">TRUNC(YEARFRAC(F426,TODAY(),1))</f>
        <v>3</v>
      </c>
      <c r="H426">
        <f>COUNTIF(BRON!A:A,Tabel6[[#This Row],[Personeelsnummer]])</f>
        <v>1</v>
      </c>
    </row>
    <row r="427" spans="1:8" x14ac:dyDescent="0.25">
      <c r="A427" s="34" t="s">
        <v>4346</v>
      </c>
      <c r="B427" s="34" t="s">
        <v>3161</v>
      </c>
      <c r="C427" s="34" t="s">
        <v>3160</v>
      </c>
      <c r="D427">
        <v>37999</v>
      </c>
      <c r="E427" s="34" t="s">
        <v>3858</v>
      </c>
      <c r="F427" s="3">
        <v>44805.083333333299</v>
      </c>
      <c r="G427" s="38">
        <f ca="1">TRUNC(YEARFRAC(F427,TODAY(),1))</f>
        <v>3</v>
      </c>
      <c r="H427">
        <f>COUNTIF(BRON!A:A,Tabel6[[#This Row],[Personeelsnummer]])</f>
        <v>0</v>
      </c>
    </row>
    <row r="428" spans="1:8" x14ac:dyDescent="0.25">
      <c r="A428" s="34" t="s">
        <v>4347</v>
      </c>
      <c r="B428" s="34" t="s">
        <v>1860</v>
      </c>
      <c r="C428" s="34" t="s">
        <v>3411</v>
      </c>
      <c r="D428">
        <v>38013</v>
      </c>
      <c r="E428" s="34" t="s">
        <v>3855</v>
      </c>
      <c r="F428" s="3">
        <v>44837.083333333299</v>
      </c>
      <c r="G428" s="38">
        <f ca="1">TRUNC(YEARFRAC(F428,TODAY(),1))</f>
        <v>3</v>
      </c>
      <c r="H428">
        <f>COUNTIF(BRON!A:A,Tabel6[[#This Row],[Personeelsnummer]])</f>
        <v>1</v>
      </c>
    </row>
    <row r="429" spans="1:8" x14ac:dyDescent="0.25">
      <c r="A429" s="34" t="s">
        <v>4348</v>
      </c>
      <c r="B429" s="34" t="s">
        <v>2667</v>
      </c>
      <c r="C429" s="34" t="s">
        <v>2666</v>
      </c>
      <c r="D429">
        <v>38035</v>
      </c>
      <c r="E429" s="34" t="s">
        <v>3854</v>
      </c>
      <c r="F429" s="3">
        <v>44837.083333333299</v>
      </c>
      <c r="G429" s="38">
        <f ca="1">TRUNC(YEARFRAC(F429,TODAY(),1))</f>
        <v>3</v>
      </c>
      <c r="H429">
        <f>COUNTIF(BRON!A:A,Tabel6[[#This Row],[Personeelsnummer]])</f>
        <v>1</v>
      </c>
    </row>
    <row r="430" spans="1:8" x14ac:dyDescent="0.25">
      <c r="A430" s="34" t="s">
        <v>4350</v>
      </c>
      <c r="B430" s="34" t="s">
        <v>2721</v>
      </c>
      <c r="C430" s="34" t="s">
        <v>2720</v>
      </c>
      <c r="D430">
        <v>38205</v>
      </c>
      <c r="E430" s="34" t="s">
        <v>3851</v>
      </c>
      <c r="F430" s="3">
        <v>44893.041666666701</v>
      </c>
      <c r="G430" s="38">
        <f ca="1">TRUNC(YEARFRAC(F430,TODAY(),1))</f>
        <v>3</v>
      </c>
      <c r="H430">
        <f>COUNTIF(BRON!A:A,Tabel6[[#This Row],[Personeelsnummer]])</f>
        <v>0</v>
      </c>
    </row>
    <row r="431" spans="1:8" x14ac:dyDescent="0.25">
      <c r="A431" s="34" t="s">
        <v>3896</v>
      </c>
      <c r="B431" s="34" t="s">
        <v>3047</v>
      </c>
      <c r="C431" s="34" t="s">
        <v>2765</v>
      </c>
      <c r="D431">
        <v>38481</v>
      </c>
      <c r="E431" s="34" t="s">
        <v>3851</v>
      </c>
      <c r="F431" s="3">
        <v>44970.041666666701</v>
      </c>
      <c r="G431" s="38">
        <f ca="1">TRUNC(YEARFRAC(F431,TODAY(),1))</f>
        <v>2</v>
      </c>
      <c r="H431">
        <f>COUNTIF(BRON!A:A,Tabel6[[#This Row],[Personeelsnummer]])</f>
        <v>3</v>
      </c>
    </row>
    <row r="432" spans="1:8" x14ac:dyDescent="0.25">
      <c r="A432" s="34" t="s">
        <v>4084</v>
      </c>
      <c r="B432" s="34" t="s">
        <v>3136</v>
      </c>
      <c r="C432" s="34" t="s">
        <v>3139</v>
      </c>
      <c r="D432">
        <v>23700</v>
      </c>
      <c r="E432" s="34" t="s">
        <v>3859</v>
      </c>
      <c r="F432" s="3">
        <v>45181.083333333299</v>
      </c>
      <c r="G432" s="38">
        <f ca="1">TRUNC(YEARFRAC(F432,TODAY(),1))</f>
        <v>2</v>
      </c>
      <c r="H432">
        <f>COUNTIF(BRON!A:A,Tabel6[[#This Row],[Personeelsnummer]])</f>
        <v>2</v>
      </c>
    </row>
    <row r="433" spans="1:8" x14ac:dyDescent="0.25">
      <c r="A433" s="34" t="s">
        <v>4128</v>
      </c>
      <c r="B433" s="34" t="s">
        <v>2897</v>
      </c>
      <c r="C433" s="34" t="s">
        <v>2896</v>
      </c>
      <c r="D433">
        <v>27186</v>
      </c>
      <c r="E433" s="34" t="s">
        <v>3853</v>
      </c>
      <c r="F433" s="3">
        <v>45139.083333333299</v>
      </c>
      <c r="G433" s="38">
        <f ca="1">TRUNC(YEARFRAC(F433,TODAY(),1))</f>
        <v>2</v>
      </c>
      <c r="H433">
        <f>COUNTIF(BRON!A:A,Tabel6[[#This Row],[Personeelsnummer]])</f>
        <v>2</v>
      </c>
    </row>
    <row r="434" spans="1:8" x14ac:dyDescent="0.25">
      <c r="A434" s="34" t="s">
        <v>4235</v>
      </c>
      <c r="B434" s="34" t="s">
        <v>2249</v>
      </c>
      <c r="C434" s="34" t="s">
        <v>2248</v>
      </c>
      <c r="D434">
        <v>34325</v>
      </c>
      <c r="E434" s="34" t="s">
        <v>3858</v>
      </c>
      <c r="F434" s="3">
        <v>44971.041666666701</v>
      </c>
      <c r="G434" s="38">
        <f ca="1">TRUNC(YEARFRAC(F434,TODAY(),1))</f>
        <v>2</v>
      </c>
      <c r="H434">
        <f>COUNTIF(BRON!A:A,Tabel6[[#This Row],[Personeelsnummer]])</f>
        <v>5</v>
      </c>
    </row>
    <row r="435" spans="1:8" x14ac:dyDescent="0.25">
      <c r="A435" s="34" t="s">
        <v>4349</v>
      </c>
      <c r="B435" s="34" t="s">
        <v>2253</v>
      </c>
      <c r="C435" s="34" t="s">
        <v>2252</v>
      </c>
      <c r="D435">
        <v>38047</v>
      </c>
      <c r="E435" s="34" t="s">
        <v>3853</v>
      </c>
      <c r="F435" s="3">
        <v>45169.083333333299</v>
      </c>
      <c r="G435" s="38">
        <f ca="1">TRUNC(YEARFRAC(F435,TODAY(),1))</f>
        <v>2</v>
      </c>
      <c r="H435">
        <f>COUNTIF(BRON!A:A,Tabel6[[#This Row],[Personeelsnummer]])</f>
        <v>0</v>
      </c>
    </row>
    <row r="436" spans="1:8" x14ac:dyDescent="0.25">
      <c r="A436" s="34" t="s">
        <v>4351</v>
      </c>
      <c r="B436" s="34" t="s">
        <v>2495</v>
      </c>
      <c r="C436" s="34" t="s">
        <v>1964</v>
      </c>
      <c r="D436">
        <v>38475</v>
      </c>
      <c r="E436" s="34" t="s">
        <v>3857</v>
      </c>
      <c r="F436" s="3">
        <v>44942.041666666701</v>
      </c>
      <c r="G436" s="38">
        <f ca="1">TRUNC(YEARFRAC(F436,TODAY(),1))</f>
        <v>2</v>
      </c>
      <c r="H436">
        <f>COUNTIF(BRON!A:A,Tabel6[[#This Row],[Personeelsnummer]])</f>
        <v>4</v>
      </c>
    </row>
    <row r="437" spans="1:8" x14ac:dyDescent="0.25">
      <c r="A437" s="34" t="s">
        <v>4352</v>
      </c>
      <c r="B437" s="34" t="s">
        <v>2631</v>
      </c>
      <c r="C437" s="34" t="s">
        <v>2630</v>
      </c>
      <c r="D437">
        <v>38529</v>
      </c>
      <c r="E437" s="34" t="s">
        <v>3857</v>
      </c>
      <c r="F437" s="3">
        <v>44956.041666666701</v>
      </c>
      <c r="G437" s="38">
        <f ca="1">TRUNC(YEARFRAC(F437,TODAY(),1))</f>
        <v>2</v>
      </c>
      <c r="H437">
        <f>COUNTIF(BRON!A:A,Tabel6[[#This Row],[Personeelsnummer]])</f>
        <v>5</v>
      </c>
    </row>
    <row r="438" spans="1:8" x14ac:dyDescent="0.25">
      <c r="A438" s="34" t="s">
        <v>4353</v>
      </c>
      <c r="B438" s="34" t="s">
        <v>1725</v>
      </c>
      <c r="C438" s="34" t="s">
        <v>1615</v>
      </c>
      <c r="D438">
        <v>38550</v>
      </c>
      <c r="E438" s="34" t="s">
        <v>3853</v>
      </c>
      <c r="F438" s="3">
        <v>44984.041666666701</v>
      </c>
      <c r="G438" s="38">
        <f ca="1">TRUNC(YEARFRAC(F438,TODAY(),1))</f>
        <v>2</v>
      </c>
      <c r="H438">
        <f>COUNTIF(BRON!A:A,Tabel6[[#This Row],[Personeelsnummer]])</f>
        <v>0</v>
      </c>
    </row>
    <row r="439" spans="1:8" x14ac:dyDescent="0.25">
      <c r="A439" s="34" t="s">
        <v>4354</v>
      </c>
      <c r="B439" s="34" t="s">
        <v>2014</v>
      </c>
      <c r="C439" s="34" t="s">
        <v>3431</v>
      </c>
      <c r="D439">
        <v>38551</v>
      </c>
      <c r="E439" s="34" t="s">
        <v>3854</v>
      </c>
      <c r="F439" s="3">
        <v>44970.041666666701</v>
      </c>
      <c r="G439" s="38">
        <f ca="1">TRUNC(YEARFRAC(F439,TODAY(),1))</f>
        <v>2</v>
      </c>
      <c r="H439">
        <f>COUNTIF(BRON!A:A,Tabel6[[#This Row],[Personeelsnummer]])</f>
        <v>1</v>
      </c>
    </row>
    <row r="440" spans="1:8" x14ac:dyDescent="0.25">
      <c r="A440" s="34" t="s">
        <v>4355</v>
      </c>
      <c r="B440" s="34" t="s">
        <v>2307</v>
      </c>
      <c r="C440" s="34" t="s">
        <v>2306</v>
      </c>
      <c r="D440">
        <v>38555</v>
      </c>
      <c r="E440" s="34" t="s">
        <v>3856</v>
      </c>
      <c r="F440" s="3">
        <v>44984.041666666701</v>
      </c>
      <c r="G440" s="38">
        <f ca="1">TRUNC(YEARFRAC(F440,TODAY(),1))</f>
        <v>2</v>
      </c>
      <c r="H440">
        <f>COUNTIF(BRON!A:A,Tabel6[[#This Row],[Personeelsnummer]])</f>
        <v>1</v>
      </c>
    </row>
    <row r="441" spans="1:8" x14ac:dyDescent="0.25">
      <c r="A441" s="34" t="s">
        <v>4356</v>
      </c>
      <c r="B441" s="34" t="s">
        <v>1616</v>
      </c>
      <c r="C441" s="34" t="s">
        <v>1615</v>
      </c>
      <c r="D441">
        <v>38579</v>
      </c>
      <c r="E441" s="34" t="s">
        <v>3857</v>
      </c>
      <c r="F441" s="3">
        <v>45035.083333333299</v>
      </c>
      <c r="G441" s="38">
        <f ca="1">TRUNC(YEARFRAC(F441,TODAY(),1))</f>
        <v>2</v>
      </c>
      <c r="H441">
        <f>COUNTIF(BRON!A:A,Tabel6[[#This Row],[Personeelsnummer]])</f>
        <v>1</v>
      </c>
    </row>
    <row r="442" spans="1:8" x14ac:dyDescent="0.25">
      <c r="A442" s="34" t="s">
        <v>4357</v>
      </c>
      <c r="B442" s="34" t="s">
        <v>1763</v>
      </c>
      <c r="C442" s="34" t="s">
        <v>1762</v>
      </c>
      <c r="D442">
        <v>38580</v>
      </c>
      <c r="E442" s="34" t="s">
        <v>3857</v>
      </c>
      <c r="F442" s="3">
        <v>44998.041666666701</v>
      </c>
      <c r="G442" s="38">
        <f ca="1">TRUNC(YEARFRAC(F442,TODAY(),1))</f>
        <v>2</v>
      </c>
      <c r="H442">
        <f>COUNTIF(BRON!A:A,Tabel6[[#This Row],[Personeelsnummer]])</f>
        <v>1</v>
      </c>
    </row>
    <row r="443" spans="1:8" x14ac:dyDescent="0.25">
      <c r="A443" s="34" t="s">
        <v>4358</v>
      </c>
      <c r="B443" s="34" t="s">
        <v>2245</v>
      </c>
      <c r="C443" s="34" t="s">
        <v>2244</v>
      </c>
      <c r="D443">
        <v>38633</v>
      </c>
      <c r="E443" s="34" t="s">
        <v>3857</v>
      </c>
      <c r="F443" s="3">
        <v>44970.041666666701</v>
      </c>
      <c r="G443" s="38">
        <f ca="1">TRUNC(YEARFRAC(F443,TODAY(),1))</f>
        <v>2</v>
      </c>
      <c r="H443">
        <f>COUNTIF(BRON!A:A,Tabel6[[#This Row],[Personeelsnummer]])</f>
        <v>3</v>
      </c>
    </row>
    <row r="444" spans="1:8" x14ac:dyDescent="0.25">
      <c r="A444" s="34" t="s">
        <v>4359</v>
      </c>
      <c r="B444" s="34" t="s">
        <v>1384</v>
      </c>
      <c r="C444" s="34" t="s">
        <v>1383</v>
      </c>
      <c r="D444">
        <v>38634</v>
      </c>
      <c r="E444" s="34" t="s">
        <v>3854</v>
      </c>
      <c r="F444" s="3">
        <v>45012.083333333299</v>
      </c>
      <c r="G444" s="38">
        <f ca="1">TRUNC(YEARFRAC(F444,TODAY(),1))</f>
        <v>2</v>
      </c>
      <c r="H444">
        <f>COUNTIF(BRON!A:A,Tabel6[[#This Row],[Personeelsnummer]])</f>
        <v>3</v>
      </c>
    </row>
    <row r="445" spans="1:8" x14ac:dyDescent="0.25">
      <c r="A445" s="34" t="s">
        <v>4360</v>
      </c>
      <c r="B445" s="34" t="s">
        <v>2129</v>
      </c>
      <c r="C445" s="34" t="s">
        <v>2128</v>
      </c>
      <c r="D445">
        <v>38648</v>
      </c>
      <c r="E445" s="34" t="s">
        <v>3855</v>
      </c>
      <c r="F445" s="3">
        <v>45027.083333333299</v>
      </c>
      <c r="G445" s="38">
        <f ca="1">TRUNC(YEARFRAC(F445,TODAY(),1))</f>
        <v>2</v>
      </c>
      <c r="H445">
        <f>COUNTIF(BRON!A:A,Tabel6[[#This Row],[Personeelsnummer]])</f>
        <v>4</v>
      </c>
    </row>
    <row r="446" spans="1:8" x14ac:dyDescent="0.25">
      <c r="A446" s="34" t="s">
        <v>4361</v>
      </c>
      <c r="B446" s="34" t="s">
        <v>1706</v>
      </c>
      <c r="C446" s="34" t="s">
        <v>1705</v>
      </c>
      <c r="D446">
        <v>38688</v>
      </c>
      <c r="E446" s="34" t="s">
        <v>3857</v>
      </c>
      <c r="F446" s="3">
        <v>45027.083333333299</v>
      </c>
      <c r="G446" s="38">
        <f ca="1">TRUNC(YEARFRAC(F446,TODAY(),1))</f>
        <v>2</v>
      </c>
      <c r="H446">
        <f>COUNTIF(BRON!A:A,Tabel6[[#This Row],[Personeelsnummer]])</f>
        <v>3</v>
      </c>
    </row>
    <row r="447" spans="1:8" x14ac:dyDescent="0.25">
      <c r="A447" s="34" t="s">
        <v>4362</v>
      </c>
      <c r="B447" s="34" t="s">
        <v>3473</v>
      </c>
      <c r="C447" s="34" t="s">
        <v>3472</v>
      </c>
      <c r="D447">
        <v>38691</v>
      </c>
      <c r="E447" s="34" t="s">
        <v>3857</v>
      </c>
      <c r="F447" s="3">
        <v>45012.083333333299</v>
      </c>
      <c r="G447" s="38">
        <f ca="1">TRUNC(YEARFRAC(F447,TODAY(),1))</f>
        <v>2</v>
      </c>
      <c r="H447">
        <f>COUNTIF(BRON!A:A,Tabel6[[#This Row],[Personeelsnummer]])</f>
        <v>0</v>
      </c>
    </row>
    <row r="448" spans="1:8" x14ac:dyDescent="0.25">
      <c r="A448" s="34" t="s">
        <v>4363</v>
      </c>
      <c r="B448" s="34" t="s">
        <v>1756</v>
      </c>
      <c r="C448" s="34" t="s">
        <v>1755</v>
      </c>
      <c r="D448">
        <v>38731</v>
      </c>
      <c r="E448" s="34" t="s">
        <v>3853</v>
      </c>
      <c r="F448" s="3">
        <v>45062.083333333299</v>
      </c>
      <c r="G448" s="38">
        <f ca="1">TRUNC(YEARFRAC(F448,TODAY(),1))</f>
        <v>2</v>
      </c>
      <c r="H448">
        <f>COUNTIF(BRON!A:A,Tabel6[[#This Row],[Personeelsnummer]])</f>
        <v>1</v>
      </c>
    </row>
    <row r="449" spans="1:8" x14ac:dyDescent="0.25">
      <c r="A449" s="34" t="s">
        <v>4364</v>
      </c>
      <c r="B449" s="34" t="s">
        <v>3335</v>
      </c>
      <c r="C449" s="34" t="s">
        <v>3334</v>
      </c>
      <c r="D449">
        <v>38740</v>
      </c>
      <c r="E449" s="34" t="s">
        <v>3853</v>
      </c>
      <c r="F449" s="3">
        <v>45027.083333333299</v>
      </c>
      <c r="G449" s="38">
        <f ca="1">TRUNC(YEARFRAC(F449,TODAY(),1))</f>
        <v>2</v>
      </c>
      <c r="H449">
        <f>COUNTIF(BRON!A:A,Tabel6[[#This Row],[Personeelsnummer]])</f>
        <v>2</v>
      </c>
    </row>
    <row r="450" spans="1:8" x14ac:dyDescent="0.25">
      <c r="A450" s="34" t="s">
        <v>4365</v>
      </c>
      <c r="B450" s="34" t="s">
        <v>3173</v>
      </c>
      <c r="C450" s="34" t="s">
        <v>3172</v>
      </c>
      <c r="D450">
        <v>38807</v>
      </c>
      <c r="E450" s="34" t="s">
        <v>3853</v>
      </c>
      <c r="F450" s="3">
        <v>45027.083333333299</v>
      </c>
      <c r="G450" s="38">
        <f ca="1">TRUNC(YEARFRAC(F450,TODAY(),1))</f>
        <v>2</v>
      </c>
      <c r="H450">
        <f>COUNTIF(BRON!A:A,Tabel6[[#This Row],[Personeelsnummer]])</f>
        <v>4</v>
      </c>
    </row>
    <row r="451" spans="1:8" x14ac:dyDescent="0.25">
      <c r="A451" s="34" t="s">
        <v>4366</v>
      </c>
      <c r="B451" s="34" t="s">
        <v>2604</v>
      </c>
      <c r="C451" s="34" t="s">
        <v>2607</v>
      </c>
      <c r="D451">
        <v>38808</v>
      </c>
      <c r="E451" s="34" t="s">
        <v>3857</v>
      </c>
      <c r="F451" s="3">
        <v>45090.083333333299</v>
      </c>
      <c r="G451" s="38">
        <f ca="1">TRUNC(YEARFRAC(F451,TODAY(),1))</f>
        <v>2</v>
      </c>
      <c r="H451">
        <f>COUNTIF(BRON!A:A,Tabel6[[#This Row],[Personeelsnummer]])</f>
        <v>5</v>
      </c>
    </row>
    <row r="452" spans="1:8" x14ac:dyDescent="0.25">
      <c r="A452" s="34" t="s">
        <v>4367</v>
      </c>
      <c r="B452" s="34" t="s">
        <v>2909</v>
      </c>
      <c r="C452" s="34" t="s">
        <v>2908</v>
      </c>
      <c r="D452">
        <v>38931</v>
      </c>
      <c r="E452" s="34" t="s">
        <v>3854</v>
      </c>
      <c r="F452" s="3">
        <v>45040.083333333299</v>
      </c>
      <c r="G452" s="38">
        <f ca="1">TRUNC(YEARFRAC(F452,TODAY(),1))</f>
        <v>2</v>
      </c>
      <c r="H452">
        <f>COUNTIF(BRON!A:A,Tabel6[[#This Row],[Personeelsnummer]])</f>
        <v>4</v>
      </c>
    </row>
    <row r="453" spans="1:8" x14ac:dyDescent="0.25">
      <c r="A453" s="34" t="s">
        <v>4368</v>
      </c>
      <c r="B453" s="34" t="s">
        <v>2762</v>
      </c>
      <c r="C453" s="34" t="s">
        <v>2761</v>
      </c>
      <c r="D453">
        <v>38938</v>
      </c>
      <c r="E453" s="34" t="s">
        <v>3855</v>
      </c>
      <c r="F453" s="3">
        <v>45061.083333333299</v>
      </c>
      <c r="G453" s="38">
        <f ca="1">TRUNC(YEARFRAC(F453,TODAY(),1))</f>
        <v>2</v>
      </c>
      <c r="H453">
        <f>COUNTIF(BRON!A:A,Tabel6[[#This Row],[Personeelsnummer]])</f>
        <v>7</v>
      </c>
    </row>
    <row r="454" spans="1:8" x14ac:dyDescent="0.25">
      <c r="A454" s="34" t="s">
        <v>4369</v>
      </c>
      <c r="B454" s="34" t="s">
        <v>2770</v>
      </c>
      <c r="C454" s="34" t="s">
        <v>2769</v>
      </c>
      <c r="D454">
        <v>39013</v>
      </c>
      <c r="E454" s="34" t="s">
        <v>3857</v>
      </c>
      <c r="F454" s="3">
        <v>45076.083333333299</v>
      </c>
      <c r="G454" s="38">
        <f ca="1">TRUNC(YEARFRAC(F454,TODAY(),1))</f>
        <v>2</v>
      </c>
      <c r="H454">
        <f>COUNTIF(BRON!A:A,Tabel6[[#This Row],[Personeelsnummer]])</f>
        <v>3</v>
      </c>
    </row>
    <row r="455" spans="1:8" x14ac:dyDescent="0.25">
      <c r="A455" s="34" t="s">
        <v>4370</v>
      </c>
      <c r="B455" s="34" t="s">
        <v>2390</v>
      </c>
      <c r="C455" s="34" t="s">
        <v>2389</v>
      </c>
      <c r="D455">
        <v>39014</v>
      </c>
      <c r="E455" s="34" t="s">
        <v>3854</v>
      </c>
      <c r="F455" s="3">
        <v>45076.083333333299</v>
      </c>
      <c r="G455" s="38">
        <f ca="1">TRUNC(YEARFRAC(F455,TODAY(),1))</f>
        <v>2</v>
      </c>
      <c r="H455">
        <f>COUNTIF(BRON!A:A,Tabel6[[#This Row],[Personeelsnummer]])</f>
        <v>3</v>
      </c>
    </row>
    <row r="456" spans="1:8" x14ac:dyDescent="0.25">
      <c r="A456" s="34" t="s">
        <v>4371</v>
      </c>
      <c r="B456" s="34" t="s">
        <v>2483</v>
      </c>
      <c r="C456" s="34" t="s">
        <v>2489</v>
      </c>
      <c r="D456">
        <v>39019</v>
      </c>
      <c r="E456" s="34" t="s">
        <v>3855</v>
      </c>
      <c r="F456" s="3">
        <v>45061.083333333299</v>
      </c>
      <c r="G456" s="38">
        <f ca="1">TRUNC(YEARFRAC(F456,TODAY(),1))</f>
        <v>2</v>
      </c>
      <c r="H456">
        <f>COUNTIF(BRON!A:A,Tabel6[[#This Row],[Personeelsnummer]])</f>
        <v>2</v>
      </c>
    </row>
    <row r="457" spans="1:8" x14ac:dyDescent="0.25">
      <c r="A457" s="34" t="s">
        <v>4373</v>
      </c>
      <c r="B457" s="34" t="s">
        <v>3423</v>
      </c>
      <c r="C457" s="34" t="s">
        <v>3422</v>
      </c>
      <c r="D457">
        <v>39106</v>
      </c>
      <c r="E457" s="34" t="s">
        <v>3854</v>
      </c>
      <c r="F457" s="3">
        <v>45076.083333333299</v>
      </c>
      <c r="G457" s="38">
        <f ca="1">TRUNC(YEARFRAC(F457,TODAY(),1))</f>
        <v>2</v>
      </c>
      <c r="H457">
        <f>COUNTIF(BRON!A:A,Tabel6[[#This Row],[Personeelsnummer]])</f>
        <v>0</v>
      </c>
    </row>
    <row r="458" spans="1:8" x14ac:dyDescent="0.25">
      <c r="A458" s="34" t="s">
        <v>4374</v>
      </c>
      <c r="B458" s="34" t="s">
        <v>1789</v>
      </c>
      <c r="C458" s="34" t="s">
        <v>1788</v>
      </c>
      <c r="D458">
        <v>39145</v>
      </c>
      <c r="E458" s="34" t="s">
        <v>3853</v>
      </c>
      <c r="F458" s="3">
        <v>45166.083333333299</v>
      </c>
      <c r="G458" s="38">
        <f ca="1">TRUNC(YEARFRAC(F458,TODAY(),1))</f>
        <v>2</v>
      </c>
      <c r="H458">
        <f>COUNTIF(BRON!A:A,Tabel6[[#This Row],[Personeelsnummer]])</f>
        <v>1</v>
      </c>
    </row>
    <row r="459" spans="1:8" x14ac:dyDescent="0.25">
      <c r="A459" s="34" t="s">
        <v>4375</v>
      </c>
      <c r="B459" s="34" t="s">
        <v>3395</v>
      </c>
      <c r="C459" s="34" t="s">
        <v>3394</v>
      </c>
      <c r="D459">
        <v>39146</v>
      </c>
      <c r="E459" s="34" t="s">
        <v>3857</v>
      </c>
      <c r="F459" s="3">
        <v>45090.083333333299</v>
      </c>
      <c r="G459" s="38">
        <f ca="1">TRUNC(YEARFRAC(F459,TODAY(),1))</f>
        <v>2</v>
      </c>
      <c r="H459">
        <f>COUNTIF(BRON!A:A,Tabel6[[#This Row],[Personeelsnummer]])</f>
        <v>3</v>
      </c>
    </row>
    <row r="460" spans="1:8" x14ac:dyDescent="0.25">
      <c r="A460" s="34" t="s">
        <v>4376</v>
      </c>
      <c r="B460" s="34" t="s">
        <v>3362</v>
      </c>
      <c r="C460" s="34" t="s">
        <v>3361</v>
      </c>
      <c r="D460">
        <v>39183</v>
      </c>
      <c r="E460" s="34" t="s">
        <v>3853</v>
      </c>
      <c r="F460" s="3">
        <v>45103.083333333299</v>
      </c>
      <c r="G460" s="38">
        <f ca="1">TRUNC(YEARFRAC(F460,TODAY(),1))</f>
        <v>2</v>
      </c>
      <c r="H460">
        <f>COUNTIF(BRON!A:A,Tabel6[[#This Row],[Personeelsnummer]])</f>
        <v>4</v>
      </c>
    </row>
    <row r="461" spans="1:8" x14ac:dyDescent="0.25">
      <c r="A461" s="34" t="s">
        <v>4377</v>
      </c>
      <c r="B461" s="34" t="s">
        <v>1427</v>
      </c>
      <c r="C461" s="34" t="s">
        <v>1426</v>
      </c>
      <c r="D461">
        <v>39184</v>
      </c>
      <c r="E461" s="34" t="s">
        <v>3853</v>
      </c>
      <c r="F461" s="3">
        <v>45097.083333333299</v>
      </c>
      <c r="G461" s="38">
        <f ca="1">TRUNC(YEARFRAC(F461,TODAY(),1))</f>
        <v>2</v>
      </c>
      <c r="H461">
        <f>COUNTIF(BRON!A:A,Tabel6[[#This Row],[Personeelsnummer]])</f>
        <v>3</v>
      </c>
    </row>
    <row r="462" spans="1:8" x14ac:dyDescent="0.25">
      <c r="A462" s="34" t="s">
        <v>4378</v>
      </c>
      <c r="B462" s="34" t="s">
        <v>3378</v>
      </c>
      <c r="C462" s="34" t="s">
        <v>3381</v>
      </c>
      <c r="D462">
        <v>39251</v>
      </c>
      <c r="E462" s="34" t="s">
        <v>3857</v>
      </c>
      <c r="F462" s="3">
        <v>45103.083333333299</v>
      </c>
      <c r="G462" s="38">
        <f ca="1">TRUNC(YEARFRAC(F462,TODAY(),1))</f>
        <v>2</v>
      </c>
      <c r="H462">
        <f>COUNTIF(BRON!A:A,Tabel6[[#This Row],[Personeelsnummer]])</f>
        <v>0</v>
      </c>
    </row>
    <row r="463" spans="1:8" x14ac:dyDescent="0.25">
      <c r="A463" s="34" t="s">
        <v>4379</v>
      </c>
      <c r="B463" s="34" t="s">
        <v>2604</v>
      </c>
      <c r="C463" s="34" t="s">
        <v>1443</v>
      </c>
      <c r="D463">
        <v>39267</v>
      </c>
      <c r="E463" s="34" t="s">
        <v>3853</v>
      </c>
      <c r="F463" s="3">
        <v>45173.083333333299</v>
      </c>
      <c r="G463" s="38">
        <f ca="1">TRUNC(YEARFRAC(F463,TODAY(),1))</f>
        <v>2</v>
      </c>
      <c r="H463">
        <f>COUNTIF(BRON!A:A,Tabel6[[#This Row],[Personeelsnummer]])</f>
        <v>1</v>
      </c>
    </row>
    <row r="464" spans="1:8" x14ac:dyDescent="0.25">
      <c r="A464" s="34" t="s">
        <v>4380</v>
      </c>
      <c r="B464" s="34" t="s">
        <v>2584</v>
      </c>
      <c r="C464" s="34" t="s">
        <v>2583</v>
      </c>
      <c r="D464">
        <v>39358</v>
      </c>
      <c r="E464" s="34" t="s">
        <v>3853</v>
      </c>
      <c r="F464" s="3">
        <v>45124.083333333299</v>
      </c>
      <c r="G464" s="38">
        <f ca="1">TRUNC(YEARFRAC(F464,TODAY(),1))</f>
        <v>2</v>
      </c>
      <c r="H464">
        <f>COUNTIF(BRON!A:A,Tabel6[[#This Row],[Personeelsnummer]])</f>
        <v>5</v>
      </c>
    </row>
    <row r="465" spans="1:8" x14ac:dyDescent="0.25">
      <c r="A465" s="34" t="s">
        <v>4381</v>
      </c>
      <c r="B465" s="34" t="s">
        <v>2151</v>
      </c>
      <c r="C465" s="34" t="s">
        <v>2150</v>
      </c>
      <c r="D465">
        <v>39379</v>
      </c>
      <c r="E465" s="34" t="s">
        <v>3853</v>
      </c>
      <c r="F465" s="3">
        <v>45194.083333333299</v>
      </c>
      <c r="G465" s="38">
        <f ca="1">TRUNC(YEARFRAC(F465,TODAY(),1))</f>
        <v>2</v>
      </c>
      <c r="H465">
        <f>COUNTIF(BRON!A:A,Tabel6[[#This Row],[Personeelsnummer]])</f>
        <v>2</v>
      </c>
    </row>
    <row r="466" spans="1:8" x14ac:dyDescent="0.25">
      <c r="A466" s="34" t="s">
        <v>4382</v>
      </c>
      <c r="B466" s="34" t="s">
        <v>1903</v>
      </c>
      <c r="C466" s="34" t="s">
        <v>1902</v>
      </c>
      <c r="D466">
        <v>39528</v>
      </c>
      <c r="E466" s="34" t="s">
        <v>3853</v>
      </c>
      <c r="F466" s="3">
        <v>45236.041666666701</v>
      </c>
      <c r="G466" s="38">
        <f ca="1">TRUNC(YEARFRAC(F466,TODAY(),1))</f>
        <v>2</v>
      </c>
      <c r="H466">
        <f>COUNTIF(BRON!A:A,Tabel6[[#This Row],[Personeelsnummer]])</f>
        <v>4</v>
      </c>
    </row>
    <row r="467" spans="1:8" x14ac:dyDescent="0.25">
      <c r="A467" s="34" t="s">
        <v>4384</v>
      </c>
      <c r="B467" s="34" t="s">
        <v>2030</v>
      </c>
      <c r="C467" s="34" t="s">
        <v>2029</v>
      </c>
      <c r="D467">
        <v>39532</v>
      </c>
      <c r="E467" s="34" t="s">
        <v>3853</v>
      </c>
      <c r="F467" s="3">
        <v>45208.083333333299</v>
      </c>
      <c r="G467" s="38">
        <f ca="1">TRUNC(YEARFRAC(F467,TODAY(),1))</f>
        <v>2</v>
      </c>
      <c r="H467">
        <f>COUNTIF(BRON!A:A,Tabel6[[#This Row],[Personeelsnummer]])</f>
        <v>6</v>
      </c>
    </row>
    <row r="468" spans="1:8" x14ac:dyDescent="0.25">
      <c r="A468" s="34" t="s">
        <v>4385</v>
      </c>
      <c r="B468" s="34" t="s">
        <v>3169</v>
      </c>
      <c r="C468" s="34" t="s">
        <v>2975</v>
      </c>
      <c r="D468">
        <v>39558</v>
      </c>
      <c r="E468" s="34" t="s">
        <v>3858</v>
      </c>
      <c r="F468" s="3">
        <v>45208.083333333299</v>
      </c>
      <c r="G468" s="38">
        <f ca="1">TRUNC(YEARFRAC(F468,TODAY(),1))</f>
        <v>2</v>
      </c>
      <c r="H468">
        <f>COUNTIF(BRON!A:A,Tabel6[[#This Row],[Personeelsnummer]])</f>
        <v>2</v>
      </c>
    </row>
    <row r="469" spans="1:8" x14ac:dyDescent="0.25">
      <c r="A469" s="34" t="s">
        <v>4386</v>
      </c>
      <c r="B469" s="34" t="s">
        <v>2653</v>
      </c>
      <c r="C469" s="34" t="s">
        <v>2652</v>
      </c>
      <c r="D469">
        <v>39575</v>
      </c>
      <c r="E469" s="34" t="s">
        <v>3857</v>
      </c>
      <c r="F469" s="3">
        <v>45222.083333333299</v>
      </c>
      <c r="G469" s="38">
        <f ca="1">TRUNC(YEARFRAC(F469,TODAY(),1))</f>
        <v>2</v>
      </c>
      <c r="H469">
        <f>COUNTIF(BRON!A:A,Tabel6[[#This Row],[Personeelsnummer]])</f>
        <v>0</v>
      </c>
    </row>
    <row r="470" spans="1:8" x14ac:dyDescent="0.25">
      <c r="A470" s="34" t="s">
        <v>4387</v>
      </c>
      <c r="B470" s="34" t="s">
        <v>2370</v>
      </c>
      <c r="C470" s="34" t="s">
        <v>2369</v>
      </c>
      <c r="D470">
        <v>39581</v>
      </c>
      <c r="E470" s="34" t="s">
        <v>3857</v>
      </c>
      <c r="F470" s="3">
        <v>45194.083333333299</v>
      </c>
      <c r="G470" s="38">
        <f ca="1">TRUNC(YEARFRAC(F470,TODAY(),1))</f>
        <v>2</v>
      </c>
      <c r="H470">
        <f>COUNTIF(BRON!A:A,Tabel6[[#This Row],[Personeelsnummer]])</f>
        <v>5</v>
      </c>
    </row>
    <row r="471" spans="1:8" x14ac:dyDescent="0.25">
      <c r="A471" s="34" t="s">
        <v>4388</v>
      </c>
      <c r="B471" s="34" t="s">
        <v>3273</v>
      </c>
      <c r="C471" s="34" t="s">
        <v>3272</v>
      </c>
      <c r="D471">
        <v>39610</v>
      </c>
      <c r="E471" s="34" t="s">
        <v>3854</v>
      </c>
      <c r="F471" s="3">
        <v>45208.083333333299</v>
      </c>
      <c r="G471" s="38">
        <f ca="1">TRUNC(YEARFRAC(F471,TODAY(),1))</f>
        <v>2</v>
      </c>
      <c r="H471">
        <f>COUNTIF(BRON!A:A,Tabel6[[#This Row],[Personeelsnummer]])</f>
        <v>1</v>
      </c>
    </row>
    <row r="472" spans="1:8" x14ac:dyDescent="0.25">
      <c r="A472" s="34" t="s">
        <v>4389</v>
      </c>
      <c r="B472" s="34" t="s">
        <v>1622</v>
      </c>
      <c r="C472" s="34" t="s">
        <v>1621</v>
      </c>
      <c r="D472">
        <v>39651</v>
      </c>
      <c r="E472" s="34" t="s">
        <v>3851</v>
      </c>
      <c r="F472" s="3">
        <v>45208.083333333299</v>
      </c>
      <c r="G472" s="38">
        <f ca="1">TRUNC(YEARFRAC(F472,TODAY(),1))</f>
        <v>2</v>
      </c>
      <c r="H472">
        <f>COUNTIF(BRON!A:A,Tabel6[[#This Row],[Personeelsnummer]])</f>
        <v>4</v>
      </c>
    </row>
    <row r="473" spans="1:8" x14ac:dyDescent="0.25">
      <c r="A473" s="34" t="s">
        <v>4390</v>
      </c>
      <c r="B473" s="34" t="s">
        <v>2366</v>
      </c>
      <c r="C473" s="34" t="s">
        <v>2365</v>
      </c>
      <c r="D473">
        <v>39654</v>
      </c>
      <c r="E473" s="34" t="s">
        <v>3851</v>
      </c>
      <c r="F473" s="3">
        <v>45222.083333333299</v>
      </c>
      <c r="G473" s="38">
        <f ca="1">TRUNC(YEARFRAC(F473,TODAY(),1))</f>
        <v>2</v>
      </c>
      <c r="H473">
        <f>COUNTIF(BRON!A:A,Tabel6[[#This Row],[Personeelsnummer]])</f>
        <v>2</v>
      </c>
    </row>
    <row r="474" spans="1:8" x14ac:dyDescent="0.25">
      <c r="A474" s="34" t="s">
        <v>4391</v>
      </c>
      <c r="B474" s="34" t="s">
        <v>2792</v>
      </c>
      <c r="C474" s="34" t="s">
        <v>2795</v>
      </c>
      <c r="D474">
        <v>39660</v>
      </c>
      <c r="E474" s="34" t="s">
        <v>3854</v>
      </c>
      <c r="F474" s="3">
        <v>45222.083333333299</v>
      </c>
      <c r="G474" s="38">
        <f ca="1">TRUNC(YEARFRAC(F474,TODAY(),1))</f>
        <v>2</v>
      </c>
      <c r="H474">
        <f>COUNTIF(BRON!A:A,Tabel6[[#This Row],[Personeelsnummer]])</f>
        <v>6</v>
      </c>
    </row>
    <row r="475" spans="1:8" x14ac:dyDescent="0.25">
      <c r="A475" s="34" t="s">
        <v>4392</v>
      </c>
      <c r="B475" s="34" t="s">
        <v>2733</v>
      </c>
      <c r="C475" s="34" t="s">
        <v>2732</v>
      </c>
      <c r="D475">
        <v>39673</v>
      </c>
      <c r="E475" s="34" t="s">
        <v>3856</v>
      </c>
      <c r="F475" s="3">
        <v>45236.041666666701</v>
      </c>
      <c r="G475" s="38">
        <f ca="1">TRUNC(YEARFRAC(F475,TODAY(),1))</f>
        <v>2</v>
      </c>
      <c r="H475">
        <f>COUNTIF(BRON!A:A,Tabel6[[#This Row],[Personeelsnummer]])</f>
        <v>5</v>
      </c>
    </row>
    <row r="476" spans="1:8" x14ac:dyDescent="0.25">
      <c r="A476" s="34" t="s">
        <v>4393</v>
      </c>
      <c r="B476" s="34" t="s">
        <v>2575</v>
      </c>
      <c r="C476" s="34" t="s">
        <v>2574</v>
      </c>
      <c r="D476">
        <v>39677</v>
      </c>
      <c r="E476" s="34" t="s">
        <v>3851</v>
      </c>
      <c r="F476" s="3">
        <v>45222.083333333299</v>
      </c>
      <c r="G476" s="38">
        <f ca="1">TRUNC(YEARFRAC(F476,TODAY(),1))</f>
        <v>2</v>
      </c>
      <c r="H476">
        <f>COUNTIF(BRON!A:A,Tabel6[[#This Row],[Personeelsnummer]])</f>
        <v>1</v>
      </c>
    </row>
    <row r="477" spans="1:8" x14ac:dyDescent="0.25">
      <c r="A477" s="34" t="s">
        <v>4394</v>
      </c>
      <c r="B477" s="34" t="s">
        <v>1210</v>
      </c>
      <c r="C477" s="34" t="s">
        <v>1048</v>
      </c>
      <c r="D477">
        <v>39712</v>
      </c>
      <c r="E477" s="34" t="s">
        <v>3854</v>
      </c>
      <c r="F477" s="3">
        <v>45236.041666666701</v>
      </c>
      <c r="G477" s="38">
        <f ca="1">TRUNC(YEARFRAC(F477,TODAY(),1))</f>
        <v>2</v>
      </c>
      <c r="H477">
        <f>COUNTIF(BRON!A:A,Tabel6[[#This Row],[Personeelsnummer]])</f>
        <v>4</v>
      </c>
    </row>
    <row r="478" spans="1:8" x14ac:dyDescent="0.25">
      <c r="A478" s="34" t="s">
        <v>4396</v>
      </c>
      <c r="B478" s="34" t="s">
        <v>3295</v>
      </c>
      <c r="C478" s="34" t="s">
        <v>3294</v>
      </c>
      <c r="D478">
        <v>39728</v>
      </c>
      <c r="E478" s="34" t="s">
        <v>3855</v>
      </c>
      <c r="F478" s="3">
        <v>45250.041666666701</v>
      </c>
      <c r="G478" s="38">
        <f ca="1">TRUNC(YEARFRAC(F478,TODAY(),1))</f>
        <v>2</v>
      </c>
      <c r="H478">
        <f>COUNTIF(BRON!A:A,Tabel6[[#This Row],[Personeelsnummer]])</f>
        <v>2</v>
      </c>
    </row>
    <row r="479" spans="1:8" x14ac:dyDescent="0.25">
      <c r="A479" s="34" t="s">
        <v>4397</v>
      </c>
      <c r="B479" s="34" t="s">
        <v>2133</v>
      </c>
      <c r="C479" s="34" t="s">
        <v>2132</v>
      </c>
      <c r="D479">
        <v>39779</v>
      </c>
      <c r="E479" s="34" t="s">
        <v>3854</v>
      </c>
      <c r="F479" s="3">
        <v>45250.041666666701</v>
      </c>
      <c r="G479" s="38">
        <f ca="1">TRUNC(YEARFRAC(F479,TODAY(),1))</f>
        <v>2</v>
      </c>
      <c r="H479">
        <f>COUNTIF(BRON!A:A,Tabel6[[#This Row],[Personeelsnummer]])</f>
        <v>7</v>
      </c>
    </row>
    <row r="480" spans="1:8" x14ac:dyDescent="0.25">
      <c r="A480" s="34" t="s">
        <v>4398</v>
      </c>
      <c r="B480" s="34" t="s">
        <v>1693</v>
      </c>
      <c r="C480" s="34" t="s">
        <v>1692</v>
      </c>
      <c r="D480">
        <v>39829</v>
      </c>
      <c r="E480" s="34" t="s">
        <v>3855</v>
      </c>
      <c r="F480" s="3">
        <v>45264.041666666701</v>
      </c>
      <c r="G480" s="38">
        <f ca="1">TRUNC(YEARFRAC(F480,TODAY(),1))</f>
        <v>2</v>
      </c>
      <c r="H480">
        <f>COUNTIF(BRON!A:A,Tabel6[[#This Row],[Personeelsnummer]])</f>
        <v>2</v>
      </c>
    </row>
    <row r="481" spans="1:8" x14ac:dyDescent="0.25">
      <c r="A481" s="34" t="s">
        <v>4399</v>
      </c>
      <c r="B481" s="34" t="s">
        <v>2121</v>
      </c>
      <c r="C481" s="34" t="s">
        <v>2120</v>
      </c>
      <c r="D481">
        <v>39831</v>
      </c>
      <c r="E481" s="34" t="s">
        <v>3857</v>
      </c>
      <c r="F481" s="3">
        <v>45264.041666666701</v>
      </c>
      <c r="G481" s="38">
        <f ca="1">TRUNC(YEARFRAC(F481,TODAY(),1))</f>
        <v>2</v>
      </c>
      <c r="H481">
        <f>COUNTIF(BRON!A:A,Tabel6[[#This Row],[Personeelsnummer]])</f>
        <v>1</v>
      </c>
    </row>
    <row r="482" spans="1:8" x14ac:dyDescent="0.25">
      <c r="A482" s="34" t="s">
        <v>4400</v>
      </c>
      <c r="B482" s="34" t="s">
        <v>1478</v>
      </c>
      <c r="C482" s="34" t="s">
        <v>1477</v>
      </c>
      <c r="D482">
        <v>39850</v>
      </c>
      <c r="E482" s="34" t="s">
        <v>3859</v>
      </c>
      <c r="F482" s="3">
        <v>45264.041666666701</v>
      </c>
      <c r="G482" s="38">
        <f ca="1">TRUNC(YEARFRAC(F482,TODAY(),1))</f>
        <v>2</v>
      </c>
      <c r="H482">
        <f>COUNTIF(BRON!A:A,Tabel6[[#This Row],[Personeelsnummer]])</f>
        <v>2</v>
      </c>
    </row>
    <row r="483" spans="1:8" x14ac:dyDescent="0.25">
      <c r="A483" s="34" t="s">
        <v>4401</v>
      </c>
      <c r="B483" s="34" t="s">
        <v>3269</v>
      </c>
      <c r="C483" s="34" t="s">
        <v>3268</v>
      </c>
      <c r="D483">
        <v>39856</v>
      </c>
      <c r="E483" s="34" t="s">
        <v>3851</v>
      </c>
      <c r="F483" s="3">
        <v>45264.041666666701</v>
      </c>
      <c r="G483" s="38">
        <f ca="1">TRUNC(YEARFRAC(F483,TODAY(),1))</f>
        <v>2</v>
      </c>
      <c r="H483">
        <f>COUNTIF(BRON!A:A,Tabel6[[#This Row],[Personeelsnummer]])</f>
        <v>2</v>
      </c>
    </row>
    <row r="484" spans="1:8" x14ac:dyDescent="0.25">
      <c r="A484" s="34" t="s">
        <v>4402</v>
      </c>
      <c r="B484" s="34" t="s">
        <v>2953</v>
      </c>
      <c r="C484" s="34" t="s">
        <v>2952</v>
      </c>
      <c r="D484">
        <v>39858</v>
      </c>
      <c r="E484" s="34" t="s">
        <v>3857</v>
      </c>
      <c r="F484" s="3">
        <v>45264.041666666701</v>
      </c>
      <c r="G484" s="38">
        <f ca="1">TRUNC(YEARFRAC(F484,TODAY(),1))</f>
        <v>2</v>
      </c>
      <c r="H484">
        <f>COUNTIF(BRON!A:A,Tabel6[[#This Row],[Personeelsnummer]])</f>
        <v>2</v>
      </c>
    </row>
    <row r="485" spans="1:8" x14ac:dyDescent="0.25">
      <c r="A485" s="34" t="s">
        <v>4403</v>
      </c>
      <c r="B485" s="34" t="s">
        <v>2483</v>
      </c>
      <c r="C485" s="34" t="s">
        <v>2486</v>
      </c>
      <c r="D485">
        <v>39859</v>
      </c>
      <c r="E485" s="34" t="s">
        <v>3854</v>
      </c>
      <c r="F485" s="3">
        <v>45264.041666666701</v>
      </c>
      <c r="G485" s="38">
        <f ca="1">TRUNC(YEARFRAC(F485,TODAY(),1))</f>
        <v>2</v>
      </c>
      <c r="H485">
        <f>COUNTIF(BRON!A:A,Tabel6[[#This Row],[Personeelsnummer]])</f>
        <v>4</v>
      </c>
    </row>
    <row r="486" spans="1:8" x14ac:dyDescent="0.25">
      <c r="A486" s="34" t="s">
        <v>4166</v>
      </c>
      <c r="B486" s="34" t="s">
        <v>2816</v>
      </c>
      <c r="C486" s="34" t="s">
        <v>2815</v>
      </c>
      <c r="D486">
        <v>29674</v>
      </c>
      <c r="E486" s="34" t="s">
        <v>3859</v>
      </c>
      <c r="F486" s="3">
        <v>45341.041666666701</v>
      </c>
      <c r="G486" s="38">
        <f ca="1">TRUNC(YEARFRAC(F486,TODAY(),1))</f>
        <v>1</v>
      </c>
      <c r="H486">
        <f>COUNTIF(BRON!A:A,Tabel6[[#This Row],[Personeelsnummer]])</f>
        <v>1</v>
      </c>
    </row>
    <row r="487" spans="1:8" x14ac:dyDescent="0.25">
      <c r="A487" s="34" t="s">
        <v>4218</v>
      </c>
      <c r="B487" s="34" t="s">
        <v>2649</v>
      </c>
      <c r="C487" s="34" t="s">
        <v>1406</v>
      </c>
      <c r="D487">
        <v>33085</v>
      </c>
      <c r="E487" s="34" t="s">
        <v>3851</v>
      </c>
      <c r="F487" s="3">
        <v>45460.083333333299</v>
      </c>
      <c r="G487" s="38">
        <f ca="1">TRUNC(YEARFRAC(F487,TODAY(),1))</f>
        <v>1</v>
      </c>
      <c r="H487">
        <f>COUNTIF(BRON!A:A,Tabel6[[#This Row],[Personeelsnummer]])</f>
        <v>2</v>
      </c>
    </row>
    <row r="488" spans="1:8" x14ac:dyDescent="0.25">
      <c r="A488" s="34" t="s">
        <v>4222</v>
      </c>
      <c r="B488" s="34" t="s">
        <v>3347</v>
      </c>
      <c r="C488" s="34" t="s">
        <v>3349</v>
      </c>
      <c r="D488">
        <v>33551</v>
      </c>
      <c r="E488" s="34" t="s">
        <v>3856</v>
      </c>
      <c r="F488" s="3">
        <v>45372.041666666701</v>
      </c>
      <c r="G488" s="38">
        <f ca="1">TRUNC(YEARFRAC(F488,TODAY(),1))</f>
        <v>1</v>
      </c>
      <c r="H488">
        <f>COUNTIF(BRON!A:A,Tabel6[[#This Row],[Personeelsnummer]])</f>
        <v>2</v>
      </c>
    </row>
    <row r="489" spans="1:8" x14ac:dyDescent="0.25">
      <c r="A489" s="34" t="s">
        <v>4372</v>
      </c>
      <c r="B489" s="34" t="s">
        <v>2093</v>
      </c>
      <c r="C489" s="34" t="s">
        <v>2092</v>
      </c>
      <c r="D489">
        <v>39101</v>
      </c>
      <c r="E489" s="34" t="s">
        <v>3853</v>
      </c>
      <c r="F489" s="3">
        <v>45425.083333333299</v>
      </c>
      <c r="G489" s="38">
        <f ca="1">TRUNC(YEARFRAC(F489,TODAY(),1))</f>
        <v>1</v>
      </c>
      <c r="H489">
        <f>COUNTIF(BRON!A:A,Tabel6[[#This Row],[Personeelsnummer]])</f>
        <v>0</v>
      </c>
    </row>
    <row r="490" spans="1:8" x14ac:dyDescent="0.25">
      <c r="A490" s="34" t="s">
        <v>4383</v>
      </c>
      <c r="B490" s="34" t="s">
        <v>1983</v>
      </c>
      <c r="C490" s="34" t="s">
        <v>1982</v>
      </c>
      <c r="D490">
        <v>39529</v>
      </c>
      <c r="E490" s="34" t="s">
        <v>3853</v>
      </c>
      <c r="F490" s="3">
        <v>45286.041666666701</v>
      </c>
      <c r="G490" s="38">
        <f ca="1">TRUNC(YEARFRAC(F490,TODAY(),1))</f>
        <v>1</v>
      </c>
      <c r="H490">
        <f>COUNTIF(BRON!A:A,Tabel6[[#This Row],[Personeelsnummer]])</f>
        <v>4</v>
      </c>
    </row>
    <row r="491" spans="1:8" x14ac:dyDescent="0.25">
      <c r="A491" s="34" t="s">
        <v>4395</v>
      </c>
      <c r="B491" s="34" t="s">
        <v>2642</v>
      </c>
      <c r="C491" s="34" t="s">
        <v>2641</v>
      </c>
      <c r="D491">
        <v>39715</v>
      </c>
      <c r="E491" s="34" t="s">
        <v>3851</v>
      </c>
      <c r="F491" s="3">
        <v>45313.041666666701</v>
      </c>
      <c r="G491" s="38">
        <f ca="1">TRUNC(YEARFRAC(F491,TODAY(),1))</f>
        <v>1</v>
      </c>
      <c r="H491">
        <f>COUNTIF(BRON!A:A,Tabel6[[#This Row],[Personeelsnummer]])</f>
        <v>0</v>
      </c>
    </row>
    <row r="492" spans="1:8" x14ac:dyDescent="0.25">
      <c r="A492" s="34" t="s">
        <v>4404</v>
      </c>
      <c r="B492" s="34" t="s">
        <v>1853</v>
      </c>
      <c r="C492" s="34" t="s">
        <v>1852</v>
      </c>
      <c r="D492">
        <v>39889</v>
      </c>
      <c r="E492" s="34" t="s">
        <v>3858</v>
      </c>
      <c r="F492" s="3">
        <v>45293.041666666701</v>
      </c>
      <c r="G492" s="38">
        <f ca="1">TRUNC(YEARFRAC(F492,TODAY(),1))</f>
        <v>1</v>
      </c>
      <c r="H492">
        <f>COUNTIF(BRON!A:A,Tabel6[[#This Row],[Personeelsnummer]])</f>
        <v>1</v>
      </c>
    </row>
    <row r="493" spans="1:8" x14ac:dyDescent="0.25">
      <c r="A493" s="34" t="s">
        <v>4405</v>
      </c>
      <c r="B493" s="34" t="s">
        <v>3453</v>
      </c>
      <c r="C493" s="34" t="s">
        <v>3264</v>
      </c>
      <c r="D493">
        <v>39899</v>
      </c>
      <c r="E493" s="34" t="s">
        <v>3853</v>
      </c>
      <c r="F493" s="3">
        <v>45315.041666666701</v>
      </c>
      <c r="G493" s="38">
        <f ca="1">TRUNC(YEARFRAC(F493,TODAY(),1))</f>
        <v>1</v>
      </c>
      <c r="H493">
        <f>COUNTIF(BRON!A:A,Tabel6[[#This Row],[Personeelsnummer]])</f>
        <v>1</v>
      </c>
    </row>
    <row r="494" spans="1:8" x14ac:dyDescent="0.25">
      <c r="A494" s="34" t="s">
        <v>4406</v>
      </c>
      <c r="B494" s="34" t="s">
        <v>2646</v>
      </c>
      <c r="C494" s="34" t="s">
        <v>2645</v>
      </c>
      <c r="D494">
        <v>39901</v>
      </c>
      <c r="E494" s="34" t="s">
        <v>3853</v>
      </c>
      <c r="F494" s="3">
        <v>45307.041666666701</v>
      </c>
      <c r="G494" s="38">
        <f ca="1">TRUNC(YEARFRAC(F494,TODAY(),1))</f>
        <v>1</v>
      </c>
      <c r="H494">
        <f>COUNTIF(BRON!A:A,Tabel6[[#This Row],[Personeelsnummer]])</f>
        <v>1</v>
      </c>
    </row>
    <row r="495" spans="1:8" x14ac:dyDescent="0.25">
      <c r="A495" s="34" t="s">
        <v>4407</v>
      </c>
      <c r="B495" s="34" t="s">
        <v>3216</v>
      </c>
      <c r="C495" s="34" t="s">
        <v>3215</v>
      </c>
      <c r="D495">
        <v>39907</v>
      </c>
      <c r="E495" s="34" t="s">
        <v>3851</v>
      </c>
      <c r="F495" s="3">
        <v>45299.041666666701</v>
      </c>
      <c r="G495" s="38">
        <f ca="1">TRUNC(YEARFRAC(F495,TODAY(),1))</f>
        <v>1</v>
      </c>
      <c r="H495">
        <f>COUNTIF(BRON!A:A,Tabel6[[#This Row],[Personeelsnummer]])</f>
        <v>1</v>
      </c>
    </row>
    <row r="496" spans="1:8" x14ac:dyDescent="0.25">
      <c r="A496" s="34" t="s">
        <v>4408</v>
      </c>
      <c r="B496" s="34" t="s">
        <v>2546</v>
      </c>
      <c r="C496" s="34" t="s">
        <v>2545</v>
      </c>
      <c r="D496">
        <v>39927</v>
      </c>
      <c r="E496" s="34" t="s">
        <v>3853</v>
      </c>
      <c r="F496" s="3">
        <v>45307.041666666701</v>
      </c>
      <c r="G496" s="38">
        <f ca="1">TRUNC(YEARFRAC(F496,TODAY(),1))</f>
        <v>1</v>
      </c>
      <c r="H496">
        <f>COUNTIF(BRON!A:A,Tabel6[[#This Row],[Personeelsnummer]])</f>
        <v>2</v>
      </c>
    </row>
    <row r="497" spans="1:8" x14ac:dyDescent="0.25">
      <c r="A497" s="34" t="s">
        <v>4410</v>
      </c>
      <c r="B497" s="34" t="s">
        <v>2269</v>
      </c>
      <c r="C497" s="34" t="s">
        <v>2268</v>
      </c>
      <c r="D497">
        <v>39929</v>
      </c>
      <c r="E497" s="34" t="s">
        <v>3853</v>
      </c>
      <c r="F497" s="3">
        <v>45299.041666666701</v>
      </c>
      <c r="G497" s="38">
        <f ca="1">TRUNC(YEARFRAC(F497,TODAY(),1))</f>
        <v>1</v>
      </c>
      <c r="H497">
        <f>COUNTIF(BRON!A:A,Tabel6[[#This Row],[Personeelsnummer]])</f>
        <v>9</v>
      </c>
    </row>
    <row r="498" spans="1:8" x14ac:dyDescent="0.25">
      <c r="A498" s="34" t="s">
        <v>4411</v>
      </c>
      <c r="B498" s="34" t="s">
        <v>1895</v>
      </c>
      <c r="C498" s="34" t="s">
        <v>1894</v>
      </c>
      <c r="D498">
        <v>39930</v>
      </c>
      <c r="E498" s="34" t="s">
        <v>3853</v>
      </c>
      <c r="F498" s="3">
        <v>45307.041666666701</v>
      </c>
      <c r="G498" s="38">
        <f ca="1">TRUNC(YEARFRAC(F498,TODAY(),1))</f>
        <v>1</v>
      </c>
      <c r="H498">
        <f>COUNTIF(BRON!A:A,Tabel6[[#This Row],[Personeelsnummer]])</f>
        <v>2</v>
      </c>
    </row>
    <row r="499" spans="1:8" x14ac:dyDescent="0.25">
      <c r="A499" s="34" t="s">
        <v>4412</v>
      </c>
      <c r="B499" s="34" t="s">
        <v>2331</v>
      </c>
      <c r="C499" s="34" t="s">
        <v>2330</v>
      </c>
      <c r="D499">
        <v>39985</v>
      </c>
      <c r="E499" s="34" t="s">
        <v>3853</v>
      </c>
      <c r="F499" s="3">
        <v>45321.041666666701</v>
      </c>
      <c r="G499" s="38">
        <f ca="1">TRUNC(YEARFRAC(F499,TODAY(),1))</f>
        <v>1</v>
      </c>
      <c r="H499">
        <f>COUNTIF(BRON!A:A,Tabel6[[#This Row],[Personeelsnummer]])</f>
        <v>0</v>
      </c>
    </row>
    <row r="500" spans="1:8" x14ac:dyDescent="0.25">
      <c r="A500" s="34" t="s">
        <v>4413</v>
      </c>
      <c r="B500" s="34" t="s">
        <v>2311</v>
      </c>
      <c r="C500" s="34" t="s">
        <v>2317</v>
      </c>
      <c r="D500">
        <v>39988</v>
      </c>
      <c r="E500" s="34" t="s">
        <v>3853</v>
      </c>
      <c r="F500" s="3">
        <v>45321.041666666701</v>
      </c>
      <c r="G500" s="38">
        <f ca="1">TRUNC(YEARFRAC(F500,TODAY(),1))</f>
        <v>1</v>
      </c>
      <c r="H500">
        <f>COUNTIF(BRON!A:A,Tabel6[[#This Row],[Personeelsnummer]])</f>
        <v>0</v>
      </c>
    </row>
    <row r="501" spans="1:8" x14ac:dyDescent="0.25">
      <c r="A501" s="34" t="s">
        <v>4414</v>
      </c>
      <c r="B501" s="34" t="s">
        <v>1918</v>
      </c>
      <c r="C501" s="34" t="s">
        <v>1917</v>
      </c>
      <c r="D501">
        <v>40005</v>
      </c>
      <c r="E501" s="34" t="s">
        <v>3853</v>
      </c>
      <c r="F501" s="3">
        <v>45307.041666666701</v>
      </c>
      <c r="G501" s="38">
        <f ca="1">TRUNC(YEARFRAC(F501,TODAY(),1))</f>
        <v>1</v>
      </c>
      <c r="H501">
        <f>COUNTIF(BRON!A:A,Tabel6[[#This Row],[Personeelsnummer]])</f>
        <v>2</v>
      </c>
    </row>
    <row r="502" spans="1:8" x14ac:dyDescent="0.25">
      <c r="A502" s="34" t="s">
        <v>4415</v>
      </c>
      <c r="B502" s="34" t="s">
        <v>3251</v>
      </c>
      <c r="C502" s="34" t="s">
        <v>3101</v>
      </c>
      <c r="D502">
        <v>40006</v>
      </c>
      <c r="E502" s="34" t="s">
        <v>3853</v>
      </c>
      <c r="F502" s="3">
        <v>45307.041666666701</v>
      </c>
      <c r="G502" s="38">
        <f ca="1">TRUNC(YEARFRAC(F502,TODAY(),1))</f>
        <v>1</v>
      </c>
      <c r="H502">
        <f>COUNTIF(BRON!A:A,Tabel6[[#This Row],[Personeelsnummer]])</f>
        <v>1</v>
      </c>
    </row>
    <row r="503" spans="1:8" x14ac:dyDescent="0.25">
      <c r="A503" s="34" t="s">
        <v>4416</v>
      </c>
      <c r="B503" s="34" t="s">
        <v>2049</v>
      </c>
      <c r="C503" s="34" t="s">
        <v>2048</v>
      </c>
      <c r="D503">
        <v>40036</v>
      </c>
      <c r="E503" s="34" t="s">
        <v>3859</v>
      </c>
      <c r="F503" s="3">
        <v>45364.041666666701</v>
      </c>
      <c r="G503" s="38">
        <f ca="1">TRUNC(YEARFRAC(F503,TODAY(),1))</f>
        <v>1</v>
      </c>
      <c r="H503">
        <f>COUNTIF(BRON!A:A,Tabel6[[#This Row],[Personeelsnummer]])</f>
        <v>2</v>
      </c>
    </row>
    <row r="504" spans="1:8" x14ac:dyDescent="0.25">
      <c r="A504" s="34" t="s">
        <v>4417</v>
      </c>
      <c r="B504" s="34" t="s">
        <v>3370</v>
      </c>
      <c r="C504" s="34" t="s">
        <v>3369</v>
      </c>
      <c r="D504">
        <v>40055</v>
      </c>
      <c r="E504" s="34" t="s">
        <v>3856</v>
      </c>
      <c r="F504" s="3">
        <v>45321.041666666701</v>
      </c>
      <c r="G504" s="38">
        <f ca="1">TRUNC(YEARFRAC(F504,TODAY(),1))</f>
        <v>1</v>
      </c>
      <c r="H504">
        <f>COUNTIF(BRON!A:A,Tabel6[[#This Row],[Personeelsnummer]])</f>
        <v>2</v>
      </c>
    </row>
    <row r="505" spans="1:8" x14ac:dyDescent="0.25">
      <c r="A505" s="34" t="s">
        <v>4418</v>
      </c>
      <c r="B505" s="34" t="s">
        <v>3177</v>
      </c>
      <c r="C505" s="34" t="s">
        <v>3176</v>
      </c>
      <c r="D505">
        <v>40058</v>
      </c>
      <c r="E505" s="34" t="s">
        <v>3853</v>
      </c>
      <c r="F505" s="3">
        <v>45321.041666666701</v>
      </c>
      <c r="G505" s="38">
        <f ca="1">TRUNC(YEARFRAC(F505,TODAY(),1))</f>
        <v>1</v>
      </c>
      <c r="H505">
        <f>COUNTIF(BRON!A:A,Tabel6[[#This Row],[Personeelsnummer]])</f>
        <v>3</v>
      </c>
    </row>
    <row r="506" spans="1:8" x14ac:dyDescent="0.25">
      <c r="A506" s="34" t="s">
        <v>4419</v>
      </c>
      <c r="B506" s="34" t="s">
        <v>1733</v>
      </c>
      <c r="C506" s="34" t="s">
        <v>1738</v>
      </c>
      <c r="D506">
        <v>40110</v>
      </c>
      <c r="E506" s="34" t="s">
        <v>3853</v>
      </c>
      <c r="F506" s="3">
        <v>45335.041666666701</v>
      </c>
      <c r="G506" s="38">
        <f ca="1">TRUNC(YEARFRAC(F506,TODAY(),1))</f>
        <v>1</v>
      </c>
      <c r="H506">
        <f>COUNTIF(BRON!A:A,Tabel6[[#This Row],[Personeelsnummer]])</f>
        <v>7</v>
      </c>
    </row>
    <row r="507" spans="1:8" x14ac:dyDescent="0.25">
      <c r="A507" s="34" t="s">
        <v>4420</v>
      </c>
      <c r="B507" s="34" t="s">
        <v>1686</v>
      </c>
      <c r="C507" s="34" t="s">
        <v>1689</v>
      </c>
      <c r="D507">
        <v>40134</v>
      </c>
      <c r="E507" s="34" t="s">
        <v>3859</v>
      </c>
      <c r="F507" s="3">
        <v>45364.041666666701</v>
      </c>
      <c r="G507" s="38">
        <f ca="1">TRUNC(YEARFRAC(F507,TODAY(),1))</f>
        <v>1</v>
      </c>
      <c r="H507">
        <f>COUNTIF(BRON!A:A,Tabel6[[#This Row],[Personeelsnummer]])</f>
        <v>4</v>
      </c>
    </row>
    <row r="508" spans="1:8" x14ac:dyDescent="0.25">
      <c r="A508" s="34" t="s">
        <v>4421</v>
      </c>
      <c r="B508" s="34" t="s">
        <v>1579</v>
      </c>
      <c r="C508" s="34" t="s">
        <v>1578</v>
      </c>
      <c r="D508">
        <v>40138</v>
      </c>
      <c r="E508" s="34" t="s">
        <v>3853</v>
      </c>
      <c r="F508" s="3">
        <v>45335.041666666701</v>
      </c>
      <c r="G508" s="38">
        <f ca="1">TRUNC(YEARFRAC(F508,TODAY(),1))</f>
        <v>1</v>
      </c>
      <c r="H508">
        <f>COUNTIF(BRON!A:A,Tabel6[[#This Row],[Personeelsnummer]])</f>
        <v>10</v>
      </c>
    </row>
    <row r="509" spans="1:8" x14ac:dyDescent="0.25">
      <c r="A509" s="34" t="s">
        <v>4422</v>
      </c>
      <c r="B509" s="34" t="s">
        <v>2203</v>
      </c>
      <c r="C509" s="34" t="s">
        <v>2202</v>
      </c>
      <c r="D509">
        <v>40143</v>
      </c>
      <c r="E509" s="34" t="s">
        <v>3853</v>
      </c>
      <c r="F509" s="3">
        <v>45335.041666666701</v>
      </c>
      <c r="G509" s="38">
        <f ca="1">TRUNC(YEARFRAC(F509,TODAY(),1))</f>
        <v>1</v>
      </c>
      <c r="H509">
        <f>COUNTIF(BRON!A:A,Tabel6[[#This Row],[Personeelsnummer]])</f>
        <v>0</v>
      </c>
    </row>
    <row r="510" spans="1:8" x14ac:dyDescent="0.25">
      <c r="A510" s="34" t="s">
        <v>4423</v>
      </c>
      <c r="B510" s="34" t="s">
        <v>2445</v>
      </c>
      <c r="C510" s="34" t="s">
        <v>2444</v>
      </c>
      <c r="D510">
        <v>40200</v>
      </c>
      <c r="E510" s="34" t="s">
        <v>3859</v>
      </c>
      <c r="F510" s="3">
        <v>45345.041666666701</v>
      </c>
      <c r="G510" s="38">
        <f ca="1">TRUNC(YEARFRAC(F510,TODAY(),1))</f>
        <v>1</v>
      </c>
      <c r="H510">
        <f>COUNTIF(BRON!A:A,Tabel6[[#This Row],[Personeelsnummer]])</f>
        <v>2</v>
      </c>
    </row>
    <row r="511" spans="1:8" x14ac:dyDescent="0.25">
      <c r="A511" s="34" t="s">
        <v>4424</v>
      </c>
      <c r="B511" s="34" t="s">
        <v>3321</v>
      </c>
      <c r="C511" s="34" t="s">
        <v>3087</v>
      </c>
      <c r="D511">
        <v>40201</v>
      </c>
      <c r="E511" s="34" t="s">
        <v>3859</v>
      </c>
      <c r="F511" s="3">
        <v>45378.041666666701</v>
      </c>
      <c r="G511" s="38">
        <f ca="1">TRUNC(YEARFRAC(F511,TODAY(),1))</f>
        <v>1</v>
      </c>
      <c r="H511">
        <f>COUNTIF(BRON!A:A,Tabel6[[#This Row],[Personeelsnummer]])</f>
        <v>0</v>
      </c>
    </row>
    <row r="512" spans="1:8" x14ac:dyDescent="0.25">
      <c r="A512" s="34" t="s">
        <v>4425</v>
      </c>
      <c r="B512" s="34" t="s">
        <v>1686</v>
      </c>
      <c r="C512" s="34" t="s">
        <v>1685</v>
      </c>
      <c r="D512">
        <v>40222</v>
      </c>
      <c r="E512" s="34" t="s">
        <v>3859</v>
      </c>
      <c r="F512" s="3">
        <v>45349.041666666701</v>
      </c>
      <c r="G512" s="38">
        <f ca="1">TRUNC(YEARFRAC(F512,TODAY(),1))</f>
        <v>1</v>
      </c>
      <c r="H512">
        <f>COUNTIF(BRON!A:A,Tabel6[[#This Row],[Personeelsnummer]])</f>
        <v>2</v>
      </c>
    </row>
    <row r="513" spans="1:8" x14ac:dyDescent="0.25">
      <c r="A513" s="34" t="s">
        <v>4426</v>
      </c>
      <c r="B513" s="34" t="s">
        <v>2542</v>
      </c>
      <c r="C513" s="34" t="s">
        <v>2541</v>
      </c>
      <c r="D513">
        <v>40264</v>
      </c>
      <c r="E513" s="34" t="s">
        <v>3853</v>
      </c>
      <c r="F513" s="3">
        <v>45364.041666666701</v>
      </c>
      <c r="G513" s="38">
        <f ca="1">TRUNC(YEARFRAC(F513,TODAY(),1))</f>
        <v>1</v>
      </c>
      <c r="H513">
        <f>COUNTIF(BRON!A:A,Tabel6[[#This Row],[Personeelsnummer]])</f>
        <v>0</v>
      </c>
    </row>
    <row r="514" spans="1:8" x14ac:dyDescent="0.25">
      <c r="A514" s="34" t="s">
        <v>4427</v>
      </c>
      <c r="B514" s="34" t="s">
        <v>1422</v>
      </c>
      <c r="C514" s="34" t="s">
        <v>1421</v>
      </c>
      <c r="D514">
        <v>40266</v>
      </c>
      <c r="E514" s="34" t="s">
        <v>3853</v>
      </c>
      <c r="F514" s="3">
        <v>45394.083333333299</v>
      </c>
      <c r="G514" s="38">
        <f ca="1">TRUNC(YEARFRAC(F514,TODAY(),1))</f>
        <v>1</v>
      </c>
      <c r="H514">
        <f>COUNTIF(BRON!A:A,Tabel6[[#This Row],[Personeelsnummer]])</f>
        <v>3</v>
      </c>
    </row>
    <row r="515" spans="1:8" x14ac:dyDescent="0.25">
      <c r="A515" s="34" t="s">
        <v>4428</v>
      </c>
      <c r="B515" s="34" t="s">
        <v>2876</v>
      </c>
      <c r="C515" s="34" t="s">
        <v>2875</v>
      </c>
      <c r="D515">
        <v>40278</v>
      </c>
      <c r="E515" s="34" t="s">
        <v>3853</v>
      </c>
      <c r="F515" s="3">
        <v>45378.041666666701</v>
      </c>
      <c r="G515" s="38">
        <f ca="1">TRUNC(YEARFRAC(F515,TODAY(),1))</f>
        <v>1</v>
      </c>
      <c r="H515">
        <f>COUNTIF(BRON!A:A,Tabel6[[#This Row],[Personeelsnummer]])</f>
        <v>4</v>
      </c>
    </row>
    <row r="516" spans="1:8" x14ac:dyDescent="0.25">
      <c r="A516" s="34" t="s">
        <v>4429</v>
      </c>
      <c r="B516" s="34" t="s">
        <v>3325</v>
      </c>
      <c r="C516" s="34" t="s">
        <v>3324</v>
      </c>
      <c r="D516">
        <v>40294</v>
      </c>
      <c r="E516" s="34" t="s">
        <v>3853</v>
      </c>
      <c r="F516" s="3">
        <v>45404.083333333299</v>
      </c>
      <c r="G516" s="38">
        <f ca="1">TRUNC(YEARFRAC(F516,TODAY(),1))</f>
        <v>1</v>
      </c>
      <c r="H516">
        <f>COUNTIF(BRON!A:A,Tabel6[[#This Row],[Personeelsnummer]])</f>
        <v>1</v>
      </c>
    </row>
    <row r="517" spans="1:8" x14ac:dyDescent="0.25">
      <c r="A517" s="34" t="s">
        <v>4430</v>
      </c>
      <c r="B517" s="34" t="s">
        <v>1701</v>
      </c>
      <c r="C517" s="34" t="s">
        <v>3163</v>
      </c>
      <c r="D517">
        <v>40362</v>
      </c>
      <c r="E517" s="34" t="s">
        <v>3851</v>
      </c>
      <c r="F517" s="3">
        <v>45394.083333333299</v>
      </c>
      <c r="G517" s="38">
        <f ca="1">TRUNC(YEARFRAC(F517,TODAY(),1))</f>
        <v>1</v>
      </c>
      <c r="H517">
        <f>COUNTIF(BRON!A:A,Tabel6[[#This Row],[Personeelsnummer]])</f>
        <v>3</v>
      </c>
    </row>
    <row r="518" spans="1:8" x14ac:dyDescent="0.25">
      <c r="A518" s="34" t="s">
        <v>4431</v>
      </c>
      <c r="B518" s="34" t="s">
        <v>2913</v>
      </c>
      <c r="C518" s="34" t="s">
        <v>2912</v>
      </c>
      <c r="D518">
        <v>40393</v>
      </c>
      <c r="E518" s="34" t="s">
        <v>3859</v>
      </c>
      <c r="F518" s="3">
        <v>45408.083333333299</v>
      </c>
      <c r="G518" s="38">
        <f ca="1">TRUNC(YEARFRAC(F518,TODAY(),1))</f>
        <v>1</v>
      </c>
      <c r="H518">
        <f>COUNTIF(BRON!A:A,Tabel6[[#This Row],[Personeelsnummer]])</f>
        <v>1</v>
      </c>
    </row>
    <row r="519" spans="1:8" x14ac:dyDescent="0.25">
      <c r="A519" s="34" t="s">
        <v>4432</v>
      </c>
      <c r="B519" s="34" t="s">
        <v>2833</v>
      </c>
      <c r="C519" s="34" t="s">
        <v>2832</v>
      </c>
      <c r="D519">
        <v>40400</v>
      </c>
      <c r="E519" s="34" t="s">
        <v>3859</v>
      </c>
      <c r="F519" s="3">
        <v>45478.083333333299</v>
      </c>
      <c r="G519" s="38">
        <f ca="1">TRUNC(YEARFRAC(F519,TODAY(),1))</f>
        <v>1</v>
      </c>
      <c r="H519">
        <f>COUNTIF(BRON!A:A,Tabel6[[#This Row],[Personeelsnummer]])</f>
        <v>0</v>
      </c>
    </row>
    <row r="520" spans="1:8" x14ac:dyDescent="0.25">
      <c r="A520" s="34" t="s">
        <v>4433</v>
      </c>
      <c r="B520" s="34" t="s">
        <v>2199</v>
      </c>
      <c r="C520" s="34" t="s">
        <v>2198</v>
      </c>
      <c r="D520">
        <v>40403</v>
      </c>
      <c r="E520" s="34" t="s">
        <v>3859</v>
      </c>
      <c r="F520" s="3">
        <v>45481.083333333299</v>
      </c>
      <c r="G520" s="38">
        <f ca="1">TRUNC(YEARFRAC(F520,TODAY(),1))</f>
        <v>1</v>
      </c>
      <c r="H520">
        <f>COUNTIF(BRON!A:A,Tabel6[[#This Row],[Personeelsnummer]])</f>
        <v>3</v>
      </c>
    </row>
    <row r="521" spans="1:8" x14ac:dyDescent="0.25">
      <c r="A521" s="34" t="s">
        <v>4434</v>
      </c>
      <c r="B521" s="34" t="s">
        <v>2441</v>
      </c>
      <c r="C521" s="34" t="s">
        <v>2440</v>
      </c>
      <c r="D521">
        <v>40414</v>
      </c>
      <c r="E521" s="34" t="s">
        <v>3858</v>
      </c>
      <c r="F521" s="3">
        <v>45408.083333333299</v>
      </c>
      <c r="G521" s="38">
        <f ca="1">TRUNC(YEARFRAC(F521,TODAY(),1))</f>
        <v>1</v>
      </c>
      <c r="H521">
        <f>COUNTIF(BRON!A:A,Tabel6[[#This Row],[Personeelsnummer]])</f>
        <v>1</v>
      </c>
    </row>
    <row r="522" spans="1:8" x14ac:dyDescent="0.25">
      <c r="A522" s="34" t="s">
        <v>4435</v>
      </c>
      <c r="B522" s="34" t="s">
        <v>2931</v>
      </c>
      <c r="C522" s="34" t="s">
        <v>2934</v>
      </c>
      <c r="D522">
        <v>40421</v>
      </c>
      <c r="E522" s="34" t="s">
        <v>3855</v>
      </c>
      <c r="F522" s="3">
        <v>45407.083333333299</v>
      </c>
      <c r="G522" s="38">
        <f ca="1">TRUNC(YEARFRAC(F522,TODAY(),1))</f>
        <v>1</v>
      </c>
      <c r="H522">
        <f>COUNTIF(BRON!A:A,Tabel6[[#This Row],[Personeelsnummer]])</f>
        <v>0</v>
      </c>
    </row>
    <row r="523" spans="1:8" x14ac:dyDescent="0.25">
      <c r="A523" s="34" t="s">
        <v>4436</v>
      </c>
      <c r="B523" s="34" t="s">
        <v>1951</v>
      </c>
      <c r="C523" s="34" t="s">
        <v>1950</v>
      </c>
      <c r="D523">
        <v>40422</v>
      </c>
      <c r="E523" s="34" t="s">
        <v>3855</v>
      </c>
      <c r="F523" s="3">
        <v>45407.083333333299</v>
      </c>
      <c r="G523" s="38">
        <f ca="1">TRUNC(YEARFRAC(F523,TODAY(),1))</f>
        <v>1</v>
      </c>
      <c r="H523">
        <f>COUNTIF(BRON!A:A,Tabel6[[#This Row],[Personeelsnummer]])</f>
        <v>0</v>
      </c>
    </row>
    <row r="524" spans="1:8" x14ac:dyDescent="0.25">
      <c r="A524" s="34" t="s">
        <v>4437</v>
      </c>
      <c r="B524" s="34" t="s">
        <v>2311</v>
      </c>
      <c r="C524" s="34" t="s">
        <v>2314</v>
      </c>
      <c r="D524">
        <v>40443</v>
      </c>
      <c r="E524" s="34" t="s">
        <v>3854</v>
      </c>
      <c r="F524" s="3">
        <v>45408.083333333299</v>
      </c>
      <c r="G524" s="38">
        <f ca="1">TRUNC(YEARFRAC(F524,TODAY(),1))</f>
        <v>1</v>
      </c>
      <c r="H524">
        <f>COUNTIF(BRON!A:A,Tabel6[[#This Row],[Personeelsnummer]])</f>
        <v>1</v>
      </c>
    </row>
    <row r="525" spans="1:8" x14ac:dyDescent="0.25">
      <c r="A525" s="34" t="s">
        <v>4438</v>
      </c>
      <c r="B525" s="34" t="s">
        <v>2792</v>
      </c>
      <c r="C525" s="34" t="s">
        <v>1959</v>
      </c>
      <c r="D525">
        <v>40444</v>
      </c>
      <c r="E525" s="34" t="s">
        <v>3857</v>
      </c>
      <c r="F525" s="3">
        <v>45408.083333333299</v>
      </c>
      <c r="G525" s="38">
        <f ca="1">TRUNC(YEARFRAC(F525,TODAY(),1))</f>
        <v>1</v>
      </c>
      <c r="H525">
        <f>COUNTIF(BRON!A:A,Tabel6[[#This Row],[Personeelsnummer]])</f>
        <v>1</v>
      </c>
    </row>
    <row r="526" spans="1:8" x14ac:dyDescent="0.25">
      <c r="A526" s="34" t="s">
        <v>4439</v>
      </c>
      <c r="B526" s="34" t="s">
        <v>2729</v>
      </c>
      <c r="C526" s="34" t="s">
        <v>2728</v>
      </c>
      <c r="D526">
        <v>40469</v>
      </c>
      <c r="E526" s="34" t="s">
        <v>3857</v>
      </c>
      <c r="F526" s="3">
        <v>45408.083333333299</v>
      </c>
      <c r="G526" s="38">
        <f ca="1">TRUNC(YEARFRAC(F526,TODAY(),1))</f>
        <v>1</v>
      </c>
      <c r="H526">
        <f>COUNTIF(BRON!A:A,Tabel6[[#This Row],[Personeelsnummer]])</f>
        <v>0</v>
      </c>
    </row>
    <row r="527" spans="1:8" x14ac:dyDescent="0.25">
      <c r="A527" s="34" t="s">
        <v>4440</v>
      </c>
      <c r="B527" s="34" t="s">
        <v>3374</v>
      </c>
      <c r="C527" s="34" t="s">
        <v>3373</v>
      </c>
      <c r="D527">
        <v>40478</v>
      </c>
      <c r="E527" s="34" t="s">
        <v>3854</v>
      </c>
      <c r="F527" s="3">
        <v>45442.083333333299</v>
      </c>
      <c r="G527" s="38">
        <f ca="1">TRUNC(YEARFRAC(F527,TODAY(),1))</f>
        <v>1</v>
      </c>
      <c r="H527">
        <f>COUNTIF(BRON!A:A,Tabel6[[#This Row],[Personeelsnummer]])</f>
        <v>4</v>
      </c>
    </row>
    <row r="528" spans="1:8" x14ac:dyDescent="0.25">
      <c r="A528" s="34" t="s">
        <v>4441</v>
      </c>
      <c r="B528" s="34" t="s">
        <v>2292</v>
      </c>
      <c r="C528" s="34" t="s">
        <v>2291</v>
      </c>
      <c r="D528">
        <v>40486</v>
      </c>
      <c r="E528" s="34" t="s">
        <v>3853</v>
      </c>
      <c r="F528" s="3">
        <v>45427.083333333299</v>
      </c>
      <c r="G528" s="38">
        <f ca="1">TRUNC(YEARFRAC(F528,TODAY(),1))</f>
        <v>1</v>
      </c>
      <c r="H528">
        <f>COUNTIF(BRON!A:A,Tabel6[[#This Row],[Personeelsnummer]])</f>
        <v>1</v>
      </c>
    </row>
    <row r="529" spans="1:8" x14ac:dyDescent="0.25">
      <c r="A529" s="34" t="s">
        <v>4442</v>
      </c>
      <c r="B529" s="34" t="s">
        <v>3232</v>
      </c>
      <c r="C529" s="34" t="s">
        <v>4443</v>
      </c>
      <c r="D529">
        <v>40489</v>
      </c>
      <c r="E529" s="34" t="s">
        <v>3852</v>
      </c>
      <c r="F529" s="3">
        <v>45427.083333333299</v>
      </c>
      <c r="G529" s="38">
        <f ca="1">TRUNC(YEARFRAC(F529,TODAY(),1))</f>
        <v>1</v>
      </c>
      <c r="H529">
        <f>COUNTIF(BRON!A:A,Tabel6[[#This Row],[Personeelsnummer]])</f>
        <v>0</v>
      </c>
    </row>
    <row r="530" spans="1:8" x14ac:dyDescent="0.25">
      <c r="A530" s="34" t="s">
        <v>4444</v>
      </c>
      <c r="B530" s="34" t="s">
        <v>3378</v>
      </c>
      <c r="C530" s="34" t="s">
        <v>3377</v>
      </c>
      <c r="D530">
        <v>40521</v>
      </c>
      <c r="E530" s="34" t="s">
        <v>3855</v>
      </c>
      <c r="F530" s="3">
        <v>45419.083333333299</v>
      </c>
      <c r="G530" s="38">
        <f ca="1">TRUNC(YEARFRAC(F530,TODAY(),1))</f>
        <v>1</v>
      </c>
      <c r="H530">
        <f>COUNTIF(BRON!A:A,Tabel6[[#This Row],[Personeelsnummer]])</f>
        <v>2</v>
      </c>
    </row>
    <row r="531" spans="1:8" x14ac:dyDescent="0.25">
      <c r="A531" s="34" t="s">
        <v>4445</v>
      </c>
      <c r="B531" s="34" t="s">
        <v>2362</v>
      </c>
      <c r="C531" s="34" t="s">
        <v>2361</v>
      </c>
      <c r="D531">
        <v>40590</v>
      </c>
      <c r="E531" s="34" t="s">
        <v>3854</v>
      </c>
      <c r="F531" s="3">
        <v>45464.083333333299</v>
      </c>
      <c r="G531" s="38">
        <f ca="1">TRUNC(YEARFRAC(F531,TODAY(),1))</f>
        <v>1</v>
      </c>
      <c r="H531">
        <f>COUNTIF(BRON!A:A,Tabel6[[#This Row],[Personeelsnummer]])</f>
        <v>0</v>
      </c>
    </row>
    <row r="532" spans="1:8" x14ac:dyDescent="0.25">
      <c r="A532" s="34" t="s">
        <v>4446</v>
      </c>
      <c r="B532" s="34" t="s">
        <v>2311</v>
      </c>
      <c r="C532" s="34" t="s">
        <v>2310</v>
      </c>
      <c r="D532">
        <v>40591</v>
      </c>
      <c r="E532" s="34" t="s">
        <v>3859</v>
      </c>
      <c r="F532" s="3">
        <v>45450.083333333299</v>
      </c>
      <c r="G532" s="38">
        <f ca="1">TRUNC(YEARFRAC(F532,TODAY(),1))</f>
        <v>1</v>
      </c>
      <c r="H532">
        <f>COUNTIF(BRON!A:A,Tabel6[[#This Row],[Personeelsnummer]])</f>
        <v>2</v>
      </c>
    </row>
    <row r="533" spans="1:8" x14ac:dyDescent="0.25">
      <c r="A533" s="34" t="s">
        <v>4447</v>
      </c>
      <c r="B533" s="34" t="s">
        <v>3006</v>
      </c>
      <c r="C533" s="34" t="s">
        <v>3005</v>
      </c>
      <c r="D533">
        <v>40608</v>
      </c>
      <c r="E533" s="34" t="s">
        <v>3855</v>
      </c>
      <c r="F533" s="3">
        <v>45456.083333333299</v>
      </c>
      <c r="G533" s="38">
        <f ca="1">TRUNC(YEARFRAC(F533,TODAY(),1))</f>
        <v>1</v>
      </c>
      <c r="H533">
        <f>COUNTIF(BRON!A:A,Tabel6[[#This Row],[Personeelsnummer]])</f>
        <v>1</v>
      </c>
    </row>
    <row r="534" spans="1:8" x14ac:dyDescent="0.25">
      <c r="A534" s="34" t="s">
        <v>4448</v>
      </c>
      <c r="B534" s="34" t="s">
        <v>2623</v>
      </c>
      <c r="C534" s="34" t="s">
        <v>2622</v>
      </c>
      <c r="D534">
        <v>40645</v>
      </c>
      <c r="E534" s="34" t="s">
        <v>3857</v>
      </c>
      <c r="F534" s="3">
        <v>45544.083333333299</v>
      </c>
      <c r="G534" s="38">
        <f ca="1">TRUNC(YEARFRAC(F534,TODAY(),1))</f>
        <v>1</v>
      </c>
      <c r="H534">
        <f>COUNTIF(BRON!A:A,Tabel6[[#This Row],[Personeelsnummer]])</f>
        <v>2</v>
      </c>
    </row>
    <row r="535" spans="1:8" x14ac:dyDescent="0.25">
      <c r="A535" s="34" t="s">
        <v>4449</v>
      </c>
      <c r="B535" s="34" t="s">
        <v>2800</v>
      </c>
      <c r="C535" s="34" t="s">
        <v>1959</v>
      </c>
      <c r="D535">
        <v>40652</v>
      </c>
      <c r="E535" s="34" t="s">
        <v>3856</v>
      </c>
      <c r="F535" s="3">
        <v>45470.083333333299</v>
      </c>
      <c r="G535" s="38">
        <f ca="1">TRUNC(YEARFRAC(F535,TODAY(),1))</f>
        <v>1</v>
      </c>
      <c r="H535">
        <f>COUNTIF(BRON!A:A,Tabel6[[#This Row],[Personeelsnummer]])</f>
        <v>7</v>
      </c>
    </row>
    <row r="536" spans="1:8" x14ac:dyDescent="0.25">
      <c r="A536" s="34" t="s">
        <v>4450</v>
      </c>
      <c r="B536" s="34" t="s">
        <v>1532</v>
      </c>
      <c r="C536" s="34" t="s">
        <v>1531</v>
      </c>
      <c r="D536">
        <v>40744</v>
      </c>
      <c r="E536" s="34" t="s">
        <v>3854</v>
      </c>
      <c r="F536" s="3">
        <v>45484.083333333299</v>
      </c>
      <c r="G536" s="38">
        <f ca="1">TRUNC(YEARFRAC(F536,TODAY(),1))</f>
        <v>1</v>
      </c>
      <c r="H536">
        <f>COUNTIF(BRON!A:A,Tabel6[[#This Row],[Personeelsnummer]])</f>
        <v>6</v>
      </c>
    </row>
    <row r="537" spans="1:8" x14ac:dyDescent="0.25">
      <c r="A537" s="34" t="s">
        <v>4451</v>
      </c>
      <c r="B537" s="34" t="s">
        <v>2657</v>
      </c>
      <c r="C537" s="34" t="s">
        <v>2656</v>
      </c>
      <c r="D537">
        <v>40745</v>
      </c>
      <c r="E537" s="34" t="s">
        <v>3854</v>
      </c>
      <c r="F537" s="3">
        <v>45498.083333333299</v>
      </c>
      <c r="G537" s="38">
        <f ca="1">TRUNC(YEARFRAC(F537,TODAY(),1))</f>
        <v>1</v>
      </c>
      <c r="H537">
        <f>COUNTIF(BRON!A:A,Tabel6[[#This Row],[Personeelsnummer]])</f>
        <v>1</v>
      </c>
    </row>
    <row r="538" spans="1:8" x14ac:dyDescent="0.25">
      <c r="A538" s="34" t="s">
        <v>4452</v>
      </c>
      <c r="B538" s="34" t="s">
        <v>1452</v>
      </c>
      <c r="C538" s="34" t="s">
        <v>1467</v>
      </c>
      <c r="D538">
        <v>40761</v>
      </c>
      <c r="E538" s="34" t="s">
        <v>3851</v>
      </c>
      <c r="F538" s="3">
        <v>45498.083333333299</v>
      </c>
      <c r="G538" s="38">
        <f ca="1">TRUNC(YEARFRAC(F538,TODAY(),1))</f>
        <v>1</v>
      </c>
      <c r="H538">
        <f>COUNTIF(BRON!A:A,Tabel6[[#This Row],[Personeelsnummer]])</f>
        <v>1</v>
      </c>
    </row>
    <row r="539" spans="1:8" x14ac:dyDescent="0.25">
      <c r="A539" s="34" t="s">
        <v>4453</v>
      </c>
      <c r="B539" s="34" t="s">
        <v>1778</v>
      </c>
      <c r="C539" s="34" t="s">
        <v>1777</v>
      </c>
      <c r="D539">
        <v>40856</v>
      </c>
      <c r="E539" s="34" t="s">
        <v>3851</v>
      </c>
      <c r="F539" s="3">
        <v>45538.083333333299</v>
      </c>
      <c r="G539" s="38">
        <f ca="1">TRUNC(YEARFRAC(F539,TODAY(),1))</f>
        <v>1</v>
      </c>
      <c r="H539">
        <f>COUNTIF(BRON!A:A,Tabel6[[#This Row],[Personeelsnummer]])</f>
        <v>5</v>
      </c>
    </row>
    <row r="540" spans="1:8" x14ac:dyDescent="0.25">
      <c r="A540" s="34" t="s">
        <v>4454</v>
      </c>
      <c r="B540" s="34" t="s">
        <v>3469</v>
      </c>
      <c r="C540" s="34" t="s">
        <v>3468</v>
      </c>
      <c r="D540">
        <v>40859</v>
      </c>
      <c r="E540" s="34" t="s">
        <v>3856</v>
      </c>
      <c r="F540" s="3">
        <v>45544.083333333299</v>
      </c>
      <c r="G540" s="38">
        <f ca="1">TRUNC(YEARFRAC(F540,TODAY(),1))</f>
        <v>1</v>
      </c>
      <c r="H540">
        <f>COUNTIF(BRON!A:A,Tabel6[[#This Row],[Personeelsnummer]])</f>
        <v>4</v>
      </c>
    </row>
    <row r="541" spans="1:8" x14ac:dyDescent="0.25">
      <c r="A541" s="34" t="s">
        <v>4455</v>
      </c>
      <c r="B541" s="34" t="s">
        <v>3248</v>
      </c>
      <c r="C541" s="34" t="s">
        <v>3247</v>
      </c>
      <c r="D541">
        <v>40890</v>
      </c>
      <c r="E541" s="34" t="s">
        <v>3859</v>
      </c>
      <c r="F541" s="3">
        <v>45530.083333333299</v>
      </c>
      <c r="G541" s="38">
        <f ca="1">TRUNC(YEARFRAC(F541,TODAY(),1))</f>
        <v>1</v>
      </c>
      <c r="H541">
        <f>COUNTIF(BRON!A:A,Tabel6[[#This Row],[Personeelsnummer]])</f>
        <v>0</v>
      </c>
    </row>
    <row r="542" spans="1:8" x14ac:dyDescent="0.25">
      <c r="A542" s="34" t="s">
        <v>4456</v>
      </c>
      <c r="B542" s="34" t="s">
        <v>2081</v>
      </c>
      <c r="C542" s="34" t="s">
        <v>2080</v>
      </c>
      <c r="D542">
        <v>40938</v>
      </c>
      <c r="E542" s="34" t="s">
        <v>3859</v>
      </c>
      <c r="F542" s="3">
        <v>45530.083333333299</v>
      </c>
      <c r="G542" s="38">
        <f ca="1">TRUNC(YEARFRAC(F542,TODAY(),1))</f>
        <v>1</v>
      </c>
      <c r="H542">
        <f>COUNTIF(BRON!A:A,Tabel6[[#This Row],[Personeelsnummer]])</f>
        <v>4</v>
      </c>
    </row>
    <row r="543" spans="1:8" x14ac:dyDescent="0.25">
      <c r="A543" s="34" t="s">
        <v>4457</v>
      </c>
      <c r="B543" s="34" t="s">
        <v>1722</v>
      </c>
      <c r="C543" s="34" t="s">
        <v>1721</v>
      </c>
      <c r="D543">
        <v>40939</v>
      </c>
      <c r="E543" s="34" t="s">
        <v>3851</v>
      </c>
      <c r="F543" s="3">
        <v>45530.083333333299</v>
      </c>
      <c r="G543" s="38">
        <f ca="1">TRUNC(YEARFRAC(F543,TODAY(),1))</f>
        <v>1</v>
      </c>
      <c r="H543">
        <f>COUNTIF(BRON!A:A,Tabel6[[#This Row],[Personeelsnummer]])</f>
        <v>3</v>
      </c>
    </row>
    <row r="544" spans="1:8" x14ac:dyDescent="0.25">
      <c r="A544" s="34" t="s">
        <v>4458</v>
      </c>
      <c r="B544" s="34" t="s">
        <v>1241</v>
      </c>
      <c r="C544" s="34" t="s">
        <v>1240</v>
      </c>
      <c r="D544">
        <v>41007</v>
      </c>
      <c r="E544" s="34" t="s">
        <v>3852</v>
      </c>
      <c r="F544" s="3">
        <v>45559.083333333299</v>
      </c>
      <c r="G544" s="38">
        <f ca="1">TRUNC(YEARFRAC(F544,TODAY(),1))</f>
        <v>1</v>
      </c>
      <c r="H544">
        <f>COUNTIF(BRON!A:A,Tabel6[[#This Row],[Personeelsnummer]])</f>
        <v>1</v>
      </c>
    </row>
    <row r="545" spans="1:8" x14ac:dyDescent="0.25">
      <c r="A545" s="34" t="s">
        <v>4459</v>
      </c>
      <c r="B545" s="34" t="s">
        <v>1413</v>
      </c>
      <c r="C545" s="34" t="s">
        <v>1412</v>
      </c>
      <c r="D545">
        <v>41012</v>
      </c>
      <c r="E545" s="34" t="s">
        <v>3856</v>
      </c>
      <c r="F545" s="3">
        <v>45574.083333333299</v>
      </c>
      <c r="G545" s="38">
        <f ca="1">TRUNC(YEARFRAC(F545,TODAY(),1))</f>
        <v>1</v>
      </c>
      <c r="H545">
        <f>COUNTIF(BRON!A:A,Tabel6[[#This Row],[Personeelsnummer]])</f>
        <v>2</v>
      </c>
    </row>
    <row r="546" spans="1:8" x14ac:dyDescent="0.25">
      <c r="A546" s="34" t="s">
        <v>4460</v>
      </c>
      <c r="B546" s="34" t="s">
        <v>2343</v>
      </c>
      <c r="C546" s="34" t="s">
        <v>2342</v>
      </c>
      <c r="D546">
        <v>41032</v>
      </c>
      <c r="E546" s="34" t="s">
        <v>3856</v>
      </c>
      <c r="F546" s="3">
        <v>45559.083333333299</v>
      </c>
      <c r="G546" s="38">
        <f ca="1">TRUNC(YEARFRAC(F546,TODAY(),1))</f>
        <v>1</v>
      </c>
      <c r="H546">
        <f>COUNTIF(BRON!A:A,Tabel6[[#This Row],[Personeelsnummer]])</f>
        <v>4</v>
      </c>
    </row>
    <row r="547" spans="1:8" x14ac:dyDescent="0.25">
      <c r="A547" s="34" t="s">
        <v>4461</v>
      </c>
      <c r="B547" s="34" t="s">
        <v>3314</v>
      </c>
      <c r="C547" s="34" t="s">
        <v>3313</v>
      </c>
      <c r="D547">
        <v>41064</v>
      </c>
      <c r="E547" s="34" t="s">
        <v>3859</v>
      </c>
      <c r="F547" s="3">
        <v>45588.083333333299</v>
      </c>
      <c r="G547" s="38">
        <f ca="1">TRUNC(YEARFRAC(F547,TODAY(),1))</f>
        <v>1</v>
      </c>
      <c r="H547">
        <f>COUNTIF(BRON!A:A,Tabel6[[#This Row],[Personeelsnummer]])</f>
        <v>2</v>
      </c>
    </row>
    <row r="548" spans="1:8" x14ac:dyDescent="0.25">
      <c r="A548" s="34" t="s">
        <v>4462</v>
      </c>
      <c r="B548" s="34" t="s">
        <v>1612</v>
      </c>
      <c r="C548" s="34" t="s">
        <v>1611</v>
      </c>
      <c r="D548">
        <v>41091</v>
      </c>
      <c r="E548" s="34" t="s">
        <v>3859</v>
      </c>
      <c r="F548" s="3">
        <v>45603.041666666701</v>
      </c>
      <c r="G548" s="38">
        <f ca="1">TRUNC(YEARFRAC(F548,TODAY(),1))</f>
        <v>1</v>
      </c>
      <c r="H548">
        <f>COUNTIF(BRON!A:A,Tabel6[[#This Row],[Personeelsnummer]])</f>
        <v>2</v>
      </c>
    </row>
    <row r="549" spans="1:8" x14ac:dyDescent="0.25">
      <c r="A549" s="34" t="s">
        <v>4463</v>
      </c>
      <c r="B549" s="34" t="s">
        <v>2987</v>
      </c>
      <c r="C549" s="34" t="s">
        <v>2986</v>
      </c>
      <c r="D549">
        <v>41092</v>
      </c>
      <c r="E549" s="34" t="s">
        <v>3859</v>
      </c>
      <c r="F549" s="3">
        <v>45574.083333333299</v>
      </c>
      <c r="G549" s="38">
        <f ca="1">TRUNC(YEARFRAC(F549,TODAY(),1))</f>
        <v>1</v>
      </c>
      <c r="H549">
        <f>COUNTIF(BRON!A:A,Tabel6[[#This Row],[Personeelsnummer]])</f>
        <v>8</v>
      </c>
    </row>
    <row r="550" spans="1:8" x14ac:dyDescent="0.25">
      <c r="A550" s="34" t="s">
        <v>4464</v>
      </c>
      <c r="B550" s="34" t="s">
        <v>1710</v>
      </c>
      <c r="C550" s="34" t="s">
        <v>1709</v>
      </c>
      <c r="D550">
        <v>41101</v>
      </c>
      <c r="E550" s="34" t="s">
        <v>3859</v>
      </c>
      <c r="F550" s="3">
        <v>45618.041666666701</v>
      </c>
      <c r="G550" s="38">
        <f ca="1">TRUNC(YEARFRAC(F550,TODAY(),1))</f>
        <v>1</v>
      </c>
      <c r="H550">
        <f>COUNTIF(BRON!A:A,Tabel6[[#This Row],[Personeelsnummer]])</f>
        <v>1</v>
      </c>
    </row>
    <row r="551" spans="1:8" x14ac:dyDescent="0.25">
      <c r="A551" s="34" t="s">
        <v>4465</v>
      </c>
      <c r="B551" s="34" t="s">
        <v>3015</v>
      </c>
      <c r="C551" s="34" t="s">
        <v>3018</v>
      </c>
      <c r="D551">
        <v>41137</v>
      </c>
      <c r="E551" s="34" t="s">
        <v>3859</v>
      </c>
      <c r="F551" s="3">
        <v>45616.041666666701</v>
      </c>
      <c r="G551" s="38">
        <f ca="1">TRUNC(YEARFRAC(F551,TODAY(),1))</f>
        <v>1</v>
      </c>
      <c r="H551">
        <f>COUNTIF(BRON!A:A,Tabel6[[#This Row],[Personeelsnummer]])</f>
        <v>1</v>
      </c>
    </row>
    <row r="552" spans="1:8" x14ac:dyDescent="0.25">
      <c r="A552" s="34" t="s">
        <v>4466</v>
      </c>
      <c r="B552" s="34" t="s">
        <v>2596</v>
      </c>
      <c r="C552" s="34" t="s">
        <v>2595</v>
      </c>
      <c r="D552">
        <v>41162</v>
      </c>
      <c r="E552" s="34" t="s">
        <v>3859</v>
      </c>
      <c r="F552" s="3">
        <v>45603.041666666701</v>
      </c>
      <c r="G552" s="38">
        <f ca="1">TRUNC(YEARFRAC(F552,TODAY(),1))</f>
        <v>1</v>
      </c>
      <c r="H552">
        <f>COUNTIF(BRON!A:A,Tabel6[[#This Row],[Personeelsnummer]])</f>
        <v>5</v>
      </c>
    </row>
    <row r="553" spans="1:8" x14ac:dyDescent="0.25">
      <c r="A553" s="34" t="s">
        <v>4467</v>
      </c>
      <c r="B553" s="34" t="s">
        <v>1351</v>
      </c>
      <c r="C553" s="34" t="s">
        <v>3279</v>
      </c>
      <c r="D553">
        <v>41230</v>
      </c>
      <c r="E553" s="34" t="s">
        <v>3859</v>
      </c>
      <c r="F553" s="3">
        <v>45603.041666666701</v>
      </c>
      <c r="G553" s="38">
        <f ca="1">TRUNC(YEARFRAC(F553,TODAY(),1))</f>
        <v>1</v>
      </c>
      <c r="H553">
        <f>COUNTIF(BRON!A:A,Tabel6[[#This Row],[Personeelsnummer]])</f>
        <v>2</v>
      </c>
    </row>
    <row r="554" spans="1:8" x14ac:dyDescent="0.25">
      <c r="A554" s="34" t="s">
        <v>4469</v>
      </c>
      <c r="B554" s="34" t="s">
        <v>2053</v>
      </c>
      <c r="C554" s="34" t="s">
        <v>2052</v>
      </c>
      <c r="D554">
        <v>41296</v>
      </c>
      <c r="E554" s="34" t="s">
        <v>3853</v>
      </c>
      <c r="F554" s="3">
        <v>45618.041666666701</v>
      </c>
      <c r="G554" s="38">
        <f ca="1">TRUNC(YEARFRAC(F554,TODAY(),1))</f>
        <v>1</v>
      </c>
      <c r="H554">
        <f>COUNTIF(BRON!A:A,Tabel6[[#This Row],[Personeelsnummer]])</f>
        <v>2</v>
      </c>
    </row>
    <row r="555" spans="1:8" x14ac:dyDescent="0.25">
      <c r="A555" s="34" t="s">
        <v>3897</v>
      </c>
      <c r="B555" s="34" t="s">
        <v>2604</v>
      </c>
      <c r="C555" s="34" t="s">
        <v>1477</v>
      </c>
      <c r="D555">
        <v>42307</v>
      </c>
      <c r="E555" s="34" t="s">
        <v>3853</v>
      </c>
      <c r="F555" s="3">
        <v>45903.083333333299</v>
      </c>
      <c r="G555" s="38">
        <f ca="1">TRUNC(YEARFRAC(F555,TODAY(),1))</f>
        <v>0</v>
      </c>
      <c r="H555">
        <f>COUNTIF(BRON!A:A,Tabel6[[#This Row],[Personeelsnummer]])</f>
        <v>3</v>
      </c>
    </row>
    <row r="556" spans="1:8" x14ac:dyDescent="0.25">
      <c r="A556" s="34" t="s">
        <v>4202</v>
      </c>
      <c r="B556" s="34" t="s">
        <v>3030</v>
      </c>
      <c r="C556" s="34" t="s">
        <v>2545</v>
      </c>
      <c r="D556">
        <v>31891</v>
      </c>
      <c r="E556" s="34" t="s">
        <v>3854</v>
      </c>
      <c r="F556" s="3">
        <v>45873.083333333299</v>
      </c>
      <c r="G556" s="38">
        <f ca="1">TRUNC(YEARFRAC(F556,TODAY(),1))</f>
        <v>0</v>
      </c>
      <c r="H556">
        <f>COUNTIF(BRON!A:A,Tabel6[[#This Row],[Personeelsnummer]])</f>
        <v>0</v>
      </c>
    </row>
    <row r="557" spans="1:8" x14ac:dyDescent="0.25">
      <c r="A557" s="34" t="s">
        <v>4288</v>
      </c>
      <c r="B557" s="34" t="s">
        <v>3596</v>
      </c>
      <c r="C557" s="34" t="s">
        <v>3595</v>
      </c>
      <c r="D557">
        <v>36427</v>
      </c>
      <c r="E557" s="34" t="s">
        <v>3856</v>
      </c>
      <c r="F557" s="3">
        <v>45883.083333333299</v>
      </c>
      <c r="G557" s="38">
        <f ca="1">TRUNC(YEARFRAC(F557,TODAY(),1))</f>
        <v>0</v>
      </c>
      <c r="H557">
        <f>COUNTIF(BRON!A:A,Tabel6[[#This Row],[Personeelsnummer]])</f>
        <v>0</v>
      </c>
    </row>
    <row r="558" spans="1:8" x14ac:dyDescent="0.25">
      <c r="A558" s="34" t="s">
        <v>4308</v>
      </c>
      <c r="B558" s="34" t="s">
        <v>4309</v>
      </c>
      <c r="C558" s="34" t="s">
        <v>4310</v>
      </c>
      <c r="D558">
        <v>36815</v>
      </c>
      <c r="E558" s="34" t="s">
        <v>3852</v>
      </c>
      <c r="F558" s="3">
        <v>45979.041666666701</v>
      </c>
      <c r="G558" s="38">
        <f ca="1">TRUNC(YEARFRAC(F558,TODAY(),1))</f>
        <v>0</v>
      </c>
      <c r="H558">
        <f>COUNTIF(BRON!A:A,Tabel6[[#This Row],[Personeelsnummer]])</f>
        <v>0</v>
      </c>
    </row>
    <row r="559" spans="1:8" x14ac:dyDescent="0.25">
      <c r="A559" s="34" t="s">
        <v>4409</v>
      </c>
      <c r="B559" s="34" t="s">
        <v>3438</v>
      </c>
      <c r="C559" s="34" t="s">
        <v>3591</v>
      </c>
      <c r="D559">
        <v>39928</v>
      </c>
      <c r="E559" s="34" t="s">
        <v>3854</v>
      </c>
      <c r="F559" s="3">
        <v>45896.083333333299</v>
      </c>
      <c r="G559" s="38">
        <f ca="1">TRUNC(YEARFRAC(F559,TODAY(),1))</f>
        <v>0</v>
      </c>
      <c r="H559">
        <f>COUNTIF(BRON!A:A,Tabel6[[#This Row],[Personeelsnummer]])</f>
        <v>1</v>
      </c>
    </row>
    <row r="560" spans="1:8" x14ac:dyDescent="0.25">
      <c r="A560" s="34" t="s">
        <v>4468</v>
      </c>
      <c r="B560" s="34" t="s">
        <v>1444</v>
      </c>
      <c r="C560" s="34" t="s">
        <v>1443</v>
      </c>
      <c r="D560">
        <v>41246</v>
      </c>
      <c r="E560" s="34" t="s">
        <v>3859</v>
      </c>
      <c r="F560" s="3">
        <v>45663.041666666701</v>
      </c>
      <c r="G560" s="38">
        <f ca="1">TRUNC(YEARFRAC(F560,TODAY(),1))</f>
        <v>0</v>
      </c>
      <c r="H560">
        <f>COUNTIF(BRON!A:A,Tabel6[[#This Row],[Personeelsnummer]])</f>
        <v>3</v>
      </c>
    </row>
    <row r="561" spans="1:8" x14ac:dyDescent="0.25">
      <c r="A561" s="34" t="s">
        <v>4470</v>
      </c>
      <c r="B561" s="34" t="s">
        <v>2550</v>
      </c>
      <c r="C561" s="34" t="s">
        <v>2549</v>
      </c>
      <c r="D561">
        <v>41344</v>
      </c>
      <c r="E561" s="34" t="s">
        <v>3856</v>
      </c>
      <c r="F561" s="3">
        <v>45663.041666666701</v>
      </c>
      <c r="G561" s="38">
        <f ca="1">TRUNC(YEARFRAC(F561,TODAY(),1))</f>
        <v>0</v>
      </c>
      <c r="H561">
        <f>COUNTIF(BRON!A:A,Tabel6[[#This Row],[Personeelsnummer]])</f>
        <v>0</v>
      </c>
    </row>
    <row r="562" spans="1:8" x14ac:dyDescent="0.25">
      <c r="A562" s="34" t="s">
        <v>4471</v>
      </c>
      <c r="B562" s="34" t="s">
        <v>1583</v>
      </c>
      <c r="C562" s="34" t="s">
        <v>1582</v>
      </c>
      <c r="D562">
        <v>41348</v>
      </c>
      <c r="E562" s="34" t="s">
        <v>3853</v>
      </c>
      <c r="F562" s="3">
        <v>45673.041666666701</v>
      </c>
      <c r="G562" s="38">
        <f ca="1">TRUNC(YEARFRAC(F562,TODAY(),1))</f>
        <v>0</v>
      </c>
      <c r="H562">
        <f>COUNTIF(BRON!A:A,Tabel6[[#This Row],[Personeelsnummer]])</f>
        <v>1</v>
      </c>
    </row>
    <row r="563" spans="1:8" x14ac:dyDescent="0.25">
      <c r="A563" s="34" t="s">
        <v>4472</v>
      </c>
      <c r="B563" s="34" t="s">
        <v>1210</v>
      </c>
      <c r="C563" s="34" t="s">
        <v>1887</v>
      </c>
      <c r="D563">
        <v>41357</v>
      </c>
      <c r="E563" s="34" t="s">
        <v>3854</v>
      </c>
      <c r="F563" s="3">
        <v>45692.041666666701</v>
      </c>
      <c r="G563" s="38">
        <f ca="1">TRUNC(YEARFRAC(F563,TODAY(),1))</f>
        <v>0</v>
      </c>
      <c r="H563">
        <f>COUNTIF(BRON!A:A,Tabel6[[#This Row],[Personeelsnummer]])</f>
        <v>0</v>
      </c>
    </row>
    <row r="564" spans="1:8" x14ac:dyDescent="0.25">
      <c r="A564" s="34" t="s">
        <v>4473</v>
      </c>
      <c r="B564" s="34" t="s">
        <v>1536</v>
      </c>
      <c r="C564" s="34" t="s">
        <v>1539</v>
      </c>
      <c r="D564">
        <v>41383</v>
      </c>
      <c r="E564" s="34" t="s">
        <v>3856</v>
      </c>
      <c r="F564" s="3">
        <v>45663.041666666701</v>
      </c>
      <c r="G564" s="38">
        <f ca="1">TRUNC(YEARFRAC(F564,TODAY(),1))</f>
        <v>0</v>
      </c>
      <c r="H564">
        <f>COUNTIF(BRON!A:A,Tabel6[[#This Row],[Personeelsnummer]])</f>
        <v>1</v>
      </c>
    </row>
    <row r="565" spans="1:8" x14ac:dyDescent="0.25">
      <c r="A565" s="34" t="s">
        <v>4474</v>
      </c>
      <c r="B565" s="34" t="s">
        <v>1590</v>
      </c>
      <c r="C565" s="34" t="s">
        <v>1589</v>
      </c>
      <c r="D565">
        <v>41384</v>
      </c>
      <c r="E565" s="34" t="s">
        <v>3853</v>
      </c>
      <c r="F565" s="3">
        <v>45677.041666666701</v>
      </c>
      <c r="G565" s="38">
        <f ca="1">TRUNC(YEARFRAC(F565,TODAY(),1))</f>
        <v>0</v>
      </c>
      <c r="H565">
        <f>COUNTIF(BRON!A:A,Tabel6[[#This Row],[Personeelsnummer]])</f>
        <v>4</v>
      </c>
    </row>
    <row r="566" spans="1:8" x14ac:dyDescent="0.25">
      <c r="A566" s="34" t="s">
        <v>4475</v>
      </c>
      <c r="B566" s="34" t="s">
        <v>2023</v>
      </c>
      <c r="C566" s="34" t="s">
        <v>2022</v>
      </c>
      <c r="D566">
        <v>41482</v>
      </c>
      <c r="E566" s="34" t="s">
        <v>3854</v>
      </c>
      <c r="F566" s="3">
        <v>45735.041666666701</v>
      </c>
      <c r="G566" s="38">
        <f ca="1">TRUNC(YEARFRAC(F566,TODAY(),1))</f>
        <v>0</v>
      </c>
      <c r="H566">
        <f>COUNTIF(BRON!A:A,Tabel6[[#This Row],[Personeelsnummer]])</f>
        <v>3</v>
      </c>
    </row>
    <row r="567" spans="1:8" x14ac:dyDescent="0.25">
      <c r="A567" s="34" t="s">
        <v>4476</v>
      </c>
      <c r="B567" s="34" t="s">
        <v>3306</v>
      </c>
      <c r="C567" s="34" t="s">
        <v>3305</v>
      </c>
      <c r="D567">
        <v>41520</v>
      </c>
      <c r="E567" s="34" t="s">
        <v>3853</v>
      </c>
      <c r="F567" s="3">
        <v>45720.041666666701</v>
      </c>
      <c r="G567" s="38">
        <f ca="1">TRUNC(YEARFRAC(F567,TODAY(),1))</f>
        <v>0</v>
      </c>
      <c r="H567">
        <f>COUNTIF(BRON!A:A,Tabel6[[#This Row],[Personeelsnummer]])</f>
        <v>3</v>
      </c>
    </row>
    <row r="568" spans="1:8" x14ac:dyDescent="0.25">
      <c r="A568" s="34" t="s">
        <v>4477</v>
      </c>
      <c r="B568" s="34" t="s">
        <v>3265</v>
      </c>
      <c r="C568" s="34" t="s">
        <v>3264</v>
      </c>
      <c r="D568">
        <v>41521</v>
      </c>
      <c r="E568" s="34" t="s">
        <v>3851</v>
      </c>
      <c r="F568" s="3">
        <v>45720.041666666701</v>
      </c>
      <c r="G568" s="38">
        <f ca="1">TRUNC(YEARFRAC(F568,TODAY(),1))</f>
        <v>0</v>
      </c>
      <c r="H568">
        <f>COUNTIF(BRON!A:A,Tabel6[[#This Row],[Personeelsnummer]])</f>
        <v>0</v>
      </c>
    </row>
    <row r="569" spans="1:8" x14ac:dyDescent="0.25">
      <c r="A569" s="34" t="s">
        <v>4478</v>
      </c>
      <c r="B569" s="34" t="s">
        <v>1334</v>
      </c>
      <c r="C569" s="34" t="s">
        <v>3209</v>
      </c>
      <c r="D569">
        <v>41550</v>
      </c>
      <c r="E569" s="34" t="s">
        <v>3853</v>
      </c>
      <c r="F569" s="3">
        <v>45735.041666666701</v>
      </c>
      <c r="G569" s="38">
        <f ca="1">TRUNC(YEARFRAC(F569,TODAY(),1))</f>
        <v>0</v>
      </c>
      <c r="H569">
        <f>COUNTIF(BRON!A:A,Tabel6[[#This Row],[Personeelsnummer]])</f>
        <v>0</v>
      </c>
    </row>
    <row r="570" spans="1:8" x14ac:dyDescent="0.25">
      <c r="A570" s="34" t="s">
        <v>4479</v>
      </c>
      <c r="B570" s="34" t="s">
        <v>1399</v>
      </c>
      <c r="C570" s="34" t="s">
        <v>1398</v>
      </c>
      <c r="D570">
        <v>41588</v>
      </c>
      <c r="E570" s="34" t="s">
        <v>3851</v>
      </c>
      <c r="F570" s="3">
        <v>45749.083333333299</v>
      </c>
      <c r="G570" s="38">
        <f ca="1">TRUNC(YEARFRAC(F570,TODAY(),1))</f>
        <v>0</v>
      </c>
      <c r="H570">
        <f>COUNTIF(BRON!A:A,Tabel6[[#This Row],[Personeelsnummer]])</f>
        <v>2</v>
      </c>
    </row>
    <row r="571" spans="1:8" x14ac:dyDescent="0.25">
      <c r="A571" s="34" t="s">
        <v>4480</v>
      </c>
      <c r="B571" s="34" t="s">
        <v>2011</v>
      </c>
      <c r="C571" s="34" t="s">
        <v>2010</v>
      </c>
      <c r="D571">
        <v>41619</v>
      </c>
      <c r="E571" s="34" t="s">
        <v>3854</v>
      </c>
      <c r="F571" s="3">
        <v>45770.083333333299</v>
      </c>
      <c r="G571" s="38">
        <f ca="1">TRUNC(YEARFRAC(F571,TODAY(),1))</f>
        <v>0</v>
      </c>
      <c r="H571">
        <f>COUNTIF(BRON!A:A,Tabel6[[#This Row],[Personeelsnummer]])</f>
        <v>3</v>
      </c>
    </row>
    <row r="572" spans="1:8" x14ac:dyDescent="0.25">
      <c r="A572" s="34" t="s">
        <v>4481</v>
      </c>
      <c r="B572" s="34" t="s">
        <v>1808</v>
      </c>
      <c r="C572" s="34" t="s">
        <v>1807</v>
      </c>
      <c r="D572">
        <v>41632</v>
      </c>
      <c r="E572" s="34" t="s">
        <v>3854</v>
      </c>
      <c r="F572" s="3">
        <v>45720.041666666701</v>
      </c>
      <c r="G572" s="38">
        <f ca="1">TRUNC(YEARFRAC(F572,TODAY(),1))</f>
        <v>0</v>
      </c>
      <c r="H572">
        <f>COUNTIF(BRON!A:A,Tabel6[[#This Row],[Personeelsnummer]])</f>
        <v>0</v>
      </c>
    </row>
    <row r="573" spans="1:8" x14ac:dyDescent="0.25">
      <c r="A573" s="34" t="s">
        <v>4482</v>
      </c>
      <c r="B573" s="34" t="s">
        <v>1770</v>
      </c>
      <c r="C573" s="34" t="s">
        <v>1769</v>
      </c>
      <c r="D573">
        <v>41671</v>
      </c>
      <c r="E573" s="34" t="s">
        <v>3854</v>
      </c>
      <c r="F573" s="3">
        <v>45783.083333333299</v>
      </c>
      <c r="G573" s="38">
        <f ca="1">TRUNC(YEARFRAC(F573,TODAY(),1))</f>
        <v>0</v>
      </c>
      <c r="H573">
        <f>COUNTIF(BRON!A:A,Tabel6[[#This Row],[Personeelsnummer]])</f>
        <v>1</v>
      </c>
    </row>
    <row r="574" spans="1:8" x14ac:dyDescent="0.25">
      <c r="A574" s="34" t="s">
        <v>4483</v>
      </c>
      <c r="B574" s="34" t="s">
        <v>2695</v>
      </c>
      <c r="C574" s="34" t="s">
        <v>2694</v>
      </c>
      <c r="D574">
        <v>41685</v>
      </c>
      <c r="E574" s="34" t="s">
        <v>3851</v>
      </c>
      <c r="F574" s="3">
        <v>45735.041666666701</v>
      </c>
      <c r="G574" s="38">
        <f ca="1">TRUNC(YEARFRAC(F574,TODAY(),1))</f>
        <v>0</v>
      </c>
      <c r="H574">
        <f>COUNTIF(BRON!A:A,Tabel6[[#This Row],[Personeelsnummer]])</f>
        <v>0</v>
      </c>
    </row>
    <row r="575" spans="1:8" x14ac:dyDescent="0.25">
      <c r="A575" s="34" t="s">
        <v>4484</v>
      </c>
      <c r="B575" s="34" t="s">
        <v>2483</v>
      </c>
      <c r="C575" s="34" t="s">
        <v>2482</v>
      </c>
      <c r="D575">
        <v>41690</v>
      </c>
      <c r="E575" s="34" t="s">
        <v>3857</v>
      </c>
      <c r="F575" s="3">
        <v>45783.083333333299</v>
      </c>
      <c r="G575" s="38">
        <f ca="1">TRUNC(YEARFRAC(F575,TODAY(),1))</f>
        <v>0</v>
      </c>
      <c r="H575">
        <f>COUNTIF(BRON!A:A,Tabel6[[#This Row],[Personeelsnummer]])</f>
        <v>1</v>
      </c>
    </row>
    <row r="576" spans="1:8" x14ac:dyDescent="0.25">
      <c r="A576" s="34" t="s">
        <v>4485</v>
      </c>
      <c r="B576" s="34" t="s">
        <v>2887</v>
      </c>
      <c r="C576" s="34" t="s">
        <v>2140</v>
      </c>
      <c r="D576">
        <v>41710</v>
      </c>
      <c r="E576" s="34" t="s">
        <v>3856</v>
      </c>
      <c r="F576" s="3">
        <v>45735.041666666701</v>
      </c>
      <c r="G576" s="38">
        <f ca="1">TRUNC(YEARFRAC(F576,TODAY(),1))</f>
        <v>0</v>
      </c>
      <c r="H576">
        <f>COUNTIF(BRON!A:A,Tabel6[[#This Row],[Personeelsnummer]])</f>
        <v>1</v>
      </c>
    </row>
    <row r="577" spans="1:8" x14ac:dyDescent="0.25">
      <c r="A577" s="34" t="s">
        <v>4486</v>
      </c>
      <c r="B577" s="34" t="s">
        <v>1911</v>
      </c>
      <c r="C577" s="34" t="s">
        <v>1914</v>
      </c>
      <c r="D577">
        <v>41721</v>
      </c>
      <c r="E577" s="34" t="s">
        <v>3851</v>
      </c>
      <c r="F577" s="3">
        <v>45749.083333333299</v>
      </c>
      <c r="G577" s="38">
        <f ca="1">TRUNC(YEARFRAC(F577,TODAY(),1))</f>
        <v>0</v>
      </c>
      <c r="H577">
        <f>COUNTIF(BRON!A:A,Tabel6[[#This Row],[Personeelsnummer]])</f>
        <v>1</v>
      </c>
    </row>
    <row r="578" spans="1:8" x14ac:dyDescent="0.25">
      <c r="A578" s="34" t="s">
        <v>4487</v>
      </c>
      <c r="B578" s="34" t="s">
        <v>2074</v>
      </c>
      <c r="C578" s="34" t="s">
        <v>3588</v>
      </c>
      <c r="D578">
        <v>41786</v>
      </c>
      <c r="E578" s="34" t="s">
        <v>3853</v>
      </c>
      <c r="F578" s="3">
        <v>45763.083333333299</v>
      </c>
      <c r="G578" s="38">
        <f ca="1">TRUNC(YEARFRAC(F578,TODAY(),1))</f>
        <v>0</v>
      </c>
      <c r="H578">
        <f>COUNTIF(BRON!A:A,Tabel6[[#This Row],[Personeelsnummer]])</f>
        <v>1</v>
      </c>
    </row>
    <row r="579" spans="1:8" x14ac:dyDescent="0.25">
      <c r="A579" s="34" t="s">
        <v>4488</v>
      </c>
      <c r="B579" s="34" t="s">
        <v>3457</v>
      </c>
      <c r="C579" s="34" t="s">
        <v>3456</v>
      </c>
      <c r="D579">
        <v>41821</v>
      </c>
      <c r="E579" s="34" t="s">
        <v>3853</v>
      </c>
      <c r="F579" s="3">
        <v>45783.083333333299</v>
      </c>
      <c r="G579" s="38">
        <f ca="1">TRUNC(YEARFRAC(F579,TODAY(),1))</f>
        <v>0</v>
      </c>
      <c r="H579">
        <f>COUNTIF(BRON!A:A,Tabel6[[#This Row],[Personeelsnummer]])</f>
        <v>0</v>
      </c>
    </row>
    <row r="580" spans="1:8" x14ac:dyDescent="0.25">
      <c r="A580" s="34" t="s">
        <v>4489</v>
      </c>
      <c r="B580" s="34" t="s">
        <v>1210</v>
      </c>
      <c r="C580" s="34" t="s">
        <v>1209</v>
      </c>
      <c r="D580">
        <v>41859</v>
      </c>
      <c r="E580" s="34" t="s">
        <v>3852</v>
      </c>
      <c r="F580" s="3">
        <v>45783.083333333299</v>
      </c>
      <c r="G580" s="38">
        <f ca="1">TRUNC(YEARFRAC(F580,TODAY(),1))</f>
        <v>0</v>
      </c>
      <c r="H580">
        <f>COUNTIF(BRON!A:A,Tabel6[[#This Row],[Personeelsnummer]])</f>
        <v>1</v>
      </c>
    </row>
    <row r="581" spans="1:8" x14ac:dyDescent="0.25">
      <c r="A581" s="34" t="s">
        <v>4490</v>
      </c>
      <c r="B581" s="34" t="s">
        <v>1440</v>
      </c>
      <c r="C581" s="34" t="s">
        <v>1439</v>
      </c>
      <c r="D581">
        <v>41870</v>
      </c>
      <c r="E581" s="34" t="s">
        <v>3858</v>
      </c>
      <c r="F581" s="3">
        <v>45798.083333333299</v>
      </c>
      <c r="G581" s="38">
        <f ca="1">TRUNC(YEARFRAC(F581,TODAY(),1))</f>
        <v>0</v>
      </c>
      <c r="H581">
        <f>COUNTIF(BRON!A:A,Tabel6[[#This Row],[Personeelsnummer]])</f>
        <v>1</v>
      </c>
    </row>
    <row r="582" spans="1:8" x14ac:dyDescent="0.25">
      <c r="A582" s="34" t="s">
        <v>4491</v>
      </c>
      <c r="B582" s="34" t="s">
        <v>2691</v>
      </c>
      <c r="C582" s="34" t="s">
        <v>2690</v>
      </c>
      <c r="D582">
        <v>41871</v>
      </c>
      <c r="E582" s="34" t="s">
        <v>3859</v>
      </c>
      <c r="F582" s="3">
        <v>45798.083333333299</v>
      </c>
      <c r="G582" s="38">
        <f ca="1">TRUNC(YEARFRAC(F582,TODAY(),1))</f>
        <v>0</v>
      </c>
      <c r="H582">
        <f>COUNTIF(BRON!A:A,Tabel6[[#This Row],[Personeelsnummer]])</f>
        <v>2</v>
      </c>
    </row>
    <row r="583" spans="1:8" x14ac:dyDescent="0.25">
      <c r="A583" s="34" t="s">
        <v>4492</v>
      </c>
      <c r="B583" s="34" t="s">
        <v>3181</v>
      </c>
      <c r="C583" s="34" t="s">
        <v>3180</v>
      </c>
      <c r="D583">
        <v>41874</v>
      </c>
      <c r="E583" s="34" t="s">
        <v>3859</v>
      </c>
      <c r="F583" s="3">
        <v>45814.083333333299</v>
      </c>
      <c r="G583" s="38">
        <f ca="1">TRUNC(YEARFRAC(F583,TODAY(),1))</f>
        <v>0</v>
      </c>
      <c r="H583">
        <f>COUNTIF(BRON!A:A,Tabel6[[#This Row],[Personeelsnummer]])</f>
        <v>3</v>
      </c>
    </row>
    <row r="584" spans="1:8" x14ac:dyDescent="0.25">
      <c r="A584" s="34" t="s">
        <v>4493</v>
      </c>
      <c r="B584" s="34" t="s">
        <v>3259</v>
      </c>
      <c r="C584" s="34" t="s">
        <v>3258</v>
      </c>
      <c r="D584">
        <v>41882</v>
      </c>
      <c r="E584" s="34" t="s">
        <v>3856</v>
      </c>
      <c r="F584" s="3">
        <v>45831.083333333299</v>
      </c>
      <c r="G584" s="38">
        <f ca="1">TRUNC(YEARFRAC(F584,TODAY(),1))</f>
        <v>0</v>
      </c>
      <c r="H584">
        <f>COUNTIF(BRON!A:A,Tabel6[[#This Row],[Personeelsnummer]])</f>
        <v>0</v>
      </c>
    </row>
    <row r="585" spans="1:8" x14ac:dyDescent="0.25">
      <c r="A585" s="34" t="s">
        <v>4494</v>
      </c>
      <c r="B585" s="34" t="s">
        <v>1334</v>
      </c>
      <c r="C585" s="34" t="s">
        <v>3206</v>
      </c>
      <c r="D585">
        <v>41888</v>
      </c>
      <c r="E585" s="34" t="s">
        <v>3851</v>
      </c>
      <c r="F585" s="3">
        <v>45831.083333333299</v>
      </c>
      <c r="G585" s="38">
        <f ca="1">TRUNC(YEARFRAC(F585,TODAY(),1))</f>
        <v>0</v>
      </c>
      <c r="H585">
        <f>COUNTIF(BRON!A:A,Tabel6[[#This Row],[Personeelsnummer]])</f>
        <v>1</v>
      </c>
    </row>
    <row r="586" spans="1:8" x14ac:dyDescent="0.25">
      <c r="A586" s="34" t="s">
        <v>4495</v>
      </c>
      <c r="B586" s="34" t="s">
        <v>1793</v>
      </c>
      <c r="C586" s="34" t="s">
        <v>1792</v>
      </c>
      <c r="D586">
        <v>41918</v>
      </c>
      <c r="E586" s="34" t="s">
        <v>3853</v>
      </c>
      <c r="F586" s="3">
        <v>45831.083333333299</v>
      </c>
      <c r="G586" s="38">
        <f ca="1">TRUNC(YEARFRAC(F586,TODAY(),1))</f>
        <v>0</v>
      </c>
      <c r="H586">
        <f>COUNTIF(BRON!A:A,Tabel6[[#This Row],[Personeelsnummer]])</f>
        <v>1</v>
      </c>
    </row>
    <row r="587" spans="1:8" x14ac:dyDescent="0.25">
      <c r="A587" s="34" t="s">
        <v>4496</v>
      </c>
      <c r="B587" s="34" t="s">
        <v>2758</v>
      </c>
      <c r="C587" s="34" t="s">
        <v>2757</v>
      </c>
      <c r="D587">
        <v>41944</v>
      </c>
      <c r="E587" s="34" t="s">
        <v>3859</v>
      </c>
      <c r="F587" s="3">
        <v>45798.083333333299</v>
      </c>
      <c r="G587" s="38">
        <f ca="1">TRUNC(YEARFRAC(F587,TODAY(),1))</f>
        <v>0</v>
      </c>
      <c r="H587">
        <f>COUNTIF(BRON!A:A,Tabel6[[#This Row],[Personeelsnummer]])</f>
        <v>0</v>
      </c>
    </row>
    <row r="588" spans="1:8" x14ac:dyDescent="0.25">
      <c r="A588" s="34" t="s">
        <v>4497</v>
      </c>
      <c r="B588" s="34" t="s">
        <v>1452</v>
      </c>
      <c r="C588" s="34" t="s">
        <v>1464</v>
      </c>
      <c r="D588">
        <v>41948</v>
      </c>
      <c r="E588" s="34" t="s">
        <v>3857</v>
      </c>
      <c r="F588" s="3">
        <v>45831.083333333299</v>
      </c>
      <c r="G588" s="38">
        <f ca="1">TRUNC(YEARFRAC(F588,TODAY(),1))</f>
        <v>0</v>
      </c>
      <c r="H588">
        <f>COUNTIF(BRON!A:A,Tabel6[[#This Row],[Personeelsnummer]])</f>
        <v>2</v>
      </c>
    </row>
    <row r="589" spans="1:8" x14ac:dyDescent="0.25">
      <c r="A589" s="34" t="s">
        <v>4498</v>
      </c>
      <c r="B589" s="34" t="s">
        <v>2174</v>
      </c>
      <c r="C589" s="34" t="s">
        <v>2177</v>
      </c>
      <c r="D589">
        <v>41949</v>
      </c>
      <c r="E589" s="34" t="s">
        <v>3853</v>
      </c>
      <c r="F589" s="3">
        <v>45845.083333333299</v>
      </c>
      <c r="G589" s="38">
        <f ca="1">TRUNC(YEARFRAC(F589,TODAY(),1))</f>
        <v>0</v>
      </c>
      <c r="H589">
        <f>COUNTIF(BRON!A:A,Tabel6[[#This Row],[Personeelsnummer]])</f>
        <v>0</v>
      </c>
    </row>
    <row r="590" spans="1:8" x14ac:dyDescent="0.25">
      <c r="A590" s="34" t="s">
        <v>4499</v>
      </c>
      <c r="B590" s="34" t="s">
        <v>2453</v>
      </c>
      <c r="C590" s="34" t="s">
        <v>2452</v>
      </c>
      <c r="D590">
        <v>42002</v>
      </c>
      <c r="E590" s="34" t="s">
        <v>3856</v>
      </c>
      <c r="F590" s="3">
        <v>45814.083333333299</v>
      </c>
      <c r="G590" s="38">
        <f ca="1">TRUNC(YEARFRAC(F590,TODAY(),1))</f>
        <v>0</v>
      </c>
      <c r="H590">
        <f>COUNTIF(BRON!A:A,Tabel6[[#This Row],[Personeelsnummer]])</f>
        <v>3</v>
      </c>
    </row>
    <row r="591" spans="1:8" x14ac:dyDescent="0.25">
      <c r="A591" s="34" t="s">
        <v>4500</v>
      </c>
      <c r="B591" s="34" t="s">
        <v>3388</v>
      </c>
      <c r="C591" s="34" t="s">
        <v>3387</v>
      </c>
      <c r="D591">
        <v>42015</v>
      </c>
      <c r="E591" s="34" t="s">
        <v>3856</v>
      </c>
      <c r="F591" s="3">
        <v>45831.083333333299</v>
      </c>
      <c r="G591" s="38">
        <f ca="1">TRUNC(YEARFRAC(F591,TODAY(),1))</f>
        <v>0</v>
      </c>
      <c r="H591">
        <f>COUNTIF(BRON!A:A,Tabel6[[#This Row],[Personeelsnummer]])</f>
        <v>1</v>
      </c>
    </row>
    <row r="592" spans="1:8" x14ac:dyDescent="0.25">
      <c r="A592" s="34" t="s">
        <v>4501</v>
      </c>
      <c r="B592" s="34" t="s">
        <v>3366</v>
      </c>
      <c r="C592" s="34" t="s">
        <v>3365</v>
      </c>
      <c r="D592">
        <v>42022</v>
      </c>
      <c r="E592" s="34" t="s">
        <v>3856</v>
      </c>
      <c r="F592" s="3">
        <v>45840.083333333299</v>
      </c>
      <c r="G592" s="38">
        <f ca="1">TRUNC(YEARFRAC(F592,TODAY(),1))</f>
        <v>0</v>
      </c>
      <c r="H592">
        <f>COUNTIF(BRON!A:A,Tabel6[[#This Row],[Personeelsnummer]])</f>
        <v>0</v>
      </c>
    </row>
    <row r="593" spans="1:8" x14ac:dyDescent="0.25">
      <c r="A593" s="34" t="s">
        <v>4502</v>
      </c>
      <c r="B593" s="34" t="s">
        <v>2513</v>
      </c>
      <c r="C593" s="34" t="s">
        <v>2512</v>
      </c>
      <c r="D593">
        <v>42044</v>
      </c>
      <c r="E593" s="34" t="s">
        <v>3859</v>
      </c>
      <c r="F593" s="3">
        <v>45854.083333333299</v>
      </c>
      <c r="G593" s="38">
        <f ca="1">TRUNC(YEARFRAC(F593,TODAY(),1))</f>
        <v>0</v>
      </c>
      <c r="H593">
        <f>COUNTIF(BRON!A:A,Tabel6[[#This Row],[Personeelsnummer]])</f>
        <v>1</v>
      </c>
    </row>
    <row r="594" spans="1:8" x14ac:dyDescent="0.25">
      <c r="A594" s="34" t="s">
        <v>4503</v>
      </c>
      <c r="B594" s="34" t="s">
        <v>2015</v>
      </c>
      <c r="C594" s="34" t="s">
        <v>2014</v>
      </c>
      <c r="D594">
        <v>42082</v>
      </c>
      <c r="E594" s="34" t="s">
        <v>3859</v>
      </c>
      <c r="F594" s="3">
        <v>45853.083333333299</v>
      </c>
      <c r="G594" s="38">
        <f ca="1">TRUNC(YEARFRAC(F594,TODAY(),1))</f>
        <v>0</v>
      </c>
      <c r="H594">
        <f>COUNTIF(BRON!A:A,Tabel6[[#This Row],[Personeelsnummer]])</f>
        <v>1</v>
      </c>
    </row>
    <row r="595" spans="1:8" x14ac:dyDescent="0.25">
      <c r="A595" s="34" t="s">
        <v>4504</v>
      </c>
      <c r="B595" s="34" t="s">
        <v>2972</v>
      </c>
      <c r="C595" s="34" t="s">
        <v>2971</v>
      </c>
      <c r="D595">
        <v>42120</v>
      </c>
      <c r="E595" s="34" t="s">
        <v>3851</v>
      </c>
      <c r="F595" s="3">
        <v>45860.083333333299</v>
      </c>
      <c r="G595" s="38">
        <f ca="1">TRUNC(YEARFRAC(F595,TODAY(),1))</f>
        <v>0</v>
      </c>
      <c r="H595">
        <f>COUNTIF(BRON!A:A,Tabel6[[#This Row],[Personeelsnummer]])</f>
        <v>1</v>
      </c>
    </row>
    <row r="596" spans="1:8" x14ac:dyDescent="0.25">
      <c r="A596" s="34" t="s">
        <v>4505</v>
      </c>
      <c r="B596" s="34" t="s">
        <v>2174</v>
      </c>
      <c r="C596" s="34" t="s">
        <v>2173</v>
      </c>
      <c r="D596">
        <v>42141</v>
      </c>
      <c r="E596" s="34" t="s">
        <v>3853</v>
      </c>
      <c r="F596" s="3">
        <v>45868.083333333299</v>
      </c>
      <c r="G596" s="38">
        <f ca="1">TRUNC(YEARFRAC(F596,TODAY(),1))</f>
        <v>0</v>
      </c>
      <c r="H596">
        <f>COUNTIF(BRON!A:A,Tabel6[[#This Row],[Personeelsnummer]])</f>
        <v>0</v>
      </c>
    </row>
    <row r="597" spans="1:8" x14ac:dyDescent="0.25">
      <c r="A597" s="34" t="s">
        <v>4506</v>
      </c>
      <c r="B597" s="34" t="s">
        <v>3585</v>
      </c>
      <c r="C597" s="34" t="s">
        <v>3584</v>
      </c>
      <c r="D597">
        <v>42143</v>
      </c>
      <c r="E597" s="34" t="s">
        <v>3854</v>
      </c>
      <c r="F597" s="3">
        <v>45889.083333333299</v>
      </c>
      <c r="G597" s="38">
        <f ca="1">TRUNC(YEARFRAC(F597,TODAY(),1))</f>
        <v>0</v>
      </c>
      <c r="H597">
        <f>COUNTIF(BRON!A:A,Tabel6[[#This Row],[Personeelsnummer]])</f>
        <v>1</v>
      </c>
    </row>
    <row r="598" spans="1:8" x14ac:dyDescent="0.25">
      <c r="A598" s="34" t="s">
        <v>4507</v>
      </c>
      <c r="B598" s="34" t="s">
        <v>3581</v>
      </c>
      <c r="C598" s="34" t="s">
        <v>3580</v>
      </c>
      <c r="D598">
        <v>42144</v>
      </c>
      <c r="E598" s="34" t="s">
        <v>3856</v>
      </c>
      <c r="F598" s="3">
        <v>45889.083333333299</v>
      </c>
      <c r="G598" s="38">
        <f ca="1">TRUNC(YEARFRAC(F598,TODAY(),1))</f>
        <v>0</v>
      </c>
      <c r="H598">
        <f>COUNTIF(BRON!A:A,Tabel6[[#This Row],[Personeelsnummer]])</f>
        <v>0</v>
      </c>
    </row>
    <row r="599" spans="1:8" x14ac:dyDescent="0.25">
      <c r="A599" s="34" t="s">
        <v>4508</v>
      </c>
      <c r="B599" s="34" t="s">
        <v>1682</v>
      </c>
      <c r="C599" s="34" t="s">
        <v>1681</v>
      </c>
      <c r="D599">
        <v>42145</v>
      </c>
      <c r="E599" s="34" t="s">
        <v>3858</v>
      </c>
      <c r="F599" s="3">
        <v>45874.083333333299</v>
      </c>
      <c r="G599" s="38">
        <f ca="1">TRUNC(YEARFRAC(F599,TODAY(),1))</f>
        <v>0</v>
      </c>
      <c r="H599">
        <f>COUNTIF(BRON!A:A,Tabel6[[#This Row],[Personeelsnummer]])</f>
        <v>2</v>
      </c>
    </row>
    <row r="600" spans="1:8" x14ac:dyDescent="0.25">
      <c r="A600" s="34" t="s">
        <v>4509</v>
      </c>
      <c r="B600" s="34" t="s">
        <v>2520</v>
      </c>
      <c r="C600" s="34" t="s">
        <v>2519</v>
      </c>
      <c r="D600">
        <v>42146</v>
      </c>
      <c r="E600" s="34" t="s">
        <v>3858</v>
      </c>
      <c r="F600" s="3">
        <v>45874.083333333299</v>
      </c>
      <c r="G600" s="38">
        <f ca="1">TRUNC(YEARFRAC(F600,TODAY(),1))</f>
        <v>0</v>
      </c>
      <c r="H600">
        <f>COUNTIF(BRON!A:A,Tabel6[[#This Row],[Personeelsnummer]])</f>
        <v>3</v>
      </c>
    </row>
    <row r="601" spans="1:8" x14ac:dyDescent="0.25">
      <c r="A601" s="34" t="s">
        <v>4510</v>
      </c>
      <c r="B601" s="34" t="s">
        <v>1833</v>
      </c>
      <c r="C601" s="34" t="s">
        <v>1832</v>
      </c>
      <c r="D601">
        <v>42164</v>
      </c>
      <c r="E601" s="34" t="s">
        <v>3859</v>
      </c>
      <c r="F601" s="3">
        <v>45870.083333333299</v>
      </c>
      <c r="G601" s="38">
        <f ca="1">TRUNC(YEARFRAC(F601,TODAY(),1))</f>
        <v>0</v>
      </c>
      <c r="H601">
        <f>COUNTIF(BRON!A:A,Tabel6[[#This Row],[Personeelsnummer]])</f>
        <v>0</v>
      </c>
    </row>
    <row r="602" spans="1:8" x14ac:dyDescent="0.25">
      <c r="A602" s="34" t="s">
        <v>4511</v>
      </c>
      <c r="B602" s="34" t="s">
        <v>3576</v>
      </c>
      <c r="C602" s="34" t="s">
        <v>3575</v>
      </c>
      <c r="D602">
        <v>42195</v>
      </c>
      <c r="E602" s="34" t="s">
        <v>3857</v>
      </c>
      <c r="F602" s="3">
        <v>45889.083333333299</v>
      </c>
      <c r="G602" s="38">
        <f ca="1">TRUNC(YEARFRAC(F602,TODAY(),1))</f>
        <v>0</v>
      </c>
      <c r="H602">
        <f>COUNTIF(BRON!A:A,Tabel6[[#This Row],[Personeelsnummer]])</f>
        <v>0</v>
      </c>
    </row>
    <row r="603" spans="1:8" x14ac:dyDescent="0.25">
      <c r="A603" s="34" t="s">
        <v>4512</v>
      </c>
      <c r="B603" s="34" t="s">
        <v>3572</v>
      </c>
      <c r="C603" s="34" t="s">
        <v>3571</v>
      </c>
      <c r="D603">
        <v>42196</v>
      </c>
      <c r="E603" s="34" t="s">
        <v>3854</v>
      </c>
      <c r="F603" s="3">
        <v>45903.083333333299</v>
      </c>
      <c r="G603" s="38">
        <f ca="1">TRUNC(YEARFRAC(F603,TODAY(),1))</f>
        <v>0</v>
      </c>
      <c r="H603">
        <f>COUNTIF(BRON!A:A,Tabel6[[#This Row],[Personeelsnummer]])</f>
        <v>0</v>
      </c>
    </row>
    <row r="604" spans="1:8" x14ac:dyDescent="0.25">
      <c r="A604" s="34" t="s">
        <v>4513</v>
      </c>
      <c r="B604" s="34" t="s">
        <v>3568</v>
      </c>
      <c r="C604" s="34" t="s">
        <v>3567</v>
      </c>
      <c r="D604">
        <v>42211</v>
      </c>
      <c r="E604" s="34" t="s">
        <v>3851</v>
      </c>
      <c r="F604" s="3">
        <v>45889.083333333299</v>
      </c>
      <c r="G604" s="38">
        <f ca="1">TRUNC(YEARFRAC(F604,TODAY(),1))</f>
        <v>0</v>
      </c>
      <c r="H604">
        <f>COUNTIF(BRON!A:A,Tabel6[[#This Row],[Personeelsnummer]])</f>
        <v>0</v>
      </c>
    </row>
    <row r="605" spans="1:8" x14ac:dyDescent="0.25">
      <c r="A605" s="34" t="s">
        <v>4514</v>
      </c>
      <c r="B605" s="34" t="s">
        <v>3564</v>
      </c>
      <c r="C605" s="34" t="s">
        <v>2006</v>
      </c>
      <c r="D605">
        <v>42218</v>
      </c>
      <c r="E605" s="34" t="s">
        <v>3857</v>
      </c>
      <c r="F605" s="3">
        <v>45903.083333333299</v>
      </c>
      <c r="G605" s="38">
        <f ca="1">TRUNC(YEARFRAC(F605,TODAY(),1))</f>
        <v>0</v>
      </c>
      <c r="H605">
        <f>COUNTIF(BRON!A:A,Tabel6[[#This Row],[Personeelsnummer]])</f>
        <v>1</v>
      </c>
    </row>
    <row r="606" spans="1:8" x14ac:dyDescent="0.25">
      <c r="A606" s="34" t="s">
        <v>4515</v>
      </c>
      <c r="B606" s="34" t="s">
        <v>1662</v>
      </c>
      <c r="C606" s="34" t="s">
        <v>3561</v>
      </c>
      <c r="D606">
        <v>42249</v>
      </c>
      <c r="E606" s="34" t="s">
        <v>3851</v>
      </c>
      <c r="F606" s="3">
        <v>45903.083333333299</v>
      </c>
      <c r="G606" s="38">
        <f ca="1">TRUNC(YEARFRAC(F606,TODAY(),1))</f>
        <v>0</v>
      </c>
      <c r="H606">
        <f>COUNTIF(BRON!A:A,Tabel6[[#This Row],[Personeelsnummer]])</f>
        <v>1</v>
      </c>
    </row>
    <row r="607" spans="1:8" x14ac:dyDescent="0.25">
      <c r="A607" s="34" t="s">
        <v>4516</v>
      </c>
      <c r="B607" s="34" t="s">
        <v>3438</v>
      </c>
      <c r="C607" s="34" t="s">
        <v>3558</v>
      </c>
      <c r="D607">
        <v>42252</v>
      </c>
      <c r="E607" s="34" t="s">
        <v>3853</v>
      </c>
      <c r="F607" s="3">
        <v>45903.083333333299</v>
      </c>
      <c r="G607" s="38">
        <f ca="1">TRUNC(YEARFRAC(F607,TODAY(),1))</f>
        <v>0</v>
      </c>
      <c r="H607">
        <f>COUNTIF(BRON!A:A,Tabel6[[#This Row],[Personeelsnummer]])</f>
        <v>5</v>
      </c>
    </row>
    <row r="608" spans="1:8" x14ac:dyDescent="0.25">
      <c r="A608" s="34" t="s">
        <v>4517</v>
      </c>
      <c r="B608" s="34" t="s">
        <v>3555</v>
      </c>
      <c r="C608" s="34" t="s">
        <v>3423</v>
      </c>
      <c r="D608">
        <v>42269</v>
      </c>
      <c r="E608" s="34" t="s">
        <v>3853</v>
      </c>
      <c r="F608" s="3">
        <v>45903.083333333299</v>
      </c>
      <c r="G608" s="38">
        <f ca="1">TRUNC(YEARFRAC(F608,TODAY(),1))</f>
        <v>0</v>
      </c>
      <c r="H608">
        <f>COUNTIF(BRON!A:A,Tabel6[[#This Row],[Personeelsnummer]])</f>
        <v>0</v>
      </c>
    </row>
    <row r="609" spans="1:8" x14ac:dyDescent="0.25">
      <c r="A609" s="34" t="s">
        <v>4518</v>
      </c>
      <c r="B609" s="34" t="s">
        <v>3553</v>
      </c>
      <c r="C609" s="34" t="s">
        <v>3552</v>
      </c>
      <c r="D609">
        <v>42277</v>
      </c>
      <c r="E609" s="34" t="s">
        <v>3859</v>
      </c>
      <c r="F609" s="3">
        <v>45918.083333333299</v>
      </c>
      <c r="G609" s="38">
        <f ca="1">TRUNC(YEARFRAC(F609,TODAY(),1))</f>
        <v>0</v>
      </c>
      <c r="H609">
        <f>COUNTIF(BRON!A:A,Tabel6[[#This Row],[Personeelsnummer]])</f>
        <v>1</v>
      </c>
    </row>
    <row r="610" spans="1:8" x14ac:dyDescent="0.25">
      <c r="A610" s="34" t="s">
        <v>4519</v>
      </c>
      <c r="B610" s="34" t="s">
        <v>3548</v>
      </c>
      <c r="C610" s="34" t="s">
        <v>3547</v>
      </c>
      <c r="D610">
        <v>42336</v>
      </c>
      <c r="E610" s="34" t="s">
        <v>3855</v>
      </c>
      <c r="F610" s="3">
        <v>45918.083333333299</v>
      </c>
      <c r="G610" s="38">
        <f ca="1">TRUNC(YEARFRAC(F610,TODAY(),1))</f>
        <v>0</v>
      </c>
      <c r="H610">
        <f>COUNTIF(BRON!A:A,Tabel6[[#This Row],[Personeelsnummer]])</f>
        <v>1</v>
      </c>
    </row>
    <row r="611" spans="1:8" x14ac:dyDescent="0.25">
      <c r="A611" s="34" t="s">
        <v>4520</v>
      </c>
      <c r="B611" s="34" t="s">
        <v>3880</v>
      </c>
      <c r="C611" s="34" t="s">
        <v>3879</v>
      </c>
      <c r="D611">
        <v>42358</v>
      </c>
      <c r="E611" s="34" t="s">
        <v>3858</v>
      </c>
      <c r="F611" s="3">
        <v>45932.083333333299</v>
      </c>
      <c r="G611" s="38">
        <f ca="1">TRUNC(YEARFRAC(F611,TODAY(),1))</f>
        <v>0</v>
      </c>
      <c r="H611">
        <f>COUNTIF(BRON!A:A,Tabel6[[#This Row],[Personeelsnummer]])</f>
        <v>0</v>
      </c>
    </row>
    <row r="612" spans="1:8" x14ac:dyDescent="0.25">
      <c r="A612" s="34" t="s">
        <v>4521</v>
      </c>
      <c r="B612" s="34" t="s">
        <v>1929</v>
      </c>
      <c r="C612" s="34" t="s">
        <v>3881</v>
      </c>
      <c r="D612">
        <v>42391</v>
      </c>
      <c r="E612" s="34" t="s">
        <v>3853</v>
      </c>
      <c r="F612" s="3">
        <v>45930.083333333299</v>
      </c>
      <c r="G612" s="38">
        <f ca="1">TRUNC(YEARFRAC(F612,TODAY(),1))</f>
        <v>0</v>
      </c>
      <c r="H612">
        <f>COUNTIF(BRON!A:A,Tabel6[[#This Row],[Personeelsnummer]])</f>
        <v>0</v>
      </c>
    </row>
    <row r="613" spans="1:8" x14ac:dyDescent="0.25">
      <c r="A613" s="34" t="s">
        <v>4522</v>
      </c>
      <c r="B613" s="34" t="s">
        <v>1884</v>
      </c>
      <c r="C613" s="34" t="s">
        <v>3882</v>
      </c>
      <c r="D613">
        <v>42393</v>
      </c>
      <c r="E613" s="34" t="s">
        <v>3858</v>
      </c>
      <c r="F613" s="3">
        <v>45930.083333333299</v>
      </c>
      <c r="G613" s="38">
        <f ca="1">TRUNC(YEARFRAC(F613,TODAY(),1))</f>
        <v>0</v>
      </c>
      <c r="H613">
        <f>COUNTIF(BRON!A:A,Tabel6[[#This Row],[Personeelsnummer]])</f>
        <v>0</v>
      </c>
    </row>
    <row r="614" spans="1:8" x14ac:dyDescent="0.25">
      <c r="A614" s="34" t="s">
        <v>4523</v>
      </c>
      <c r="B614" s="34" t="s">
        <v>3884</v>
      </c>
      <c r="C614" s="34" t="s">
        <v>3883</v>
      </c>
      <c r="D614">
        <v>42558</v>
      </c>
      <c r="E614" s="34" t="s">
        <v>3854</v>
      </c>
      <c r="F614" s="3">
        <v>45980.041666666701</v>
      </c>
      <c r="G614" s="38">
        <f ca="1">TRUNC(YEARFRAC(F614,TODAY(),1))</f>
        <v>0</v>
      </c>
      <c r="H614">
        <f>COUNTIF(BRON!A:A,Tabel6[[#This Row],[Personeelsnummer]])</f>
        <v>0</v>
      </c>
    </row>
    <row r="615" spans="1:8" x14ac:dyDescent="0.25">
      <c r="A615" s="34" t="s">
        <v>4524</v>
      </c>
      <c r="B615" s="34" t="s">
        <v>4525</v>
      </c>
      <c r="C615" s="34" t="s">
        <v>4526</v>
      </c>
      <c r="D615">
        <v>42567</v>
      </c>
      <c r="E615" s="34" t="s">
        <v>3852</v>
      </c>
      <c r="F615" s="3">
        <v>45980.041666666701</v>
      </c>
      <c r="G615" s="38">
        <f ca="1">TRUNC(YEARFRAC(F615,TODAY(),1))</f>
        <v>0</v>
      </c>
      <c r="H615">
        <f>COUNTIF(BRON!A:A,Tabel6[[#This Row],[Personeelsnummer]])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G1048576" xr:uid="{3AD167B5-88D0-4AC9-93AC-BF48F6B58E1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809AB09B-F4FC-4F9E-8533-7B4E36A45386}"/>
    <dataValidation type="textLength" operator="lessThanOrEqual" showInputMessage="1" showErrorMessage="1" errorTitle="Lengte overschreden" error="Deze waarde mag maximaal 50 tekens lang zijn." promptTitle="Tekst (vereist)" prompt="Maximumlengte: 50 tekens." sqref="C2:C1048576" xr:uid="{9B9D78BB-A74F-4603-A63C-5EE055E7B31F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B2:B1048576" xr:uid="{0E66A31E-9137-40AA-9465-FA008B682FEF}">
      <formula1>50</formula1>
    </dataValidation>
    <dataValidation type="textLength" operator="lessThanOrEqual" allowBlank="1" showInputMessage="1" showErrorMessage="1" errorTitle="Lengte overschreden" error="Deze waarde mag maximaal 160 tekens lang zijn." promptTitle="Tekst" prompt="Maximumlengte: 160 tekens." sqref="A2:A1048576" xr:uid="{111B906A-5D20-4D8A-9E5E-392A1229FA32}">
      <formula1>160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D2:D1048576" xr:uid="{38F6C974-3929-4966-BC55-8F565A577557}">
      <formula1>100</formula1>
    </dataValidation>
  </dataValidations>
  <pageMargins left="0.7" right="0.7" top="0.75" bottom="0.75" header="0.3" footer="0.3"/>
  <pageSetup paperSize="8" orientation="landscape" verticalDpi="0" r:id="rId2"/>
  <drawing r:id="rId3"/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9</vt:i4>
      </vt:variant>
    </vt:vector>
  </HeadingPairs>
  <TitlesOfParts>
    <vt:vector size="9" baseType="lpstr">
      <vt:lpstr>naar word</vt:lpstr>
      <vt:lpstr>Dashboard</vt:lpstr>
      <vt:lpstr>BRON</vt:lpstr>
      <vt:lpstr>contact</vt:lpstr>
      <vt:lpstr>archief 2024</vt:lpstr>
      <vt:lpstr>data hastus</vt:lpstr>
      <vt:lpstr>schades-dienstjaar voortschrijd</vt:lpstr>
      <vt:lpstr>schades-leeftijd</vt:lpstr>
      <vt:lpstr>schades-dienstjaar compleet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cp:lastPrinted>2025-12-04T10:27:58Z</cp:lastPrinted>
  <dcterms:created xsi:type="dcterms:W3CDTF">2025-02-27T18:28:42Z</dcterms:created>
  <dcterms:modified xsi:type="dcterms:W3CDTF">2025-12-04T10:31:54Z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