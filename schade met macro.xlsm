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8" documentId="13_ncr:1_{10FCACA5-8197-478D-90D3-5F83063FB753}" xr6:coauthVersionLast="47" xr6:coauthVersionMax="47" xr10:uidLastSave="{FC1272FB-6554-4C0B-BC74-C561AD7B6EC6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16" i="1"/>
  <c r="B916" i="1" s="1"/>
  <c r="D916" i="1"/>
  <c r="E916" i="1"/>
  <c r="S916" i="1"/>
  <c r="C915" i="1"/>
  <c r="B915" i="1" s="1"/>
  <c r="D915" i="1"/>
  <c r="E915" i="1"/>
  <c r="S915" i="1"/>
  <c r="C914" i="1"/>
  <c r="B914" i="1" s="1"/>
  <c r="D914" i="1"/>
  <c r="E914" i="1"/>
  <c r="S914" i="1"/>
  <c r="C913" i="1"/>
  <c r="B913" i="1" s="1"/>
  <c r="D913" i="1"/>
  <c r="E913" i="1"/>
  <c r="S913" i="1"/>
  <c r="C912" i="1"/>
  <c r="B912" i="1" s="1"/>
  <c r="D912" i="1"/>
  <c r="E912" i="1"/>
  <c r="S912" i="1"/>
  <c r="C911" i="1"/>
  <c r="B911" i="1" s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<sst xmlns="http://schemas.openxmlformats.org/spreadsheetml/2006/main" count="8674" uniqueCount="3731">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</sst>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14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14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A916" sqref="A91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A911">
        <v>30623</v>
      </c>
      <c r="B911" t="str">
        <f>_xlfn.CONCAT(bron[[#This Row],[personeelsnr]]," ",bron[[#This Row],[achternaam]]," ",bron[[#This Row],[voornaam]])</f>
        <v>30623 Gassa Mustafa</v>
      </c>
      <c r="C911" t="str">
        <f>VLOOKUP(bron[[#This Row],[personeelsnr]],'data hastus'!$A:$C,2,0)</f>
        <v>Gassa</v>
      </c>
      <c r="D911" t="str">
        <f>VLOOKUP(bron[[#This Row],[personeelsnr]],'data hastus'!$A:$C,3,0)</f>
        <v>Mustafa</v>
      </c>
      <c r="E911" s="2" t="str">
        <f>VLOOKUP(bron[[#This Row],[personeelsnr]],'data hastus'!A:K,11,FALSE)</f>
        <v>Kenneth De Rick</v>
      </c>
      <c r="F911" s="10"/>
      <c r="G911" s="39"/>
      <c r="H911" s="39"/>
      <c r="I911" s="39"/>
      <c r="S911" s="44">
        <f>SUM(bron[[#This Row],[Januari]:[December]])</f>
        <v>0</v>
      </c>
      <c r="T911" s="41">
        <v>45938</v>
      </c>
      <c r="U911" s="5" t="s">
        <v>3723</v>
      </c>
      <c r="V911" s="37"/>
      <c r="W911" s="37"/>
      <c r="X911" t="s">
        <v>3512</v>
      </c>
      <c r="Y911" t="s">
        <v>3724</v>
      </c>
      <c r="Z911" s="2">
        <v>5770</v>
      </c>
      <c r="AA911" s="43" t="s">
        <v>3558</v>
      </c>
    </row>
    <row r="912" spans="1:27" x14ac:dyDescent="0.25">
      <c r="A912">
        <v>41870</v>
      </c>
      <c r="B912" t="str">
        <f>_xlfn.CONCAT(bron[[#This Row],[personeelsnr]]," ",bron[[#This Row],[achternaam]]," ",bron[[#This Row],[voornaam]])</f>
        <v>41870 Goossens Yannick</v>
      </c>
      <c r="C912" t="str">
        <f>VLOOKUP(bron[[#This Row],[personeelsnr]],'data hastus'!$A:$C,2,0)</f>
        <v>Goossens</v>
      </c>
      <c r="D912" t="str">
        <f>VLOOKUP(bron[[#This Row],[personeelsnr]],'data hastus'!$A:$C,3,0)</f>
        <v>Yannick</v>
      </c>
      <c r="E912" s="2" t="str">
        <f>VLOOKUP(bron[[#This Row],[personeelsnr]],'data hastus'!A:K,11,FALSE)</f>
        <v>Steven Storm</v>
      </c>
      <c r="F912" s="10"/>
      <c r="G912" s="39"/>
      <c r="H912" s="39"/>
      <c r="I912" s="39"/>
      <c r="S912" s="44">
        <f>SUM(bron[[#This Row],[Januari]:[December]])</f>
        <v>0</v>
      </c>
      <c r="T912" s="41">
        <v>45948</v>
      </c>
      <c r="U912" s="5" t="s">
        <v>3725</v>
      </c>
      <c r="V912" s="37"/>
      <c r="W912" s="37"/>
      <c r="X912" t="s">
        <v>3512</v>
      </c>
      <c r="Y912" t="s">
        <v>84</v>
      </c>
      <c r="Z912" s="2">
        <v>550822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44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40938</v>
      </c>
      <c r="B914" t="str">
        <f>_xlfn.CONCAT(bron[[#This Row],[personeelsnr]]," ",bron[[#This Row],[achternaam]]," ",bron[[#This Row],[voornaam]])</f>
        <v>40938 Hasnaoui Nejmeddine</v>
      </c>
      <c r="C914" t="str">
        <f>VLOOKUP(bron[[#This Row],[personeelsnr]],'data hastus'!$A:$C,2,0)</f>
        <v>Hasnaoui</v>
      </c>
      <c r="D914" t="str">
        <f>VLOOKUP(bron[[#This Row],[personeelsnr]],'data hastus'!$A:$C,3,0)</f>
        <v>Nejmeddine</v>
      </c>
      <c r="E914" s="2" t="str">
        <f>VLOOKUP(bron[[#This Row],[personeelsnr]],'data hastus'!A:K,11,FALSE)</f>
        <v>Dominique De Clercq</v>
      </c>
      <c r="F914" s="10"/>
      <c r="G914" s="39"/>
      <c r="H914" s="39"/>
      <c r="I914" s="39"/>
      <c r="S914" s="44">
        <f>SUM(bron[[#This Row],[Januari]:[December]])</f>
        <v>0</v>
      </c>
      <c r="T914" s="41">
        <v>45951</v>
      </c>
      <c r="U914" s="5" t="s">
        <v>3727</v>
      </c>
      <c r="V914" s="37"/>
      <c r="W914" s="37"/>
      <c r="X914" t="s">
        <v>3513</v>
      </c>
      <c r="Y914" t="s">
        <v>3728</v>
      </c>
      <c r="Z914" s="2">
        <v>5259</v>
      </c>
      <c r="AA914" s="43" t="s">
        <v>3559</v>
      </c>
    </row>
    <row r="915" spans="1:27" x14ac:dyDescent="0.25">
      <c r="A915">
        <v>40138</v>
      </c>
      <c r="B915" t="str">
        <f>_xlfn.CONCAT(bron[[#This Row],[personeelsnr]]," ",bron[[#This Row],[achternaam]]," ",bron[[#This Row],[voornaam]])</f>
        <v>40138 Moerman Tjimmy</v>
      </c>
      <c r="C915" t="str">
        <f>VLOOKUP(bron[[#This Row],[personeelsnr]],'data hastus'!$A:$C,2,0)</f>
        <v>Moerman</v>
      </c>
      <c r="D915" t="str">
        <f>VLOOKUP(bron[[#This Row],[personeelsnr]],'data hastus'!$A:$C,3,0)</f>
        <v>Tjimmy</v>
      </c>
      <c r="E915" s="2" t="str">
        <f>VLOOKUP(bron[[#This Row],[personeelsnr]],'data hastus'!A:K,11,FALSE)</f>
        <v>Christoff Rotty</v>
      </c>
      <c r="F915" s="10"/>
      <c r="G915" s="39"/>
      <c r="H915" s="39"/>
      <c r="I915" s="39"/>
      <c r="S915" s="44">
        <f>SUM(bron[[#This Row],[Januari]:[December]])</f>
        <v>0</v>
      </c>
      <c r="T915" s="41">
        <v>45952</v>
      </c>
      <c r="U915" s="5" t="s">
        <v>3729</v>
      </c>
      <c r="V915" s="37"/>
      <c r="W915" s="37"/>
      <c r="X915" t="s">
        <v>3513</v>
      </c>
      <c r="Y915" t="s">
        <v>3730</v>
      </c>
      <c r="Z915" s="2">
        <v>2195</v>
      </c>
      <c r="AA915" s="43" t="s">
        <v>3558</v>
      </c>
    </row>
    <row r="916" spans="1:27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2025-10-22T13:21:32Z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