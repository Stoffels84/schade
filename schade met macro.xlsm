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83" documentId="8_{E6BCF386-B104-424C-B4A8-F32964540273}" xr6:coauthVersionLast="47" xr6:coauthVersionMax="47" xr10:uidLastSave="{38690179-CCFA-4A1A-80AD-A9B5099384B7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29" i="1" l="1"/>
  <c r="C829" i="1"/>
  <c r="D829" i="1"/>
  <c r="E829" i="1"/>
  <c r="S829" i="1"/>
  <c r="C828" i="1"/>
  <c r="D828" i="1"/>
  <c r="E828" i="1"/>
  <c r="S828" i="1"/>
  <c r="C827" i="1"/>
  <c r="D827" i="1"/>
  <c r="E827" i="1"/>
  <c r="S827" i="1"/>
  <c r="C826" i="1"/>
  <c r="D826" i="1"/>
  <c r="E826" i="1"/>
  <c r="S826" i="1"/>
  <c r="C825" i="1"/>
  <c r="D825" i="1"/>
  <c r="E825" i="1"/>
  <c r="S825" i="1"/>
  <c r="B826" i="1" l="1"/>
  <c r="B827" i="1"/>
  <c r="B828" i="1"/>
  <c r="B825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C576" i="1"/>
  <c r="C638" i="1"/>
  <c r="C795" i="1"/>
  <c r="B795" i="1" s="1"/>
  <c r="C522" i="1"/>
  <c r="B522" i="1" s="1"/>
  <c r="C610" i="1"/>
  <c r="C526" i="1"/>
  <c r="B526" i="1" s="1"/>
  <c r="C789" i="1"/>
  <c r="C602" i="1"/>
  <c r="C573" i="1"/>
  <c r="C558" i="1"/>
  <c r="C519" i="1"/>
  <c r="B519" i="1" s="1"/>
  <c r="C590" i="1"/>
  <c r="B590" i="1" s="1"/>
  <c r="C516" i="1"/>
  <c r="C798" i="1"/>
  <c r="B798" i="1" s="1"/>
  <c r="C653" i="1"/>
  <c r="C639" i="1"/>
  <c r="C544" i="1"/>
  <c r="C586" i="1"/>
  <c r="C801" i="1"/>
  <c r="B801" i="1" s="1"/>
  <c r="C546" i="1"/>
  <c r="B546" i="1" s="1"/>
  <c r="C807" i="1"/>
  <c r="C636" i="1"/>
  <c r="B636" i="1" s="1"/>
  <c r="C790" i="1"/>
  <c r="C664" i="1"/>
  <c r="C589" i="1"/>
  <c r="C611" i="1"/>
  <c r="C682" i="1"/>
  <c r="B682" i="1" s="1"/>
  <c r="C687" i="1"/>
  <c r="B687" i="1" s="1"/>
  <c r="C631" i="1"/>
  <c r="C649" i="1"/>
  <c r="B649" i="1" s="1"/>
  <c r="C656" i="1"/>
  <c r="C605" i="1"/>
  <c r="C529" i="1"/>
  <c r="C647" i="1"/>
  <c r="C595" i="1"/>
  <c r="B595" i="1" s="1"/>
  <c r="C802" i="1"/>
  <c r="B802" i="1" s="1"/>
  <c r="C628" i="1"/>
  <c r="C574" i="1"/>
  <c r="B574" i="1" s="1"/>
  <c r="C559" i="1"/>
  <c r="C808" i="1"/>
  <c r="C551" i="1"/>
  <c r="C545" i="1"/>
  <c r="C787" i="1"/>
  <c r="B787" i="1" s="1"/>
  <c r="C594" i="1"/>
  <c r="B594" i="1" s="1"/>
  <c r="C655" i="1"/>
  <c r="C629" i="1"/>
  <c r="B629" i="1" s="1"/>
  <c r="C567" i="1"/>
  <c r="C568" i="1"/>
  <c r="C674" i="1"/>
  <c r="C569" i="1"/>
  <c r="C547" i="1"/>
  <c r="B547" i="1" s="1"/>
  <c r="C619" i="1"/>
  <c r="B619" i="1" s="1"/>
  <c r="C604" i="1"/>
  <c r="C803" i="1"/>
  <c r="B803" i="1" s="1"/>
  <c r="C644" i="1"/>
  <c r="C670" i="1"/>
  <c r="C689" i="1"/>
  <c r="C606" i="1"/>
  <c r="C635" i="1"/>
  <c r="B635" i="1" s="1"/>
  <c r="C613" i="1"/>
  <c r="B613" i="1" s="1"/>
  <c r="C654" i="1"/>
  <c r="C561" i="1"/>
  <c r="B561" i="1" s="1"/>
  <c r="C540" i="1"/>
  <c r="C634" i="1"/>
  <c r="C570" i="1"/>
  <c r="C686" i="1"/>
  <c r="C627" i="1"/>
  <c r="B627" i="1" s="1"/>
  <c r="C596" i="1"/>
  <c r="B596" i="1" s="1"/>
  <c r="C538" i="1"/>
  <c r="C580" i="1"/>
  <c r="B580" i="1" s="1"/>
  <c r="C661" i="1"/>
  <c r="C625" i="1"/>
  <c r="C618" i="1"/>
  <c r="C549" i="1"/>
  <c r="C609" i="1"/>
  <c r="B609" i="1" s="1"/>
  <c r="C521" i="1"/>
  <c r="B521" i="1" s="1"/>
  <c r="C666" i="1"/>
  <c r="C793" i="1"/>
  <c r="B793" i="1" s="1"/>
  <c r="C652" i="1"/>
  <c r="C633" i="1"/>
  <c r="D599" i="1"/>
  <c r="C599" i="1"/>
  <c r="B524" i="1" l="1"/>
  <c r="B633" i="1"/>
  <c r="B634" i="1"/>
  <c r="B568" i="1"/>
  <c r="B808" i="1"/>
  <c r="B605" i="1"/>
  <c r="B664" i="1"/>
  <c r="B639" i="1"/>
  <c r="B602" i="1"/>
  <c r="B811" i="1"/>
  <c r="B625" i="1"/>
  <c r="B670" i="1"/>
  <c r="B685" i="1"/>
  <c r="B577" i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<sst xmlns="http://schemas.openxmlformats.org/spreadsheetml/2006/main" count="7272" uniqueCount="3478">
  <si>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</si>
  <si>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</si>
  <si>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</si>
  <si>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</si>
  <si>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</si>
  <si>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</si>
  <si>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</si>
  <si>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</si>
  <si>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</si>
  <si>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</si>
  <si>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</si>
  <si>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</si>
  <si>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</si>
  <si>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</si>
  <si>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</si>
  <si>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</si>
  <si>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</si>
  <si>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</si>
  <si>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</si>
  <si>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</si>
  <si>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</si>
  <si>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</si>
  <si>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</si>
  <si>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</si>
  <si>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</si>
  <si>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</si>
  <si>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</si>
  <si>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</si>
  <si>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</si>
  <si>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</si>
  <si>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</si>
  <si>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</si>
  <si>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</si>
  <si>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</si>
  <si>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</si>
  <si>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</si>
  <si>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</si>
  <si>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</si>
  <si>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</si>
  <si>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</si>
  <si>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</si>
  <si>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</si>
  <si>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</si>
  <si>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</si>
  <si>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</si>
  <si>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</si>
  <si>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</si>
  <si>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</si>
  <si>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</si>
  <si>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</si>
  <si>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</si>
  <si>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</si>
  <si>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</si>
  <si>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</si>
  <si>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</si>
  <si>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</si>
  <si>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</si>
  <si>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</si>
  <si>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</si>
  <si>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</si>
  <si>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</si>
  <si>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</si>
  <si>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</si>
  <si>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</si>
  <si>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</si>
  <si>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</si>
  <si>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</si>
  <si>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</si>
  <si>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</si>
  <si>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</si>
  <si>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</si>
  <si>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</si>
  <si>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</si>
  <si>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</si>
  <si>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</si>
  <si>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</si>
  <si>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</si>
  <si>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</si>
  <si>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</si>
  <si>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</si>
  <si>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</si>
  <si>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</si>
  <si>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</si>
  <si>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</si>
  <si>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</si>
  <si>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</si>
  <si>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</si>
  <si>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</si>
  <si>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</si>
  <si>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</si>
  <si>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</si>
  <si>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</si>
  <si>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</si>
  <si>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</si>
  <si>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</si>
  <si>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</si>
  <si>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</si>
  <si>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</si>
  <si>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</si>
  <si>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</si>
  <si>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</si>
  <si>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</si>
  <si>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</si>
  <si>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</si>
  <si>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</si>
  <si>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</si>
  <si>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</si>
  <si>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</si>
  <si>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</si>
  <si>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</si>
  <si>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</si>
  <si>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</si>
  <si>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</si>
  <si>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</si>
  <si>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</si>
  <si>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</si>
  <si>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</si>
  <si>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</si>
  <si>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</si>
  <si>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</si>
  <si>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</si>
  <si>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</si>
  <si>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</si>
  <si>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</si>
  <si>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</si>
  <si>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</si>
  <si>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</si>
  <si>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</si>
  <si>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</si>
  <si>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</si>
  <si>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</si>
  <si>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</si>
  <si>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</si>
  <si>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</si>
  <si>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</si>
  <si>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</si>
  <si>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</si>
  <si>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</si>
  <si>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</si>
  <si>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</si>
  <si>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</si>
  <si>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</si>
  <si>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</si>
  <si>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</si>
  <si>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</si>
  <si>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</si>
  <si>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</si>
  <si>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</si>
  <si>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</si>
  <si>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</si>
  <si>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</si>
  <si>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</si>
  <si>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</si>
  <si>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</si>
  <si>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</si>
  <si>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</si>
  <si>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</si>
  <si>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</si>
  <si>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</si>
  <si>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</si>
  <si>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</si>
  <si>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</si>
  <si>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</si>
  <si>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</si>
  <si>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</si>
  <si>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</si>
  <si>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</si>
  <si>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</si>
  <si>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</si>
  <si>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</si>
  <si>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</si>
  <si>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</si>
  <si>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</si>
  <si>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</si>
  <si>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</si>
  <si>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</si>
  <si>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</si>
  <si>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</si>
  <si>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</si>
  <si>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</si>
  <si>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</si>
  <si>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</si>
  <si>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</si>
  <si>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</si>
  <si>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</si>
  <si>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</si>
  <si>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</si>
  <si>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</si>
  <si>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</si>
  <si>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</si>
  <si>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</si>
  <si>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</si>
  <si>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</si>
  <si>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</si>
  <si>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</si>
  <si>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</si>
  <si>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</si>
  <si>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</si>
  <si>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</si>
  <si>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</si>
  <si>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</si>
  <si>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</si>
  <si>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</si>
  <si>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</si>
  <si>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</si>
  <si>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</si>
  <si>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</si>
  <si>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</si>
  <si>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</si>
  <si>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</si>
  <si>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</si>
  <si>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</si>
  <si>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</si>
  <si>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</si>
  <si>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</si>
  <si>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</si>
  <si>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</si>
  <si>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</si>
  <si>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</si>
  <si>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</si>
  <si>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</si>
  <si>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</si>
  <si>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</si>
  <si>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</si>
  <si>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</si>
  <si>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</si>
  <si>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</si>
  <si>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</si>
  <si>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</si>
  <si>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</si>
  <si>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</si>
  <si>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</si>
  <si>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</si>
  <si>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</si>
  <si>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</si>
  <si>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</si>
  <si>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</si>
  <si>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</si>
  <si>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</si>
  <si>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</si>
  <si>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</si>
  <si>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</si>
  <si>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</si>
  <si>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</si>
  <si>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</si>
  <si>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</si>
  <si>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</si>
  <si>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</si>
  <si>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</si>
  <si>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</si>
  <si>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</si>
  <si>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</si>
  <si>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</si>
  <si>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</si>
  <si>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</si>
  <si>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</si>
  <si>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</si>
  <si>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</si>
  <si>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</si>
  <si>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</si>
  <si>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</si>
  <si>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</si>
  <si>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</si>
  <si>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</si>
  <si>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</si>
  <si>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</si>
  <si>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</si>
  <si>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</si>
  <si>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</si>
  <si>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</si>
  <si>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</si>
  <si>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</si>
  <si>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</si>
  <si>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</si>
  <si>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</si>
  <si>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</si>
  <si>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</si>
  <si>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</si>
  <si>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</si>
  <si>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</si>
  <si>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</si>
  <si>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</si>
  <si>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</si>
  <si>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</si>
  <si>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</si>
  <si>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</si>
  <si>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</si>
  <si>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</si>
  <si>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</si>
  <si>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</si>
  <si>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</si>
  <si>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</si>
  <si>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</si>
  <si>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</si>
  <si>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</si>
  <si>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</si>
  <si>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</si>
  <si>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</si>
  <si>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</si>
  <si>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</si>
  <si>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</si>
  <si>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</si>
  <si>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</si>
  <si>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</si>
  <si>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</si>
  <si>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</si>
  <si>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</si>
  <si>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</si>
  <si>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</si>
  <si>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</si>
  <si>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</si>
  <si>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</si>
  <si>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</si>
  <si>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</si>
  <si>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</si>
  <si>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</si>
  <si>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</si>
  <si>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</si>
  <si>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</si>
  <si>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</si>
  <si>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</si>
  <si>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</si>
  <si>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</si>
  <si>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</si>
  <si>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</si>
  <si>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</si>
  <si>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</si>
  <si>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</si>
  <si>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</si>
  <si>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</si>
  <si>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</si>
  <si>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</si>
  <si>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</si>
  <si>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</si>
  <si>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</si>
  <si>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</si>
  <si>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</si>
  <si>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</si>
  <si>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</si>
  <si>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</si>
  <si>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</si>
  <si>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</si>
  <si>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</si>
  <si>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</si>
  <si>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</si>
  <si>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</si>
  <si>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</si>
  <si>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</si>
  <si>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</si>
  <si>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</si>
  <si>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</si>
  <si>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</si>
  <si>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</si>
  <si>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</si>
  <si>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</si>
  <si>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</si>
  <si>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</si>
  <si>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</si>
  <si>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</si>
  <si>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</si>
  <si>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</si>
  <si>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</si>
  <si>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</si>
  <si>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</si>
  <si>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</si>
  <si>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</si>
  <si>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</si>
  <si>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</si>
  <si>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</si>
  <si>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</si>
  <si>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</si>
  <si>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</si>
  <si>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</si>
  <si>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</si>
  <si>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</si>
  <si>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</si>
  <si>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</si>
  <si>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</si>
  <si>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</si>
  <si>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</si>
  <si>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</si>
  <si>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</si>
  <si>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</si>
  <si>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</si>
  <si>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</si>
  <si>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</si>
  <si>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</si>
  <si>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</si>
  <si>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</si>
  <si>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</si>
  <si>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</si>
  <si>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</si>
  <si>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</si>
  <si>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</si>
  <si>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</si>
  <si>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</si>
  <si>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</si>
  <si>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</si>
  <si>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</si>
  <si>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</si>
  <si>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</si>
  <si>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</si>
  <si>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</si>
  <si>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</si>
  <si>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</si>
  <si>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</si>
  <si>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</si>
  <si>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</si>
  <si>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</si>
  <si>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</si>
  <si>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</si>
  <si>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</si>
  <si>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</si>
  <si>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</si>
  <si>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</si>
  <si>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</si>
  <si>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</si>
  <si>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</si>
  <si>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</si>
  <si>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</si>
  <si>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</si>
  <si>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</si>
  <si>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</si>
  <si>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</si>
  <si>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</si>
  <si>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</si>
  <si>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</si>
  <si>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</si>
  <si>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</si>
  <si>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</si>
  <si>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</si>
  <si>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</si>
  <si>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</si>
  <si>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</si>
  <si>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</si>
  <si>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</si>
  <si>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</si>
  <si>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</si>
  <si>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</si>
  <si>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</si>
  <si>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</si>
  <si>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</si>
  <si>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</si>
  <si>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</si>
  <si>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</si>
  <si>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</si>
  <si>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</si>
  <si>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</si>
  <si>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</si>
  <si>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</si>
  <si>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</si>
  <si>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</si>
  <si>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</si>
  <si>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</si>
  <si>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</si>
  <si>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</si>
  <si>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</si>
  <si>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</si>
  <si>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</si>
  <si>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</si>
  <si>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</si>
  <si>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</si>
  <si>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</si>
  <si>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</si>
  <si>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</si>
  <si>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</si>
  <si>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</si>
  <si>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</si>
  <si>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</si>
  <si>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</si>
  <si>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</si>
  <si>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</si>
  <si>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</si>
  <si>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</si>
  <si>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</si>
  <si>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</si>
  <si>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</si>
  <si>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</si>
  <si>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</si>
  <si>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</si>
  <si>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</si>
  <si>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</si>
  <si>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</si>
  <si>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</si>
  <si>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</si>
  <si>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</si>
  <si>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</si>
  <si>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</si>
  <si>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</si>
  <si>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</si>
  <si>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</si>
  <si>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</si>
  <si>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</si>
  <si>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</si>
  <si>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</si>
  <si>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</si>
  <si>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</si>
  <si>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</si>
  <si>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</si>
  <si>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</si>
  <si>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</si>
  <si>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</si>
  <si>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</si>
  <si>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</si>
  <si>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</si>
  <si>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</si>
  <si>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</si>
  <si>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</si>
  <si>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</si>
  <si>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</si>
  <si>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</si>
  <si>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</si>
  <si>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</si>
  <si>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</si>
  <si>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</si>
  <si>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</si>
  <si>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</si>
  <si>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</si>
  <si>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</si>
  <si>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</si>
  <si>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</si>
  <si>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</si>
  <si>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</si>
  <si>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</si>
  <si>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</si>
  <si>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</si>
  <si>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</si>
  <si>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</si>
  <si>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</si>
  <si>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</si>
  <si>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</si>
  <si>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</si>
  <si>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</si>
  <si>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</si>
  <si>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</si>
  <si>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</si>
  <si>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</si>
  <si>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</si>
  <si>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</si>
  <si>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</si>
  <si>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</si>
  <si>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</si>
  <si>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</si>
  <si>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</si>
  <si>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</si>
  <si>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</si>
  <si>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</si>
  <si>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</si>
  <si>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</si>
  <si>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</si>
  <si>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</si>
  <si>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</si>
  <si>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</si>
  <si>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</si>
  <si>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</si>
  <si>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</si>
  <si>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</si>
  <si>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</si>
  <si>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</si>
  <si>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</si>
  <si>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</si>
  <si>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</si>
  <si>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</si>
  <si>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</si>
  <si>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</si>
  <si>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</si>
  <si>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</si>
  <si>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</si>
  <si>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</si>
  <si>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</si>
  <si>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</si>
  <si>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</si>
  <si>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</si>
  <si>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</si>
  <si>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</si>
  <si>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</si>
  <si>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</si>
  <si>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</si>
  <si>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</si>
  <si>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</si>
  <si>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</si>
  <si>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</si>
  <si>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</si>
  <si>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</si>
  <si>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</si>
  <si>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</si>
  <si>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</si>
  <si>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</si>
  <si>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</si>
  <si>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</si>
  <si>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</si>
  <si>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</si>
  <si>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</si>
  <si>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</si>
  <si>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</si>
  <si>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</si>
  <si>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</si>
  <si>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</si>
  <si>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</si>
  <si>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</si>
  <si>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</si>
  <si>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</si>
  <si>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</si>
  <si>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</si>
  <si>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</si>
  <si>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</si>
  <si>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</si>
  <si>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</si>
  <si>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</si>
  <si>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</si>
  <si>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</si>
  <si>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</si>
  <si>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</si>
  <si>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</si>
  <si>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</si>
  <si>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</si>
  <si>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</si>
  <si>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</si>
  <si>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</si>
  <si>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</si>
  <si>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</si>
  <si>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</si>
  <si>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</si>
  <si>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</si>
  <si>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</si>
  <si>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</si>
  <si>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</si>
  <si>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</si>
  <si>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</si>
  <si>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</si>
  <si>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</si>
  <si>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</si>
  <si>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</si>
  <si>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</si>
  <si>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</si>
  <si>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</si>
  <si>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</si>
  <si>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</si>
  <si>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</si>
  <si>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</si>
  <si>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</si>
  <si>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</si>
  <si>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</si>
  <si>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</si>
  <si>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</si>
  <si>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</si>
  <si>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</si>
  <si>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</si>
  <si>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</si>
  <si>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</si>
  <si>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</si>
  <si>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</si>
  <si>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</si>
  <si>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</si>
  <si>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</si>
  <si>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</si>
  <si>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</si>
  <si>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</si>
  <si>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</si>
  <si>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</si>
  <si>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</si>
  <si>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</si>
  <si>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</si>
  <si>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</si>
  <si>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</si>
  <si>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</si>
  <si>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</si>
  <si>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</si>
  <si>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</si>
  <si>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</si>
  <si>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</si>
  <si>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</si>
  <si>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</si>
  <si>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</si>
  <si>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</si>
  <si>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</si>
  <si>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</si>
  <si>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</si>
  <si>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</si>
  <si>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</si>
  <si>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</si>
  <si>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</si>
  <si>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</si>
  <si>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</si>
  <si>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</si>
  <si>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</si>
  <si>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</si>
  <si>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</si>
  <si>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</si>
  <si>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</si>
  <si>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</si>
  <si>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</si>
  <si>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</si>
  <si>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</si>
  <si>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</si>
  <si>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</si>
  <si>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</si>
  <si>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</si>
  <si>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</si>
  <si>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</si>
  <si>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</si>
  <si>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</si>
  <si>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</si>
  <si>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</si>
  <si>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</si>
  <si>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</si>
  <si>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</si>
  <si>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</si>
  <si>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</si>
  <si>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</si>
  <si>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</si>
  <si>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</si>
  <si>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</si>
  <si>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</si>
  <si>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</si>
  <si>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</si>
  <si>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</si>
  <si>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</si>
  <si>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</si>
  <si>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</si>
  <si>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</si>
  <si>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</si>
  <si>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</si>
  <si>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</si>
  <si>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</si>
  <si>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</si>
  <si>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</si>
  <si>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</si>
  <si>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</si>
  <si>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</si>
  <si>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</si>
  <si>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</si>
  <si>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</si>
  <si>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</si>
  <si>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</si>
  <si>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</si>
  <si>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</si>
  <si>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</si>
  <si>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</si>
  <si>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</si>
  <si>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</si>
  <si>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</si>
  <si>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</si>
  <si>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</si>
  <si>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</si>
  <si>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</si>
  <si>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</si>
  <si>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</si>
  <si>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</si>
  <si>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</si>
  <si>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</si>
  <si>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</si>
  <si>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</si>
  <si>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</si>
  <si>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</si>
  <si>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</si>
  <si>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</si>
  <si>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</si>
  <si>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</si>
  <si>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</si>
  <si>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</si>
  <si>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</si>
  <si>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</si>
  <si>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</si>
  <si>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</si>
  <si>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</si>
  <si>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</si>
  <si>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</si>
  <si>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</si>
  <si>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</si>
  <si>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</si>
  <si>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</si>
  <si>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</si>
  <si>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</si>
  <si>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</si>
  <si>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</si>
  <si>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</si>
  <si>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</si>
  <si>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</si>
  <si>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</si>
  <si>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</si>
  <si>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</si>
  <si>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</si>
  <si>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</si>
  <si>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</si>
  <si>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</si>
  <si>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</si>
  <si>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</si>
  <si>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</si>
  <si>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</si>
  <si>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</si>
  <si>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</si>
  <si>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</si>
  <si>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</si>
  <si>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</si>
  <si>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</si>
  <si>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</si>
  <si>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</si>
  <si>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</si>
  <si>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</si>
  <si>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</si>
  <si>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</si>
  <si>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</si>
  <si>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</si>
  <si>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</si>
  <si>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</si>
  <si>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</si>
  <si>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</si>
  <si>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</si>
  <si>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</si>
  <si>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</si>
  <si>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</si>
  <si>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</si>
  <si>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</si>
  <si>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</si>
  <si>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</si>
  <si>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</si>
  <si>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</si>
  <si>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</si>
  <si>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</si>
  <si>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</si>
  <si>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</si>
  <si>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</si>
  <si>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</si>
  <si>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</si>
  <si>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</si>
  <si>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</si>
  <si>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</si>
  <si>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</si>
  <si>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</si>
  <si>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</si>
  <si>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</si>
  <si>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</si>
  <si>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</si>
  <si>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</si>
  <si>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</si>
  <si>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</si>
  <si>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</si>
  <si>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</si>
  <si>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</si>
  <si>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</si>
  <si>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</si>
  <si>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</si>
  <si>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</si>
  <si>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</si>
  <si>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</si>
  <si>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</si>
  <si>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</si>
  <si>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</si>
  <si>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</si>
  <si>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</si>
  <si>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</si>
  <si>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</si>
  <si>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</si>
  <si>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</si>
  <si>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</si>
  <si>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</si>
  <si>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</si>
  <si>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</si>
  <si>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</si>
  <si>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</si>
  <si>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</si>
  <si>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</si>
  <si>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</si>
  <si>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</si>
  <si>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</si>
  <si>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</si>
  <si>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</si>
  <si>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</si>
  <si>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</si>
  <si>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</si>
  <si>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</si>
  <si>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</si>
  <si>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</si>
  <si>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</si>
  <si>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</si>
  <si>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</si>
  <si>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</si>
  <si>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</si>
  <si>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</si>
  <si>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</si>
  <si>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</si>
  <si>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</si>
  <si>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</si>
  <si>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</si>
  <si>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</si>
  <si>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</si>
  <si>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</si>
  <si>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</si>
  <si>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</si>
  <si>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</si>
  <si>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</si>
  <si>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</si>
  <si>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</si>
  <si>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</si>
  <si>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</si>
  <si>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</si>
  <si>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</si>
  <si>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</si>
  <si>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</si>
  <si>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</si>
  <si>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</si>
  <si>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</si>
  <si>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</si>
  <si>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</si>
  <si>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</si>
  <si>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</si>
  <si>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</si>
  <si>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</si>
  <si>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</si>
  <si>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</si>
  <si>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</si>
  <si>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</si>
  <si>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</si>
  <si>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</si>
  <si>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</si>
  <si>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</si>
  <si>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</si>
  <si>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</si>
  <si>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</si>
  <si>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</si>
  <si>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</si>
  <si>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</si>
  <si>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</si>
  <si>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</si>
  <si>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</si>
  <si>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</si>
  <si>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</si>
  <si>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</si>
  <si>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</si>
  <si>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</si>
  <si>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</si>
  <si>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</si>
  <si>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</si>
  <si>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</si>
  <si>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</si>
  <si>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</si>
  <si>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</si>
  <si>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</si>
  <si>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</si>
  <si>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</si>
  <si>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</si>
  <si>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</si>
  <si>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</si>
  <si>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</si>
  <si>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</si>
  <si>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</si>
  <si>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</si>
  <si>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</si>
  <si>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</si>
  <si>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</si>
  <si>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</si>
  <si>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</si>
  <si>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</si>
  <si>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</si>
  <si>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</si>
  <si>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</si>
  <si>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</si>
  <si>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</si>
  <si>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</si>
  <si>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</si>
  <si>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</si>
  <si>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</si>
  <si>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</si>
  <si>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</si>
  <si>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</si>
  <si>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</si>
  <si>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</si>
  <si>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</si>
  <si>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</si>
  <si>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</si>
  <si>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</si>
  <si>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</si>
  <si>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</si>
  <si>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</si>
  <si>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</si>
  <si>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</si>
  <si>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</si>
  <si>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</si>
  <si>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</si>
  <si>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</si>
  <si>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</si>
  <si>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</si>
  <si>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</si>
  <si>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</si>
  <si>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</si>
  <si>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</si>
  <si>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</si>
  <si>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</si>
  <si>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</si>
  <si>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</si>
  <si>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</si>
  <si>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</si>
  <si>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</si>
  <si>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</si>
  <si>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</si>
  <si>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</si>
  <si>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</si>
  <si>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</si>
  <si>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</si>
  <si>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</si>
  <si>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</si>
  <si>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</si>
  <si>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</si>
  <si>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</si>
  <si>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</si>
  <si>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</si>
  <si>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</si>
  <si>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</si>
  <si>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</si>
  <si>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</si>
  <si>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</si>
  <si>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</si>
  <si>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</si>
  <si>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</si>
  <si>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</si>
  <si>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</si>
  <si>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</si>
  <si>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</si>
  <si>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</si>
  <si>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</si>
  <si>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</si>
  <si>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</si>
  <si>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</si>
  <si>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</si>
  <si>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</si>
  <si>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</si>
  <si>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</si>
  <si>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</si>
  <si>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</si>
  <si>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</si>
  <si>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</si>
  <si>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</si>
  <si>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</si>
  <si>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</si>
  <si>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</si>
  <si>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</si>
  <si>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</si>
  <si>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</si>
  <si>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</si>
  <si>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</si>
  <si>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</si>
  <si>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</si>
  <si>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</si>
  <si>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</si>
  <si>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</si>
  <si>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</si>
  <si>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</si>
  <si>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</si>
  <si>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</si>
  <si>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</si>
  <si>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</si>
  <si>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</si>
  <si>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</si>
  <si>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</si>
  <si>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</si>
  <si>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</si>
  <si>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</si>
  <si>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</si>
  <si>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</si>
  <si>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</si>
  <si>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</si>
  <si>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</si>
  <si>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</si>
  <si>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</si>
  <si>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</si>
  <si>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</si>
  <si>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</si>
  <si>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</si>
  <si>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</si>
  <si>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</si>
  <si>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</si>
  <si>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</si>
  <si>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</si>
  <si>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</si>
  <si>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</si>
  <si>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</si>
  <si>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</si>
  <si>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</si>
  <si>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</si>
  <si>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</si>
  <si>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</si>
  <si>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</si>
  <si>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</si>
  <si>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</si>
  <si>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</si>
  <si>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</si>
  <si>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</si>
  <si>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</si>
  <si>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</si>
  <si>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</si>
  <si>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</si>
  <si>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</si>
  <si>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</si>
  <si>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</si>
  <si>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</si>
  <si>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</si>
  <si>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</si>
  <si>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</si>
  <si>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</si>
  <si>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</si>
  <si>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</si>
  <si>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</si>
  <si>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</si>
  <si>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</si>
  <si>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</si>
  <si>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</si>
  <si>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</si>
  <si>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</si>
  <si>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</si>
  <si>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</si>
  <si>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</si>
  <si>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</si>
  <si>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</si>
  <si>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</si>
  <si>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</si>
  <si>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</si>
  <si>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</si>
  <si>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</si>
  <si>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</si>
  <si>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</si>
  <si>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</si>
  <si>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</si>
  <si>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</si>
  <si>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</si>
  <si>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</si>
  <si>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</si>
  <si>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</si>
  <si>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</si>
  <si>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</si>
  <si>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</si>
  <si>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</si>
  <si>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</si>
  <si>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</si>
  <si>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</si>
  <si>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</si>
  <si>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</si>
  <si>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</si>
  <si>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</si>
  <si>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</si>
  <si>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</si>
  <si>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</si>
  <si>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</si>
  <si>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</si>
  <si>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</si>
  <si>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</si>
  <si>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</si>
  <si>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</si>
  <si>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</si>
  <si>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</si>
  <si>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</si>
  <si>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</si>
  <si>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</si>
  <si>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</si>
  <si>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</si>
  <si>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</si>
  <si>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</si>
  <si>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</si>
  <si>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</si>
  <si>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</si>
  <si>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</si>
  <si>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</si>
  <si>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</si>
  <si>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</si>
  <si>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</si>
  <si>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</si>
  <si>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</si>
  <si>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</si>
  <si>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</si>
  <si>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</si>
  <si>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</si>
  <si>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</si>
  <si>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</si>
  <si>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</si>
  <si>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</si>
  <si>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</si>
  <si>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</si>
  <si>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</si>
  <si>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</si>
  <si>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</si>
  <si>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</si>
  <si>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</si>
  <si>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</si>
  <si>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</si>
  <si>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</si>
  <si>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</si>
  <si>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</si>
  <si>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</si>
  <si>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</si>
  <si>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</si>
  <si>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</si>
  <si>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</si>
  <si>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</si>
  <si>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</si>
  <si>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</si>
  <si>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</si>
  <si>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</si>
  <si>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</si>
  <si>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</si>
  <si>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</si>
  <si>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</si>
  <si>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</si>
  <si>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</si>
  <si>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</si>
  <si>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</si>
  <si>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</si>
  <si>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</si>
  <si>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</si>
  <si>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</si>
  <si>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</si>
  <si>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</si>
  <si>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</si>
  <si>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</si>
  <si>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</si>
  <si>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</si>
  <si>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</si>
  <si>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</si>
  <si>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</si>
  <si>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</si>
  <si>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</si>
  <si>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</si>
  <si>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</si>
  <si>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</si>
  <si>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</si>
  <si>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</si>
  <si>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</si>
  <si>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</si>
  <si>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</si>
  <si>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</si>
  <si>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</si>
  <si>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</si>
  <si>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</si>
  <si>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</si>
  <si>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</si>
  <si>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</si>
  <si>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</si>
  <si>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</si>
  <si>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</si>
  <si>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</si>
  <si>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</si>
  <si>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</si>
  <si>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</si>
  <si>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</si>
  <si>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</si>
  <si>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</si>
  <si>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</si>
  <si>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</si>
  <si>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</si>
  <si>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</si>
  <si>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</si>
  <si>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</si>
  <si>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</si>
  <si>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</si>
  <si>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</si>
  <si>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</si>
  <si>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</si>
  <si>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</si>
  <si>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</si>
  <si>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</si>
  <si>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</si>
  <si>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</si>
  <si>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</si>
  <si>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</si>
  <si>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</si>
  <si>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</si>
  <si>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</si>
  <si>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</si>
  <si>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</si>
  <si>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</si>
  <si>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</si>
  <si>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</si>
  <si>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</si>
  <si>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</si>
  <si>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</si>
  <si>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</si>
  <si>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</si>
  <si>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</si>
  <si>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</si>
  <si>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</si>
  <si>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</si>
  <si>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</si>
  <si>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</si>
  <si>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</si>
  <si>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</si>
  <si>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</si>
  <si>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</si>
  <si>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</si>
  <si>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</si>
  <si>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</si>
  <si>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</si>
  <si>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</si>
  <si>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</si>
  <si>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</si>
  <si>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</si>
  <si>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</si>
  <si>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</si>
  <si>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</si>
  <si>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</si>
  <si>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</si>
  <si>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</si>
  <si>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</si>
  <si>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</si>
  <si>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</si>
  <si>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</si>
  <si>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</si>
  <si>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</si>
  <si>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</si>
  <si>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</si>
  <si>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</si>
  <si>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</si>
  <si>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</si>
  <si>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</si>
  <si>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</si>
  <si>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</si>
  <si>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</si>
  <si>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</si>
  <si>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</si>
  <si>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</si>
  <si>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</si>
  <si>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</si>
  <si>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</si>
  <si>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</si>
  <si>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</si>
  <si>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</si>
  <si>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</si>
  <si>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</si>
  <si>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</si>
  <si>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</si>
  <si>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</si>
  <si>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</si>
  <si>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</si>
  <si>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</si>
  <si>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</si>
  <si>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</si>
  <si>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</si>
  <si>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</si>
  <si>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</si>
  <si>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</si>
  <si>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</si>
  <si>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</si>
  <si>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</si>
  <si>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</si>
  <si>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</si>
  <si>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</si>
  <si>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</si>
  <si>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</si>
  <si>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</si>
  <si>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</si>
  <si>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</si>
  <si>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</si>
  <si>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</si>
  <si>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</si>
  <si>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</si>
  <si>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</si>
  <si>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</si>
  <si>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</si>
  <si>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</si>
  <si>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</si>
  <si>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</si>
  <si>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</si>
  <si>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</si>
  <si>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</si>
  <si>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</si>
  <si>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</si>
  <si>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</si>
  <si>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</si>
  <si>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</si>
  <si>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</si>
  <si>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</si>
  <si>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</si>
  <si>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</si>
  <si>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</si>
  <si>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</si>
  <si>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</si>
  <si>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</si>
  <si>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</si>
  <si>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</si>
  <si>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</si>
  <si>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</si>
  <si>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</si>
  <si>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</si>
  <si>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</si>
  <si>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</si>
  <si>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</si>
  <si>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</si>
  <si>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</si>
  <si>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</si>
  <si>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</si>
  <si>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</si>
  <si>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</si>
  <si>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</si>
  <si>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</si>
  <si>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</si>
  <si>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</si>
  <si>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</si>
  <si>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</si>
  <si>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</si>
  <si>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</si>
  <si>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</si>
  <si>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</si>
  <si>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</si>
  <si>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</si>
  <si>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</si>
  <si>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</si>
  <si>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</si>
  <si>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</si>
  <si>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</si>
  <si>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</si>
  <si>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</si>
  <si>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</si>
  <si>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</si>
  <si>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</si>
  <si>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</si>
  <si>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</si>
  <si>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</si>
  <si>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</si>
  <si>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</si>
  <si>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</si>
  <si>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</si>
  <si>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</si>
  <si>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</si>
  <si>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</si>
  <si>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</si>
  <si>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</si>
  <si>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</si>
  <si>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</si>
  <si>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</si>
  <si>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</si>
  <si>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</si>
  <si>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</si>
  <si>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</si>
  <si>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</si>
  <si>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</si>
  <si>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</si>
  <si>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</si>
  <si>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</si>
  <si>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</si>
  <si>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</si>
  <si>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</si>
  <si>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</si>
  <si>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</si>
  <si>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</si>
  <si>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</si>
  <si>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</si>
  <si>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</si>
  <si>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</si>
  <si>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</si>
  <si>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</si>
  <si>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</si>
  <si>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</si>
  <si>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</si>
  <si>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</si>
  <si>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</si>
  <si>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</si>
  <si>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</si>
  <si>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</si>
  <si>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</si>
  <si>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</si>
  <si>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</si>
  <si>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</si>
  <si>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</si>
  <si>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</si>
  <si>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</si>
  <si>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</si>
  <si>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</si>
  <si>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</si>
  <si>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</si>
  <si>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</si>
  <si>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</si>
  <si>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</si>
  <si>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</si>
  <si>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</si>
  <si>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</si>
  <si>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</si>
  <si>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</si>
  <si>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</si>
  <si>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</si>
  <si>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</si>
  <si>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</si>
  <si>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</si>
  <si>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</si>
  <si>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</si>
  <si>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</si>
  <si>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</si>
  <si>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</si>
  <si>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</si>
  <si>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</si>
  <si>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</si>
  <si>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</si>
  <si>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</si>
  <si>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</si>
  <si>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</si>
  <si>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</si>
  <si>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</si>
  <si>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</si>
  <si>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</si>
  <si>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</si>
  <si>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</si>
  <si>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</si>
  <si>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</si>
  <si>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</si>
  <si>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</si>
  <si>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</si>
  <si>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</si>
  <si>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</si>
  <si>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</si>
  <si>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</si>
  <si>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</si>
  <si>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</si>
  <si>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</si>
  <si>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</si>
  <si>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</si>
  <si>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</si>
  <si>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</si>
  <si>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</si>
  <si>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</si>
  <si>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</si>
  <si>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</si>
  <si>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</si>
  <si>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</si>
  <si>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</si>
  <si>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</si>
  <si>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</si>
  <si>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</si>
  <si>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</si>
  <si>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</si>
  <si>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</si>
  <si>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</si>
  <si>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</si>
  <si>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</si>
  <si>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</si>
  <si>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</si>
  <si>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</si>
  <si>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</si>
  <si>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</si>
  <si>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</si>
  <si>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</si>
  <si>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</si>
  <si>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</si>
  <si>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</si>
  <si>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</si>
  <si>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</si>
  <si>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</si>
  <si>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</si>
  <si>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</si>
  <si>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</si>
  <si>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</si>
  <si>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</si>
  <si>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</si>
  <si>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</si>
  <si>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</si>
  <si>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</si>
  <si>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</si>
  <si>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</si>
  <si>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</si>
  <si>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</si>
  <si>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</si>
  <si>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</si>
  <si>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</si>
  <si>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</si>
  <si>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</si>
  <si>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</si>
  <si>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</si>
  <si>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</si>
  <si>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</si>
  <si>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</si>
  <si>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</si>
  <si>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</si>
  <si>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</si>
  <si>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</si>
  <si>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</si>
  <si>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</si>
  <si>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</si>
  <si>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</si>
  <si>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</si>
  <si>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</si>
  <si>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</si>
  <si>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</si>
  <si>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</si>
  <si>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</si>
  <si>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</si>
  <si>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</si>
  <si>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</si>
  <si>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</si>
  <si>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</si>
  <si>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</si>
  <si>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</si>
  <si>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</si>
  <si>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</si>
  <si>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</si>
  <si>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</si>
  <si>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</si>
  <si>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</si>
  <si>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</si>
  <si>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</si>
  <si>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</si>
  <si>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</si>
  <si>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</si>
  <si>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</si>
  <si>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</si>
  <si>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</si>
  <si>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</si>
  <si>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</si>
  <si>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</si>
  <si>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</si>
  <si>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</si>
  <si>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</si>
  <si>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</si>
  <si>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</si>
  <si>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</si>
  <si>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</si>
  <si>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</si>
  <si>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</si>
  <si>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</si>
  <si>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</si>
  <si>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</si>
  <si>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</si>
  <si>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</si>
  <si>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</si>
  <si>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</si>
  <si>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</si>
  <si>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</si>
  <si>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</si>
  <si>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</si>
  <si>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</si>
  <si>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</si>
  <si>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</si>
  <si>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</si>
  <si>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</si>
  <si>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</si>
  <si>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</si>
  <si>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</si>
  <si>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</si>
  <si>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</si>
  <si>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</si>
  <si>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</si>
  <si>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</si>
  <si>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</si>
  <si>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</si>
  <si>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</si>
  <si>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</si>
  <si>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</si>
  <si>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</si>
  <si>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</si>
  <si>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</si>
  <si>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</si>
  <si>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</si>
  <si>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</si>
  <si>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</si>
  <si>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</si>
  <si>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</si>
  <si>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</si>
  <si>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</si>
  <si>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</si>
  <si>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</si>
  <si>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</si>
  <si>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</si>
  <si>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</si>
  <si>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</si>
  <si>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</si>
  <si>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</si>
  <si>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</si>
  <si>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</si>
  <si>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</si>
  <si>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</si>
  <si>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</si>
  <si>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</si>
  <si>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</si>
  <si>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</si>
  <si>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</si>
  <si>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</si>
  <si>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</si>
  <si>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</si>
  <si>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</si>
  <si>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</si>
  <si>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</si>
  <si>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</si>
  <si>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</si>
  <si>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</si>
  <si>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</si>
  <si>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</si>
  <si>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</si>
  <si>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</si>
  <si>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</si>
  <si>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</si>
  <si>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</si>
  <si>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</si>
  <si>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</si>
  <si>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</si>
  <si>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</si>
  <si>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</si>
  <si>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</si>
  <si>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</si>
  <si>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</si>
  <si>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</si>
  <si>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</si>
  <si>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</si>
  <si>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</si>
  <si>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</si>
  <si>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</si>
  <si>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</si>
  <si>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</si>
  <si>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</si>
  <si>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</si>
  <si>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</si>
  <si>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</si>
  <si>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</si>
  <si>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</si>
  <si>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</si>
  <si>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</si>
  <si>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</si>
  <si>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</si>
  <si>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</si>
  <si>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</si>
  <si>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</si>
  <si>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</si>
  <si>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</si>
  <si>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</si>
  <si>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</si>
  <si>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</si>
  <si>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</si>
  <si>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</si>
  <si>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</si>
  <si>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</si>
  <si>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</si>
  <si>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</si>
  <si>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</si>
  <si>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</si>
  <si>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</si>
  <si>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</si>
  <si>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</si>
  <si>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</si>
  <si>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</si>
  <si>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</si>
  <si>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</si>
  <si>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</si>
  <si>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</si>
  <si>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</si>
  <si>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</si>
  <si>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</si>
  <si>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</si>
  <si>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</si>
  <si>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</si>
  <si>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</si>
  <si>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</si>
  <si>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</si>
  <si>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</si>
  <si>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</si>
  <si>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</si>
  <si>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</si>
  <si>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</si>
  <si>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</si>
  <si>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</si>
  <si>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</si>
  <si>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</si>
  <si>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</si>
  <si>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</si>
  <si>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</si>
  <si>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</si>
  <si>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</si>
  <si>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</si>
  <si>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</si>
  <si>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</si>
  <si>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</si>
  <si>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</si>
  <si>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</si>
  <si>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</si>
  <si>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</si>
  <si>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</si>
  <si>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</si>
  <si>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</si>
  <si>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</si>
  <si>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</si>
  <si>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</si>
  <si>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</si>
  <si>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</si>
  <si>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</si>
  <si>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</si>
  <si>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</si>
  <si>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</si>
  <si>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</si>
  <si>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</si>
  <si>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</si>
  <si>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</si>
  <si>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</si>
  <si>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</si>
  <si>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</si>
  <si>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</si>
  <si>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</si>
  <si>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</si>
  <si>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</si>
  <si>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</si>
  <si>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</si>
  <si>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</si>
  <si>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</si>
  <si>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</si>
  <si>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</si>
  <si>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</si>
  <si>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</si>
  <si>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</si>
  <si>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</si>
  <si>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</si>
  <si>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</si>
  <si>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</si>
  <si>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</si>
  <si>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</si>
  <si>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</si>
  <si>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</si>
  <si>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</si>
  <si>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</si>
  <si>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</si>
  <si>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</si>
  <si>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</si>
  <si>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</si>
  <si>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</si>
  <si>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</si>
  <si>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</si>
  <si>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</si>
  <si>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</si>
  <si>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</si>
  <si>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</si>
  <si>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</si>
  <si>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</si>
  <si>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</si>
  <si>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</si>
  <si>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</si>
  <si>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</si>
  <si>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</si>
  <si>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</si>
  <si>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</si>
  <si>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</si>
  <si>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</si>
  <si>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</si>
  <si>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</si>
  <si>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</si>
  <si>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</si>
  <si>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</si>
  <si>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</si>
  <si>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</si>
  <si>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</si>
  <si>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</si>
  <si>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</si>
  <si>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</si>
  <si>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</si>
  <si>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</si>
  <si>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</si>
  <si>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</si>
  <si>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</si>
  <si>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</si>
  <si>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</si>
  <si>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</si>
  <si>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</si>
  <si>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</si>
  <si>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</si>
  <si>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</si>
  <si>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</si>
  <si>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</si>
  <si>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</si>
  <si>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</si>
  <si>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</si>
  <si>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</si>
  <si>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</si>
  <si>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</si>
  <si>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</si>
  <si>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</si>
  <si>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</si>
  <si>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</si>
  <si>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</si>
  <si>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</si>
  <si>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</si>
  <si>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</si>
  <si>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</si>
  <si>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</si>
  <si>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</si>
  <si>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</si>
  <si>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</si>
  <si>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</si>
  <si>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</si>
  <si>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</si>
  <si>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</si>
  <si>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</si>
  <si>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</si>
  <si>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</si>
  <si>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</si>
  <si>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</si>
  <si>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</si>
  <si>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</si>
  <si>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</si>
  <si>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</si>
  <si>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</si>
  <si>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</si>
  <si>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</si>
  <si>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</si>
  <si>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</si>
  <si>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</si>
  <si>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</si>
  <si>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</si>
  <si>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</si>
  <si>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</si>
  <si>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</si>
  <si>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</si>
  <si>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</si>
  <si>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</si>
  <si>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</si>
  <si>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</si>
  <si>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</si>
  <si>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</si>
  <si>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</si>
  <si>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</si>
  <si>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</si>
  <si>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</si>
  <si>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</si>
  <si>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</si>
  <si>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</si>
  <si>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</si>
  <si>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</si>
  <si>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</si>
  <si>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</si>
  <si>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</si>
  <si>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</si>
  <si>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</si>
  <si>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</si>
  <si>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</si>
  <si>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</si>
  <si>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</si>
  <si>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</si>
  <si>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</si>
  <si>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</si>
  <si>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</si>
  <si>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</si>
  <si>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</si>
  <si>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</si>
  <si>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</si>
  <si>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</si>
  <si>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</si>
  <si>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</si>
  <si>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</si>
  <si>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</si>
  <si>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</si>
  <si>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</si>
  <si>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</si>
  <si>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</si>
  <si>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</si>
  <si>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</si>
  <si>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</si>
  <si>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</si>
  <si>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</si>
  <si>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</si>
  <si>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</si>
  <si>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</si>
  <si>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</si>
  <si>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</si>
  <si>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</si>
  <si>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</si>
  <si>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</si>
  <si>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</si>
  <si>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</si>
  <si>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</si>
  <si>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</si>
  <si>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</si>
  <si>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</si>
  <si>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</si>
  <si>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</si>
  <si>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</si>
  <si>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</si>
  <si>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</si>
  <si>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</si>
  <si>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</si>
  <si>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</si>
  <si>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</si>
  <si>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</si>
  <si>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</si>
  <si>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</si>
  <si>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</si>
  <si>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</si>
  <si>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</si>
  <si>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</si>
  <si>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</si>
  <si>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</si>
  <si>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</si>
  <si>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</si>
  <si>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</si>
  <si>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</si>
  <si>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</si>
  <si>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</si>
  <si>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</si>
  <si>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</si>
  <si>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</si>
  <si>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</si>
  <si>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</si>
  <si>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</si>
  <si>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</si>
  <si>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</si>
  <si>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</si>
  <si>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</si>
  <si>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</si>
  <si>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</si>
  <si>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</si>
  <si>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</si>
  <si>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</si>
  <si>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</si>
  <si>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</si>
  <si>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</si>
  <si>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</si>
  <si>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</si>
  <si>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</si>
  <si>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</si>
  <si>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</si>
  <si>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</si>
  <si>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</si>
  <si>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</si>
  <si>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</si>
  <si>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</si>
  <si>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</si>
  <si>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</si>
  <si>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</si>
  <si>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</si>
  <si>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</si>
  <si>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</si>
  <si>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</si>
  <si>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</si>
  <si>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</si>
  <si>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</si>
  <si>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</si>
  <si>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</si>
  <si>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</si>
  <si>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</si>
  <si>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</si>
  <si>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</si>
  <si>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</si>
  <si>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</si>
  <si>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</si>
  <si>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</si>
  <si>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</si>
  <si>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</si>
  <si>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</si>
  <si>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</si>
  <si>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</si>
  <si>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</si>
  <si>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</si>
  <si>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</si>
  <si>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</si>
  <si>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</si>
  <si>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</si>
  <si>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</si>
  <si>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</si>
  <si>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</si>
  <si>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</si>
  <si>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</si>
  <si>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</si>
  <si>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</si>
  <si>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</si>
  <si>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</si>
  <si>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</si>
  <si>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</si>
  <si>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</si>
  <si>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</si>
  <si>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</si>
  <si>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</si>
  <si>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</si>
  <si>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</si>
  <si>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</si>
  <si>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</si>
  <si>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</si>
  <si>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</si>
  <si>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</si>
  <si>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</si>
  <si>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</si>
  <si>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</si>
  <si>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</si>
  <si>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</si>
  <si>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</si>
  <si>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</si>
  <si>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</si>
  <si>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</si>
  <si>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</si>
  <si>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</si>
  <si>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</si>
  <si>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</si>
  <si>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</si>
  <si>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</si>
  <si>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</si>
  <si>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</si>
  <si>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</si>
  <si>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</si>
  <si>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</si>
  <si>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</si>
  <si>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</si>
  <si>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</si>
  <si>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</si>
  <si>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</si>
  <si>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</si>
  <si>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</si>
  <si>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</si>
  <si>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</si>
  <si>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</si>
  <si>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</si>
  <si>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</si>
  <si>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</si>
  <si>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</si>
  <si>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</si>
  <si>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</si>
  <si>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</si>
  <si>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</si>
  <si>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</si>
  <si>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</si>
  <si>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</si>
  <si>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</si>
  <si>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</si>
  <si>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</si>
  <si>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</si>
  <si>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</si>
  <si>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</si>
  <si>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</si>
  <si>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</si>
  <si>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</si>
  <si>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</si>
  <si>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</si>
  <si>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</si>
  <si>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</si>
  <si>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</si>
  <si>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</si>
  <si>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</si>
  <si>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</si>
  <si>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</si>
  <si>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</si>
  <si>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</si>
  <si>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</si>
  <si>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</si>
  <si>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</si>
  <si>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</si>
  <si>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</si>
  <si>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</si>
  <si>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</si>
  <si>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</si>
  <si>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</si>
  <si>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</si>
  <si>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</si>
  <si>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</si>
  <si>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</si>
  <si>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</si>
  <si>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</si>
  <si>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</si>
  <si>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</si>
  <si>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</si>
  <si>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</si>
  <si>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</si>
  <si>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</si>
  <si>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</si>
  <si>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</si>
  <si>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</si>
  <si>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</si>
  <si>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</si>
  <si>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</si>
  <si>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</si>
  <si>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</si>
  <si>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</si>
  <si>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</si>
  <si>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</si>
  <si>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</si>
  <si>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</si>
  <si>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</si>
  <si>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</si>
  <si>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</si>
  <si>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</si>
  <si>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</si>
  <si>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</si>
  <si>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</si>
  <si>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</si>
  <si>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</si>
  <si>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</si>
  <si>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</si>
  <si>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</si>
  <si>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</si>
  <si>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</si>
  <si>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</si>
  <si>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</si>
  <si>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</si>
  <si>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</si>
  <si>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</si>
  <si>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</si>
  <si>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</si>
  <si>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</si>
  <si>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</si>
  <si>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</si>
  <si>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</si>
  <si>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</si>
  <si>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</si>
  <si>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</si>
  <si>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</si>
  <si>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</si>
  <si>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</si>
  <si>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</si>
  <si>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</si>
  <si>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</si>
  <si>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</si>
  <si>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</si>
  <si>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</si>
  <si>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</si>
  <si>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</si>
  <si>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</si>
  <si>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</si>
  <si>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</si>
  <si>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</si>
  <si>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</si>
  <si>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</si>
  <si>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</si>
  <si>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</si>
  <si>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</si>
  <si>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</si>
  <si>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</si>
  <si>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</si>
  <si>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</si>
  <si>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</si>
  <si>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</si>
  <si>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</si>
  <si>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</si>
  <si>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</si>
  <si>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</si>
  <si>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</si>
  <si>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</si>
  <si>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</si>
  <si>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</si>
  <si>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</si>
  <si>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</si>
  <si>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</si>
  <si>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</si>
  <si>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</si>
  <si>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</si>
  <si>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</si>
  <si>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</si>
  <si>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</si>
  <si>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</si>
  <si>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</si>
  <si>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</si>
  <si>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</si>
  <si>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</si>
  <si>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</si>
  <si>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</si>
  <si>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</si>
  <si>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</si>
  <si>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</si>
  <si>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</si>
  <si>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</si>
  <si>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</si>
  <si>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</si>
  <si>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</si>
  <si>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</si>
  <si>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</si>
  <si>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</si>
  <si>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</si>
  <si>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</si>
  <si>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</si>
  <si>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</si>
  <si>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</si>
  <si>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</si>
  <si>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</si>
  <si>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</si>
  <si>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</si>
  <si>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</si>
  <si>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</si>
  <si>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</si>
  <si>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</si>
  <si>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</si>
  <si>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</si>
  <si>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</si>
  <si>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</si>
  <si>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</si>
  <si>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</si>
  <si>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</si>
  <si>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</si>
  <si>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</si>
  <si>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</si>
  <si>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</si>
  <si>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</si>
  <si>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</si>
  <si>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</si>
  <si>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</si>
  <si>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</si>
  <si>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</si>
  <si>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</si>
  <si>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</si>
  <si>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</si>
  <si>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</si>
  <si>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</si>
  <si>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</si>
  <si>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</si>
  <si>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</si>
  <si>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</si>
  <si>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</si>
  <si>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</si>
  <si>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</si>
  <si>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</si>
  <si>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</si>
  <si>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</si>
  <si>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</si>
  <si>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</si>
  <si>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</si>
  <si>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</si>
  <si>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</si>
  <si>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</si>
  <si>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</si>
  <si>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</si>
  <si>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</si>
  <si>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</si>
  <si>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</si>
  <si>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</si>
  <si>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</si>
  <si>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</si>
  <si>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</si>
  <si>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</si>
  <si>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</si>
  <si>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</si>
  <si>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</si>
  <si>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</si>
  <si>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</si>
  <si>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</si>
  <si>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</si>
  <si>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</si>
  <si>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</si>
  <si>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</si>
  <si>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</si>
  <si>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</si>
  <si>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</si>
  <si>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</si>
  <si>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</si>
  <si>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</si>
  <si>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</si>
  <si>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</si>
  <si>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</si>
  <si>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</si>
  <si>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</si>
  <si>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</si>
  <si>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</si>
  <si>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</si>
  <si>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</si>
  <si>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</si>
  <si>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</si>
  <si>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</si>
  <si>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</si>
  <si>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</si>
  <si>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</si>
  <si>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</si>
  <si>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</si>
  <si>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</si>
  <si>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</si>
  <si>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</si>
  <si>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</si>
  <si>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</si>
  <si>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</si>
  <si>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</si>
  <si>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</si>
  <si>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</si>
  <si>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</si>
  <si>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</si>
  <si>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</si>
  <si>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</si>
  <si>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</si>
  <si>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</si>
  <si>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</si>
  <si>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</si>
  <si>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</si>
  <si>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</si>
  <si>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</si>
  <si>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</si>
  <si>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</si>
  <si>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</si>
  <si>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</si>
  <si>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</si>
  <si>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</si>
  <si>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</si>
  <si>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</si>
  <si>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</si>
  <si>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</si>
  <si>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</si>
  <si>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</si>
  <si>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</si>
  <si>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</si>
  <si>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</si>
  <si>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</si>
  <si>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</si>
  <si>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</si>
  <si>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</si>
  <si>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</si>
  <si>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</si>
  <si>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</si>
  <si>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</si>
  <si>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</si>
  <si>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</si>
  <si>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</si>
  <si>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</si>
  <si>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</si>
  <si>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</si>
  <si>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</si>
  <si>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</si>
  <si>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</si>
  <si>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</si>
  <si>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</si>
  <si>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</si>
  <si>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</si>
  <si>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</si>
  <si>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</si>
  <si>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</si>
  <si>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</si>
  <si>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</si>
  <si>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</si>
  <si>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</si>
  <si>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</si>
  <si>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</si>
  <si>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</si>
  <si>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</si>
  <si>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</si>
  <si>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</si>
  <si>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</si>
  <si>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</si>
  <si>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</si>
  <si>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</si>
  <si>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</si>
  <si>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</si>
  <si>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</si>
  <si>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</si>
  <si>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</si>
  <si>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</si>
  <si>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</si>
  <si>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</si>
  <si>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</si>
  <si>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</si>
  <si>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</si>
  <si>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</si>
  <si>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</si>
  <si>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</si>
  <si>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</si>
  <si>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</si>
  <si>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</si>
  <si>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</si>
  <si>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</si>
  <si>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</si>
  <si>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</si>
  <si>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</si>
  <si>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</si>
  <si>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</si>
  <si>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</si>
  <si>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</si>
  <si>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</si>
  <si>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</si>
  <si>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</si>
  <si>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</si>
  <si>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</si>
  <si>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</si>
  <si>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</si>
  <si>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</si>
  <si>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</si>
  <si>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</si>
  <si>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</si>
  <si>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</si>
  <si>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</si>
  <si>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</si>
  <si>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</si>
  <si>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</si>
  <si>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</si>
  <si>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</si>
  <si>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</si>
  <si>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</si>
  <si>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</si>
  <si>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</si>
  <si>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</si>
  <si>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</si>
  <si>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</si>
  <si>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</si>
  <si>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</si>
  <si>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</si>
  <si>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</si>
  <si>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</si>
  <si>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</si>
  <si>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</si>
  <si>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</si>
  <si>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</si>
  <si>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</si>
  <si>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</si>
  <si>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</si>
  <si>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</si>
  <si>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</si>
  <si>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</si>
  <si>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</si>
  <si>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</si>
  <si>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</si>
  <si>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</si>
  <si>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</si>
  <si>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</si>
  <si>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</si>
  <si>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</si>
  <si>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</si>
  <si>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</si>
  <si>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</si>
  <si>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</si>
  <si>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</si>
  <si>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</si>
  <si>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</si>
  <si>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</si>
  <si>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</si>
  <si>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</si>
  <si>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</si>
  <si>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</si>
  <si>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</si>
  <si>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</si>
  <si>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</si>
  <si>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</si>
  <si>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</si>
  <si>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</si>
  <si>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</si>
  <si>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</si>
  <si>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</si>
  <si>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</si>
  <si>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</si>
  <si>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</si>
  <si>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</si>
  <si>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</si>
  <si>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</si>
  <si>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</si>
  <si>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</si>
  <si>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</si>
  <si>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</si>
  <si>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</si>
  <si>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</si>
  <si>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</si>
  <si>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</si>
  <si>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</si>
  <si>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</si>
  <si>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</si>
  <si>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</si>
  <si>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</si>
  <si>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</si>
  <si>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</si>
  <si>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</si>
  <si>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</si>
  <si>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</si>
  <si>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</si>
  <si>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</si>
  <si>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</si>
  <si>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</si>
  <si>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</si>
  <si>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</si>
  <si>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</si>
  <si>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</si>
  <si>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</si>
  <si>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</si>
  <si>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</si>
  <si>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</si>
  <si>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</si>
  <si>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</si>
  <si>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</si>
  <si>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</si>
  <si>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</si>
  <si>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</si>
  <si>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</si>
  <si>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</si>
  <si>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</si>
  <si>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</si>
  <si>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</si>
  <si>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</si>
  <si>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</si>
  <si>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</si>
  <si>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</si>
  <si>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</si>
  <si>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</si>
  <si>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</si>
  <si>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</si>
  <si>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</si>
  <si>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</si>
  <si>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</si>
  <si>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</si>
  <si>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</si>
  <si>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</si>
  <si>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</si>
  <si>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</si>
  <si>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</si>
  <si>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</si>
  <si>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</si>
  <si>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</si>
  <si>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</si>
  <si>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</si>
  <si>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</si>
  <si>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</si>
  <si>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</si>
  <si>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</si>
  <si>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</si>
  <si>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</si>
  <si>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</si>
  <si>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</si>
  <si>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</si>
  <si>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</si>
  <si>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</si>
  <si>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</si>
  <si>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</si>
  <si>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</si>
  <si>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</si>
  <si>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</si>
  <si>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</si>
  <si>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</si>
  <si>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</si>
  <si>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</si>
  <si>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</si>
  <si>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</si>
  <si>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</si>
  <si>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</si>
  <si>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</si>
  <si>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</si>
  <si>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</si>
  <si>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</si>
  <si>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</si>
  <si>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</si>
  <si>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</si>
  <si>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</si>
  <si>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</si>
  <si>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</si>
  <si>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</si>
  <si>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</si>
  <si>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</si>
  <si>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</si>
  <si>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</si>
  <si>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</si>
  <si>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</si>
  <si>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</si>
  <si>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</si>
  <si>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</si>
  <si>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</si>
  <si>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</si>
  <si>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</si>
  <si>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</si>
  <si>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</si>
  <si>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</si>
  <si>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</si>
  <si>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</si>
  <si>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</si>
  <si>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</si>
  <si>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</si>
  <si>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</si>
  <si>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</si>
  <si>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</si>
  <si>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</si>
  <si>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</si>
  <si>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</si>
  <si>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</si>
  <si>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</si>
  <si>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</si>
  <si>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</si>
  <si>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</si>
  <si>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</si>
  <si>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</si>
  <si>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</si>
  <si>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</si>
  <si>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</si>
  <si>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</si>
  <si>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</si>
  <si>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</si>
  <si>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</si>
  <si>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</si>
  <si>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</si>
  <si>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</si>
  <si>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</si>
  <si>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</si>
  <si>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</si>
  <si>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</si>
  <si>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</si>
  <si>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</si>
  <si>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</si>
  <si>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</si>
  <si>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</si>
  <si>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</si>
  <si>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</si>
  <si>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</si>
  <si>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</si>
  <si>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</si>
  <si>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</si>
  <si>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</si>
  <si>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</si>
  <si>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</si>
  <si>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</si>
  <si>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</si>
  <si>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</si>
  <si>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</si>
  <si>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</si>
  <si>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</si>
  <si>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</si>
  <si>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</si>
  <si>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</si>
  <si>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</si>
  <si>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</si>
  <si>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</si>
  <si>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</si>
  <si>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</si>
  <si>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</si>
  <si>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</si>
  <si>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</si>
  <si>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</si>
  <si>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</si>
  <si>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</si>
  <si>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</si>
  <si>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</si>
  <si>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</si>
  <si>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</si>
  <si>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</si>
  <si>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</si>
  <si>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</si>
  <si>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</si>
  <si>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</si>
  <si>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</si>
  <si>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</si>
  <si>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</si>
  <si>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</si>
  <si>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</si>
  <si>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</si>
  <si>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</si>
  <si>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</si>
  <si>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</si>
  <si>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</si>
  <si>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</si>
  <si>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</si>
  <si>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</si>
  <si>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</si>
  <si>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</si>
  <si>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</si>
  <si>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</si>
  <si>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</si>
  <si>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</si>
  <si>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</si>
  <si>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</si>
  <si>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</si>
  <si>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</si>
  <si>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</si>
  <si>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</si>
  <si>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</si>
  <si>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</si>
  <si>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</si>
  <si>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</si>
  <si>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</si>
  <si>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</si>
  <si>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</si>
  <si>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</si>
  <si>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</si>
  <si>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</si>
  <si>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</si>
  <si>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</si>
  <si>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</si>
  <si>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</si>
  <si>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</si>
  <si>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</si>
  <si>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</si>
  <si>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</si>
  <si>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</si>
  <si>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</si>
  <si>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</si>
  <si>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</si>
  <si>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</si>
  <si>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</si>
  <si>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</si>
  <si>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</si>
  <si>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</si>
  <si>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</si>
  <si>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</si>
  <si>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</si>
  <si>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</si>
  <si>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</si>
  <si>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</si>
  <si>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</si>
  <si>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</si>
  <si>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</si>
  <si>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</si>
  <si>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</si>
  <si>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</si>
  <si>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</si>
  <si>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</si>
  <si>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</si>
  <si>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</si>
  <si>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</si>
  <si>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</si>
  <si>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</si>
  <si>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</si>
  <si>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</si>
  <si>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</si>
  <si>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</si>
  <si>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</si>
  <si>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</si>
  <si>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</si>
  <si>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</si>
  <si>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</si>
  <si>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</si>
  <si>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</si>
  <si>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</si>
  <si>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</si>
  <si>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</si>
  <si>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</si>
  <si>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</si>
  <si>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</si>
  <si>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</si>
  <si>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</si>
  <si>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</si>
  <si>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</si>
  <si>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</si>
  <si>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</si>
  <si>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</si>
  <si>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</si>
  <si>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</si>
  <si>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</si>
  <si>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</si>
  <si>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</si>
  <si>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</si>
  <si>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</si>
  <si>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</si>
  <si>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</si>
  <si>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</si>
  <si>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</si>
  <si>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</si>
  <si>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</si>
  <si>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</si>
  <si>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</si>
  <si>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</si>
  <si>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</si>
  <si>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</si>
  <si>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</si>
  <si>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</si>
  <si>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</si>
  <si>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</si>
  <si>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</si>
  <si>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</si>
  <si>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</si>
  <si>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</si>
  <si>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</si>
  <si>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</si>
  <si>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</si>
  <si>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</si>
  <si>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</si>
  <si>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</si>
  <si>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</si>
  <si>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</si>
  <si>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</si>
  <si>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</si>
  <si>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</si>
  <si>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</si>
  <si>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</si>
  <si>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</si>
  <si>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</si>
  <si>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</si>
  <si>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</si>
  <si>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</si>
  <si>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</si>
  <si>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</si>
  <si>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</si>
  <si>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</si>
  <si>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</si>
  <si>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</si>
  <si>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</si>
  <si>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</si>
  <si>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</si>
  <si>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</si>
  <si>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</si>
  <si>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</si>
  <si>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</si>
  <si>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</si>
  <si>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</si>
  <si>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</si>
  <si>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</si>
  <si>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</si>
  <si>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</si>
  <si>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</si>
  <si>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</si>
  <si>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</si>
  <si>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</si>
  <si>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</si>
  <si>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</si>
  <si>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</si>
  <si>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</si>
  <si>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</si>
  <si>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</si>
  <si>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</si>
  <si>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</si>
  <si>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</si>
  <si>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</si>
  <si>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</si>
  <si>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</si>
  <si>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</si>
  <si>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</si>
  <si>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</si>
  <si>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</si>
  <si>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</si>
  <si>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</si>
  <si>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</si>
  <si>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</si>
  <si>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</si>
  <si>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</si>
  <si>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</si>
  <si>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</si>
  <si>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</si>
  <si>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</si>
  <si>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</si>
  <si>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</si>
  <si>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</si>
  <si>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</si>
  <si>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</si>
  <si>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</si>
  <si>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</si>
  <si>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</si>
  <si>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</si>
  <si>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</si>
  <si>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</si>
  <si>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</si>
  <si>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</si>
  <si>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</si>
  <si>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</si>
  <si>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</si>
  <si>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</si>
  <si>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</si>
  <si>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</si>
  <si>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</si>
  <si>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</si>
  <si>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</si>
  <si>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</si>
  <si>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</si>
  <si>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</si>
  <si>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</si>
  <si>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</si>
  <si>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</si>
  <si>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</si>
  <si>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</si>
  <si>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</si>
  <si>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</si>
  <si>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</si>
  <si>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</si>
  <si>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</si>
  <si>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</si>
  <si>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</si>
  <si>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</si>
  <si>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</si>
  <si>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</si>
  <si>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</si>
  <si>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</si>
  <si>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</si>
  <si>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</si>
  <si>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</si>
  <si>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</si>
  <si>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</si>
  <si>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</si>
  <si>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</si>
  <si>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</si>
  <si>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</si>
  <si>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</si>
  <si>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</si>
  <si>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</si>
  <si>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</si>
  <si>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</si>
  <si>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</si>
  <si>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</si>
  <si>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</si>
  <si>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</si>
  <si>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</si>
  <si>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</si>
  <si>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</si>
  <si>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</si>
  <si>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</si>
  <si>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</si>
  <si>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</si>
  <si>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</si>
  <si>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</si>
  <si>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</si>
  <si>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</si>
  <si>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</si>
  <si>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</si>
  <si>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</si>
  <si>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</si>
  <si>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</si>
  <si>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</si>
  <si>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</si>
  <si>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</si>
  <si>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</si>
  <si>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</si>
  <si>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</si>
  <si>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</si>
  <si>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</si>
  <si>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</si>
  <si>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</si>
  <si>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</si>
  <si>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</si>
  <si>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</si>
  <si>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</si>
  <si>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</si>
  <si>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</si>
  <si>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</si>
  <si>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</si>
  <si>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</si>
  <si>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</si>
  <si>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</si>
  <si>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</si>
  <si>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</si>
  <si>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</si>
  <si>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</si>
  <si>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</si>
  <si>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</si>
  <si>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</si>
  <si>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</si>
  <si>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</si>
  <si>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</si>
  <si>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</si>
  <si>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</si>
  <si>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</si>
  <si>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</si>
  <si>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</si>
  <si>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</si>
  <si>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</si>
  <si>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</si>
  <si>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</si>
  <si>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</si>
  <si>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</si>
  <si>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</si>
  <si>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</si>
  <si>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</si>
  <si>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</si>
  <si>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</si>
  <si>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</si>
  <si>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</si>
  <si>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</si>
  <si>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</si>
  <si>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</si>
  <si>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</si>
  <si>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</si>
  <si>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</si>
  <si>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</si>
  <si>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</si>
  <si>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</si>
  <si>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</si>
  <si>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</si>
  <si>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</si>
  <si>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</si>
  <si>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</si>
  <si>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</si>
  <si>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</si>
  <si>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</si>
  <si>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</si>
  <si>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</si>
  <si>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</si>
  <si>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</si>
  <si>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</si>
  <si>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</si>
  <si>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</si>
  <si>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</si>
  <si>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</si>
  <si>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</si>
  <si>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</si>
  <si>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</si>
  <si>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</si>
  <si>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</si>
  <si>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</si>
  <si>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</si>
  <si>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</si>
  <si>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</si>
  <si>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</si>
  <si>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</si>
  <si>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</si>
  <si>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</si>
  <si>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</si>
  <si>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</si>
  <si>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</si>
  <si>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</si>
  <si>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</si>
  <si>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</si>
  <si>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</si>
  <si>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</si>
  <si>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</si>
  <si>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</si>
  <si>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</si>
  <si>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</si>
  <si>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</si>
  <si>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</si>
  <si>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</si>
  <si>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</si>
  <si>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</si>
  <si>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</si>
  <si>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</si>
  <si>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</si>
  <si>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</si>
  <si>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</si>
  <si>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</si>
  <si>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</si>
  <si>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</si>
  <si>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</si>
  <si>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</si>
  <si>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</si>
  <si>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</si>
  <si>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</si>
  <si>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</si>
  <si>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</si>
  <si>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</si>
  <si>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</si>
  <si>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</si>
  <si>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</si>
  <si>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</si>
  <si>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</si>
  <si>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</si>
  <si>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</si>
  <si>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</si>
  <si>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</si>
  <si>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</si>
  <si>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</si>
  <si>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</si>
  <si>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</si>
  <si>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</si>
  <si>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</si>
  <si>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</si>
  <si>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</si>
  <si>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</si>
  <si>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</si>
  <si>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</si>
  <si>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</si>
  <si>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</si>
  <si>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</si>
  <si>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</si>
  <si>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</si>
  <si>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</si>
  <si>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</si>
  <si>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</si>
  <si>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</si>
  <si>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</si>
  <si>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</si>
  <si>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</si>
  <si>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</si>
  <si>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</si>
  <si>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</si>
  <si>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</si>
  <si>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</si>
  <si>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</si>
  <si>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</si>
  <si>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</si>
  <si>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</si>
  <si>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</si>
  <si>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</si>
  <si>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</si>
  <si>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</si>
  <si>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</si>
  <si>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</si>
  <si>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</si>
  <si>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</si>
  <si>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</si>
  <si>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</si>
  <si>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</si>
  <si>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</si>
  <si>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</si>
  <si>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</si>
  <si>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</si>
  <si>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</si>
  <si>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</si>
  <si>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</si>
  <si>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</si>
  <si>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</si>
  <si>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</si>
  <si>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</si>
  <si>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</si>
  <si>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</si>
  <si>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</si>
  <si>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</si>
  <si>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</si>
  <si>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</si>
  <si>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</si>
  <si>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</si>
  <si>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</si>
  <si>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</si>
  <si>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</si>
  <si>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</si>
  <si>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</si>
  <si>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</si>
  <si>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</si>
  <si>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</si>
  <si>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</si>
  <si>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</si>
  <si>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</si>
  <si>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</si>
  <si>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</si>
  <si>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</si>
  <si>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</si>
  <si>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</si>
  <si>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</si>
  <si>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</si>
  <si>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</si>
  <si>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</si>
  <si>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</si>
  <si>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</si>
  <si>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</si>
  <si>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</si>
  <si>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</si>
  <si>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</si>
  <si>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</si>
  <si>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</si>
  <si>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</si>
  <si>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</si>
  <si>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</si>
  <si>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</si>
  <si>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</si>
  <si>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</si>
  <si>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</si>
  <si>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</si>
  <si>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</si>
  <si>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</si>
  <si>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</si>
  <si>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</si>
  <si>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</si>
  <si>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</si>
  <si>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</si>
  <si>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</si>
  <si>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</si>
  <si>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</si>
  <si>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</si>
  <si>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</si>
  <si>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</si>
  <si>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</si>
  <si>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</si>
  <si>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</si>
  <si>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</si>
  <si>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</si>
  <si>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</si>
  <si>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</si>
  <si>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</si>
  <si>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</si>
  <si>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</si>
  <si>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</si>
  <si>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</si>
  <si>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</si>
  <si>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</si>
  <si>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</si>
  <si>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</si>
  <si>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</si>
  <si>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</si>
  <si>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</si>
  <si>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</si>
  <si>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</si>
  <si>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</si>
  <si>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</si>
  <si>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</si>
  <si>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</si>
  <si>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</si>
  <si>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</si>
  <si>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</si>
  <si>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</si>
  <si>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</si>
  <si>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</si>
  <si>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</si>
  <si>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</si>
  <si>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</si>
  <si>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</si>
  <si>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</si>
  <si>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</si>
  <si>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</si>
  <si>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</si>
  <si>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</si>
  <si>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</si>
  <si>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</si>
  <si>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</si>
  <si>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</si>
  <si>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</si>
  <si>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</si>
  <si>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</si>
  <si>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</si>
  <si>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</si>
  <si>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</si>
  <si>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</si>
  <si>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</si>
  <si>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</si>
  <si>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</si>
  <si>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</si>
  <si>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</si>
  <si>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</si>
  <si>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</si>
  <si>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</si>
  <si>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</si>
  <si>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</si>
  <si>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</si>
  <si>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</si>
  <si>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</si>
  <si>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</si>
  <si>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</si>
  <si>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</si>
  <si>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</si>
  <si>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</si>
  <si>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</si>
  <si>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</si>
  <si>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</si>
  <si>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</si>
  <si>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</si>
  <si>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</si>
  <si>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</si>
  <si>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</si>
  <si>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</si>
  <si>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</si>
  <si>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</si>
  <si>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</si>
  <si>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</si>
  <si>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</si>
  <si>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</si>
  <si>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</si>
  <si>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</si>
  <si>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</si>
  <si>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</si>
  <si>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</si>
  <si>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</si>
  <si>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</si>
  <si>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</si>
  <si>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</si>
  <si>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</si>
  <si>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</si>
  <si>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</si>
  <si>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</si>
  <si>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</si>
  <si>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</si>
  <si>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</si>
  <si>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</si>
  <si>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</si>
  <si>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</si>
  <si>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</si>
  <si>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</si>
  <si>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</si>
  <si>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</si>
  <si>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</si>
  <si>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</si>
  <si>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</si>
  <si>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</si>
  <si>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</si>
  <si>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</si>
  <si>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</si>
  <si>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</si>
  <si>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</si>
  <si>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</si>
  <si>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</si>
  <si>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</si>
  <si>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</si>
  <si>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</si>
  <si>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</si>
  <si>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</si>
  <si>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</si>
  <si>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</si>
  <si>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</si>
  <si>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</si>
  <si>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</si>
  <si>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</si>
  <si>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</si>
  <si>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</si>
  <si>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</si>
  <si>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</si>
  <si>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</si>
  <si>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</si>
  <si>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</si>
  <si>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</si>
  <si>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</si>
  <si>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</si>
  <si>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</si>
  <si>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</si>
  <si>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</si>
  <si>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</si>
  <si>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</si>
  <si>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</si>
  <si>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</si>
  <si>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</si>
  <si>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</si>
  <si>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</si>
  <si>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</si>
  <si>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</si>
  <si>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</si>
  <si>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</si>
  <si>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</si>
  <si>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</si>
  <si>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</si>
  <si>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</si>
  <si>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</si>
  <si>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</si>
  <si>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</si>
  <si>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</si>
  <si>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</si>
  <si>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</si>
  <si>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</si>
  <si>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</si>
  <si>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</si>
  <si>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</si>
  <si>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</si>
  <si>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</si>
  <si>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</si>
  <si>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</si>
  <si>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</si>
  <si>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</si>
  <si>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</si>
  <si>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</si>
  <si>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</si>
  <si>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</si>
  <si>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</si>
  <si>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</si>
  <si>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</si>
  <si>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</si>
  <si>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</si>
  <si>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</si>
  <si>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</si>
  <si>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</si>
  <si>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</si>
  <si>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</si>
  <si>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</si>
  <si>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</si>
  <si>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</si>
  <si>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</si>
  <si>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</si>
  <si>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</si>
  <si>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</si>
  <si>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</si>
  <si>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</si>
  <si>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</si>
  <si>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</si>
  <si>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</si>
  <si>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</si>
  <si>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</si>
  <si>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</si>
  <si>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</si>
  <si>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</si>
  <si>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</si>
  <si>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</si>
  <si>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</si>
  <si>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</si>
  <si>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</si>
  <si>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</si>
  <si>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</si>
  <si>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</si>
  <si>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</si>
  <si>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</si>
  <si>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</si>
  <si>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</si>
  <si>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</si>
  <si>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</si>
  <si>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</si>
  <si>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</si>
  <si>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</si>
  <si>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</si>
  <si>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</si>
  <si>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</si>
  <si>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</si>
  <si>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</si>
  <si>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</si>
  <si>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</si>
  <si>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</si>
  <si>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</si>
  <si>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</si>
  <si>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</si>
  <si>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</si>
  <si>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</si>
  <si>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</si>
  <si>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</si>
  <si>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</si>
  <si>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</si>
  <si>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</si>
  <si>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</si>
  <si>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</si>
  <si>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</si>
  <si>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</si>
  <si>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</si>
  <si>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</si>
  <si>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</si>
  <si>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</si>
  <si>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</si>
  <si>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</si>
  <si>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</si>
  <si>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</si>
  <si>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</si>
  <si>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</si>
  <si>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</si>
  <si>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</si>
  <si>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</si>
  <si>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</si>
  <si>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</si>
  <si>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</si>
  <si>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</si>
  <si>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</si>
  <si>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</si>
  <si>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</si>
  <si>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https://delijn.sharepoint.com/:b:/r/teams/CTM-OTGentStad/Shared%20Documents/General/EAF/CSI(nieuwe%20sharepoint)%202025/8.%20Augustus/EAF%205048%20Gent%2023082025%2041619%20Bachiri%20Ousama.pdf?csf=1&amp;web=1&amp;e=Zgn4J1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</si>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</sst>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7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9</v>
          </cell>
          <cell r="B8" t="str">
            <v>Lucie Vande Velde</v>
          </cell>
          <cell r="D8">
            <v>19</v>
          </cell>
        </row>
        <row r="9">
          <cell r="A9">
            <v>8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9" totalsRowShown="0" headerRowDxfId="10">
  <autoFilter ref="A1:Y829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5.88671875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3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3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3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3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3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3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3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3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3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3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3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3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3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3">
      <c r="C26" s="2" t="s">
        <v>3305</v>
      </c>
      <c r="D26">
        <v>3</v>
      </c>
      <c r="F26" s="2" t="s">
        <v>20</v>
      </c>
      <c r="G26">
        <v>5</v>
      </c>
    </row>
    <row r="27" spans="2:11" x14ac:dyDescent="0.3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3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3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3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3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3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3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3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3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3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3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3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3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3">
      <c r="C40" s="2" t="s">
        <v>3318</v>
      </c>
      <c r="D40">
        <v>2</v>
      </c>
      <c r="F40" s="2" t="s">
        <v>22</v>
      </c>
      <c r="G40">
        <v>2</v>
      </c>
    </row>
    <row r="41" spans="3:15" x14ac:dyDescent="0.3">
      <c r="C41" s="2" t="s">
        <v>3334</v>
      </c>
      <c r="D41">
        <v>2</v>
      </c>
      <c r="F41" s="2" t="s">
        <v>105</v>
      </c>
      <c r="G41">
        <v>2</v>
      </c>
      <c r="I41" s="35" t="s">
        <v>2918</v>
      </c>
      <c r="J41" s="35"/>
      <c r="K41" s="35"/>
      <c r="L41" s="25"/>
      <c r="M41" s="35" t="s">
        <v>2917</v>
      </c>
      <c r="N41" s="35"/>
      <c r="O41" s="35"/>
    </row>
    <row r="42" spans="3:15" x14ac:dyDescent="0.3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3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19</v>
      </c>
      <c r="N48" s="13" t="str">
        <f>'[1]Ingeplande per TC'!$B$8</f>
        <v>Lucie Vande Velde</v>
      </c>
      <c r="O48" s="13"/>
    </row>
    <row r="49" spans="3:15" x14ac:dyDescent="0.3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57</v>
      </c>
      <c r="J50" s="14" t="s">
        <v>248</v>
      </c>
      <c r="K50" s="14"/>
      <c r="L50" s="25"/>
      <c r="M50" s="14">
        <f>SUM(M42:M49)</f>
        <v>156</v>
      </c>
      <c r="N50" s="14" t="s">
        <v>248</v>
      </c>
      <c r="O50" s="14"/>
    </row>
    <row r="51" spans="3:15" x14ac:dyDescent="0.3">
      <c r="C51" s="2" t="s">
        <v>3317</v>
      </c>
      <c r="D51">
        <v>2</v>
      </c>
      <c r="F51" s="2" t="s">
        <v>51</v>
      </c>
      <c r="G51">
        <v>2</v>
      </c>
    </row>
    <row r="52" spans="3:15" x14ac:dyDescent="0.3">
      <c r="C52" s="2" t="s">
        <v>3328</v>
      </c>
      <c r="D52">
        <v>2</v>
      </c>
      <c r="F52" s="2" t="s">
        <v>68</v>
      </c>
      <c r="G52">
        <v>2</v>
      </c>
    </row>
    <row r="53" spans="3:15" x14ac:dyDescent="0.3">
      <c r="C53" s="2" t="s">
        <v>3333</v>
      </c>
      <c r="D53">
        <v>2</v>
      </c>
      <c r="F53" s="2" t="s">
        <v>157</v>
      </c>
      <c r="G53">
        <v>2</v>
      </c>
    </row>
    <row r="54" spans="3:15" x14ac:dyDescent="0.3">
      <c r="C54" s="2" t="s">
        <v>3330</v>
      </c>
      <c r="D54">
        <v>2</v>
      </c>
      <c r="F54" s="2" t="s">
        <v>138</v>
      </c>
      <c r="G54">
        <v>2</v>
      </c>
    </row>
    <row r="55" spans="3:15" x14ac:dyDescent="0.3">
      <c r="C55" s="2" t="s">
        <v>3335</v>
      </c>
      <c r="D55">
        <v>2</v>
      </c>
      <c r="F55" s="2" t="s">
        <v>39</v>
      </c>
      <c r="G55">
        <v>2</v>
      </c>
    </row>
    <row r="56" spans="3:15" x14ac:dyDescent="0.3">
      <c r="C56" s="2" t="s">
        <v>3321</v>
      </c>
      <c r="D56">
        <v>2</v>
      </c>
      <c r="F56" s="2" t="s">
        <v>102</v>
      </c>
      <c r="G56">
        <v>2</v>
      </c>
    </row>
    <row r="57" spans="3:15" x14ac:dyDescent="0.3">
      <c r="C57" s="2" t="s">
        <v>3332</v>
      </c>
      <c r="D57">
        <v>2</v>
      </c>
      <c r="F57" s="2" t="s">
        <v>130</v>
      </c>
      <c r="G57">
        <v>2</v>
      </c>
    </row>
    <row r="58" spans="3:15" x14ac:dyDescent="0.3">
      <c r="C58" s="2" t="s">
        <v>3308</v>
      </c>
      <c r="D58">
        <v>2</v>
      </c>
      <c r="F58" s="2" t="s">
        <v>3293</v>
      </c>
      <c r="G58">
        <v>2</v>
      </c>
    </row>
    <row r="59" spans="3:15" x14ac:dyDescent="0.3">
      <c r="C59" s="2" t="s">
        <v>13</v>
      </c>
      <c r="D59">
        <v>2</v>
      </c>
      <c r="F59" s="2" t="s">
        <v>2896</v>
      </c>
      <c r="G59">
        <v>2</v>
      </c>
    </row>
    <row r="60" spans="3:15" x14ac:dyDescent="0.3">
      <c r="C60" s="2" t="s">
        <v>10</v>
      </c>
      <c r="D60">
        <v>2</v>
      </c>
      <c r="F60" s="2" t="s">
        <v>96</v>
      </c>
      <c r="G60">
        <v>2</v>
      </c>
    </row>
    <row r="61" spans="3:15" x14ac:dyDescent="0.3">
      <c r="C61" s="2" t="s">
        <v>3336</v>
      </c>
      <c r="D61">
        <v>2</v>
      </c>
      <c r="F61" s="2" t="s">
        <v>128</v>
      </c>
      <c r="G61">
        <v>1</v>
      </c>
    </row>
    <row r="62" spans="3:15" x14ac:dyDescent="0.3">
      <c r="C62" s="2" t="s">
        <v>3386</v>
      </c>
      <c r="D62">
        <v>1</v>
      </c>
      <c r="F62" s="2" t="s">
        <v>229</v>
      </c>
      <c r="G62">
        <v>1</v>
      </c>
    </row>
    <row r="63" spans="3:15" x14ac:dyDescent="0.3">
      <c r="C63" s="2" t="s">
        <v>3359</v>
      </c>
      <c r="D63">
        <v>1</v>
      </c>
      <c r="F63" s="2" t="s">
        <v>243</v>
      </c>
      <c r="G63">
        <v>1</v>
      </c>
    </row>
    <row r="64" spans="3:15" x14ac:dyDescent="0.3">
      <c r="C64" s="2" t="s">
        <v>3356</v>
      </c>
      <c r="D64">
        <v>1</v>
      </c>
      <c r="F64" s="2" t="s">
        <v>156</v>
      </c>
      <c r="G64">
        <v>1</v>
      </c>
    </row>
    <row r="65" spans="3:7" x14ac:dyDescent="0.3">
      <c r="C65" s="2" t="s">
        <v>3343</v>
      </c>
      <c r="D65">
        <v>1</v>
      </c>
      <c r="F65" s="2" t="s">
        <v>2907</v>
      </c>
      <c r="G65">
        <v>1</v>
      </c>
    </row>
    <row r="66" spans="3:7" x14ac:dyDescent="0.3">
      <c r="C66" s="2" t="s">
        <v>3441</v>
      </c>
      <c r="D66">
        <v>1</v>
      </c>
      <c r="F66" s="2" t="s">
        <v>35</v>
      </c>
      <c r="G66">
        <v>1</v>
      </c>
    </row>
    <row r="67" spans="3:7" x14ac:dyDescent="0.3">
      <c r="C67" s="2" t="s">
        <v>3345</v>
      </c>
      <c r="D67">
        <v>1</v>
      </c>
      <c r="F67" s="2" t="s">
        <v>197</v>
      </c>
      <c r="G67">
        <v>1</v>
      </c>
    </row>
    <row r="68" spans="3:7" x14ac:dyDescent="0.3">
      <c r="C68" s="2" t="s">
        <v>3402</v>
      </c>
      <c r="D68">
        <v>1</v>
      </c>
      <c r="F68" s="2" t="s">
        <v>170</v>
      </c>
      <c r="G68">
        <v>1</v>
      </c>
    </row>
    <row r="69" spans="3:7" x14ac:dyDescent="0.3">
      <c r="C69" s="2" t="s">
        <v>3347</v>
      </c>
      <c r="D69">
        <v>1</v>
      </c>
      <c r="F69" s="2" t="s">
        <v>215</v>
      </c>
      <c r="G69">
        <v>1</v>
      </c>
    </row>
    <row r="70" spans="3:7" x14ac:dyDescent="0.3">
      <c r="C70" s="2" t="s">
        <v>3357</v>
      </c>
      <c r="D70">
        <v>1</v>
      </c>
      <c r="F70" s="2" t="s">
        <v>2900</v>
      </c>
      <c r="G70">
        <v>1</v>
      </c>
    </row>
    <row r="71" spans="3:7" x14ac:dyDescent="0.3">
      <c r="C71" s="2" t="s">
        <v>3349</v>
      </c>
      <c r="D71">
        <v>1</v>
      </c>
      <c r="F71" s="2" t="s">
        <v>91</v>
      </c>
      <c r="G71">
        <v>1</v>
      </c>
    </row>
    <row r="72" spans="3:7" x14ac:dyDescent="0.3">
      <c r="C72" s="2" t="s">
        <v>3319</v>
      </c>
      <c r="D72">
        <v>1</v>
      </c>
      <c r="F72" s="2" t="s">
        <v>86</v>
      </c>
      <c r="G72">
        <v>1</v>
      </c>
    </row>
    <row r="73" spans="3:7" x14ac:dyDescent="0.3">
      <c r="C73" s="2" t="s">
        <v>3351</v>
      </c>
      <c r="D73">
        <v>1</v>
      </c>
      <c r="F73" s="2" t="s">
        <v>186</v>
      </c>
      <c r="G73">
        <v>1</v>
      </c>
    </row>
    <row r="74" spans="3:7" x14ac:dyDescent="0.3">
      <c r="C74" s="2" t="s">
        <v>3387</v>
      </c>
      <c r="D74">
        <v>1</v>
      </c>
      <c r="F74" s="2" t="s">
        <v>60</v>
      </c>
      <c r="G74">
        <v>1</v>
      </c>
    </row>
    <row r="75" spans="3:7" x14ac:dyDescent="0.3">
      <c r="C75" s="2" t="s">
        <v>3353</v>
      </c>
      <c r="D75">
        <v>1</v>
      </c>
      <c r="F75" s="2" t="s">
        <v>234</v>
      </c>
      <c r="G75">
        <v>1</v>
      </c>
    </row>
    <row r="76" spans="3:7" x14ac:dyDescent="0.3">
      <c r="C76" s="2" t="s">
        <v>3344</v>
      </c>
      <c r="D76">
        <v>1</v>
      </c>
      <c r="F76" s="2" t="s">
        <v>143</v>
      </c>
      <c r="G76">
        <v>1</v>
      </c>
    </row>
    <row r="77" spans="3:7" x14ac:dyDescent="0.3">
      <c r="C77" s="2" t="s">
        <v>3355</v>
      </c>
      <c r="D77">
        <v>1</v>
      </c>
      <c r="F77" s="2" t="s">
        <v>66</v>
      </c>
      <c r="G77">
        <v>1</v>
      </c>
    </row>
    <row r="78" spans="3:7" x14ac:dyDescent="0.3">
      <c r="C78" s="2" t="s">
        <v>3340</v>
      </c>
      <c r="D78">
        <v>1</v>
      </c>
      <c r="F78" s="2" t="s">
        <v>187</v>
      </c>
      <c r="G78">
        <v>1</v>
      </c>
    </row>
    <row r="79" spans="3:7" x14ac:dyDescent="0.3">
      <c r="C79" s="2" t="s">
        <v>5</v>
      </c>
      <c r="D79">
        <v>1</v>
      </c>
      <c r="F79" s="2" t="s">
        <v>209</v>
      </c>
      <c r="G79">
        <v>1</v>
      </c>
    </row>
    <row r="80" spans="3:7" x14ac:dyDescent="0.3">
      <c r="C80" s="2" t="s">
        <v>3346</v>
      </c>
      <c r="D80">
        <v>1</v>
      </c>
      <c r="F80" s="2" t="s">
        <v>76</v>
      </c>
      <c r="G80">
        <v>1</v>
      </c>
    </row>
    <row r="81" spans="3:7" x14ac:dyDescent="0.3">
      <c r="C81" s="2" t="s">
        <v>3358</v>
      </c>
      <c r="D81">
        <v>1</v>
      </c>
      <c r="F81" s="2" t="s">
        <v>179</v>
      </c>
      <c r="G81">
        <v>1</v>
      </c>
    </row>
    <row r="82" spans="3:7" x14ac:dyDescent="0.3">
      <c r="C82" s="2" t="s">
        <v>3421</v>
      </c>
      <c r="D82">
        <v>1</v>
      </c>
      <c r="F82" s="2" t="s">
        <v>173</v>
      </c>
      <c r="G82">
        <v>1</v>
      </c>
    </row>
    <row r="83" spans="3:7" x14ac:dyDescent="0.3">
      <c r="C83" s="2" t="s">
        <v>3360</v>
      </c>
      <c r="D83">
        <v>1</v>
      </c>
      <c r="F83" s="2" t="s">
        <v>154</v>
      </c>
      <c r="G83">
        <v>1</v>
      </c>
    </row>
    <row r="84" spans="3:7" x14ac:dyDescent="0.3">
      <c r="C84" s="2" t="s">
        <v>3381</v>
      </c>
      <c r="D84">
        <v>1</v>
      </c>
      <c r="F84" s="2" t="s">
        <v>151</v>
      </c>
      <c r="G84">
        <v>1</v>
      </c>
    </row>
    <row r="85" spans="3:7" x14ac:dyDescent="0.3">
      <c r="C85" s="2" t="s">
        <v>0</v>
      </c>
      <c r="D85">
        <v>1</v>
      </c>
      <c r="F85" s="2" t="s">
        <v>2911</v>
      </c>
      <c r="G85">
        <v>1</v>
      </c>
    </row>
    <row r="86" spans="3:7" x14ac:dyDescent="0.3">
      <c r="C86" s="2" t="s">
        <v>4</v>
      </c>
      <c r="D86">
        <v>1</v>
      </c>
      <c r="F86" s="2" t="s">
        <v>31</v>
      </c>
      <c r="G86">
        <v>1</v>
      </c>
    </row>
    <row r="87" spans="3:7" x14ac:dyDescent="0.3">
      <c r="C87" s="2" t="s">
        <v>3363</v>
      </c>
      <c r="D87">
        <v>1</v>
      </c>
      <c r="F87" s="2" t="s">
        <v>106</v>
      </c>
      <c r="G87">
        <v>1</v>
      </c>
    </row>
    <row r="88" spans="3:7" x14ac:dyDescent="0.3">
      <c r="C88" s="2" t="s">
        <v>3412</v>
      </c>
      <c r="D88">
        <v>1</v>
      </c>
      <c r="F88" s="2" t="s">
        <v>189</v>
      </c>
      <c r="G88">
        <v>1</v>
      </c>
    </row>
    <row r="89" spans="3:7" x14ac:dyDescent="0.3">
      <c r="C89" s="2" t="s">
        <v>3365</v>
      </c>
      <c r="D89">
        <v>1</v>
      </c>
      <c r="F89" s="2" t="s">
        <v>113</v>
      </c>
      <c r="G89">
        <v>1</v>
      </c>
    </row>
    <row r="90" spans="3:7" x14ac:dyDescent="0.3">
      <c r="C90" s="2" t="s">
        <v>3420</v>
      </c>
      <c r="D90">
        <v>1</v>
      </c>
      <c r="F90" s="2" t="s">
        <v>112</v>
      </c>
      <c r="G90">
        <v>1</v>
      </c>
    </row>
    <row r="91" spans="3:7" x14ac:dyDescent="0.3">
      <c r="C91" s="2" t="s">
        <v>3367</v>
      </c>
      <c r="D91">
        <v>1</v>
      </c>
      <c r="F91" s="2" t="s">
        <v>150</v>
      </c>
      <c r="G91">
        <v>1</v>
      </c>
    </row>
    <row r="92" spans="3:7" x14ac:dyDescent="0.3">
      <c r="C92" s="2" t="s">
        <v>3368</v>
      </c>
      <c r="D92">
        <v>1</v>
      </c>
      <c r="F92" s="2" t="s">
        <v>160</v>
      </c>
      <c r="G92">
        <v>1</v>
      </c>
    </row>
    <row r="93" spans="3:7" x14ac:dyDescent="0.3">
      <c r="C93" s="2" t="s">
        <v>3369</v>
      </c>
      <c r="D93">
        <v>1</v>
      </c>
      <c r="F93" s="2" t="s">
        <v>2912</v>
      </c>
      <c r="G93">
        <v>1</v>
      </c>
    </row>
    <row r="94" spans="3:7" x14ac:dyDescent="0.3">
      <c r="C94" s="2" t="s">
        <v>3394</v>
      </c>
      <c r="D94">
        <v>1</v>
      </c>
      <c r="F94" s="2" t="s">
        <v>245</v>
      </c>
      <c r="G94">
        <v>1</v>
      </c>
    </row>
    <row r="95" spans="3:7" x14ac:dyDescent="0.3">
      <c r="C95" s="2" t="s">
        <v>3371</v>
      </c>
      <c r="D95">
        <v>1</v>
      </c>
      <c r="F95" s="2" t="s">
        <v>149</v>
      </c>
      <c r="G95">
        <v>1</v>
      </c>
    </row>
    <row r="96" spans="3:7" x14ac:dyDescent="0.3">
      <c r="C96" s="2" t="s">
        <v>3388</v>
      </c>
      <c r="D96">
        <v>1</v>
      </c>
      <c r="F96" s="2" t="s">
        <v>2905</v>
      </c>
      <c r="G96">
        <v>1</v>
      </c>
    </row>
    <row r="97" spans="3:7" x14ac:dyDescent="0.3">
      <c r="C97" s="2" t="s">
        <v>6</v>
      </c>
      <c r="D97">
        <v>1</v>
      </c>
      <c r="F97" s="2" t="s">
        <v>110</v>
      </c>
      <c r="G97">
        <v>1</v>
      </c>
    </row>
    <row r="98" spans="3:7" x14ac:dyDescent="0.3">
      <c r="C98" s="2" t="s">
        <v>12</v>
      </c>
      <c r="D98">
        <v>1</v>
      </c>
      <c r="F98" s="2" t="s">
        <v>148</v>
      </c>
      <c r="G98">
        <v>1</v>
      </c>
    </row>
    <row r="99" spans="3:7" x14ac:dyDescent="0.3">
      <c r="C99" s="2" t="s">
        <v>3373</v>
      </c>
      <c r="D99">
        <v>1</v>
      </c>
      <c r="F99" s="2" t="s">
        <v>94</v>
      </c>
      <c r="G99">
        <v>1</v>
      </c>
    </row>
    <row r="100" spans="3:7" x14ac:dyDescent="0.3">
      <c r="C100" s="2" t="s">
        <v>3374</v>
      </c>
      <c r="D100">
        <v>1</v>
      </c>
      <c r="F100" s="2" t="s">
        <v>74</v>
      </c>
      <c r="G100">
        <v>1</v>
      </c>
    </row>
    <row r="101" spans="3:7" x14ac:dyDescent="0.3">
      <c r="C101" s="2" t="s">
        <v>3375</v>
      </c>
      <c r="D101">
        <v>1</v>
      </c>
      <c r="F101" s="2" t="s">
        <v>212</v>
      </c>
      <c r="G101">
        <v>1</v>
      </c>
    </row>
    <row r="102" spans="3:7" x14ac:dyDescent="0.3">
      <c r="C102" s="2" t="s">
        <v>3376</v>
      </c>
      <c r="D102">
        <v>1</v>
      </c>
      <c r="F102" s="2" t="s">
        <v>246</v>
      </c>
      <c r="G102">
        <v>1</v>
      </c>
    </row>
    <row r="103" spans="3:7" x14ac:dyDescent="0.3">
      <c r="C103" s="2" t="s">
        <v>3377</v>
      </c>
      <c r="D103">
        <v>1</v>
      </c>
      <c r="F103" s="2" t="s">
        <v>158</v>
      </c>
      <c r="G103">
        <v>1</v>
      </c>
    </row>
    <row r="104" spans="3:7" x14ac:dyDescent="0.3">
      <c r="C104" s="2" t="s">
        <v>3348</v>
      </c>
      <c r="D104">
        <v>1</v>
      </c>
      <c r="F104" s="2" t="s">
        <v>134</v>
      </c>
      <c r="G104">
        <v>1</v>
      </c>
    </row>
    <row r="105" spans="3:7" x14ac:dyDescent="0.3">
      <c r="C105" s="2" t="s">
        <v>3393</v>
      </c>
      <c r="D105">
        <v>1</v>
      </c>
      <c r="F105" s="2" t="s">
        <v>181</v>
      </c>
      <c r="G105">
        <v>1</v>
      </c>
    </row>
    <row r="106" spans="3:7" x14ac:dyDescent="0.3">
      <c r="C106" s="2" t="s">
        <v>3379</v>
      </c>
      <c r="D106">
        <v>1</v>
      </c>
      <c r="F106" s="2" t="s">
        <v>132</v>
      </c>
      <c r="G106">
        <v>1</v>
      </c>
    </row>
    <row r="107" spans="3:7" x14ac:dyDescent="0.3">
      <c r="C107" s="2" t="s">
        <v>3380</v>
      </c>
      <c r="D107">
        <v>1</v>
      </c>
      <c r="F107" s="2" t="s">
        <v>55</v>
      </c>
      <c r="G107">
        <v>1</v>
      </c>
    </row>
    <row r="108" spans="3:7" x14ac:dyDescent="0.3">
      <c r="C108" s="2" t="s">
        <v>3378</v>
      </c>
      <c r="D108">
        <v>1</v>
      </c>
      <c r="F108" s="2" t="s">
        <v>174</v>
      </c>
      <c r="G108">
        <v>1</v>
      </c>
    </row>
    <row r="109" spans="3:7" x14ac:dyDescent="0.3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3">
      <c r="C110" s="2" t="s">
        <v>3383</v>
      </c>
      <c r="D110">
        <v>1</v>
      </c>
      <c r="F110" s="2" t="s">
        <v>81</v>
      </c>
      <c r="G110">
        <v>1</v>
      </c>
    </row>
    <row r="111" spans="3:7" x14ac:dyDescent="0.3">
      <c r="C111" s="2" t="s">
        <v>3384</v>
      </c>
      <c r="D111">
        <v>1</v>
      </c>
      <c r="F111" s="2" t="s">
        <v>155</v>
      </c>
      <c r="G111">
        <v>1</v>
      </c>
    </row>
    <row r="112" spans="3:7" x14ac:dyDescent="0.3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3">
      <c r="C113" s="2" t="s">
        <v>3407</v>
      </c>
      <c r="D113">
        <v>1</v>
      </c>
      <c r="F113" s="2" t="s">
        <v>166</v>
      </c>
      <c r="G113">
        <v>1</v>
      </c>
    </row>
    <row r="114" spans="3:7" x14ac:dyDescent="0.3">
      <c r="C114" s="2" t="s">
        <v>3361</v>
      </c>
      <c r="D114">
        <v>1</v>
      </c>
      <c r="F114" s="2" t="s">
        <v>235</v>
      </c>
      <c r="G114">
        <v>1</v>
      </c>
    </row>
    <row r="115" spans="3:7" x14ac:dyDescent="0.3">
      <c r="C115" s="2" t="s">
        <v>8</v>
      </c>
      <c r="D115">
        <v>1</v>
      </c>
      <c r="F115" s="2" t="s">
        <v>2899</v>
      </c>
      <c r="G115">
        <v>1</v>
      </c>
    </row>
    <row r="116" spans="3:7" x14ac:dyDescent="0.3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3">
      <c r="C117" s="2" t="s">
        <v>3389</v>
      </c>
      <c r="D117">
        <v>1</v>
      </c>
      <c r="F117" s="2" t="s">
        <v>182</v>
      </c>
      <c r="G117">
        <v>1</v>
      </c>
    </row>
    <row r="118" spans="3:7" x14ac:dyDescent="0.3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3">
      <c r="C119" s="2" t="s">
        <v>3391</v>
      </c>
      <c r="D119">
        <v>1</v>
      </c>
      <c r="F119" s="2" t="s">
        <v>122</v>
      </c>
      <c r="G119">
        <v>1</v>
      </c>
    </row>
    <row r="120" spans="3:7" x14ac:dyDescent="0.3">
      <c r="C120" s="2" t="s">
        <v>3418</v>
      </c>
      <c r="D120">
        <v>1</v>
      </c>
      <c r="F120" s="2" t="s">
        <v>161</v>
      </c>
      <c r="G120">
        <v>1</v>
      </c>
    </row>
    <row r="121" spans="3:7" x14ac:dyDescent="0.3">
      <c r="C121" s="2" t="s">
        <v>3398</v>
      </c>
      <c r="D121">
        <v>1</v>
      </c>
      <c r="F121" s="2" t="s">
        <v>47</v>
      </c>
      <c r="G121">
        <v>1</v>
      </c>
    </row>
    <row r="122" spans="3:7" x14ac:dyDescent="0.3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3">
      <c r="C123" s="2" t="s">
        <v>3354</v>
      </c>
      <c r="D123">
        <v>1</v>
      </c>
      <c r="F123" s="2" t="s">
        <v>218</v>
      </c>
      <c r="G123">
        <v>1</v>
      </c>
    </row>
    <row r="124" spans="3:7" x14ac:dyDescent="0.3">
      <c r="C124" s="2" t="s">
        <v>3341</v>
      </c>
      <c r="D124">
        <v>1</v>
      </c>
      <c r="F124" s="2" t="s">
        <v>198</v>
      </c>
      <c r="G124">
        <v>1</v>
      </c>
    </row>
    <row r="125" spans="3:7" x14ac:dyDescent="0.3">
      <c r="C125" s="2" t="s">
        <v>3396</v>
      </c>
      <c r="D125">
        <v>1</v>
      </c>
      <c r="F125" s="2" t="s">
        <v>228</v>
      </c>
      <c r="G125">
        <v>1</v>
      </c>
    </row>
    <row r="126" spans="3:7" x14ac:dyDescent="0.3">
      <c r="C126" s="2" t="s">
        <v>11</v>
      </c>
      <c r="D126">
        <v>1</v>
      </c>
      <c r="F126" s="2" t="s">
        <v>2909</v>
      </c>
      <c r="G126">
        <v>1</v>
      </c>
    </row>
    <row r="127" spans="3:7" x14ac:dyDescent="0.3">
      <c r="C127" s="2" t="s">
        <v>2</v>
      </c>
      <c r="D127">
        <v>1</v>
      </c>
      <c r="F127" s="2" t="s">
        <v>92</v>
      </c>
      <c r="G127">
        <v>1</v>
      </c>
    </row>
    <row r="128" spans="3:7" x14ac:dyDescent="0.3">
      <c r="C128" s="2" t="s">
        <v>3400</v>
      </c>
      <c r="D128">
        <v>1</v>
      </c>
      <c r="F128" s="2" t="s">
        <v>59</v>
      </c>
      <c r="G128">
        <v>1</v>
      </c>
    </row>
    <row r="129" spans="3:7" x14ac:dyDescent="0.3">
      <c r="C129" s="2" t="s">
        <v>3399</v>
      </c>
      <c r="D129">
        <v>1</v>
      </c>
      <c r="F129" s="2" t="s">
        <v>37</v>
      </c>
      <c r="G129">
        <v>1</v>
      </c>
    </row>
    <row r="130" spans="3:7" x14ac:dyDescent="0.3">
      <c r="C130" s="2" t="s">
        <v>3370</v>
      </c>
      <c r="D130">
        <v>1</v>
      </c>
      <c r="F130" s="2" t="s">
        <v>193</v>
      </c>
      <c r="G130">
        <v>1</v>
      </c>
    </row>
    <row r="131" spans="3:7" x14ac:dyDescent="0.3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3">
      <c r="C132" s="2" t="s">
        <v>3404</v>
      </c>
      <c r="D132">
        <v>1</v>
      </c>
      <c r="F132" s="2" t="s">
        <v>139</v>
      </c>
      <c r="G132">
        <v>1</v>
      </c>
    </row>
    <row r="133" spans="3:7" x14ac:dyDescent="0.3">
      <c r="C133" s="2" t="s">
        <v>3403</v>
      </c>
      <c r="D133">
        <v>1</v>
      </c>
      <c r="F133" s="2" t="s">
        <v>199</v>
      </c>
      <c r="G133">
        <v>1</v>
      </c>
    </row>
    <row r="134" spans="3:7" x14ac:dyDescent="0.3">
      <c r="C134" s="2" t="s">
        <v>3372</v>
      </c>
      <c r="D134">
        <v>1</v>
      </c>
      <c r="F134" s="2" t="s">
        <v>169</v>
      </c>
      <c r="G134">
        <v>1</v>
      </c>
    </row>
    <row r="135" spans="3:7" x14ac:dyDescent="0.3">
      <c r="C135" s="2" t="s">
        <v>3405</v>
      </c>
      <c r="D135">
        <v>1</v>
      </c>
      <c r="F135" s="2" t="s">
        <v>137</v>
      </c>
      <c r="G135">
        <v>1</v>
      </c>
    </row>
    <row r="136" spans="3:7" x14ac:dyDescent="0.3">
      <c r="C136" s="2" t="s">
        <v>3408</v>
      </c>
      <c r="D136">
        <v>1</v>
      </c>
      <c r="F136" s="2" t="s">
        <v>201</v>
      </c>
      <c r="G136">
        <v>1</v>
      </c>
    </row>
    <row r="137" spans="3:7" x14ac:dyDescent="0.3">
      <c r="C137" s="2" t="s">
        <v>3416</v>
      </c>
      <c r="D137">
        <v>1</v>
      </c>
      <c r="F137" s="2" t="s">
        <v>206</v>
      </c>
      <c r="G137">
        <v>1</v>
      </c>
    </row>
    <row r="138" spans="3:7" x14ac:dyDescent="0.3">
      <c r="C138" s="2" t="s">
        <v>3410</v>
      </c>
      <c r="D138">
        <v>1</v>
      </c>
      <c r="F138" s="2" t="s">
        <v>124</v>
      </c>
      <c r="G138">
        <v>1</v>
      </c>
    </row>
    <row r="139" spans="3:7" x14ac:dyDescent="0.3">
      <c r="C139" s="2" t="s">
        <v>3409</v>
      </c>
      <c r="D139">
        <v>1</v>
      </c>
      <c r="F139" s="2" t="s">
        <v>162</v>
      </c>
      <c r="G139">
        <v>1</v>
      </c>
    </row>
    <row r="140" spans="3:7" x14ac:dyDescent="0.3">
      <c r="C140" s="2" t="s">
        <v>3411</v>
      </c>
      <c r="D140">
        <v>1</v>
      </c>
      <c r="F140" s="2" t="s">
        <v>233</v>
      </c>
      <c r="G140">
        <v>1</v>
      </c>
    </row>
    <row r="141" spans="3:7" x14ac:dyDescent="0.3">
      <c r="C141" s="2" t="s">
        <v>3444</v>
      </c>
      <c r="D141">
        <v>1</v>
      </c>
      <c r="F141" s="2" t="s">
        <v>180</v>
      </c>
      <c r="G141">
        <v>1</v>
      </c>
    </row>
    <row r="142" spans="3:7" x14ac:dyDescent="0.3">
      <c r="C142" s="2" t="s">
        <v>3413</v>
      </c>
      <c r="D142">
        <v>1</v>
      </c>
      <c r="F142"/>
      <c r="G142"/>
    </row>
    <row r="143" spans="3:7" x14ac:dyDescent="0.3">
      <c r="C143" s="2" t="s">
        <v>3456</v>
      </c>
      <c r="D143">
        <v>1</v>
      </c>
      <c r="F143"/>
      <c r="G143"/>
    </row>
    <row r="144" spans="3:7" x14ac:dyDescent="0.3">
      <c r="C144" s="2" t="s">
        <v>3415</v>
      </c>
      <c r="D144">
        <v>1</v>
      </c>
      <c r="F144"/>
      <c r="G144"/>
    </row>
    <row r="145" spans="3:7" x14ac:dyDescent="0.3">
      <c r="C145" s="2" t="s">
        <v>15</v>
      </c>
      <c r="D145">
        <v>1</v>
      </c>
      <c r="F145"/>
      <c r="G145"/>
    </row>
    <row r="146" spans="3:7" x14ac:dyDescent="0.3">
      <c r="C146" s="2" t="s">
        <v>3417</v>
      </c>
      <c r="D146">
        <v>1</v>
      </c>
      <c r="F146"/>
      <c r="G146"/>
    </row>
    <row r="147" spans="3:7" x14ac:dyDescent="0.3">
      <c r="C147" s="2" t="s">
        <v>3451</v>
      </c>
      <c r="D147">
        <v>1</v>
      </c>
      <c r="F147"/>
      <c r="G147"/>
    </row>
    <row r="148" spans="3:7" x14ac:dyDescent="0.3">
      <c r="C148" s="2" t="s">
        <v>3419</v>
      </c>
      <c r="D148">
        <v>1</v>
      </c>
      <c r="F148"/>
      <c r="G148"/>
    </row>
    <row r="149" spans="3:7" x14ac:dyDescent="0.3">
      <c r="C149" s="2" t="s">
        <v>3461</v>
      </c>
      <c r="D149">
        <v>1</v>
      </c>
      <c r="F149"/>
      <c r="G149"/>
    </row>
    <row r="150" spans="3:7" x14ac:dyDescent="0.3">
      <c r="C150" s="2" t="s">
        <v>3406</v>
      </c>
      <c r="D150">
        <v>1</v>
      </c>
      <c r="F150"/>
      <c r="G150"/>
    </row>
    <row r="151" spans="3:7" x14ac:dyDescent="0.3">
      <c r="C151" s="2" t="s">
        <v>3453</v>
      </c>
      <c r="D151">
        <v>1</v>
      </c>
      <c r="F151"/>
      <c r="G151"/>
    </row>
    <row r="152" spans="3:7" x14ac:dyDescent="0.3">
      <c r="C152" s="2" t="s">
        <v>3339</v>
      </c>
      <c r="D152">
        <v>1</v>
      </c>
      <c r="F152"/>
      <c r="G152"/>
    </row>
    <row r="153" spans="3:7" x14ac:dyDescent="0.3">
      <c r="C153" s="2" t="s">
        <v>3455</v>
      </c>
      <c r="D153">
        <v>1</v>
      </c>
      <c r="F153"/>
      <c r="G153"/>
    </row>
    <row r="154" spans="3:7" x14ac:dyDescent="0.3">
      <c r="C154" s="2" t="s">
        <v>3425</v>
      </c>
      <c r="D154">
        <v>1</v>
      </c>
      <c r="F154"/>
      <c r="G154"/>
    </row>
    <row r="155" spans="3:7" x14ac:dyDescent="0.3">
      <c r="C155" s="2" t="s">
        <v>3446</v>
      </c>
      <c r="D155">
        <v>1</v>
      </c>
      <c r="F155"/>
      <c r="G155"/>
    </row>
    <row r="156" spans="3:7" x14ac:dyDescent="0.3">
      <c r="C156" s="2" t="s">
        <v>3423</v>
      </c>
      <c r="D156">
        <v>1</v>
      </c>
      <c r="F156"/>
      <c r="G156"/>
    </row>
    <row r="157" spans="3:7" x14ac:dyDescent="0.3">
      <c r="C157" s="2" t="s">
        <v>3448</v>
      </c>
      <c r="D157">
        <v>1</v>
      </c>
      <c r="F157"/>
      <c r="G157"/>
    </row>
    <row r="158" spans="3:7" x14ac:dyDescent="0.3">
      <c r="C158" s="2" t="s">
        <v>3428</v>
      </c>
      <c r="D158">
        <v>1</v>
      </c>
      <c r="F158"/>
      <c r="G158"/>
    </row>
    <row r="159" spans="3:7" x14ac:dyDescent="0.3">
      <c r="C159" s="2" t="s">
        <v>3431</v>
      </c>
      <c r="D159">
        <v>1</v>
      </c>
      <c r="F159"/>
      <c r="G159"/>
    </row>
    <row r="160" spans="3:7" x14ac:dyDescent="0.3">
      <c r="C160" s="2" t="s">
        <v>3430</v>
      </c>
      <c r="D160">
        <v>1</v>
      </c>
      <c r="F160"/>
      <c r="G160"/>
    </row>
    <row r="161" spans="3:7" x14ac:dyDescent="0.3">
      <c r="C161" s="2" t="s">
        <v>3424</v>
      </c>
      <c r="D161">
        <v>1</v>
      </c>
      <c r="F161"/>
      <c r="G161"/>
    </row>
    <row r="162" spans="3:7" x14ac:dyDescent="0.3">
      <c r="C162" s="2" t="s">
        <v>3385</v>
      </c>
      <c r="D162">
        <v>1</v>
      </c>
      <c r="F162"/>
      <c r="G162"/>
    </row>
    <row r="163" spans="3:7" x14ac:dyDescent="0.3">
      <c r="C163" s="2" t="s">
        <v>3434</v>
      </c>
      <c r="D163">
        <v>1</v>
      </c>
      <c r="F163"/>
      <c r="G163"/>
    </row>
    <row r="164" spans="3:7" x14ac:dyDescent="0.3">
      <c r="C164" s="2" t="s">
        <v>3433</v>
      </c>
      <c r="D164">
        <v>1</v>
      </c>
      <c r="F164"/>
      <c r="G164"/>
    </row>
    <row r="165" spans="3:7" x14ac:dyDescent="0.3">
      <c r="C165" s="2" t="s">
        <v>3436</v>
      </c>
      <c r="D165">
        <v>1</v>
      </c>
      <c r="F165"/>
      <c r="G165"/>
    </row>
    <row r="166" spans="3:7" x14ac:dyDescent="0.3">
      <c r="C166" s="2" t="s">
        <v>3435</v>
      </c>
      <c r="D166">
        <v>1</v>
      </c>
      <c r="F166"/>
      <c r="G166"/>
    </row>
    <row r="167" spans="3:7" x14ac:dyDescent="0.3">
      <c r="C167" s="2" t="s">
        <v>3438</v>
      </c>
      <c r="D167">
        <v>1</v>
      </c>
      <c r="F167"/>
      <c r="G167"/>
    </row>
    <row r="168" spans="3:7" x14ac:dyDescent="0.3">
      <c r="C168" s="2" t="s">
        <v>3362</v>
      </c>
      <c r="D168">
        <v>1</v>
      </c>
      <c r="F168"/>
      <c r="G168"/>
    </row>
    <row r="169" spans="3:7" x14ac:dyDescent="0.3">
      <c r="C169" s="2" t="s">
        <v>3440</v>
      </c>
      <c r="D169">
        <v>1</v>
      </c>
      <c r="F169"/>
      <c r="G169"/>
    </row>
    <row r="170" spans="3:7" x14ac:dyDescent="0.3">
      <c r="C170" s="2" t="s">
        <v>3439</v>
      </c>
      <c r="D170">
        <v>1</v>
      </c>
      <c r="F170"/>
      <c r="G170"/>
    </row>
    <row r="171" spans="3:7" x14ac:dyDescent="0.3">
      <c r="C171" s="2" t="s">
        <v>3442</v>
      </c>
      <c r="D171">
        <v>1</v>
      </c>
      <c r="F171"/>
      <c r="G171"/>
    </row>
    <row r="172" spans="3:7" x14ac:dyDescent="0.3">
      <c r="C172" s="2" t="s">
        <v>3426</v>
      </c>
      <c r="D172">
        <v>1</v>
      </c>
      <c r="F172"/>
      <c r="G172"/>
    </row>
    <row r="173" spans="3:7" x14ac:dyDescent="0.3">
      <c r="C173" s="2" t="s">
        <v>3443</v>
      </c>
      <c r="D173">
        <v>1</v>
      </c>
      <c r="F173"/>
      <c r="G173"/>
    </row>
    <row r="174" spans="3:7" x14ac:dyDescent="0.3">
      <c r="C174" s="2" t="s">
        <v>1</v>
      </c>
      <c r="D174">
        <v>1</v>
      </c>
      <c r="F174"/>
      <c r="G174"/>
    </row>
    <row r="175" spans="3:7" x14ac:dyDescent="0.3">
      <c r="C175" s="2" t="s">
        <v>3427</v>
      </c>
      <c r="D175">
        <v>1</v>
      </c>
      <c r="F175"/>
      <c r="G175"/>
    </row>
    <row r="176" spans="3:7" x14ac:dyDescent="0.3">
      <c r="C176" s="2" t="s">
        <v>3445</v>
      </c>
      <c r="D176">
        <v>1</v>
      </c>
      <c r="F176"/>
      <c r="G176"/>
    </row>
    <row r="177" spans="3:7" x14ac:dyDescent="0.3">
      <c r="C177" s="2" t="s">
        <v>3390</v>
      </c>
      <c r="D177">
        <v>1</v>
      </c>
      <c r="F177"/>
      <c r="G177"/>
    </row>
    <row r="178" spans="3:7" x14ac:dyDescent="0.3">
      <c r="C178" s="2" t="s">
        <v>3447</v>
      </c>
      <c r="D178">
        <v>1</v>
      </c>
      <c r="F178"/>
      <c r="G178"/>
    </row>
    <row r="179" spans="3:7" x14ac:dyDescent="0.3">
      <c r="C179" s="2" t="s">
        <v>3364</v>
      </c>
      <c r="D179">
        <v>1</v>
      </c>
      <c r="F179"/>
      <c r="G179"/>
    </row>
    <row r="180" spans="3:7" x14ac:dyDescent="0.3">
      <c r="C180" s="2" t="s">
        <v>3449</v>
      </c>
      <c r="D180">
        <v>1</v>
      </c>
      <c r="F180"/>
      <c r="G180"/>
    </row>
    <row r="181" spans="3:7" x14ac:dyDescent="0.3">
      <c r="C181" s="2" t="s">
        <v>3392</v>
      </c>
      <c r="D181">
        <v>1</v>
      </c>
      <c r="F181"/>
      <c r="G181"/>
    </row>
    <row r="182" spans="3:7" x14ac:dyDescent="0.3">
      <c r="C182" s="2" t="s">
        <v>3450</v>
      </c>
      <c r="D182">
        <v>1</v>
      </c>
      <c r="F182"/>
      <c r="G182"/>
    </row>
    <row r="183" spans="3:7" x14ac:dyDescent="0.3">
      <c r="C183" s="2" t="s">
        <v>3338</v>
      </c>
      <c r="D183">
        <v>1</v>
      </c>
      <c r="F183"/>
      <c r="G183"/>
    </row>
    <row r="184" spans="3:7" x14ac:dyDescent="0.3">
      <c r="C184" s="2" t="s">
        <v>3452</v>
      </c>
      <c r="D184">
        <v>1</v>
      </c>
      <c r="F184"/>
      <c r="G184"/>
    </row>
    <row r="185" spans="3:7" x14ac:dyDescent="0.3">
      <c r="C185" s="2" t="s">
        <v>3432</v>
      </c>
      <c r="D185">
        <v>1</v>
      </c>
      <c r="F185"/>
      <c r="G185"/>
    </row>
    <row r="186" spans="3:7" x14ac:dyDescent="0.3">
      <c r="C186" s="2" t="s">
        <v>3454</v>
      </c>
      <c r="D186">
        <v>1</v>
      </c>
      <c r="F186"/>
      <c r="G186"/>
    </row>
    <row r="187" spans="3:7" x14ac:dyDescent="0.3">
      <c r="C187" s="2" t="s">
        <v>3366</v>
      </c>
      <c r="D187">
        <v>1</v>
      </c>
      <c r="F187"/>
      <c r="G187"/>
    </row>
    <row r="188" spans="3:7" x14ac:dyDescent="0.3">
      <c r="C188" s="2" t="s">
        <v>14</v>
      </c>
      <c r="D188">
        <v>1</v>
      </c>
      <c r="F188"/>
      <c r="G188"/>
    </row>
    <row r="189" spans="3:7" x14ac:dyDescent="0.3">
      <c r="C189" s="2" t="s">
        <v>3350</v>
      </c>
      <c r="D189">
        <v>1</v>
      </c>
      <c r="F189"/>
      <c r="G189"/>
    </row>
    <row r="190" spans="3:7" x14ac:dyDescent="0.3">
      <c r="C190" s="2" t="s">
        <v>3397</v>
      </c>
      <c r="D190">
        <v>1</v>
      </c>
      <c r="F190"/>
      <c r="G190"/>
    </row>
    <row r="191" spans="3:7" x14ac:dyDescent="0.3">
      <c r="C191" s="2" t="s">
        <v>3395</v>
      </c>
      <c r="D191">
        <v>1</v>
      </c>
      <c r="F191"/>
      <c r="G191"/>
    </row>
    <row r="192" spans="3:7" x14ac:dyDescent="0.3">
      <c r="C192" s="2" t="s">
        <v>3429</v>
      </c>
      <c r="D192">
        <v>1</v>
      </c>
      <c r="F192"/>
      <c r="G192"/>
    </row>
    <row r="193" spans="3:7" x14ac:dyDescent="0.3">
      <c r="C193" s="2" t="s">
        <v>3458</v>
      </c>
      <c r="D193">
        <v>1</v>
      </c>
      <c r="F193"/>
      <c r="G193"/>
    </row>
    <row r="194" spans="3:7" x14ac:dyDescent="0.3">
      <c r="C194" s="2" t="s">
        <v>3457</v>
      </c>
      <c r="D194">
        <v>1</v>
      </c>
      <c r="F194"/>
      <c r="G194"/>
    </row>
    <row r="195" spans="3:7" x14ac:dyDescent="0.3">
      <c r="C195" s="2" t="s">
        <v>3460</v>
      </c>
      <c r="D195">
        <v>1</v>
      </c>
      <c r="F195"/>
      <c r="G195"/>
    </row>
    <row r="196" spans="3:7" x14ac:dyDescent="0.3">
      <c r="C196" s="2" t="s">
        <v>3459</v>
      </c>
      <c r="D196">
        <v>1</v>
      </c>
      <c r="F196"/>
      <c r="G196"/>
    </row>
    <row r="197" spans="3:7" x14ac:dyDescent="0.3">
      <c r="C197" s="2" t="s">
        <v>16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3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29"/>
  <sheetViews>
    <sheetView tabSelected="1" zoomScale="85" zoomScaleNormal="85" workbookViewId="0">
      <pane ySplit="1" topLeftCell="A792" activePane="bottomLeft" state="frozen"/>
      <selection pane="bottomLeft" activeCell="B828" sqref="B828:B829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5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5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</row>
    <row r="163" spans="1:25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5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5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5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5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5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5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5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5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5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5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5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5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5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3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3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3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3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3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3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3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3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3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3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3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3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3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3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3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3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3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3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3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3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3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3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3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3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3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3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3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3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3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3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3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3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3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3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3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3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3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3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3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3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3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3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3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3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3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3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3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3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3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3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3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3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3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3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3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3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3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3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3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3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3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3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3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3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3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3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3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3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3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3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3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3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3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3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3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3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3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3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3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3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3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3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3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3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3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3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3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3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3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3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3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3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3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3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3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3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3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3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3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3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3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3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3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3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3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3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3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3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3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3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3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3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3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3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3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3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3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3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3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3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3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3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3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3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3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3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3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3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3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3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3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3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3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3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3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3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3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3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3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3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3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3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3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3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3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3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3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3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3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3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3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3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3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3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3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3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3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3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3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3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</row>
    <row r="689" spans="1:25" x14ac:dyDescent="0.3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3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3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3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3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3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3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3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3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3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3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3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3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3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3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3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3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3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3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3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3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3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3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3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3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3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3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3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3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3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3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3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3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3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3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3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3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3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3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3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3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3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3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3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3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3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3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3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3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3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3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3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3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3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3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3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3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3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3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3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3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3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3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3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3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3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3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3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3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3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3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3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3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3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3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3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3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3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3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3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3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3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3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3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3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3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3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3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3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3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3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</row>
    <row r="785" spans="1:25" x14ac:dyDescent="0.3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</row>
    <row r="786" spans="1:25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3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3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3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3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3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3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3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3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3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3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3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3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3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3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3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3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3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3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3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3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3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3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3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3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3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</row>
    <row r="813" spans="1:25" x14ac:dyDescent="0.3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x14ac:dyDescent="0.3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x14ac:dyDescent="0.3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x14ac:dyDescent="0.3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x14ac:dyDescent="0.3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x14ac:dyDescent="0.3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x14ac:dyDescent="0.3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x14ac:dyDescent="0.3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x14ac:dyDescent="0.3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  <row r="822" spans="1:25" x14ac:dyDescent="0.3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</row>
    <row r="823" spans="1:25" x14ac:dyDescent="0.3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</row>
    <row r="824" spans="1:25" x14ac:dyDescent="0.3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</row>
    <row r="825" spans="1:25" x14ac:dyDescent="0.3">
      <c r="A825">
        <v>39651</v>
      </c>
      <c r="B825" t="str">
        <f>_xlfn.CONCAT(bron[[#This Row],[personeelsnr]]," ",bron[[#This Row],[achternaam]]," ",bron[[#This Row],[voornaam]])</f>
        <v>39651 Kallenbach Sunny</v>
      </c>
      <c r="C825" t="str">
        <f>VLOOKUP(bron[[#This Row],[personeelsnr]],'data hastus'!$A:$C,2,0)</f>
        <v>Kallenbach</v>
      </c>
      <c r="D825" t="str">
        <f>VLOOKUP(bron[[#This Row],[personeelsnr]],'data hastus'!$A:$C,3,0)</f>
        <v>Sunny</v>
      </c>
      <c r="E825" t="str">
        <f>VLOOKUP(bron[[#This Row],[personeelsnr]],'data hastus'!A:K,11,FALSE)</f>
        <v>Kenneth De Rick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5" t="s">
        <v>3473</v>
      </c>
      <c r="V825" s="24">
        <v>1</v>
      </c>
      <c r="W825" s="24"/>
      <c r="X825" t="s">
        <v>57</v>
      </c>
      <c r="Y825" t="s">
        <v>35</v>
      </c>
    </row>
    <row r="826" spans="1:25" x14ac:dyDescent="0.3">
      <c r="A826">
        <v>41619</v>
      </c>
      <c r="B826" t="str">
        <f>_xlfn.CONCAT(bron[[#This Row],[personeelsnr]]," ",bron[[#This Row],[achternaam]]," ",bron[[#This Row],[voornaam]])</f>
        <v>41619 Bachiri Ousama</v>
      </c>
      <c r="C826" t="str">
        <f>VLOOKUP(bron[[#This Row],[personeelsnr]],'data hastus'!$A:$C,2,0)</f>
        <v>Bachiri</v>
      </c>
      <c r="D826" t="str">
        <f>VLOOKUP(bron[[#This Row],[personeelsnr]],'data hastus'!$A:$C,3,0)</f>
        <v>Ousama</v>
      </c>
      <c r="E826" t="str">
        <f>VLOOKUP(bron[[#This Row],[personeelsnr]],'data hastus'!A:K,11,FALSE)</f>
        <v>Bart Van Der Beken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45892</v>
      </c>
      <c r="U826" s="5" t="s">
        <v>3474</v>
      </c>
      <c r="V826" s="24">
        <v>1</v>
      </c>
      <c r="W826" s="24"/>
      <c r="X826" t="s">
        <v>57</v>
      </c>
      <c r="Y826" t="s">
        <v>222</v>
      </c>
    </row>
    <row r="827" spans="1:25" x14ac:dyDescent="0.3">
      <c r="A827">
        <v>25829</v>
      </c>
      <c r="B827" t="str">
        <f>_xlfn.CONCAT(bron[[#This Row],[personeelsnr]]," ",bron[[#This Row],[achternaam]]," ",bron[[#This Row],[voornaam]])</f>
        <v>25829 Kayim Akin</v>
      </c>
      <c r="C827" t="str">
        <f>VLOOKUP(bron[[#This Row],[personeelsnr]],'data hastus'!$A:$C,2,0)</f>
        <v>Kayim</v>
      </c>
      <c r="D827" t="str">
        <f>VLOOKUP(bron[[#This Row],[personeelsnr]],'data hastus'!$A:$C,3,0)</f>
        <v>Akin</v>
      </c>
      <c r="E827" t="str">
        <f>VLOOKUP(bron[[#This Row],[personeelsnr]],'data hastus'!A:K,11,FALSE)</f>
        <v>Steven Storm</v>
      </c>
      <c r="F827" s="10">
        <v>45891</v>
      </c>
      <c r="G827" s="7"/>
      <c r="H827" s="7"/>
      <c r="I827" s="7"/>
      <c r="N827" s="5">
        <v>1</v>
      </c>
      <c r="S827" s="5">
        <f>SUM(bron[[#This Row],[Januari]:[December]])</f>
        <v>1</v>
      </c>
      <c r="U827" s="5" t="s">
        <v>3475</v>
      </c>
      <c r="V827" s="24"/>
      <c r="W827" s="24">
        <v>1</v>
      </c>
      <c r="X827" t="s">
        <v>58</v>
      </c>
      <c r="Y827" t="s">
        <v>133</v>
      </c>
    </row>
    <row r="828" spans="1:25" x14ac:dyDescent="0.3">
      <c r="A828">
        <v>34198</v>
      </c>
      <c r="B828" t="str">
        <f>_xlfn.CONCAT(bron[[#This Row],[personeelsnr]]," ",bron[[#This Row],[achternaam]]," ",bron[[#This Row],[voornaam]])</f>
        <v>34198 Pelfrene Toby</v>
      </c>
      <c r="C828" t="str">
        <f>VLOOKUP(bron[[#This Row],[personeelsnr]],'data hastus'!$A:$C,2,0)</f>
        <v>Pelfrene</v>
      </c>
      <c r="D828" t="str">
        <f>VLOOKUP(bron[[#This Row],[personeelsnr]],'data hastus'!$A:$C,3,0)</f>
        <v>Toby</v>
      </c>
      <c r="E828" t="str">
        <f>VLOOKUP(bron[[#This Row],[personeelsnr]],'data hastus'!A:K,11,FALSE)</f>
        <v>Els Vanhoe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45895</v>
      </c>
      <c r="U828" s="5" t="s">
        <v>3476</v>
      </c>
      <c r="V828" s="24"/>
      <c r="W828" s="24">
        <v>1</v>
      </c>
      <c r="X828" t="s">
        <v>58</v>
      </c>
      <c r="Y828" t="s">
        <v>19</v>
      </c>
    </row>
    <row r="829" spans="1:25" x14ac:dyDescent="0.3">
      <c r="A829">
        <v>25487</v>
      </c>
      <c r="B829" t="str">
        <f>_xlfn.CONCAT(bron[[#This Row],[personeelsnr]]," ",bron[[#This Row],[achternaam]]," ",bron[[#This Row],[voornaam]])</f>
        <v>25487 Devos Stefaan</v>
      </c>
      <c r="C829" t="str">
        <f>VLOOKUP(bron[[#This Row],[personeelsnr]],'data hastus'!$A:$C,2,0)</f>
        <v>Devos</v>
      </c>
      <c r="D829" t="str">
        <f>VLOOKUP(bron[[#This Row],[personeelsnr]],'data hastus'!$A:$C,3,0)</f>
        <v>Stefaan</v>
      </c>
      <c r="E829" t="str">
        <f>VLOOKUP(bron[[#This Row],[personeelsnr]],'data hastus'!A:K,11,FALSE)</f>
        <v>Steven Storm</v>
      </c>
      <c r="F829" s="10"/>
      <c r="G829" s="7"/>
      <c r="H829" s="7"/>
      <c r="I829" s="7"/>
      <c r="N829" s="5">
        <v>1</v>
      </c>
      <c r="S829" s="36">
        <f>SUM(bron[[#This Row],[Januari]:[December]])</f>
        <v>1</v>
      </c>
      <c r="T829" s="9">
        <v>45887</v>
      </c>
      <c r="U829" s="5" t="s">
        <v>3477</v>
      </c>
      <c r="V829" s="24"/>
      <c r="W829" s="24">
        <v>1</v>
      </c>
      <c r="X829" t="s">
        <v>58</v>
      </c>
      <c r="Y829" t="s">
        <v>180</v>
      </c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29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3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3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2025-08-26T14:54:24Z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