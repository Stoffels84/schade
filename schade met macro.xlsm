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03" documentId="8_{21511603-A870-4D4C-809B-4C28D285AF8F}" xr6:coauthVersionLast="47" xr6:coauthVersionMax="47" xr10:uidLastSave="{60A66AA0-390C-4DA3-9EE5-8DD5FD49D450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D903" i="1"/>
  <c r="E903" i="1"/>
  <c r="S903" i="1"/>
  <c r="C902" i="1"/>
  <c r="D902" i="1"/>
  <c r="E902" i="1"/>
  <c r="S902" i="1"/>
  <c r="C901" i="1"/>
  <c r="D901" i="1"/>
  <c r="E901" i="1"/>
  <c r="S901" i="1"/>
  <c r="C900" i="1"/>
  <c r="D900" i="1"/>
  <c r="E900" i="1"/>
  <c r="S900" i="1"/>
  <c r="C899" i="1"/>
  <c r="D899" i="1"/>
  <c r="E899" i="1"/>
  <c r="S899" i="1"/>
  <c r="C898" i="1"/>
  <c r="D898" i="1"/>
  <c r="E898" i="1"/>
  <c r="S898" i="1"/>
  <c r="C897" i="1"/>
  <c r="D897" i="1"/>
  <c r="E897" i="1"/>
  <c r="S897" i="1"/>
  <c r="C896" i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87" i="1"/>
  <c r="D887" i="1"/>
  <c r="E887" i="1"/>
  <c r="S887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3" i="1"/>
  <c r="D883" i="1"/>
  <c r="E883" i="1"/>
  <c r="S883" i="1"/>
  <c r="C882" i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906" i="1" l="1"/>
  <c r="B882" i="1"/>
  <c r="B886" i="1"/>
  <c r="B892" i="1"/>
  <c r="B898" i="1"/>
  <c r="B902" i="1"/>
  <c r="B884" i="1"/>
  <c r="B888" i="1"/>
  <c r="B896" i="1"/>
  <c r="B899" i="1"/>
  <c r="B901" i="1"/>
  <c r="B903" i="1"/>
  <c r="B900" i="1"/>
  <c r="B881" i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<sst xmlns="http://schemas.openxmlformats.org/spreadsheetml/2006/main" count="8641" uniqueCount="3719">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</sst>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  <sheetName val="Blad1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12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23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7</v>
          </cell>
          <cell r="B7" t="str">
            <v>Steven Storm</v>
          </cell>
          <cell r="D7">
            <v>13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10</v>
          </cell>
          <cell r="B9" t="str">
            <v>Kenneth De Rick</v>
          </cell>
          <cell r="D9">
            <v>24</v>
          </cell>
        </row>
      </sheetData>
      <sheetData sheetId="3"/>
      <sheetData sheetId="4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/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23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13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24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82</v>
      </c>
      <c r="J50" s="14" t="s">
        <v>109</v>
      </c>
      <c r="K50" s="14"/>
      <c r="L50" s="25"/>
      <c r="M50" s="14">
        <f>SUM(M42:M49)</f>
        <v>192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82" activePane="bottomLeft" state="frozen"/>
      <selection activeCell="F1" sqref="F1"/>
      <selection pane="bottomLeft" activeCell="AA907" sqref="AA90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x14ac:dyDescent="0.25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x14ac:dyDescent="0.25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x14ac:dyDescent="0.25">
      <c r="A900">
        <v>39856</v>
      </c>
      <c r="B900" t="str">
        <f>_xlfn.CONCAT(bron[[#This Row],[personeelsnr]]," ",bron[[#This Row],[achternaam]]," ",bron[[#This Row],[voornaam]])</f>
        <v>39856 Curukcu Bayram</v>
      </c>
      <c r="C900" t="str">
        <f>VLOOKUP(bron[[#This Row],[personeelsnr]],'data hastus'!$A:$C,2,0)</f>
        <v>Curukcu</v>
      </c>
      <c r="D900" t="str">
        <f>VLOOKUP(bron[[#This Row],[personeelsnr]],'data hastus'!$A:$C,3,0)</f>
        <v>Bayram</v>
      </c>
      <c r="E900" s="2" t="str">
        <f>VLOOKUP(bron[[#This Row],[personeelsnr]],'data hastus'!A:K,11,FALSE)</f>
        <v>Kenneth De Rick</v>
      </c>
      <c r="G900" s="39"/>
      <c r="H900" s="39"/>
      <c r="I900" s="39"/>
      <c r="S900" s="36">
        <f>SUM(bron[[#This Row],[Januari]:[December]])</f>
        <v>0</v>
      </c>
      <c r="T900" s="41">
        <v>45936</v>
      </c>
      <c r="U900" s="5" t="s">
        <v>3711</v>
      </c>
      <c r="V900" s="37"/>
      <c r="W900" s="37"/>
      <c r="X900" t="s">
        <v>3513</v>
      </c>
      <c r="Y900" t="s">
        <v>25</v>
      </c>
      <c r="Z900" s="2">
        <v>5052</v>
      </c>
      <c r="AA900" s="43" t="s">
        <v>3558</v>
      </c>
    </row>
    <row r="901" spans="1:27" x14ac:dyDescent="0.25">
      <c r="A901">
        <v>35430</v>
      </c>
      <c r="B901" t="str">
        <f>_xlfn.CONCAT(bron[[#This Row],[personeelsnr]]," ",bron[[#This Row],[achternaam]]," ",bron[[#This Row],[voornaam]])</f>
        <v>35430 Vlaminck Dirk</v>
      </c>
      <c r="C901" t="str">
        <f>VLOOKUP(bron[[#This Row],[personeelsnr]],'data hastus'!$A:$C,2,0)</f>
        <v>Vlaminck</v>
      </c>
      <c r="D901" t="str">
        <f>VLOOKUP(bron[[#This Row],[personeelsnr]],'data hastus'!$A:$C,3,0)</f>
        <v>Dirk</v>
      </c>
      <c r="E901" s="2" t="str">
        <f>VLOOKUP(bron[[#This Row],[personeelsnr]],'data hastus'!A:K,11,FALSE)</f>
        <v>Els Vanhoe</v>
      </c>
      <c r="G901" s="39"/>
      <c r="H901" s="39"/>
      <c r="I901" s="39"/>
      <c r="S901" s="36">
        <f>SUM(bron[[#This Row],[Januari]:[December]])</f>
        <v>0</v>
      </c>
      <c r="T901" s="41">
        <v>45941</v>
      </c>
      <c r="U901" s="5" t="s">
        <v>3712</v>
      </c>
      <c r="V901" s="37"/>
      <c r="W901" s="37"/>
      <c r="X901" t="s">
        <v>3513</v>
      </c>
      <c r="Y901" t="s">
        <v>3658</v>
      </c>
      <c r="Z901" s="2">
        <v>5237</v>
      </c>
      <c r="AA901" s="43" t="s">
        <v>3631</v>
      </c>
    </row>
    <row r="902" spans="1:27" x14ac:dyDescent="0.25">
      <c r="A902">
        <v>41871</v>
      </c>
      <c r="B902" t="str">
        <f>_xlfn.CONCAT(bron[[#This Row],[personeelsnr]]," ",bron[[#This Row],[achternaam]]," ",bron[[#This Row],[voornaam]])</f>
        <v>41871 Karanfil Ibrahim</v>
      </c>
      <c r="C902" t="str">
        <f>VLOOKUP(bron[[#This Row],[personeelsnr]],'data hastus'!$A:$C,2,0)</f>
        <v>Karanfil</v>
      </c>
      <c r="D902" t="str">
        <f>VLOOKUP(bron[[#This Row],[personeelsnr]],'data hastus'!$A:$C,3,0)</f>
        <v>Ibrahim</v>
      </c>
      <c r="E902" s="2" t="str">
        <f>VLOOKUP(bron[[#This Row],[personeelsnr]],'data hastus'!A:K,11,FALSE)</f>
        <v>Dominique De Clercq</v>
      </c>
      <c r="G902" s="39"/>
      <c r="H902" s="39"/>
      <c r="I902" s="39"/>
      <c r="S902" s="36">
        <f>SUM(bron[[#This Row],[Januari]:[December]])</f>
        <v>0</v>
      </c>
      <c r="T902" s="41">
        <v>45936</v>
      </c>
      <c r="U902" s="5" t="s">
        <v>3713</v>
      </c>
      <c r="V902" s="37"/>
      <c r="W902" s="37"/>
      <c r="X902" t="s">
        <v>3512</v>
      </c>
      <c r="Y902" t="s">
        <v>46</v>
      </c>
      <c r="Z902" s="2">
        <v>5487</v>
      </c>
      <c r="AA902" s="43" t="s">
        <v>3558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15219</v>
      </c>
      <c r="B904" t="str">
        <f>_xlfn.CONCAT(bron[[#This Row],[personeelsnr]]," ",bron[[#This Row],[achternaam]]," ",bron[[#This Row],[voornaam]])</f>
        <v>15219 De Mey Peter</v>
      </c>
      <c r="C904" t="str">
        <f>VLOOKUP(bron[[#This Row],[personeelsnr]],'data hastus'!$A:$C,2,0)</f>
        <v>De Mey</v>
      </c>
      <c r="D904" t="str">
        <f>VLOOKUP(bron[[#This Row],[personeelsnr]],'data hastus'!$A:$C,3,0)</f>
        <v>Peter</v>
      </c>
      <c r="E904" s="2" t="str">
        <f>VLOOKUP(bron[[#This Row],[personeelsnr]],'data hastus'!A:K,11,FALSE)</f>
        <v>Bart Van Der Beken</v>
      </c>
      <c r="G904" s="39"/>
      <c r="H904" s="39"/>
      <c r="I904" s="39"/>
      <c r="S904" s="36">
        <f>SUM(bron[[#This Row],[Januari]:[December]])</f>
        <v>0</v>
      </c>
      <c r="T904" s="41">
        <v>45942</v>
      </c>
      <c r="U904" s="5" t="s">
        <v>3715</v>
      </c>
      <c r="V904" s="37"/>
      <c r="W904" s="37"/>
      <c r="X904" t="s">
        <v>3548</v>
      </c>
      <c r="Y904" t="s">
        <v>487</v>
      </c>
      <c r="Z904" s="2">
        <v>6362</v>
      </c>
      <c r="AA904" s="43" t="s">
        <v>3558</v>
      </c>
    </row>
    <row r="905" spans="1:27" x14ac:dyDescent="0.25">
      <c r="A905">
        <v>42252</v>
      </c>
      <c r="B905" t="str">
        <f>_xlfn.CONCAT(bron[[#This Row],[personeelsnr]]," ",bron[[#This Row],[achternaam]]," ",bron[[#This Row],[voornaam]])</f>
        <v>42252 Sular Abdullah</v>
      </c>
      <c r="C905" t="str">
        <f>VLOOKUP(bron[[#This Row],[personeelsnr]],'data hastus'!$A:$C,2,0)</f>
        <v>Sular</v>
      </c>
      <c r="D905" t="str">
        <f>VLOOKUP(bron[[#This Row],[personeelsnr]],'data hastus'!$A:$C,3,0)</f>
        <v>Abdullah</v>
      </c>
      <c r="E905" s="2" t="str">
        <f>VLOOKUP(bron[[#This Row],[personeelsnr]],'data hastus'!A:K,11,FALSE)</f>
        <v>Christoff Rotty</v>
      </c>
      <c r="G905" s="39"/>
      <c r="H905" s="39"/>
      <c r="I905" s="39"/>
      <c r="S905" s="36">
        <f>SUM(bron[[#This Row],[Januari]:[December]])</f>
        <v>0</v>
      </c>
      <c r="T905" s="41">
        <v>45945</v>
      </c>
      <c r="U905" s="5" t="s">
        <v>3716</v>
      </c>
      <c r="V905" s="37"/>
      <c r="W905" s="37"/>
      <c r="X905" t="s">
        <v>3512</v>
      </c>
      <c r="Y905" t="s">
        <v>608</v>
      </c>
      <c r="Z905" s="2">
        <v>5910</v>
      </c>
      <c r="AA905" s="43" t="s">
        <v>3559</v>
      </c>
    </row>
    <row r="906" spans="1:27" x14ac:dyDescent="0.25">
      <c r="A906">
        <v>40138</v>
      </c>
      <c r="B906" t="str">
        <f>_xlfn.CONCAT(bron[[#This Row],[personeelsnr]]," ",bron[[#This Row],[achternaam]]," ",bron[[#This Row],[voornaam]])</f>
        <v>40138 Moerman Tjimmy</v>
      </c>
      <c r="C906" t="str">
        <f>VLOOKUP(bron[[#This Row],[personeelsnr]],'data hastus'!$A:$C,2,0)</f>
        <v>Moerman</v>
      </c>
      <c r="D906" t="str">
        <f>VLOOKUP(bron[[#This Row],[personeelsnr]],'data hastus'!$A:$C,3,0)</f>
        <v>Tjimmy</v>
      </c>
      <c r="E906" s="2" t="str">
        <f>VLOOKUP(bron[[#This Row],[personeelsnr]],'data hastus'!A:K,11,FALSE)</f>
        <v>Christoff Rotty</v>
      </c>
      <c r="G906" s="39"/>
      <c r="H906" s="39"/>
      <c r="I906" s="39"/>
      <c r="S906" s="36">
        <f>SUM(bron[[#This Row],[Januari]:[December]])</f>
        <v>0</v>
      </c>
      <c r="T906" s="41">
        <v>45939</v>
      </c>
      <c r="U906" s="5" t="s">
        <v>3717</v>
      </c>
      <c r="V906" s="37"/>
      <c r="W906" s="37"/>
      <c r="X906" t="s">
        <v>3513</v>
      </c>
      <c r="Y906" t="s">
        <v>236</v>
      </c>
      <c r="Z906" s="2">
        <v>5041</v>
      </c>
      <c r="AA906" s="43" t="s">
        <v>3559</v>
      </c>
    </row>
    <row r="907" spans="1:27" x14ac:dyDescent="0.25">
      <c r="A907">
        <v>41588</v>
      </c>
      <c r="B907" t="str">
        <f>_xlfn.CONCAT(bron[[#This Row],[personeelsnr]]," ",bron[[#This Row],[achternaam]]," ",bron[[#This Row],[voornaam]])</f>
        <v>41588 Naessens Yves</v>
      </c>
      <c r="C907" t="str">
        <f>VLOOKUP(bron[[#This Row],[personeelsnr]],'data hastus'!$A:$C,2,0)</f>
        <v>Naessens</v>
      </c>
      <c r="D907" t="str">
        <f>VLOOKUP(bron[[#This Row],[personeelsnr]],'data hastus'!$A:$C,3,0)</f>
        <v>Yves</v>
      </c>
      <c r="E907" s="2" t="str">
        <f>VLOOKUP(bron[[#This Row],[personeelsnr]],'data hastus'!A:K,11,FALSE)</f>
        <v>Kenneth De Rick</v>
      </c>
      <c r="G907" s="39"/>
      <c r="H907" s="39"/>
      <c r="I907" s="39"/>
      <c r="S907" s="36">
        <f>SUM(bron[[#This Row],[Januari]:[December]])</f>
        <v>0</v>
      </c>
      <c r="T907" s="41">
        <v>45944</v>
      </c>
      <c r="U907" s="5" t="s">
        <v>3718</v>
      </c>
      <c r="V907" s="37"/>
      <c r="W907" s="37"/>
      <c r="X907" t="s">
        <v>3513</v>
      </c>
      <c r="Y907" t="s">
        <v>16</v>
      </c>
      <c r="Z907" s="2">
        <v>2196</v>
      </c>
    </row>
    <row r="908" spans="1:27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2025-10-17T08:50:35Z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