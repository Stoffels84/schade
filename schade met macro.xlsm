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43" documentId="13_ncr:1_{10FCACA5-8197-478D-90D3-5F83063FB753}" xr6:coauthVersionLast="47" xr6:coauthVersionMax="47" xr10:uidLastSave="{F46504F5-E63B-49B8-BC0F-94E1E1905E84}"/>
  <bookViews>
    <workbookView xWindow="-15000" yWindow="1612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1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B918" i="1" s="1"/>
  <c r="D918" i="1"/>
  <c r="E918" i="1"/>
  <c r="S918" i="1"/>
  <c r="C917" i="1"/>
  <c r="B917" i="1" s="1"/>
  <c r="D917" i="1"/>
  <c r="E917" i="1"/>
  <c r="S917" i="1"/>
  <c r="C916" i="1"/>
  <c r="B916" i="1" s="1"/>
  <c r="D916" i="1"/>
  <c r="E916" i="1"/>
  <c r="S916" i="1"/>
  <c r="C915" i="1"/>
  <c r="B915" i="1" s="1"/>
  <c r="D915" i="1"/>
  <c r="E915" i="1"/>
  <c r="S915" i="1"/>
  <c r="C914" i="1"/>
  <c r="B914" i="1" s="1"/>
  <c r="D914" i="1"/>
  <c r="E914" i="1"/>
  <c r="S914" i="1"/>
  <c r="C913" i="1"/>
  <c r="B913" i="1" s="1"/>
  <c r="D913" i="1"/>
  <c r="E913" i="1"/>
  <c r="S913" i="1"/>
  <c r="C912" i="1"/>
  <c r="B912" i="1" s="1"/>
  <c r="D912" i="1"/>
  <c r="E912" i="1"/>
  <c r="S912" i="1"/>
  <c r="C911" i="1"/>
  <c r="B911" i="1" s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D9" i="12"/>
  <c r="E10" i="12"/>
  <c r="E14" i="12"/>
  <c r="D7" i="12"/>
  <c r="E6" i="12"/>
  <c r="D3" i="12"/>
  <c r="E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12" i="12" l="1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<sst xmlns="http://schemas.openxmlformats.org/spreadsheetml/2006/main" count="8666" uniqueCount="3727">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</sst>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 refreshError="1"/>
      <sheetData sheetId="1" refreshError="1"/>
      <sheetData sheetId="2">
        <row r="2">
          <cell r="A2">
            <v>10</v>
          </cell>
          <cell r="B2" t="str">
            <v>Christoff Rotty</v>
          </cell>
          <cell r="D2">
            <v>26</v>
          </cell>
        </row>
        <row r="3">
          <cell r="A3">
            <v>15</v>
          </cell>
          <cell r="B3" t="str">
            <v>Bart Van der Beken</v>
          </cell>
          <cell r="D3">
            <v>26</v>
          </cell>
        </row>
        <row r="4">
          <cell r="A4">
            <v>14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23</v>
          </cell>
        </row>
        <row r="6">
          <cell r="A6">
            <v>5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11</v>
          </cell>
          <cell r="B9" t="str">
            <v>Kenneth De Rick</v>
          </cell>
          <cell r="D9">
            <v>25</v>
          </cell>
        </row>
      </sheetData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5" t="s">
        <v>89</v>
      </c>
      <c r="J41" s="45"/>
      <c r="K41" s="45"/>
      <c r="L41" s="25"/>
      <c r="M41" s="45" t="s">
        <v>90</v>
      </c>
      <c r="N41" s="45"/>
      <c r="O41" s="45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10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15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14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5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193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889" activePane="bottomLeft" state="frozen"/>
      <selection activeCell="F1" sqref="F1"/>
      <selection pane="bottomLeft" activeCell="A914" sqref="A914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A911">
        <v>30623</v>
      </c>
      <c r="B911" t="str">
        <f>_xlfn.CONCAT(bron[[#This Row],[personeelsnr]]," ",bron[[#This Row],[achternaam]]," ",bron[[#This Row],[voornaam]])</f>
        <v>30623 Gassa Mustafa</v>
      </c>
      <c r="C911" t="str">
        <f>VLOOKUP(bron[[#This Row],[personeelsnr]],'data hastus'!$A:$C,2,0)</f>
        <v>Gassa</v>
      </c>
      <c r="D911" t="str">
        <f>VLOOKUP(bron[[#This Row],[personeelsnr]],'data hastus'!$A:$C,3,0)</f>
        <v>Mustafa</v>
      </c>
      <c r="E911" s="2" t="str">
        <f>VLOOKUP(bron[[#This Row],[personeelsnr]],'data hastus'!A:K,11,FALSE)</f>
        <v>Kenneth De Rick</v>
      </c>
      <c r="F911" s="10"/>
      <c r="G911" s="39"/>
      <c r="H911" s="39"/>
      <c r="I911" s="39"/>
      <c r="S911" s="44">
        <f>SUM(bron[[#This Row],[Januari]:[December]])</f>
        <v>0</v>
      </c>
      <c r="T911" s="41">
        <v>45938</v>
      </c>
      <c r="U911" s="5" t="s">
        <v>3723</v>
      </c>
      <c r="V911" s="37"/>
      <c r="W911" s="37"/>
      <c r="X911" t="s">
        <v>3512</v>
      </c>
      <c r="Y911" t="s">
        <v>3724</v>
      </c>
      <c r="Z911" s="2">
        <v>5770</v>
      </c>
      <c r="AA911" s="43" t="s">
        <v>3558</v>
      </c>
    </row>
    <row r="912" spans="1:27" x14ac:dyDescent="0.25">
      <c r="A912">
        <v>41870</v>
      </c>
      <c r="B912" t="str">
        <f>_xlfn.CONCAT(bron[[#This Row],[personeelsnr]]," ",bron[[#This Row],[achternaam]]," ",bron[[#This Row],[voornaam]])</f>
        <v>41870 Goossens Yannick</v>
      </c>
      <c r="C912" t="str">
        <f>VLOOKUP(bron[[#This Row],[personeelsnr]],'data hastus'!$A:$C,2,0)</f>
        <v>Goossens</v>
      </c>
      <c r="D912" t="str">
        <f>VLOOKUP(bron[[#This Row],[personeelsnr]],'data hastus'!$A:$C,3,0)</f>
        <v>Yannick</v>
      </c>
      <c r="E912" s="2" t="str">
        <f>VLOOKUP(bron[[#This Row],[personeelsnr]],'data hastus'!A:K,11,FALSE)</f>
        <v>Steven Storm</v>
      </c>
      <c r="F912" s="10"/>
      <c r="G912" s="39"/>
      <c r="H912" s="39"/>
      <c r="I912" s="39"/>
      <c r="S912" s="44">
        <f>SUM(bron[[#This Row],[Januari]:[December]])</f>
        <v>0</v>
      </c>
      <c r="T912" s="41">
        <v>45948</v>
      </c>
      <c r="U912" s="5" t="s">
        <v>3725</v>
      </c>
      <c r="V912" s="37"/>
      <c r="W912" s="37"/>
      <c r="X912" t="s">
        <v>3512</v>
      </c>
      <c r="Y912" t="s">
        <v>84</v>
      </c>
      <c r="Z912" s="2">
        <v>550822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44">
        <f>SUM(bron[[#This Row],[Januari]:[December]])</f>
        <v>0</v>
      </c>
      <c r="T913" s="41">
        <v>45947</v>
      </c>
      <c r="U913" s="5" t="s">
        <v>3726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B914" t="e">
        <f>_xlfn.CONCAT(bron[[#This Row],[personeelsnr]]," ",bron[[#This Row],[achternaam]]," ",bron[[#This Row],[voornaam]])</f>
        <v>#N/A</v>
      </c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4">
        <f>SUM(bron[[#This Row],[Januari]:[December]])</f>
        <v>0</v>
      </c>
      <c r="V914" s="37"/>
      <c r="W914" s="37"/>
    </row>
    <row r="915" spans="1:27" x14ac:dyDescent="0.25">
      <c r="B915" t="e">
        <f>_xlfn.CONCAT(bron[[#This Row],[personeelsnr]]," ",bron[[#This Row],[achternaam]]," ",bron[[#This Row],[voornaam]])</f>
        <v>#N/A</v>
      </c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4">
        <f>SUM(bron[[#This Row],[Januari]:[December]])</f>
        <v>0</v>
      </c>
      <c r="V915" s="37"/>
      <c r="W915" s="37"/>
    </row>
    <row r="916" spans="1:27" x14ac:dyDescent="0.25">
      <c r="B916" t="e">
        <f>_xlfn.CONCAT(bron[[#This Row],[personeelsnr]]," ",bron[[#This Row],[achternaam]]," ",bron[[#This Row],[voornaam]])</f>
        <v>#N/A</v>
      </c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4">
        <f>SUM(bron[[#This Row],[Januari]:[December]])</f>
        <v>0</v>
      </c>
      <c r="V916" s="37"/>
      <c r="W916" s="37"/>
    </row>
    <row r="917" spans="1:27" x14ac:dyDescent="0.25">
      <c r="B917" t="e">
        <f>_xlfn.CONCAT(bron[[#This Row],[personeelsnr]]," ",bron[[#This Row],[achternaam]]," ",bron[[#This Row],[voornaam]])</f>
        <v>#N/A</v>
      </c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4">
        <f>SUM(bron[[#This Row],[Januari]:[December]])</f>
        <v>0</v>
      </c>
      <c r="V917" s="37"/>
      <c r="W917" s="37"/>
    </row>
    <row r="918" spans="1:27" x14ac:dyDescent="0.25">
      <c r="B918" t="e">
        <f>_xlfn.CONCAT(bron[[#This Row],[personeelsnr]]," ",bron[[#This Row],[achternaam]]," ",bron[[#This Row],[voornaam]])</f>
        <v>#N/A</v>
      </c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4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2025-10-21T11:03:26Z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