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21" documentId="13_ncr:1_{10FCACA5-8197-478D-90D3-5F83063FB753}" xr6:coauthVersionLast="47" xr6:coauthVersionMax="47" xr10:uidLastSave="{282F4901-39FF-47F9-ADB6-2705DF5F32EC}"/>
  <bookViews>
    <workbookView xWindow="-14040" yWindow="-16320" windowWidth="29040" windowHeight="15720" tabRatio="656" firstSheet="1" activeTab="7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3" r:id="rId11"/>
    <pivotCache cacheId="43" r:id="rId12"/>
    <pivotCache cacheId="4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93" i="1" l="1"/>
  <c r="B994" i="1"/>
  <c r="B995" i="1"/>
  <c r="B996" i="1"/>
  <c r="B997" i="1"/>
  <c r="B998" i="1"/>
  <c r="B999" i="1"/>
  <c r="B1000" i="1"/>
  <c r="B1001" i="1"/>
  <c r="C1001" i="1"/>
  <c r="D1001" i="1"/>
  <c r="E1001" i="1"/>
  <c r="S1001" i="1"/>
  <c r="C1000" i="1"/>
  <c r="D1000" i="1"/>
  <c r="E1000" i="1"/>
  <c r="S1000" i="1"/>
  <c r="C999" i="1"/>
  <c r="D999" i="1"/>
  <c r="E999" i="1"/>
  <c r="S999" i="1"/>
  <c r="C998" i="1"/>
  <c r="D998" i="1"/>
  <c r="E998" i="1"/>
  <c r="S998" i="1"/>
  <c r="C997" i="1"/>
  <c r="D997" i="1"/>
  <c r="E997" i="1"/>
  <c r="S997" i="1"/>
  <c r="C996" i="1"/>
  <c r="D996" i="1"/>
  <c r="E996" i="1"/>
  <c r="S996" i="1"/>
  <c r="C995" i="1"/>
  <c r="D995" i="1"/>
  <c r="E995" i="1"/>
  <c r="S995" i="1"/>
  <c r="C994" i="1"/>
  <c r="D994" i="1"/>
  <c r="E994" i="1"/>
  <c r="S994" i="1"/>
  <c r="C993" i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<sst xmlns="http://schemas.openxmlformats.org/spreadsheetml/2006/main" count="13951" uniqueCount="4541">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</sst>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8">
    <dxf>
      <numFmt numFmtId="2" formatCode="0.00"/>
    </dxf>
    <dxf>
      <numFmt numFmtId="2" formatCode="0.00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5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34">
      <pivotArea field="5" type="button" dataOnly="0" labelOnly="1" outline="0" axis="axisRow" fieldPosition="0"/>
    </format>
    <format dxfId="33">
      <pivotArea dataOnly="0" labelOnly="1" fieldPosition="0">
        <references count="1">
          <reference field="5" count="0"/>
        </references>
      </pivotArea>
    </format>
    <format dxfId="32">
      <pivotArea dataOnly="0" labelOnly="1" grandRow="1" outline="0" fieldPosition="0"/>
    </format>
    <format dxfId="31">
      <pivotArea outline="0" collapsedLevelsAreSubtotals="1" fieldPosition="0"/>
    </format>
    <format dxfId="3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4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26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4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3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7"/>
    <tableColumn id="5" xr3:uid="{DF37AD45-FC5C-478A-989D-9143E744CEEA}" name="voornaam" dataDxfId="46">
      <calculatedColumnFormula>VLOOKUP(Tabel2[[#This Row],[nr]],'data hastus'!A:C,3,FALSE)</calculatedColumnFormula>
    </tableColumn>
    <tableColumn id="6" xr3:uid="{4098FAFB-9B09-4A81-8B22-18CC90B5F979}" name="achternaam" dataDxfId="4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44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4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2"/>
    <tableColumn id="11" xr3:uid="{97ECF1D5-48DC-4487-B3C2-17232CC8E19E}" name="Januari" dataDxfId="41"/>
    <tableColumn id="12" xr3:uid="{7B2FF520-A575-45C0-BB5A-19B87DDB4EA0}" name="Februari" dataDxfId="40"/>
    <tableColumn id="13" xr3:uid="{4E6C30D1-FB72-4AB2-900F-14A3D53F34DE}" name="Maart" dataDxfId="3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8">
      <calculatedColumnFormula>SUM(bron[[#This Row],[Januari]:[December]])</calculatedColumnFormula>
    </tableColumn>
    <tableColumn id="10" xr3:uid="{8D9646BD-38B6-4F4D-9859-B3933369346B}" name="Datum" dataDxfId="3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6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9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8">
      <calculatedColumnFormula>YEAR(TODAY()) - YEAR(E2) - (IF(DATE(YEAR(TODAY()), MONTH(E2), DAY(E2)) &gt; TODAY(), 1, 0))</calculatedColumnFormula>
    </tableColumn>
    <tableColumn id="5" xr3:uid="{4C697650-E57C-44EB-9139-9D19E4E44782}" name="aantal schades" dataDxfId="27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25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24"/>
    <tableColumn id="2" xr3:uid="{B74D5419-AF77-4013-9D4D-A27CB821A194}" name="Voornaam" dataDxfId="23"/>
    <tableColumn id="3" xr3:uid="{8AFF5D53-02DB-4104-8133-50DD6E1299B8}" name="Achternaam" dataDxfId="22"/>
    <tableColumn id="4" xr3:uid="{B76D7E71-E174-470B-9D6C-5440B7A4886F}" name="Personeelsnummer" dataDxfId="21"/>
    <tableColumn id="6" xr3:uid="{944F1A33-FEB0-4FC2-8D2C-B7C202DA92D5}" name="Team Coach" dataDxfId="20"/>
    <tableColumn id="7" xr3:uid="{5B917C88-1EEB-48B9-9CA7-608DFC8F40C2}" name="Datum in dienst" dataDxfId="19"/>
    <tableColumn id="10" xr3:uid="{3501E25E-962A-4C61-8F65-B8F428AE63EB}" name="Dienstjaren" dataDxfId="18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9" workbookViewId="0">
      <selection activeCell="D13" sqref="D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25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25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25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25">
      <c r="C16" s="2" t="s">
        <v>7</v>
      </c>
      <c r="D16">
        <v>5</v>
      </c>
      <c r="I16" s="2" t="s">
        <v>53</v>
      </c>
      <c r="J16">
        <v>46</v>
      </c>
    </row>
    <row r="17" spans="3:10" x14ac:dyDescent="0.25">
      <c r="C17" s="2" t="s">
        <v>220</v>
      </c>
      <c r="D17">
        <v>5</v>
      </c>
      <c r="I17" s="2" t="s">
        <v>56</v>
      </c>
      <c r="J17">
        <v>41</v>
      </c>
    </row>
    <row r="18" spans="3:10" x14ac:dyDescent="0.25">
      <c r="C18" s="2" t="s">
        <v>3825</v>
      </c>
      <c r="D18">
        <v>5</v>
      </c>
      <c r="I18" s="2" t="s">
        <v>50</v>
      </c>
      <c r="J18">
        <v>40</v>
      </c>
    </row>
    <row r="19" spans="3:10" x14ac:dyDescent="0.25">
      <c r="C19" s="2" t="s">
        <v>318</v>
      </c>
      <c r="D19">
        <v>4</v>
      </c>
      <c r="I19" s="2" t="s">
        <v>59</v>
      </c>
      <c r="J19">
        <v>4</v>
      </c>
    </row>
    <row r="20" spans="3:10" x14ac:dyDescent="0.25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25">
      <c r="C21" s="2" t="s">
        <v>13</v>
      </c>
      <c r="D21">
        <v>4</v>
      </c>
      <c r="F21" s="2" t="s">
        <v>2</v>
      </c>
      <c r="G21">
        <v>26</v>
      </c>
    </row>
    <row r="22" spans="3:10" x14ac:dyDescent="0.25">
      <c r="C22" s="2" t="s">
        <v>169</v>
      </c>
      <c r="D22">
        <v>4</v>
      </c>
      <c r="F22" s="2" t="s">
        <v>6</v>
      </c>
      <c r="G22">
        <v>21</v>
      </c>
    </row>
    <row r="23" spans="3:10" x14ac:dyDescent="0.25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 s="43">
        <v>35</v>
      </c>
    </row>
    <row r="25" spans="3:10" x14ac:dyDescent="0.25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 s="43">
        <v>55</v>
      </c>
    </row>
    <row r="26" spans="3:10" x14ac:dyDescent="0.25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 s="43">
        <v>49</v>
      </c>
    </row>
    <row r="27" spans="3:10" x14ac:dyDescent="0.25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 s="43">
        <v>23</v>
      </c>
    </row>
    <row r="29" spans="3:10" x14ac:dyDescent="0.25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 s="43">
        <v>24</v>
      </c>
    </row>
    <row r="30" spans="3:10" x14ac:dyDescent="0.25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 s="43">
        <v>13</v>
      </c>
    </row>
    <row r="31" spans="3:10" x14ac:dyDescent="0.25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 s="43">
        <v>7</v>
      </c>
    </row>
    <row r="32" spans="3:10" x14ac:dyDescent="0.25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 s="43">
        <v>13</v>
      </c>
    </row>
    <row r="33" spans="3:10" x14ac:dyDescent="0.25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 s="43">
        <v>9</v>
      </c>
    </row>
    <row r="34" spans="3:10" x14ac:dyDescent="0.25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 s="43">
        <v>7</v>
      </c>
    </row>
    <row r="35" spans="3:10" x14ac:dyDescent="0.25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 s="43">
        <v>9</v>
      </c>
    </row>
    <row r="36" spans="3:10" x14ac:dyDescent="0.25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 s="43">
        <v>1</v>
      </c>
    </row>
    <row r="37" spans="3:10" x14ac:dyDescent="0.25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 s="43">
        <v>15</v>
      </c>
    </row>
    <row r="39" spans="3:10" x14ac:dyDescent="0.25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 s="43">
        <v>5</v>
      </c>
    </row>
    <row r="40" spans="3:10" x14ac:dyDescent="0.25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 s="43">
        <v>6</v>
      </c>
    </row>
    <row r="41" spans="3:10" x14ac:dyDescent="0.25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 s="43">
        <v>11</v>
      </c>
    </row>
    <row r="42" spans="3:10" x14ac:dyDescent="0.25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 s="43">
        <v>12</v>
      </c>
    </row>
    <row r="43" spans="3:10" x14ac:dyDescent="0.25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 s="43">
        <v>4</v>
      </c>
    </row>
    <row r="45" spans="3:10" x14ac:dyDescent="0.25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 s="43">
        <v>6</v>
      </c>
    </row>
    <row r="47" spans="3:10" x14ac:dyDescent="0.25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 s="43">
        <v>8</v>
      </c>
    </row>
    <row r="48" spans="3:10" x14ac:dyDescent="0.25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 s="43">
        <v>5</v>
      </c>
    </row>
    <row r="49" spans="3:10" x14ac:dyDescent="0.25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 s="43">
        <v>7</v>
      </c>
    </row>
    <row r="50" spans="3:10" x14ac:dyDescent="0.25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 s="43">
        <v>6</v>
      </c>
    </row>
    <row r="51" spans="3:10" x14ac:dyDescent="0.25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 s="43">
        <v>3</v>
      </c>
    </row>
    <row r="52" spans="3:10" x14ac:dyDescent="0.25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 s="43">
        <v>1</v>
      </c>
    </row>
    <row r="55" spans="3:10" x14ac:dyDescent="0.25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 s="43">
        <v>1</v>
      </c>
    </row>
    <row r="56" spans="3:10" x14ac:dyDescent="0.25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 s="43">
        <v>3</v>
      </c>
    </row>
    <row r="57" spans="3:10" x14ac:dyDescent="0.25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 s="43">
        <v>2</v>
      </c>
    </row>
    <row r="58" spans="3:10" x14ac:dyDescent="0.25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 s="43">
        <v>2</v>
      </c>
    </row>
    <row r="59" spans="3:10" x14ac:dyDescent="0.25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 s="43">
        <v>1</v>
      </c>
    </row>
    <row r="60" spans="3:10" x14ac:dyDescent="0.25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>
        <v>2</v>
      </c>
      <c r="F61" s="2" t="s">
        <v>71</v>
      </c>
      <c r="G61">
        <v>3</v>
      </c>
    </row>
    <row r="62" spans="3:10" x14ac:dyDescent="0.25">
      <c r="C62" s="2" t="s">
        <v>151</v>
      </c>
      <c r="D62">
        <v>2</v>
      </c>
      <c r="F62" s="2" t="s">
        <v>589</v>
      </c>
      <c r="G62">
        <v>3</v>
      </c>
    </row>
    <row r="63" spans="3:10" x14ac:dyDescent="0.25">
      <c r="C63" s="2" t="s">
        <v>119</v>
      </c>
      <c r="D63">
        <v>2</v>
      </c>
      <c r="F63" s="2" t="s">
        <v>40</v>
      </c>
      <c r="G63">
        <v>3</v>
      </c>
    </row>
    <row r="64" spans="3:10" x14ac:dyDescent="0.25">
      <c r="C64" s="2" t="s">
        <v>109</v>
      </c>
      <c r="D64">
        <v>2</v>
      </c>
      <c r="F64" s="2" t="s">
        <v>144</v>
      </c>
      <c r="G64">
        <v>3</v>
      </c>
    </row>
    <row r="65" spans="3:7" x14ac:dyDescent="0.25">
      <c r="C65" s="2" t="s">
        <v>297</v>
      </c>
      <c r="D65">
        <v>2</v>
      </c>
      <c r="F65" s="2" t="s">
        <v>647</v>
      </c>
      <c r="G65">
        <v>3</v>
      </c>
    </row>
    <row r="66" spans="3:7" x14ac:dyDescent="0.25">
      <c r="C66" s="2" t="s">
        <v>241</v>
      </c>
      <c r="D66">
        <v>2</v>
      </c>
      <c r="F66" s="2" t="s">
        <v>223</v>
      </c>
      <c r="G66">
        <v>3</v>
      </c>
    </row>
    <row r="67" spans="3:7" x14ac:dyDescent="0.25">
      <c r="C67" s="2" t="s">
        <v>3667</v>
      </c>
      <c r="D67">
        <v>2</v>
      </c>
      <c r="F67" s="2" t="s">
        <v>114</v>
      </c>
      <c r="G67">
        <v>3</v>
      </c>
    </row>
    <row r="68" spans="3:7" x14ac:dyDescent="0.25">
      <c r="C68" s="2" t="s">
        <v>328</v>
      </c>
      <c r="D68">
        <v>2</v>
      </c>
      <c r="F68" s="2" t="s">
        <v>1304</v>
      </c>
      <c r="G68">
        <v>2</v>
      </c>
    </row>
    <row r="69" spans="3:7" x14ac:dyDescent="0.25">
      <c r="C69" s="2" t="s">
        <v>263</v>
      </c>
      <c r="D69">
        <v>2</v>
      </c>
      <c r="F69" s="2" t="s">
        <v>106</v>
      </c>
      <c r="G69">
        <v>2</v>
      </c>
    </row>
    <row r="70" spans="3:7" x14ac:dyDescent="0.25">
      <c r="C70" s="2" t="s">
        <v>97</v>
      </c>
      <c r="D70">
        <v>2</v>
      </c>
      <c r="F70" s="2" t="s">
        <v>85</v>
      </c>
      <c r="G70">
        <v>2</v>
      </c>
    </row>
    <row r="71" spans="3:7" x14ac:dyDescent="0.25">
      <c r="C71" s="2" t="s">
        <v>103</v>
      </c>
      <c r="D71">
        <v>2</v>
      </c>
      <c r="F71" s="2" t="s">
        <v>188</v>
      </c>
      <c r="G71">
        <v>2</v>
      </c>
    </row>
    <row r="72" spans="3:7" x14ac:dyDescent="0.25">
      <c r="C72" s="2" t="s">
        <v>143</v>
      </c>
      <c r="D72">
        <v>2</v>
      </c>
      <c r="F72" s="2" t="s">
        <v>718</v>
      </c>
      <c r="G72">
        <v>2</v>
      </c>
    </row>
    <row r="73" spans="3:7" x14ac:dyDescent="0.25">
      <c r="C73" s="2" t="s">
        <v>321</v>
      </c>
      <c r="D73">
        <v>2</v>
      </c>
      <c r="F73" s="2" t="s">
        <v>75</v>
      </c>
      <c r="G73">
        <v>2</v>
      </c>
    </row>
    <row r="74" spans="3:7" x14ac:dyDescent="0.25">
      <c r="C74" s="2" t="s">
        <v>33</v>
      </c>
      <c r="D74">
        <v>2</v>
      </c>
      <c r="F74" s="2" t="s">
        <v>110</v>
      </c>
      <c r="G74">
        <v>2</v>
      </c>
    </row>
    <row r="75" spans="3:7" x14ac:dyDescent="0.25">
      <c r="C75" s="2" t="s">
        <v>107</v>
      </c>
      <c r="D75">
        <v>2</v>
      </c>
      <c r="F75" s="2" t="s">
        <v>3606</v>
      </c>
      <c r="G75">
        <v>2</v>
      </c>
    </row>
    <row r="76" spans="3:7" x14ac:dyDescent="0.25">
      <c r="C76" s="2" t="s">
        <v>210</v>
      </c>
      <c r="D76">
        <v>2</v>
      </c>
      <c r="F76" s="2" t="s">
        <v>946</v>
      </c>
      <c r="G76">
        <v>2</v>
      </c>
    </row>
    <row r="77" spans="3:7" x14ac:dyDescent="0.25">
      <c r="C77" s="2" t="s">
        <v>3751</v>
      </c>
      <c r="D77">
        <v>2</v>
      </c>
      <c r="F77" s="2" t="s">
        <v>79</v>
      </c>
      <c r="G77">
        <v>2</v>
      </c>
    </row>
    <row r="78" spans="3:7" x14ac:dyDescent="0.25">
      <c r="C78" s="2" t="s">
        <v>42</v>
      </c>
      <c r="D78">
        <v>2</v>
      </c>
      <c r="F78" s="2" t="s">
        <v>96</v>
      </c>
      <c r="G78">
        <v>2</v>
      </c>
    </row>
    <row r="79" spans="3:7" x14ac:dyDescent="0.25">
      <c r="C79" s="2" t="s">
        <v>295</v>
      </c>
      <c r="D79">
        <v>2</v>
      </c>
      <c r="F79" s="2" t="s">
        <v>77</v>
      </c>
      <c r="G79">
        <v>2</v>
      </c>
    </row>
    <row r="80" spans="3:7" x14ac:dyDescent="0.25">
      <c r="C80" s="2" t="s">
        <v>78</v>
      </c>
      <c r="D80">
        <v>2</v>
      </c>
      <c r="F80" s="2" t="s">
        <v>102</v>
      </c>
      <c r="G80">
        <v>2</v>
      </c>
    </row>
    <row r="81" spans="3:7" x14ac:dyDescent="0.25">
      <c r="C81" s="2" t="s">
        <v>251</v>
      </c>
      <c r="D81">
        <v>2</v>
      </c>
      <c r="F81" s="2" t="s">
        <v>215</v>
      </c>
      <c r="G81">
        <v>2</v>
      </c>
    </row>
    <row r="82" spans="3:7" x14ac:dyDescent="0.25">
      <c r="C82" s="2" t="s">
        <v>91</v>
      </c>
      <c r="D82">
        <v>2</v>
      </c>
      <c r="F82" s="2" t="s">
        <v>116</v>
      </c>
      <c r="G82">
        <v>2</v>
      </c>
    </row>
    <row r="83" spans="3:7" x14ac:dyDescent="0.25">
      <c r="C83" s="2" t="s">
        <v>185</v>
      </c>
      <c r="D83">
        <v>2</v>
      </c>
      <c r="F83" s="2" t="s">
        <v>108</v>
      </c>
      <c r="G83">
        <v>2</v>
      </c>
    </row>
    <row r="84" spans="3:7" x14ac:dyDescent="0.25">
      <c r="C84" s="2" t="s">
        <v>60</v>
      </c>
      <c r="D84">
        <v>2</v>
      </c>
      <c r="F84" s="2" t="s">
        <v>3530</v>
      </c>
      <c r="G84">
        <v>2</v>
      </c>
    </row>
    <row r="85" spans="3:7" x14ac:dyDescent="0.25">
      <c r="C85" s="2" t="s">
        <v>115</v>
      </c>
      <c r="D85">
        <v>2</v>
      </c>
      <c r="F85" s="2" t="s">
        <v>3616</v>
      </c>
      <c r="G85">
        <v>2</v>
      </c>
    </row>
    <row r="86" spans="3:7" x14ac:dyDescent="0.25">
      <c r="C86" s="2" t="s">
        <v>127</v>
      </c>
      <c r="D86">
        <v>2</v>
      </c>
      <c r="F86" s="2" t="s">
        <v>83</v>
      </c>
      <c r="G86">
        <v>2</v>
      </c>
    </row>
    <row r="87" spans="3:7" x14ac:dyDescent="0.25">
      <c r="C87" s="2" t="s">
        <v>3639</v>
      </c>
      <c r="D87">
        <v>2</v>
      </c>
      <c r="F87" s="2" t="s">
        <v>3482</v>
      </c>
      <c r="G87">
        <v>2</v>
      </c>
    </row>
    <row r="88" spans="3:7" x14ac:dyDescent="0.25">
      <c r="C88" s="2" t="s">
        <v>45</v>
      </c>
      <c r="D88">
        <v>2</v>
      </c>
      <c r="F88" s="2" t="s">
        <v>468</v>
      </c>
      <c r="G88">
        <v>2</v>
      </c>
    </row>
    <row r="89" spans="3:7" x14ac:dyDescent="0.25">
      <c r="C89" s="2" t="s">
        <v>117</v>
      </c>
      <c r="D89">
        <v>2</v>
      </c>
      <c r="F89" s="2" t="s">
        <v>217</v>
      </c>
      <c r="G89">
        <v>2</v>
      </c>
    </row>
    <row r="90" spans="3:7" x14ac:dyDescent="0.25">
      <c r="C90" s="2" t="s">
        <v>216</v>
      </c>
      <c r="D90">
        <v>2</v>
      </c>
      <c r="F90" s="2" t="s">
        <v>207</v>
      </c>
      <c r="G90">
        <v>2</v>
      </c>
    </row>
    <row r="91" spans="3:7" x14ac:dyDescent="0.25">
      <c r="C91" s="2" t="s">
        <v>39</v>
      </c>
      <c r="D91">
        <v>2</v>
      </c>
      <c r="F91" s="2" t="s">
        <v>92</v>
      </c>
      <c r="G91">
        <v>2</v>
      </c>
    </row>
    <row r="92" spans="3:7" x14ac:dyDescent="0.25">
      <c r="C92" s="2" t="s">
        <v>68</v>
      </c>
      <c r="D92">
        <v>2</v>
      </c>
      <c r="F92" s="2" t="s">
        <v>221</v>
      </c>
      <c r="G92">
        <v>2</v>
      </c>
    </row>
    <row r="93" spans="3:7" x14ac:dyDescent="0.25">
      <c r="C93" s="2" t="s">
        <v>290</v>
      </c>
      <c r="D93">
        <v>2</v>
      </c>
      <c r="F93" s="2" t="s">
        <v>3488</v>
      </c>
      <c r="G93">
        <v>2</v>
      </c>
    </row>
    <row r="94" spans="3:7" x14ac:dyDescent="0.25">
      <c r="C94" s="2" t="s">
        <v>101</v>
      </c>
      <c r="D94">
        <v>2</v>
      </c>
      <c r="F94" s="2" t="s">
        <v>559</v>
      </c>
      <c r="G94">
        <v>2</v>
      </c>
    </row>
    <row r="95" spans="3:7" x14ac:dyDescent="0.25">
      <c r="C95" s="2" t="s">
        <v>36</v>
      </c>
      <c r="D95">
        <v>2</v>
      </c>
      <c r="F95" s="2" t="s">
        <v>104</v>
      </c>
      <c r="G95">
        <v>2</v>
      </c>
    </row>
    <row r="96" spans="3:7" x14ac:dyDescent="0.25">
      <c r="C96" s="2" t="s">
        <v>3644</v>
      </c>
      <c r="D96">
        <v>2</v>
      </c>
      <c r="F96" s="2" t="s">
        <v>180</v>
      </c>
      <c r="G96">
        <v>2</v>
      </c>
    </row>
    <row r="97" spans="3:7" x14ac:dyDescent="0.25">
      <c r="C97" s="2" t="s">
        <v>70</v>
      </c>
      <c r="D97">
        <v>2</v>
      </c>
      <c r="F97" s="2" t="s">
        <v>3638</v>
      </c>
      <c r="G97">
        <v>2</v>
      </c>
    </row>
    <row r="98" spans="3:7" x14ac:dyDescent="0.25">
      <c r="C98" s="2" t="s">
        <v>82</v>
      </c>
      <c r="D98">
        <v>2</v>
      </c>
      <c r="F98" s="2" t="s">
        <v>231</v>
      </c>
      <c r="G98">
        <v>2</v>
      </c>
    </row>
    <row r="99" spans="3:7" x14ac:dyDescent="0.25">
      <c r="C99" s="2" t="s">
        <v>125</v>
      </c>
      <c r="D99">
        <v>2</v>
      </c>
      <c r="F99" s="2" t="s">
        <v>266</v>
      </c>
      <c r="G99">
        <v>2</v>
      </c>
    </row>
    <row r="100" spans="3:7" x14ac:dyDescent="0.25">
      <c r="C100" s="2" t="s">
        <v>72</v>
      </c>
      <c r="D100">
        <v>2</v>
      </c>
      <c r="F100" s="2" t="s">
        <v>73</v>
      </c>
      <c r="G100">
        <v>2</v>
      </c>
    </row>
    <row r="101" spans="3:7" x14ac:dyDescent="0.25">
      <c r="C101" s="2" t="s">
        <v>196</v>
      </c>
      <c r="D101">
        <v>2</v>
      </c>
      <c r="F101" s="2" t="s">
        <v>3543</v>
      </c>
      <c r="G101">
        <v>2</v>
      </c>
    </row>
    <row r="102" spans="3:7" x14ac:dyDescent="0.25">
      <c r="C102" s="2" t="s">
        <v>3648</v>
      </c>
      <c r="D102">
        <v>2</v>
      </c>
      <c r="F102" s="2" t="s">
        <v>69</v>
      </c>
      <c r="G102">
        <v>2</v>
      </c>
    </row>
    <row r="103" spans="3:7" x14ac:dyDescent="0.25">
      <c r="C103" s="2" t="s">
        <v>279</v>
      </c>
      <c r="D103">
        <v>2</v>
      </c>
      <c r="F103" s="2" t="s">
        <v>201</v>
      </c>
      <c r="G103">
        <v>1</v>
      </c>
    </row>
    <row r="104" spans="3:7" x14ac:dyDescent="0.25">
      <c r="C104" s="2" t="s">
        <v>48</v>
      </c>
      <c r="D104">
        <v>2</v>
      </c>
      <c r="F104" s="2" t="s">
        <v>941</v>
      </c>
      <c r="G104">
        <v>1</v>
      </c>
    </row>
    <row r="105" spans="3:7" x14ac:dyDescent="0.25">
      <c r="C105" s="2" t="s">
        <v>282</v>
      </c>
      <c r="D105">
        <v>2</v>
      </c>
      <c r="F105" s="2" t="s">
        <v>192</v>
      </c>
      <c r="G105">
        <v>1</v>
      </c>
    </row>
    <row r="106" spans="3:7" x14ac:dyDescent="0.25">
      <c r="C106" s="2" t="s">
        <v>226</v>
      </c>
      <c r="D106">
        <v>2</v>
      </c>
      <c r="F106" s="2" t="s">
        <v>140</v>
      </c>
      <c r="G106">
        <v>1</v>
      </c>
    </row>
    <row r="107" spans="3:7" x14ac:dyDescent="0.25">
      <c r="C107" s="2" t="s">
        <v>286</v>
      </c>
      <c r="D107">
        <v>2</v>
      </c>
      <c r="F107" s="2" t="s">
        <v>132</v>
      </c>
      <c r="G107">
        <v>1</v>
      </c>
    </row>
    <row r="108" spans="3:7" x14ac:dyDescent="0.25">
      <c r="C108" s="2" t="s">
        <v>177</v>
      </c>
      <c r="D108">
        <v>2</v>
      </c>
      <c r="F108" s="2" t="s">
        <v>3490</v>
      </c>
      <c r="G108">
        <v>1</v>
      </c>
    </row>
    <row r="109" spans="3:7" x14ac:dyDescent="0.25">
      <c r="C109" s="2" t="s">
        <v>3664</v>
      </c>
      <c r="D109">
        <v>2</v>
      </c>
      <c r="F109" s="2" t="s">
        <v>236</v>
      </c>
      <c r="G109">
        <v>1</v>
      </c>
    </row>
    <row r="110" spans="3:7" x14ac:dyDescent="0.25">
      <c r="C110" s="2" t="s">
        <v>339</v>
      </c>
      <c r="D110">
        <v>2</v>
      </c>
      <c r="F110" s="2" t="s">
        <v>1313</v>
      </c>
      <c r="G110">
        <v>1</v>
      </c>
    </row>
    <row r="111" spans="3:7" x14ac:dyDescent="0.25">
      <c r="C111" s="2" t="s">
        <v>141</v>
      </c>
      <c r="D111">
        <v>2</v>
      </c>
      <c r="F111" s="2" t="s">
        <v>232</v>
      </c>
      <c r="G111">
        <v>1</v>
      </c>
    </row>
    <row r="112" spans="3:7" x14ac:dyDescent="0.25">
      <c r="C112" s="2" t="s">
        <v>3817</v>
      </c>
      <c r="D112">
        <v>2</v>
      </c>
      <c r="F112" s="2" t="s">
        <v>190</v>
      </c>
      <c r="G112">
        <v>1</v>
      </c>
    </row>
    <row r="113" spans="3:7" x14ac:dyDescent="0.25">
      <c r="C113" s="2" t="s">
        <v>288</v>
      </c>
      <c r="D113">
        <v>2</v>
      </c>
      <c r="F113" s="2" t="s">
        <v>252</v>
      </c>
      <c r="G113">
        <v>1</v>
      </c>
    </row>
    <row r="114" spans="3:7" x14ac:dyDescent="0.25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25">
      <c r="C115" s="2" t="s">
        <v>228</v>
      </c>
      <c r="D115">
        <v>2</v>
      </c>
      <c r="F115" s="2" t="s">
        <v>276</v>
      </c>
      <c r="G115">
        <v>1</v>
      </c>
    </row>
    <row r="116" spans="3:7" x14ac:dyDescent="0.25">
      <c r="C116" s="2" t="s">
        <v>95</v>
      </c>
      <c r="D116">
        <v>2</v>
      </c>
      <c r="F116" s="2" t="s">
        <v>148</v>
      </c>
      <c r="G116">
        <v>1</v>
      </c>
    </row>
    <row r="117" spans="3:7" x14ac:dyDescent="0.25">
      <c r="C117" s="2" t="s">
        <v>74</v>
      </c>
      <c r="D117">
        <v>2</v>
      </c>
      <c r="F117" s="2" t="s">
        <v>205</v>
      </c>
      <c r="G117">
        <v>1</v>
      </c>
    </row>
    <row r="118" spans="3:7" x14ac:dyDescent="0.25">
      <c r="C118" s="2" t="s">
        <v>273</v>
      </c>
      <c r="D118">
        <v>2</v>
      </c>
      <c r="F118" s="2" t="s">
        <v>152</v>
      </c>
      <c r="G118">
        <v>1</v>
      </c>
    </row>
    <row r="119" spans="3:7" x14ac:dyDescent="0.25">
      <c r="C119" s="2" t="s">
        <v>88</v>
      </c>
      <c r="D119">
        <v>2</v>
      </c>
      <c r="F119" s="2" t="s">
        <v>264</v>
      </c>
      <c r="G119">
        <v>1</v>
      </c>
    </row>
    <row r="120" spans="3:7" x14ac:dyDescent="0.25">
      <c r="C120" s="2" t="s">
        <v>329</v>
      </c>
      <c r="D120">
        <v>2</v>
      </c>
      <c r="F120" s="2" t="s">
        <v>3785</v>
      </c>
      <c r="G120">
        <v>1</v>
      </c>
    </row>
    <row r="121" spans="3:7" x14ac:dyDescent="0.25">
      <c r="C121" s="2" t="s">
        <v>336</v>
      </c>
      <c r="D121">
        <v>2</v>
      </c>
      <c r="F121" s="2" t="s">
        <v>170</v>
      </c>
      <c r="G121">
        <v>1</v>
      </c>
    </row>
    <row r="122" spans="3:7" x14ac:dyDescent="0.25">
      <c r="C122" s="2" t="s">
        <v>287</v>
      </c>
      <c r="D122">
        <v>1</v>
      </c>
      <c r="F122" s="2" t="s">
        <v>156</v>
      </c>
      <c r="G122">
        <v>1</v>
      </c>
    </row>
    <row r="123" spans="3:7" x14ac:dyDescent="0.25">
      <c r="C123" s="2" t="s">
        <v>137</v>
      </c>
      <c r="D123">
        <v>1</v>
      </c>
      <c r="F123" s="2" t="s">
        <v>118</v>
      </c>
      <c r="G123">
        <v>1</v>
      </c>
    </row>
    <row r="124" spans="3:7" x14ac:dyDescent="0.25">
      <c r="C124" s="2" t="s">
        <v>175</v>
      </c>
      <c r="D124">
        <v>1</v>
      </c>
      <c r="F124" s="2" t="s">
        <v>160</v>
      </c>
      <c r="G124">
        <v>1</v>
      </c>
    </row>
    <row r="125" spans="3:7" x14ac:dyDescent="0.25">
      <c r="C125" s="2" t="s">
        <v>191</v>
      </c>
      <c r="D125">
        <v>1</v>
      </c>
      <c r="F125" s="2" t="s">
        <v>248</v>
      </c>
      <c r="G125">
        <v>1</v>
      </c>
    </row>
    <row r="126" spans="3:7" x14ac:dyDescent="0.25">
      <c r="C126" s="2" t="s">
        <v>304</v>
      </c>
      <c r="D126">
        <v>1</v>
      </c>
      <c r="F126" s="2" t="s">
        <v>164</v>
      </c>
      <c r="G126">
        <v>1</v>
      </c>
    </row>
    <row r="127" spans="3:7" x14ac:dyDescent="0.25">
      <c r="C127" s="2" t="s">
        <v>194</v>
      </c>
      <c r="D127">
        <v>1</v>
      </c>
      <c r="F127" s="2" t="s">
        <v>124</v>
      </c>
      <c r="G127">
        <v>1</v>
      </c>
    </row>
    <row r="128" spans="3:7" x14ac:dyDescent="0.25">
      <c r="C128" s="2" t="s">
        <v>326</v>
      </c>
      <c r="D128">
        <v>1</v>
      </c>
      <c r="F128" s="2" t="s">
        <v>787</v>
      </c>
      <c r="G128">
        <v>1</v>
      </c>
    </row>
    <row r="129" spans="3:7" x14ac:dyDescent="0.25">
      <c r="C129" s="2" t="s">
        <v>198</v>
      </c>
      <c r="D129">
        <v>1</v>
      </c>
      <c r="F129" s="2" t="s">
        <v>3731</v>
      </c>
      <c r="G129">
        <v>1</v>
      </c>
    </row>
    <row r="130" spans="3:7" x14ac:dyDescent="0.25">
      <c r="C130" s="2" t="s">
        <v>3675</v>
      </c>
      <c r="D130">
        <v>1</v>
      </c>
      <c r="F130" s="2" t="s">
        <v>709</v>
      </c>
      <c r="G130">
        <v>1</v>
      </c>
    </row>
    <row r="131" spans="3:7" x14ac:dyDescent="0.25">
      <c r="C131" s="2" t="s">
        <v>3762</v>
      </c>
      <c r="D131">
        <v>1</v>
      </c>
      <c r="F131" s="2" t="s">
        <v>197</v>
      </c>
      <c r="G131">
        <v>1</v>
      </c>
    </row>
    <row r="132" spans="3:7" x14ac:dyDescent="0.25">
      <c r="C132" s="2" t="s">
        <v>165</v>
      </c>
      <c r="D132">
        <v>1</v>
      </c>
      <c r="F132" s="2" t="s">
        <v>1302</v>
      </c>
      <c r="G132">
        <v>1</v>
      </c>
    </row>
    <row r="133" spans="3:7" x14ac:dyDescent="0.25">
      <c r="C133" s="2" t="s">
        <v>3756</v>
      </c>
      <c r="D133">
        <v>1</v>
      </c>
      <c r="F133" s="2" t="s">
        <v>268</v>
      </c>
      <c r="G133">
        <v>1</v>
      </c>
    </row>
    <row r="134" spans="3:7" x14ac:dyDescent="0.25">
      <c r="C134" s="2" t="s">
        <v>224</v>
      </c>
      <c r="D134">
        <v>1</v>
      </c>
      <c r="F134" s="2" t="s">
        <v>3839</v>
      </c>
      <c r="G134">
        <v>1</v>
      </c>
    </row>
    <row r="135" spans="3:7" x14ac:dyDescent="0.25">
      <c r="C135" s="2" t="s">
        <v>206</v>
      </c>
      <c r="D135">
        <v>1</v>
      </c>
      <c r="F135" s="2" t="s">
        <v>229</v>
      </c>
      <c r="G135">
        <v>1</v>
      </c>
    </row>
    <row r="136" spans="3:7" x14ac:dyDescent="0.25">
      <c r="C136" s="2" t="s">
        <v>218</v>
      </c>
      <c r="D136">
        <v>1</v>
      </c>
      <c r="F136" s="2" t="s">
        <v>278</v>
      </c>
      <c r="G136">
        <v>1</v>
      </c>
    </row>
    <row r="137" spans="3:7" x14ac:dyDescent="0.25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25">
      <c r="C138" s="2" t="s">
        <v>163</v>
      </c>
      <c r="D138">
        <v>1</v>
      </c>
      <c r="F138" s="2" t="s">
        <v>1311</v>
      </c>
      <c r="G138">
        <v>1</v>
      </c>
    </row>
    <row r="139" spans="3:7" x14ac:dyDescent="0.25">
      <c r="C139" s="2" t="s">
        <v>3645</v>
      </c>
      <c r="D139">
        <v>1</v>
      </c>
      <c r="F139" s="2" t="s">
        <v>176</v>
      </c>
      <c r="G139">
        <v>1</v>
      </c>
    </row>
    <row r="140" spans="3:7" x14ac:dyDescent="0.25">
      <c r="C140" s="2" t="s">
        <v>3643</v>
      </c>
      <c r="D140">
        <v>1</v>
      </c>
      <c r="F140" s="2" t="s">
        <v>186</v>
      </c>
      <c r="G140">
        <v>1</v>
      </c>
    </row>
    <row r="141" spans="3:7" x14ac:dyDescent="0.25">
      <c r="C141" s="2" t="s">
        <v>265</v>
      </c>
      <c r="D141">
        <v>1</v>
      </c>
      <c r="F141" s="2" t="s">
        <v>126</v>
      </c>
      <c r="G141">
        <v>1</v>
      </c>
    </row>
    <row r="142" spans="3:7" x14ac:dyDescent="0.25">
      <c r="C142" s="2" t="s">
        <v>3811</v>
      </c>
      <c r="D142">
        <v>1</v>
      </c>
      <c r="F142" s="2" t="s">
        <v>796</v>
      </c>
      <c r="G142">
        <v>1</v>
      </c>
    </row>
    <row r="143" spans="3:7" x14ac:dyDescent="0.25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25">
      <c r="C144" s="2" t="s">
        <v>208</v>
      </c>
      <c r="D144">
        <v>1</v>
      </c>
      <c r="F144" s="2" t="s">
        <v>3477</v>
      </c>
      <c r="G144">
        <v>1</v>
      </c>
    </row>
    <row r="145" spans="3:7" x14ac:dyDescent="0.25">
      <c r="C145" s="2" t="s">
        <v>3646</v>
      </c>
      <c r="D145">
        <v>1</v>
      </c>
      <c r="F145" s="2" t="s">
        <v>272</v>
      </c>
      <c r="G145">
        <v>1</v>
      </c>
    </row>
    <row r="146" spans="3:7" x14ac:dyDescent="0.25">
      <c r="C146" s="2" t="s">
        <v>212</v>
      </c>
      <c r="D146">
        <v>1</v>
      </c>
      <c r="F146" s="2" t="s">
        <v>280</v>
      </c>
      <c r="G146">
        <v>1</v>
      </c>
    </row>
    <row r="147" spans="3:7" x14ac:dyDescent="0.25">
      <c r="C147" s="2" t="s">
        <v>214</v>
      </c>
      <c r="D147">
        <v>1</v>
      </c>
      <c r="F147" s="2" t="s">
        <v>3484</v>
      </c>
      <c r="G147">
        <v>1</v>
      </c>
    </row>
    <row r="148" spans="3:7" x14ac:dyDescent="0.25">
      <c r="C148" s="2" t="s">
        <v>306</v>
      </c>
      <c r="D148">
        <v>1</v>
      </c>
      <c r="F148" s="2" t="s">
        <v>514</v>
      </c>
      <c r="G148">
        <v>1</v>
      </c>
    </row>
    <row r="149" spans="3:7" x14ac:dyDescent="0.25">
      <c r="C149" s="2" t="s">
        <v>3764</v>
      </c>
      <c r="D149">
        <v>1</v>
      </c>
      <c r="F149" s="2" t="s">
        <v>162</v>
      </c>
      <c r="G149">
        <v>1</v>
      </c>
    </row>
    <row r="150" spans="3:7" x14ac:dyDescent="0.25">
      <c r="C150" s="2" t="s">
        <v>312</v>
      </c>
      <c r="D150">
        <v>1</v>
      </c>
      <c r="F150" s="2" t="s">
        <v>1270</v>
      </c>
      <c r="G150">
        <v>1</v>
      </c>
    </row>
    <row r="151" spans="3:7" x14ac:dyDescent="0.25">
      <c r="C151" s="2" t="s">
        <v>237</v>
      </c>
      <c r="D151">
        <v>1</v>
      </c>
      <c r="F151" s="2" t="s">
        <v>3721</v>
      </c>
      <c r="G151">
        <v>1</v>
      </c>
    </row>
    <row r="152" spans="3:7" x14ac:dyDescent="0.25">
      <c r="C152" s="2" t="s">
        <v>3759</v>
      </c>
      <c r="D152">
        <v>1</v>
      </c>
      <c r="F152" s="2" t="s">
        <v>219</v>
      </c>
      <c r="G152">
        <v>1</v>
      </c>
    </row>
    <row r="153" spans="3:7" x14ac:dyDescent="0.25">
      <c r="C153" s="2" t="s">
        <v>222</v>
      </c>
      <c r="D153">
        <v>1</v>
      </c>
      <c r="F153" s="2" t="s">
        <v>256</v>
      </c>
      <c r="G153">
        <v>1</v>
      </c>
    </row>
    <row r="154" spans="3:7" x14ac:dyDescent="0.25">
      <c r="C154" s="2" t="s">
        <v>3678</v>
      </c>
      <c r="D154">
        <v>1</v>
      </c>
      <c r="F154" s="2" t="s">
        <v>195</v>
      </c>
      <c r="G154">
        <v>1</v>
      </c>
    </row>
    <row r="155" spans="3:7" x14ac:dyDescent="0.25">
      <c r="C155" s="2" t="s">
        <v>3653</v>
      </c>
      <c r="D155">
        <v>1</v>
      </c>
      <c r="F155" s="2" t="s">
        <v>128</v>
      </c>
      <c r="G155">
        <v>1</v>
      </c>
    </row>
    <row r="156" spans="3:7" x14ac:dyDescent="0.25">
      <c r="C156" s="2" t="s">
        <v>155</v>
      </c>
      <c r="D156">
        <v>1</v>
      </c>
      <c r="F156" s="2" t="s">
        <v>250</v>
      </c>
      <c r="G156">
        <v>1</v>
      </c>
    </row>
    <row r="157" spans="3:7" x14ac:dyDescent="0.25">
      <c r="C157" s="2" t="s">
        <v>4534</v>
      </c>
      <c r="D157">
        <v>1</v>
      </c>
      <c r="F157" s="2" t="s">
        <v>136</v>
      </c>
      <c r="G157">
        <v>1</v>
      </c>
    </row>
    <row r="158" spans="3:7" x14ac:dyDescent="0.25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25">
      <c r="C159" s="2" t="s">
        <v>230</v>
      </c>
      <c r="D159">
        <v>1</v>
      </c>
      <c r="F159" s="2" t="s">
        <v>3799</v>
      </c>
      <c r="G159">
        <v>1</v>
      </c>
    </row>
    <row r="160" spans="3:7" x14ac:dyDescent="0.25">
      <c r="C160" s="2" t="s">
        <v>179</v>
      </c>
      <c r="D160">
        <v>1</v>
      </c>
      <c r="F160" s="2" t="s">
        <v>168</v>
      </c>
      <c r="G160">
        <v>1</v>
      </c>
    </row>
    <row r="161" spans="3:7" x14ac:dyDescent="0.25">
      <c r="C161" s="2" t="s">
        <v>3654</v>
      </c>
      <c r="D161">
        <v>1</v>
      </c>
      <c r="F161" s="2" t="s">
        <v>154</v>
      </c>
      <c r="G161">
        <v>1</v>
      </c>
    </row>
    <row r="162" spans="3:7" x14ac:dyDescent="0.25">
      <c r="C162" s="2" t="s">
        <v>277</v>
      </c>
      <c r="D162">
        <v>1</v>
      </c>
      <c r="F162" s="2" t="s">
        <v>3727</v>
      </c>
      <c r="G162">
        <v>1</v>
      </c>
    </row>
    <row r="163" spans="3:7" x14ac:dyDescent="0.25">
      <c r="C163" s="2" t="s">
        <v>3656</v>
      </c>
      <c r="D163">
        <v>1</v>
      </c>
      <c r="F163" s="2" t="s">
        <v>134</v>
      </c>
      <c r="G163">
        <v>1</v>
      </c>
    </row>
    <row r="164" spans="3:7" x14ac:dyDescent="0.25">
      <c r="C164" s="2" t="s">
        <v>3830</v>
      </c>
      <c r="D164">
        <v>1</v>
      </c>
      <c r="F164" s="2" t="s">
        <v>211</v>
      </c>
      <c r="G164">
        <v>1</v>
      </c>
    </row>
    <row r="165" spans="3:7" x14ac:dyDescent="0.25">
      <c r="C165" s="2" t="s">
        <v>298</v>
      </c>
      <c r="D165">
        <v>1</v>
      </c>
      <c r="F165" s="2" t="s">
        <v>158</v>
      </c>
      <c r="G165">
        <v>1</v>
      </c>
    </row>
    <row r="166" spans="3:7" x14ac:dyDescent="0.25">
      <c r="C166" s="2" t="s">
        <v>200</v>
      </c>
      <c r="D166">
        <v>1</v>
      </c>
      <c r="F166" s="2" t="s">
        <v>193</v>
      </c>
      <c r="G166">
        <v>1</v>
      </c>
    </row>
    <row r="167" spans="3:7" x14ac:dyDescent="0.25">
      <c r="C167" s="2" t="s">
        <v>3829</v>
      </c>
      <c r="D167">
        <v>1</v>
      </c>
      <c r="F167" s="2" t="s">
        <v>184</v>
      </c>
      <c r="G167">
        <v>1</v>
      </c>
    </row>
    <row r="168" spans="3:7" x14ac:dyDescent="0.25">
      <c r="C168" s="2" t="s">
        <v>4533</v>
      </c>
      <c r="D168">
        <v>1</v>
      </c>
      <c r="F168" s="2" t="s">
        <v>3634</v>
      </c>
      <c r="G168">
        <v>1</v>
      </c>
    </row>
    <row r="169" spans="3:7" x14ac:dyDescent="0.25">
      <c r="C169" s="2" t="s">
        <v>320</v>
      </c>
      <c r="D169">
        <v>1</v>
      </c>
      <c r="F169" s="2" t="s">
        <v>3610</v>
      </c>
      <c r="G169">
        <v>1</v>
      </c>
    </row>
    <row r="170" spans="3:7" x14ac:dyDescent="0.25">
      <c r="C170" s="2" t="s">
        <v>3668</v>
      </c>
      <c r="D170">
        <v>1</v>
      </c>
      <c r="F170" s="2" t="s">
        <v>238</v>
      </c>
      <c r="G170">
        <v>1</v>
      </c>
    </row>
    <row r="171" spans="3:7" x14ac:dyDescent="0.25">
      <c r="C171" s="2" t="s">
        <v>249</v>
      </c>
      <c r="D171">
        <v>1</v>
      </c>
      <c r="F171" s="2" t="s">
        <v>3748</v>
      </c>
      <c r="G171">
        <v>1</v>
      </c>
    </row>
    <row r="172" spans="3:7" x14ac:dyDescent="0.25">
      <c r="C172" s="2" t="s">
        <v>294</v>
      </c>
      <c r="D172">
        <v>1</v>
      </c>
      <c r="F172" s="2" t="s">
        <v>650</v>
      </c>
      <c r="G172">
        <v>1</v>
      </c>
    </row>
    <row r="173" spans="3:7" x14ac:dyDescent="0.25">
      <c r="C173" s="2" t="s">
        <v>257</v>
      </c>
      <c r="D173">
        <v>1</v>
      </c>
      <c r="F173" s="2" t="s">
        <v>539</v>
      </c>
      <c r="G173">
        <v>1</v>
      </c>
    </row>
    <row r="174" spans="3:7" x14ac:dyDescent="0.25">
      <c r="C174" s="2" t="s">
        <v>300</v>
      </c>
      <c r="D174">
        <v>1</v>
      </c>
      <c r="F174" s="2" t="s">
        <v>1272</v>
      </c>
      <c r="G174">
        <v>1</v>
      </c>
    </row>
    <row r="175" spans="3:7" x14ac:dyDescent="0.25">
      <c r="C175" s="2" t="s">
        <v>261</v>
      </c>
      <c r="D175">
        <v>1</v>
      </c>
      <c r="F175" s="2" t="s">
        <v>146</v>
      </c>
      <c r="G175">
        <v>1</v>
      </c>
    </row>
    <row r="176" spans="3:7" x14ac:dyDescent="0.25">
      <c r="C176" s="2" t="s">
        <v>310</v>
      </c>
      <c r="D176">
        <v>1</v>
      </c>
      <c r="F176" s="2" t="s">
        <v>227</v>
      </c>
      <c r="G176">
        <v>1</v>
      </c>
    </row>
    <row r="177" spans="3:7" x14ac:dyDescent="0.25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25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25">
      <c r="C179" s="2" t="s">
        <v>159</v>
      </c>
      <c r="D179">
        <v>1</v>
      </c>
      <c r="F179" s="2" t="s">
        <v>203</v>
      </c>
      <c r="G179">
        <v>1</v>
      </c>
    </row>
    <row r="180" spans="3:7" x14ac:dyDescent="0.25">
      <c r="C180" s="2" t="s">
        <v>129</v>
      </c>
      <c r="D180">
        <v>1</v>
      </c>
      <c r="F180" s="2" t="s">
        <v>1286</v>
      </c>
      <c r="G180">
        <v>1</v>
      </c>
    </row>
    <row r="181" spans="3:7" x14ac:dyDescent="0.25">
      <c r="C181" s="2" t="s">
        <v>202</v>
      </c>
      <c r="D181">
        <v>1</v>
      </c>
      <c r="F181" s="2" t="s">
        <v>260</v>
      </c>
      <c r="G181">
        <v>1</v>
      </c>
    </row>
    <row r="182" spans="3:7" x14ac:dyDescent="0.25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25">
      <c r="C183" s="2" t="s">
        <v>3669</v>
      </c>
      <c r="D183">
        <v>1</v>
      </c>
      <c r="F183" s="2" t="s">
        <v>225</v>
      </c>
      <c r="G183">
        <v>1</v>
      </c>
    </row>
    <row r="184" spans="3:7" x14ac:dyDescent="0.25">
      <c r="C184" s="2" t="s">
        <v>289</v>
      </c>
      <c r="D184">
        <v>1</v>
      </c>
      <c r="F184" s="2" t="s">
        <v>274</v>
      </c>
      <c r="G184">
        <v>1</v>
      </c>
    </row>
    <row r="185" spans="3:7" x14ac:dyDescent="0.25">
      <c r="C185" s="2" t="s">
        <v>334</v>
      </c>
      <c r="D185">
        <v>1</v>
      </c>
      <c r="F185" s="2" t="s">
        <v>166</v>
      </c>
      <c r="G185">
        <v>1</v>
      </c>
    </row>
    <row r="186" spans="3:7" x14ac:dyDescent="0.25">
      <c r="C186" s="2" t="s">
        <v>3657</v>
      </c>
      <c r="D186">
        <v>1</v>
      </c>
      <c r="F186" s="2" t="s">
        <v>242</v>
      </c>
      <c r="G186">
        <v>1</v>
      </c>
    </row>
    <row r="187" spans="3:7" x14ac:dyDescent="0.25">
      <c r="C187" s="2" t="s">
        <v>335</v>
      </c>
      <c r="D187">
        <v>1</v>
      </c>
      <c r="F187" s="2" t="s">
        <v>142</v>
      </c>
      <c r="G187">
        <v>1</v>
      </c>
    </row>
    <row r="188" spans="3:7" x14ac:dyDescent="0.25">
      <c r="C188" s="2" t="s">
        <v>4531</v>
      </c>
      <c r="D188">
        <v>1</v>
      </c>
      <c r="F188" s="2" t="s">
        <v>406</v>
      </c>
      <c r="G188">
        <v>1</v>
      </c>
    </row>
    <row r="189" spans="3:7" x14ac:dyDescent="0.25">
      <c r="C189" s="2" t="s">
        <v>3828</v>
      </c>
      <c r="D189">
        <v>1</v>
      </c>
      <c r="F189" s="2" t="s">
        <v>174</v>
      </c>
      <c r="G189">
        <v>1</v>
      </c>
    </row>
    <row r="190" spans="3:7" x14ac:dyDescent="0.25">
      <c r="C190" s="2" t="s">
        <v>324</v>
      </c>
      <c r="D190">
        <v>1</v>
      </c>
      <c r="F190" s="2" t="s">
        <v>120</v>
      </c>
      <c r="G190">
        <v>1</v>
      </c>
    </row>
    <row r="191" spans="3:7" x14ac:dyDescent="0.25">
      <c r="C191" s="2" t="s">
        <v>340</v>
      </c>
      <c r="D191">
        <v>1</v>
      </c>
      <c r="F191" s="2" t="s">
        <v>1319</v>
      </c>
      <c r="G191">
        <v>1</v>
      </c>
    </row>
    <row r="192" spans="3:7" x14ac:dyDescent="0.25">
      <c r="C192" s="2" t="s">
        <v>243</v>
      </c>
      <c r="D192">
        <v>1</v>
      </c>
      <c r="F192" s="2" t="s">
        <v>209</v>
      </c>
      <c r="G192">
        <v>1</v>
      </c>
    </row>
    <row r="193" spans="3:7" x14ac:dyDescent="0.25">
      <c r="C193" s="2" t="s">
        <v>3661</v>
      </c>
      <c r="D193">
        <v>1</v>
      </c>
      <c r="F193" s="2" t="s">
        <v>240</v>
      </c>
      <c r="G193">
        <v>1</v>
      </c>
    </row>
    <row r="194" spans="3:7" x14ac:dyDescent="0.25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25">
      <c r="C195" s="2" t="s">
        <v>342</v>
      </c>
      <c r="D195">
        <v>1</v>
      </c>
      <c r="F195" s="2" t="s">
        <v>178</v>
      </c>
      <c r="G195">
        <v>1</v>
      </c>
    </row>
    <row r="196" spans="3:7" x14ac:dyDescent="0.25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25">
      <c r="C197" s="2" t="s">
        <v>3662</v>
      </c>
      <c r="D197">
        <v>1</v>
      </c>
      <c r="F197" s="2" t="s">
        <v>244</v>
      </c>
      <c r="G197">
        <v>1</v>
      </c>
    </row>
    <row r="198" spans="3:7" x14ac:dyDescent="0.25">
      <c r="C198" s="2" t="s">
        <v>3822</v>
      </c>
      <c r="D198">
        <v>1</v>
      </c>
      <c r="F198" s="2" t="s">
        <v>122</v>
      </c>
      <c r="G198">
        <v>1</v>
      </c>
    </row>
    <row r="199" spans="3:7" x14ac:dyDescent="0.25">
      <c r="C199" s="2" t="s">
        <v>245</v>
      </c>
      <c r="D199">
        <v>1</v>
      </c>
      <c r="F199" s="2" t="s">
        <v>3707</v>
      </c>
      <c r="G199">
        <v>1</v>
      </c>
    </row>
    <row r="200" spans="3:7" x14ac:dyDescent="0.25">
      <c r="C200" s="2" t="s">
        <v>3836</v>
      </c>
      <c r="D200">
        <v>1</v>
      </c>
      <c r="F200" s="2" t="s">
        <v>254</v>
      </c>
      <c r="G200">
        <v>1</v>
      </c>
    </row>
    <row r="201" spans="3:7" x14ac:dyDescent="0.25">
      <c r="C201" s="2" t="s">
        <v>293</v>
      </c>
      <c r="D201">
        <v>1</v>
      </c>
      <c r="F201" s="2" t="s">
        <v>3709</v>
      </c>
      <c r="G201">
        <v>1</v>
      </c>
    </row>
    <row r="202" spans="3:7" x14ac:dyDescent="0.25">
      <c r="C202" s="2" t="s">
        <v>183</v>
      </c>
      <c r="D202">
        <v>1</v>
      </c>
      <c r="F202" s="2" t="s">
        <v>1267</v>
      </c>
      <c r="G202">
        <v>1</v>
      </c>
    </row>
    <row r="203" spans="3:7" x14ac:dyDescent="0.25">
      <c r="C203" s="2" t="s">
        <v>3674</v>
      </c>
      <c r="D203">
        <v>1</v>
      </c>
      <c r="F203" s="2" t="s">
        <v>182</v>
      </c>
      <c r="G203">
        <v>1</v>
      </c>
    </row>
    <row r="204" spans="3:7" x14ac:dyDescent="0.25">
      <c r="C204" s="2" t="s">
        <v>330</v>
      </c>
      <c r="D204">
        <v>1</v>
      </c>
      <c r="F204" s="2" t="s">
        <v>258</v>
      </c>
      <c r="G204">
        <v>1</v>
      </c>
    </row>
    <row r="205" spans="3:7" x14ac:dyDescent="0.25">
      <c r="C205" s="2" t="s">
        <v>4532</v>
      </c>
      <c r="D205">
        <v>1</v>
      </c>
      <c r="F205" s="2" t="s">
        <v>130</v>
      </c>
      <c r="G205">
        <v>1</v>
      </c>
    </row>
    <row r="206" spans="3:7" x14ac:dyDescent="0.25">
      <c r="C206" s="2" t="s">
        <v>333</v>
      </c>
      <c r="D206">
        <v>1</v>
      </c>
      <c r="F206" s="2" t="s">
        <v>262</v>
      </c>
      <c r="G206">
        <v>1</v>
      </c>
    </row>
    <row r="207" spans="3:7" x14ac:dyDescent="0.25">
      <c r="C207" s="2" t="s">
        <v>299</v>
      </c>
      <c r="D207">
        <v>1</v>
      </c>
      <c r="F207" s="2" t="s">
        <v>498</v>
      </c>
      <c r="G207">
        <v>1</v>
      </c>
    </row>
    <row r="208" spans="3:7" x14ac:dyDescent="0.25">
      <c r="C208" s="2" t="s">
        <v>187</v>
      </c>
      <c r="D208">
        <v>1</v>
      </c>
      <c r="F208" s="2" t="s">
        <v>3537</v>
      </c>
      <c r="G208">
        <v>1</v>
      </c>
    </row>
    <row r="209" spans="3:7" x14ac:dyDescent="0.25">
      <c r="C209" s="2" t="s">
        <v>253</v>
      </c>
      <c r="D209">
        <v>1</v>
      </c>
      <c r="F209" s="2" t="s">
        <v>3744</v>
      </c>
      <c r="G209">
        <v>1</v>
      </c>
    </row>
    <row r="210" spans="3:7" x14ac:dyDescent="0.25">
      <c r="C210" s="2" t="s">
        <v>157</v>
      </c>
      <c r="D210">
        <v>1</v>
      </c>
      <c r="F210" s="2" t="s">
        <v>213</v>
      </c>
      <c r="G210">
        <v>1</v>
      </c>
    </row>
    <row r="211" spans="3:7" x14ac:dyDescent="0.25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25">
      <c r="C212" s="2" t="s">
        <v>3672</v>
      </c>
      <c r="D212">
        <v>1</v>
      </c>
      <c r="F212" s="2" t="s">
        <v>270</v>
      </c>
      <c r="G212">
        <v>1</v>
      </c>
    </row>
    <row r="213" spans="3:7" x14ac:dyDescent="0.25">
      <c r="C213" s="2" t="s">
        <v>303</v>
      </c>
      <c r="D213">
        <v>1</v>
      </c>
      <c r="F213" s="2" t="s">
        <v>234</v>
      </c>
      <c r="G213">
        <v>1</v>
      </c>
    </row>
    <row r="214" spans="3:7" x14ac:dyDescent="0.25">
      <c r="C214" s="2" t="s">
        <v>284</v>
      </c>
      <c r="D214">
        <v>1</v>
      </c>
      <c r="F214" s="2" t="s">
        <v>138</v>
      </c>
      <c r="G214">
        <v>1</v>
      </c>
    </row>
    <row r="215" spans="3:7" x14ac:dyDescent="0.25">
      <c r="C215" s="2" t="s">
        <v>305</v>
      </c>
      <c r="D215">
        <v>1</v>
      </c>
      <c r="F215" s="2" t="s">
        <v>604</v>
      </c>
      <c r="G215">
        <v>1</v>
      </c>
    </row>
    <row r="216" spans="3:7" x14ac:dyDescent="0.25">
      <c r="C216" s="2" t="s">
        <v>3666</v>
      </c>
      <c r="D216">
        <v>1</v>
      </c>
      <c r="F216" s="2" t="s">
        <v>378</v>
      </c>
      <c r="G216">
        <v>1</v>
      </c>
    </row>
    <row r="217" spans="3:7" x14ac:dyDescent="0.25">
      <c r="C217" s="2" t="s">
        <v>307</v>
      </c>
      <c r="D217">
        <v>1</v>
      </c>
      <c r="F217" s="2" t="s">
        <v>172</v>
      </c>
      <c r="G217">
        <v>1</v>
      </c>
    </row>
    <row r="218" spans="3:7" x14ac:dyDescent="0.25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25">
      <c r="C219" s="2" t="s">
        <v>309</v>
      </c>
      <c r="D219">
        <v>1</v>
      </c>
      <c r="F219"/>
      <c r="G219"/>
    </row>
    <row r="220" spans="3:7" x14ac:dyDescent="0.25">
      <c r="C220" s="2" t="s">
        <v>3754</v>
      </c>
      <c r="D220">
        <v>1</v>
      </c>
      <c r="F220"/>
      <c r="G220"/>
    </row>
    <row r="221" spans="3:7" x14ac:dyDescent="0.25">
      <c r="C221" s="2" t="s">
        <v>311</v>
      </c>
      <c r="D221">
        <v>1</v>
      </c>
      <c r="F221"/>
      <c r="G221"/>
    </row>
    <row r="222" spans="3:7" x14ac:dyDescent="0.25">
      <c r="C222" s="2" t="s">
        <v>123</v>
      </c>
      <c r="D222">
        <v>1</v>
      </c>
      <c r="F222"/>
      <c r="G222"/>
    </row>
    <row r="223" spans="3:7" x14ac:dyDescent="0.25">
      <c r="C223" s="2" t="s">
        <v>313</v>
      </c>
      <c r="D223">
        <v>1</v>
      </c>
      <c r="F223"/>
      <c r="G223"/>
    </row>
    <row r="224" spans="3:7" x14ac:dyDescent="0.25">
      <c r="C224" s="2" t="s">
        <v>3755</v>
      </c>
      <c r="D224">
        <v>1</v>
      </c>
      <c r="F224"/>
      <c r="G224"/>
    </row>
    <row r="225" spans="3:7" x14ac:dyDescent="0.25">
      <c r="C225" s="2" t="s">
        <v>3651</v>
      </c>
      <c r="D225">
        <v>1</v>
      </c>
      <c r="F225"/>
      <c r="G225"/>
    </row>
    <row r="226" spans="3:7" x14ac:dyDescent="0.25">
      <c r="C226" s="2" t="s">
        <v>3767</v>
      </c>
      <c r="D226">
        <v>1</v>
      </c>
      <c r="F226"/>
      <c r="G226"/>
    </row>
    <row r="227" spans="3:7" x14ac:dyDescent="0.25">
      <c r="C227" s="2" t="s">
        <v>317</v>
      </c>
      <c r="D227">
        <v>1</v>
      </c>
      <c r="F227"/>
      <c r="G227"/>
    </row>
    <row r="228" spans="3:7" x14ac:dyDescent="0.25">
      <c r="C228" s="2" t="s">
        <v>296</v>
      </c>
      <c r="D228">
        <v>1</v>
      </c>
      <c r="F228"/>
      <c r="G228"/>
    </row>
    <row r="229" spans="3:7" x14ac:dyDescent="0.25">
      <c r="C229" s="2" t="s">
        <v>3809</v>
      </c>
      <c r="D229">
        <v>1</v>
      </c>
      <c r="F229"/>
      <c r="G229"/>
    </row>
    <row r="230" spans="3:7" x14ac:dyDescent="0.25">
      <c r="C230" s="2" t="s">
        <v>291</v>
      </c>
      <c r="D230">
        <v>1</v>
      </c>
      <c r="F230"/>
      <c r="G230"/>
    </row>
    <row r="231" spans="3:7" x14ac:dyDescent="0.25">
      <c r="C231" s="2" t="s">
        <v>3671</v>
      </c>
      <c r="D231">
        <v>1</v>
      </c>
      <c r="F231"/>
      <c r="G231"/>
    </row>
    <row r="232" spans="3:7" x14ac:dyDescent="0.25">
      <c r="C232" s="2" t="s">
        <v>308</v>
      </c>
      <c r="D232">
        <v>1</v>
      </c>
      <c r="F232"/>
      <c r="G232"/>
    </row>
    <row r="233" spans="3:7" x14ac:dyDescent="0.25">
      <c r="C233" s="2" t="s">
        <v>319</v>
      </c>
      <c r="D233">
        <v>1</v>
      </c>
      <c r="F233"/>
      <c r="G233"/>
    </row>
    <row r="234" spans="3:7" x14ac:dyDescent="0.25">
      <c r="C234" s="2" t="s">
        <v>302</v>
      </c>
      <c r="D234">
        <v>1</v>
      </c>
      <c r="F234"/>
      <c r="G234"/>
    </row>
    <row r="235" spans="3:7" x14ac:dyDescent="0.25">
      <c r="C235" s="2" t="s">
        <v>3677</v>
      </c>
      <c r="D235">
        <v>1</v>
      </c>
      <c r="F235"/>
      <c r="G235"/>
    </row>
    <row r="236" spans="3:7" x14ac:dyDescent="0.25">
      <c r="C236" s="2" t="s">
        <v>314</v>
      </c>
      <c r="D236">
        <v>1</v>
      </c>
      <c r="F236"/>
      <c r="G236"/>
    </row>
    <row r="237" spans="3:7" x14ac:dyDescent="0.25">
      <c r="C237" s="2" t="s">
        <v>323</v>
      </c>
      <c r="D237">
        <v>1</v>
      </c>
      <c r="F237"/>
      <c r="G237"/>
    </row>
    <row r="238" spans="3:7" x14ac:dyDescent="0.25">
      <c r="C238" s="2" t="s">
        <v>3655</v>
      </c>
      <c r="D238">
        <v>1</v>
      </c>
      <c r="F238"/>
      <c r="G238"/>
    </row>
    <row r="239" spans="3:7" x14ac:dyDescent="0.25">
      <c r="C239" s="2" t="s">
        <v>3770</v>
      </c>
      <c r="D239">
        <v>1</v>
      </c>
      <c r="F239"/>
      <c r="G239"/>
    </row>
    <row r="240" spans="3:7" x14ac:dyDescent="0.25">
      <c r="C240" s="2" t="s">
        <v>285</v>
      </c>
      <c r="D240">
        <v>1</v>
      </c>
      <c r="F240"/>
      <c r="G240"/>
    </row>
    <row r="241" spans="3:7" x14ac:dyDescent="0.25">
      <c r="C241" s="2" t="s">
        <v>3842</v>
      </c>
      <c r="D241">
        <v>1</v>
      </c>
      <c r="F241"/>
      <c r="G241"/>
    </row>
    <row r="242" spans="3:7" x14ac:dyDescent="0.25">
      <c r="C242" s="2" t="s">
        <v>322</v>
      </c>
      <c r="D242">
        <v>1</v>
      </c>
      <c r="F242"/>
      <c r="G242"/>
    </row>
    <row r="243" spans="3:7" x14ac:dyDescent="0.25">
      <c r="C243" s="2" t="s">
        <v>327</v>
      </c>
      <c r="D243">
        <v>1</v>
      </c>
      <c r="F243"/>
      <c r="G243"/>
    </row>
    <row r="244" spans="3:7" x14ac:dyDescent="0.25">
      <c r="C244" s="2" t="s">
        <v>247</v>
      </c>
      <c r="D244">
        <v>1</v>
      </c>
      <c r="F244"/>
      <c r="G244"/>
    </row>
    <row r="245" spans="3:7" x14ac:dyDescent="0.25">
      <c r="C245" s="2" t="s">
        <v>325</v>
      </c>
      <c r="D245">
        <v>1</v>
      </c>
      <c r="F245"/>
      <c r="G245"/>
    </row>
    <row r="246" spans="3:7" x14ac:dyDescent="0.25">
      <c r="C246" s="2" t="s">
        <v>3812</v>
      </c>
      <c r="D246">
        <v>1</v>
      </c>
      <c r="F246"/>
      <c r="G246"/>
    </row>
    <row r="247" spans="3:7" x14ac:dyDescent="0.25">
      <c r="C247" s="2" t="s">
        <v>331</v>
      </c>
      <c r="D247">
        <v>1</v>
      </c>
      <c r="F247"/>
      <c r="G247"/>
    </row>
    <row r="248" spans="3:7" x14ac:dyDescent="0.25">
      <c r="C248" s="2" t="s">
        <v>131</v>
      </c>
      <c r="D248">
        <v>1</v>
      </c>
      <c r="F248"/>
      <c r="G248"/>
    </row>
    <row r="249" spans="3:7" x14ac:dyDescent="0.25">
      <c r="C249" s="2" t="s">
        <v>332</v>
      </c>
      <c r="D249">
        <v>1</v>
      </c>
      <c r="F249"/>
      <c r="G249"/>
    </row>
    <row r="250" spans="3:7" x14ac:dyDescent="0.25">
      <c r="C250" s="2" t="s">
        <v>135</v>
      </c>
      <c r="D250">
        <v>1</v>
      </c>
      <c r="F250"/>
      <c r="G250"/>
    </row>
    <row r="251" spans="3:7" x14ac:dyDescent="0.25">
      <c r="C251" s="2" t="s">
        <v>149</v>
      </c>
      <c r="D251">
        <v>1</v>
      </c>
      <c r="F251"/>
      <c r="G251"/>
    </row>
    <row r="252" spans="3:7" x14ac:dyDescent="0.25">
      <c r="C252" s="2" t="s">
        <v>316</v>
      </c>
      <c r="D252">
        <v>1</v>
      </c>
      <c r="F252"/>
      <c r="G252"/>
    </row>
    <row r="253" spans="3:7" x14ac:dyDescent="0.25">
      <c r="C253" s="2" t="s">
        <v>133</v>
      </c>
      <c r="D253">
        <v>1</v>
      </c>
      <c r="F253"/>
      <c r="G253"/>
    </row>
    <row r="254" spans="3:7" x14ac:dyDescent="0.25">
      <c r="C254" s="2" t="s">
        <v>145</v>
      </c>
      <c r="D254">
        <v>1</v>
      </c>
      <c r="F254"/>
      <c r="G254"/>
    </row>
    <row r="255" spans="3:7" x14ac:dyDescent="0.25">
      <c r="C255" s="2" t="s">
        <v>3833</v>
      </c>
      <c r="D255">
        <v>1</v>
      </c>
      <c r="F255"/>
      <c r="G255"/>
    </row>
    <row r="256" spans="3:7" x14ac:dyDescent="0.25">
      <c r="C256" s="2" t="s">
        <v>147</v>
      </c>
      <c r="D256">
        <v>1</v>
      </c>
      <c r="F256"/>
      <c r="G256"/>
    </row>
    <row r="257" spans="3:7" x14ac:dyDescent="0.25">
      <c r="C257" s="2" t="s">
        <v>255</v>
      </c>
      <c r="D257">
        <v>1</v>
      </c>
      <c r="F257"/>
      <c r="G257"/>
    </row>
    <row r="258" spans="3:7" x14ac:dyDescent="0.25">
      <c r="C258" s="2" t="s">
        <v>3808</v>
      </c>
      <c r="D258">
        <v>1</v>
      </c>
      <c r="F258"/>
      <c r="G258"/>
    </row>
    <row r="259" spans="3:7" x14ac:dyDescent="0.25">
      <c r="C259" s="2" t="s">
        <v>3765</v>
      </c>
      <c r="D259">
        <v>1</v>
      </c>
      <c r="F259"/>
      <c r="G259"/>
    </row>
    <row r="260" spans="3:7" x14ac:dyDescent="0.25">
      <c r="C260" s="2" t="s">
        <v>239</v>
      </c>
      <c r="D260">
        <v>1</v>
      </c>
      <c r="F260"/>
      <c r="G260"/>
    </row>
    <row r="261" spans="3:7" x14ac:dyDescent="0.25">
      <c r="C261" s="2" t="s">
        <v>3769</v>
      </c>
      <c r="D261">
        <v>1</v>
      </c>
      <c r="F261"/>
      <c r="G261"/>
    </row>
    <row r="262" spans="3:7" x14ac:dyDescent="0.25">
      <c r="C262" s="2" t="s">
        <v>121</v>
      </c>
      <c r="D262">
        <v>1</v>
      </c>
      <c r="F262"/>
      <c r="G262"/>
    </row>
    <row r="263" spans="3:7" x14ac:dyDescent="0.25">
      <c r="C263" s="2" t="s">
        <v>3676</v>
      </c>
      <c r="D263">
        <v>1</v>
      </c>
      <c r="F263"/>
      <c r="G263"/>
    </row>
    <row r="264" spans="3:7" x14ac:dyDescent="0.25">
      <c r="C264" s="2" t="s">
        <v>3813</v>
      </c>
      <c r="D264">
        <v>1</v>
      </c>
      <c r="F264"/>
      <c r="G264"/>
    </row>
    <row r="265" spans="3:7" x14ac:dyDescent="0.25">
      <c r="C265" s="2" t="s">
        <v>3673</v>
      </c>
      <c r="D265">
        <v>1</v>
      </c>
      <c r="F265"/>
      <c r="G265"/>
    </row>
    <row r="266" spans="3:7" x14ac:dyDescent="0.25">
      <c r="C266" s="2" t="s">
        <v>3814</v>
      </c>
      <c r="D266">
        <v>1</v>
      </c>
      <c r="F266"/>
      <c r="G266"/>
    </row>
    <row r="267" spans="3:7" x14ac:dyDescent="0.25">
      <c r="C267" s="2" t="s">
        <v>189</v>
      </c>
      <c r="D267">
        <v>1</v>
      </c>
      <c r="F267"/>
      <c r="G267"/>
    </row>
    <row r="268" spans="3:7" x14ac:dyDescent="0.25">
      <c r="C268" s="2" t="s">
        <v>3760</v>
      </c>
      <c r="D268">
        <v>1</v>
      </c>
      <c r="F268"/>
      <c r="G268"/>
    </row>
    <row r="269" spans="3:7" x14ac:dyDescent="0.25">
      <c r="C269" s="2" t="s">
        <v>3810</v>
      </c>
      <c r="D269">
        <v>1</v>
      </c>
      <c r="F269"/>
      <c r="G269"/>
    </row>
    <row r="270" spans="3:7" x14ac:dyDescent="0.25">
      <c r="C270" s="2" t="s">
        <v>3816</v>
      </c>
      <c r="D270">
        <v>1</v>
      </c>
      <c r="F270"/>
      <c r="G270"/>
    </row>
    <row r="271" spans="3:7" x14ac:dyDescent="0.25">
      <c r="C271" s="2" t="s">
        <v>3766</v>
      </c>
      <c r="D271">
        <v>1</v>
      </c>
      <c r="F271"/>
      <c r="G271"/>
    </row>
    <row r="272" spans="3:7" x14ac:dyDescent="0.25">
      <c r="C272" s="2" t="s">
        <v>167</v>
      </c>
      <c r="D272">
        <v>1</v>
      </c>
      <c r="F272"/>
      <c r="G272"/>
    </row>
    <row r="273" spans="3:7" x14ac:dyDescent="0.25">
      <c r="C273" s="2" t="s">
        <v>3679</v>
      </c>
      <c r="D273">
        <v>1</v>
      </c>
      <c r="F273"/>
      <c r="G273"/>
    </row>
    <row r="274" spans="3:7" x14ac:dyDescent="0.25">
      <c r="C274" s="2" t="s">
        <v>3819</v>
      </c>
      <c r="D274">
        <v>1</v>
      </c>
      <c r="F274"/>
      <c r="G274"/>
    </row>
    <row r="275" spans="3:7" x14ac:dyDescent="0.25">
      <c r="C275" s="2" t="s">
        <v>3641</v>
      </c>
      <c r="D275">
        <v>1</v>
      </c>
      <c r="F275"/>
      <c r="G275"/>
    </row>
    <row r="276" spans="3:7" x14ac:dyDescent="0.25">
      <c r="C276" s="2" t="s">
        <v>171</v>
      </c>
      <c r="D276">
        <v>1</v>
      </c>
      <c r="F276"/>
      <c r="G276"/>
    </row>
    <row r="277" spans="3:7" x14ac:dyDescent="0.25">
      <c r="C277" s="2" t="s">
        <v>153</v>
      </c>
      <c r="D277">
        <v>1</v>
      </c>
      <c r="F277"/>
      <c r="G277"/>
    </row>
    <row r="278" spans="3:7" x14ac:dyDescent="0.25">
      <c r="C278" s="2" t="s">
        <v>3823</v>
      </c>
      <c r="D278">
        <v>1</v>
      </c>
      <c r="F278"/>
      <c r="G278"/>
    </row>
    <row r="279" spans="3:7" x14ac:dyDescent="0.25">
      <c r="C279" s="2" t="s">
        <v>3753</v>
      </c>
      <c r="D279">
        <v>1</v>
      </c>
      <c r="F279"/>
      <c r="G279"/>
    </row>
    <row r="280" spans="3:7" x14ac:dyDescent="0.25">
      <c r="C280" s="2" t="s">
        <v>3752</v>
      </c>
      <c r="D280">
        <v>1</v>
      </c>
      <c r="F280"/>
      <c r="G280"/>
    </row>
    <row r="281" spans="3:7" x14ac:dyDescent="0.25">
      <c r="C281" s="2" t="s">
        <v>267</v>
      </c>
      <c r="D281">
        <v>1</v>
      </c>
      <c r="F281"/>
      <c r="G281"/>
    </row>
    <row r="282" spans="3:7" x14ac:dyDescent="0.25">
      <c r="C282" s="2" t="s">
        <v>3835</v>
      </c>
      <c r="D282">
        <v>1</v>
      </c>
      <c r="F282"/>
      <c r="G282"/>
    </row>
    <row r="283" spans="3:7" x14ac:dyDescent="0.25">
      <c r="C283" s="2" t="s">
        <v>3659</v>
      </c>
      <c r="D283">
        <v>1</v>
      </c>
      <c r="F283"/>
      <c r="G283"/>
    </row>
    <row r="284" spans="3:7" x14ac:dyDescent="0.25">
      <c r="C284" s="2" t="s">
        <v>3834</v>
      </c>
      <c r="D284">
        <v>1</v>
      </c>
      <c r="F284"/>
      <c r="G284"/>
    </row>
    <row r="285" spans="3:7" x14ac:dyDescent="0.25">
      <c r="C285" s="2" t="s">
        <v>271</v>
      </c>
      <c r="D285">
        <v>1</v>
      </c>
      <c r="F285"/>
      <c r="G285"/>
    </row>
    <row r="286" spans="3:7" x14ac:dyDescent="0.25">
      <c r="C286" s="2" t="s">
        <v>3837</v>
      </c>
      <c r="D286">
        <v>1</v>
      </c>
      <c r="F286"/>
      <c r="G286"/>
    </row>
    <row r="287" spans="3:7" x14ac:dyDescent="0.25">
      <c r="C287" s="2" t="s">
        <v>3660</v>
      </c>
      <c r="D287">
        <v>1</v>
      </c>
    </row>
    <row r="288" spans="3:7" x14ac:dyDescent="0.25">
      <c r="C288" s="2" t="s">
        <v>181</v>
      </c>
      <c r="D288">
        <v>1</v>
      </c>
    </row>
    <row r="289" spans="3:4" x14ac:dyDescent="0.25">
      <c r="C289" s="2" t="s">
        <v>3763</v>
      </c>
      <c r="D289">
        <v>1</v>
      </c>
    </row>
    <row r="290" spans="3:4" x14ac:dyDescent="0.25">
      <c r="C290" s="2" t="s">
        <v>3757</v>
      </c>
      <c r="D290">
        <v>1</v>
      </c>
    </row>
    <row r="291" spans="3:4" x14ac:dyDescent="0.25">
      <c r="C291" s="2" t="s">
        <v>275</v>
      </c>
      <c r="D291">
        <v>1</v>
      </c>
    </row>
    <row r="292" spans="3:4" x14ac:dyDescent="0.25">
      <c r="C292" s="2" t="s">
        <v>281</v>
      </c>
      <c r="D292">
        <v>1</v>
      </c>
    </row>
    <row r="293" spans="3:4" x14ac:dyDescent="0.25">
      <c r="C293" s="2" t="s">
        <v>3642</v>
      </c>
      <c r="D293">
        <v>1</v>
      </c>
    </row>
    <row r="294" spans="3:4" x14ac:dyDescent="0.25">
      <c r="C294" s="2" t="s">
        <v>3832</v>
      </c>
      <c r="D294">
        <v>1</v>
      </c>
    </row>
    <row r="295" spans="3:4" x14ac:dyDescent="0.25">
      <c r="C295" s="2" t="s">
        <v>3831</v>
      </c>
      <c r="D295">
        <v>1</v>
      </c>
    </row>
    <row r="296" spans="3:4" x14ac:dyDescent="0.25">
      <c r="C296" s="2" t="s">
        <v>283</v>
      </c>
      <c r="D296">
        <v>1</v>
      </c>
    </row>
    <row r="297" spans="3:4" x14ac:dyDescent="0.25">
      <c r="C297" s="2" t="s">
        <v>161</v>
      </c>
      <c r="D297">
        <v>1</v>
      </c>
    </row>
    <row r="298" spans="3:4" x14ac:dyDescent="0.25">
      <c r="C298" s="2" t="s">
        <v>3761</v>
      </c>
      <c r="D298">
        <v>1</v>
      </c>
    </row>
    <row r="299" spans="3:4" x14ac:dyDescent="0.25">
      <c r="C299" s="2" t="s">
        <v>3658</v>
      </c>
      <c r="D299">
        <v>1</v>
      </c>
    </row>
    <row r="300" spans="3:4" x14ac:dyDescent="0.25">
      <c r="C300" s="2" t="s">
        <v>338</v>
      </c>
      <c r="D300">
        <v>1</v>
      </c>
    </row>
    <row r="301" spans="3:4" x14ac:dyDescent="0.25">
      <c r="C301" s="2" t="s">
        <v>65</v>
      </c>
      <c r="D301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zoomScale="85" zoomScaleNormal="85" workbookViewId="0">
      <pane ySplit="1" topLeftCell="A961" activePane="bottomLeft" state="frozen"/>
      <selection activeCell="F1" sqref="F1"/>
      <selection pane="bottomLeft" activeCell="B992" sqref="B992:B1001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27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27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27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27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27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27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27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27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27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27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27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27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27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27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27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27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27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27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2:28" x14ac:dyDescent="0.25">
      <c r="B993" t="e">
        <f>_xlfn.CONCAT(bron[[#This Row],[personeelsnr]]," ",bron[[#This Row],[achternaam]]," ",bron[[#This Row],[voornaam]])</f>
        <v>#N/A</v>
      </c>
      <c r="C993" t="e">
        <f>VLOOKUP(bron[[#This Row],[personeelsnr]],'data hastus'!$A:$C,2,0)</f>
        <v>#N/A</v>
      </c>
      <c r="D993" t="e">
        <f>VLOOKUP(bron[[#This Row],[personeelsnr]],'data hastus'!$A:$C,3,0)</f>
        <v>#N/A</v>
      </c>
      <c r="E993" s="2" t="e">
        <f>VLOOKUP(bron[[#This Row],[personeelsnr]],'data hastus'!A:K,11,FALSE)</f>
        <v>#N/A</v>
      </c>
      <c r="F993" s="10"/>
      <c r="G993" s="28"/>
      <c r="H993" s="28"/>
      <c r="I993" s="28"/>
      <c r="S993" s="44">
        <f>SUM(bron[[#This Row],[Januari]:[December]])</f>
        <v>0</v>
      </c>
      <c r="V993" s="26"/>
      <c r="W993" s="26"/>
      <c r="AB993" s="43">
        <f>COUNTIF(B:B,bron[[#This Row],[volledige naam]])</f>
        <v>27</v>
      </c>
    </row>
    <row r="994" spans="2:28" x14ac:dyDescent="0.25">
      <c r="B994" t="e">
        <f>_xlfn.CONCAT(bron[[#This Row],[personeelsnr]]," ",bron[[#This Row],[achternaam]]," ",bron[[#This Row],[voornaam]])</f>
        <v>#N/A</v>
      </c>
      <c r="C994" t="e">
        <f>VLOOKUP(bron[[#This Row],[personeelsnr]],'data hastus'!$A:$C,2,0)</f>
        <v>#N/A</v>
      </c>
      <c r="D994" t="e">
        <f>VLOOKUP(bron[[#This Row],[personeelsnr]],'data hastus'!$A:$C,3,0)</f>
        <v>#N/A</v>
      </c>
      <c r="E994" s="2" t="e">
        <f>VLOOKUP(bron[[#This Row],[personeelsnr]],'data hastus'!A:K,11,FALSE)</f>
        <v>#N/A</v>
      </c>
      <c r="F994" s="10"/>
      <c r="G994" s="28"/>
      <c r="H994" s="28"/>
      <c r="I994" s="28"/>
      <c r="S994" s="44">
        <f>SUM(bron[[#This Row],[Januari]:[December]])</f>
        <v>0</v>
      </c>
      <c r="V994" s="26"/>
      <c r="W994" s="26"/>
      <c r="AB994" s="43">
        <f>COUNTIF(B:B,bron[[#This Row],[volledige naam]])</f>
        <v>27</v>
      </c>
    </row>
    <row r="995" spans="2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27</v>
      </c>
    </row>
    <row r="996" spans="2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27</v>
      </c>
    </row>
    <row r="997" spans="2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27</v>
      </c>
    </row>
    <row r="998" spans="2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27</v>
      </c>
    </row>
    <row r="999" spans="2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27</v>
      </c>
    </row>
    <row r="1000" spans="2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27</v>
      </c>
    </row>
    <row r="1001" spans="2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27</v>
      </c>
    </row>
  </sheetData>
  <sheetProtection sort="0" autoFilter="0"/>
  <phoneticPr fontId="1" type="noConversion"/>
  <conditionalFormatting sqref="F2:F1001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tabSelected="1" topLeftCell="D1" workbookViewId="0">
      <selection activeCell="J26" sqref="J26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ca="1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ca="1">TRUNC(YEARFRAC(F3,TODAY(),1))</f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ca="1">TRUNC(YEARFRAC(F4,TODAY(),1))</f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ca="1">TRUNC(YEARFRAC(F5,TODAY(),1))</f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ca="1">TRUNC(YEARFRAC(F6,TODAY(),1))</f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ca="1">TRUNC(YEARFRAC(F7,TODAY(),1))</f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ca="1">TRUNC(YEARFRAC(F8,TODAY(),1))</f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ca="1">TRUNC(YEARFRAC(F9,TODAY(),1))</f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ca="1">TRUNC(YEARFRAC(F10,TODAY(),1))</f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ca="1">TRUNC(YEARFRAC(F11,TODAY(),1))</f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ca="1">TRUNC(YEARFRAC(F12,TODAY(),1))</f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ca="1">TRUNC(YEARFRAC(F13,TODAY(),1))</f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ca="1">TRUNC(YEARFRAC(F14,TODAY(),1))</f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ca="1">TRUNC(YEARFRAC(F15,TODAY(),1))</f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ca="1">TRUNC(YEARFRAC(F16,TODAY(),1))</f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ca="1">TRUNC(YEARFRAC(F17,TODAY(),1))</f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ca="1">TRUNC(YEARFRAC(F18,TODAY(),1))</f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ca="1">TRUNC(YEARFRAC(F19,TODAY(),1))</f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ca="1">TRUNC(YEARFRAC(F20,TODAY(),1))</f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ca="1">TRUNC(YEARFRAC(F21,TODAY(),1))</f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ca="1">TRUNC(YEARFRAC(F22,TODAY(),1))</f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ca="1">TRUNC(YEARFRAC(F23,TODAY(),1))</f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ca="1">TRUNC(YEARFRAC(F24,TODAY(),1))</f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ca="1">TRUNC(YEARFRAC(F25,TODAY(),1))</f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ca="1">TRUNC(YEARFRAC(F26,TODAY(),1))</f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ca="1">TRUNC(YEARFRAC(F27,TODAY(),1))</f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ca="1">TRUNC(YEARFRAC(F28,TODAY(),1))</f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ca="1">TRUNC(YEARFRAC(F29,TODAY(),1))</f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ca="1">TRUNC(YEARFRAC(F30,TODAY(),1))</f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ca="1">TRUNC(YEARFRAC(F31,TODAY(),1))</f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ca="1">TRUNC(YEARFRAC(F32,TODAY(),1))</f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ca="1">TRUNC(YEARFRAC(F33,TODAY(),1))</f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ca="1">TRUNC(YEARFRAC(F34,TODAY(),1))</f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ca="1">TRUNC(YEARFRAC(F35,TODAY(),1))</f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ca="1">TRUNC(YEARFRAC(F36,TODAY(),1))</f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ca="1">TRUNC(YEARFRAC(F37,TODAY(),1))</f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ca="1">TRUNC(YEARFRAC(F38,TODAY(),1))</f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ca="1">TRUNC(YEARFRAC(F39,TODAY(),1))</f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ca="1">TRUNC(YEARFRAC(F40,TODAY(),1))</f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ca="1">TRUNC(YEARFRAC(F41,TODAY(),1))</f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ca="1">TRUNC(YEARFRAC(F42,TODAY(),1))</f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ca="1">TRUNC(YEARFRAC(F43,TODAY(),1))</f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ca="1">TRUNC(YEARFRAC(F44,TODAY(),1))</f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ca="1">TRUNC(YEARFRAC(F45,TODAY(),1))</f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ca="1">TRUNC(YEARFRAC(F46,TODAY(),1))</f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ca="1">TRUNC(YEARFRAC(F47,TODAY(),1))</f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ca="1">TRUNC(YEARFRAC(F48,TODAY(),1))</f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ca="1">TRUNC(YEARFRAC(F49,TODAY(),1))</f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ca="1">TRUNC(YEARFRAC(F50,TODAY(),1))</f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ca="1">TRUNC(YEARFRAC(F51,TODAY(),1))</f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ca="1">TRUNC(YEARFRAC(F52,TODAY(),1))</f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ca="1">TRUNC(YEARFRAC(F53,TODAY(),1))</f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ca="1">TRUNC(YEARFRAC(F54,TODAY(),1))</f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ca="1">TRUNC(YEARFRAC(F55,TODAY(),1))</f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ca="1">TRUNC(YEARFRAC(F56,TODAY(),1))</f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ca="1">TRUNC(YEARFRAC(F57,TODAY(),1))</f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ca="1">TRUNC(YEARFRAC(F58,TODAY(),1))</f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ca="1">TRUNC(YEARFRAC(F59,TODAY(),1))</f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ca="1">TRUNC(YEARFRAC(F60,TODAY(),1))</f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ca="1">TRUNC(YEARFRAC(F61,TODAY(),1))</f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ca="1">TRUNC(YEARFRAC(F62,TODAY(),1))</f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ca="1">TRUNC(YEARFRAC(F63,TODAY(),1))</f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ca="1">TRUNC(YEARFRAC(F64,TODAY(),1))</f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ca="1">TRUNC(YEARFRAC(F65,TODAY(),1))</f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ca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ca="1">TRUNC(YEARFRAC(F67,TODAY(),1))</f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ca="1">TRUNC(YEARFRAC(F68,TODAY(),1))</f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ca="1">TRUNC(YEARFRAC(F69,TODAY(),1))</f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ca="1">TRUNC(YEARFRAC(F70,TODAY(),1))</f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ca="1">TRUNC(YEARFRAC(F71,TODAY(),1))</f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ca="1">TRUNC(YEARFRAC(F72,TODAY(),1))</f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ca="1">TRUNC(YEARFRAC(F73,TODAY(),1))</f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ca="1">TRUNC(YEARFRAC(F74,TODAY(),1))</f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ca="1">TRUNC(YEARFRAC(F75,TODAY(),1))</f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ca="1">TRUNC(YEARFRAC(F76,TODAY(),1))</f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ca="1">TRUNC(YEARFRAC(F77,TODAY(),1))</f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ca="1">TRUNC(YEARFRAC(F78,TODAY(),1))</f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ca="1">TRUNC(YEARFRAC(F79,TODAY(),1))</f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ca="1">TRUNC(YEARFRAC(F80,TODAY(),1))</f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ca="1">TRUNC(YEARFRAC(F81,TODAY(),1))</f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ca="1">TRUNC(YEARFRAC(F82,TODAY(),1))</f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ca="1">TRUNC(YEARFRAC(F83,TODAY(),1))</f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ca="1">TRUNC(YEARFRAC(F84,TODAY(),1))</f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ca="1">TRUNC(YEARFRAC(F85,TODAY(),1))</f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ca="1">TRUNC(YEARFRAC(F86,TODAY(),1))</f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ca="1">TRUNC(YEARFRAC(F87,TODAY(),1))</f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ca="1">TRUNC(YEARFRAC(F88,TODAY(),1))</f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ca="1">TRUNC(YEARFRAC(F89,TODAY(),1))</f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ca="1">TRUNC(YEARFRAC(F90,TODAY(),1))</f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ca="1">TRUNC(YEARFRAC(F91,TODAY(),1))</f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ca="1">TRUNC(YEARFRAC(F92,TODAY(),1))</f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ca="1">TRUNC(YEARFRAC(F93,TODAY(),1))</f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ca="1">TRUNC(YEARFRAC(F94,TODAY(),1))</f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ca="1">TRUNC(YEARFRAC(F95,TODAY(),1))</f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ca="1">TRUNC(YEARFRAC(F96,TODAY(),1))</f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ca="1">TRUNC(YEARFRAC(F97,TODAY(),1))</f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ca="1">TRUNC(YEARFRAC(F98,TODAY(),1))</f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ca="1">TRUNC(YEARFRAC(F99,TODAY(),1))</f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ca="1">TRUNC(YEARFRAC(F100,TODAY(),1))</f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ca="1">TRUNC(YEARFRAC(F101,TODAY(),1))</f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ca="1">TRUNC(YEARFRAC(F102,TODAY(),1))</f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ca="1">TRUNC(YEARFRAC(F103,TODAY(),1))</f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ca="1">TRUNC(YEARFRAC(F104,TODAY(),1))</f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ca="1">TRUNC(YEARFRAC(F105,TODAY(),1))</f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ca="1">TRUNC(YEARFRAC(F106,TODAY(),1))</f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ca="1">TRUNC(YEARFRAC(F107,TODAY(),1))</f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ca="1">TRUNC(YEARFRAC(F108,TODAY(),1))</f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ca="1">TRUNC(YEARFRAC(F109,TODAY(),1))</f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ca="1">TRUNC(YEARFRAC(F110,TODAY(),1))</f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ca="1">TRUNC(YEARFRAC(F111,TODAY(),1))</f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ca="1">TRUNC(YEARFRAC(F112,TODAY(),1))</f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ca="1">TRUNC(YEARFRAC(F113,TODAY(),1))</f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ca="1">TRUNC(YEARFRAC(F114,TODAY(),1))</f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ca="1">TRUNC(YEARFRAC(F115,TODAY(),1))</f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ca="1">TRUNC(YEARFRAC(F116,TODAY(),1))</f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ca="1">TRUNC(YEARFRAC(F117,TODAY(),1))</f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ca="1">TRUNC(YEARFRAC(F118,TODAY(),1))</f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ca="1">TRUNC(YEARFRAC(F119,TODAY(),1))</f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ca="1">TRUNC(YEARFRAC(F120,TODAY(),1))</f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ca="1">TRUNC(YEARFRAC(F121,TODAY(),1))</f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ca="1">TRUNC(YEARFRAC(F122,TODAY(),1))</f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ca="1">TRUNC(YEARFRAC(F123,TODAY(),1))</f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ca="1">TRUNC(YEARFRAC(F124,TODAY(),1))</f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ca="1">TRUNC(YEARFRAC(F125,TODAY(),1))</f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ca="1">TRUNC(YEARFRAC(F126,TODAY(),1))</f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ca="1">TRUNC(YEARFRAC(F127,TODAY(),1))</f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ca="1">TRUNC(YEARFRAC(F128,TODAY(),1))</f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ca="1">TRUNC(YEARFRAC(F129,TODAY(),1))</f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ca="1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ca="1">TRUNC(YEARFRAC(F131,TODAY(),1))</f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ca="1">TRUNC(YEARFRAC(F132,TODAY(),1))</f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ca="1">TRUNC(YEARFRAC(F133,TODAY(),1))</f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ca="1">TRUNC(YEARFRAC(F134,TODAY(),1))</f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ca="1">TRUNC(YEARFRAC(F135,TODAY(),1))</f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ca="1">TRUNC(YEARFRAC(F136,TODAY(),1))</f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ca="1">TRUNC(YEARFRAC(F137,TODAY(),1))</f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ca="1">TRUNC(YEARFRAC(F138,TODAY(),1))</f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ca="1">TRUNC(YEARFRAC(F139,TODAY(),1))</f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ca="1">TRUNC(YEARFRAC(F140,TODAY(),1))</f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ca="1">TRUNC(YEARFRAC(F141,TODAY(),1))</f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ca="1">TRUNC(YEARFRAC(F142,TODAY(),1))</f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ca="1">TRUNC(YEARFRAC(F143,TODAY(),1))</f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ca="1">TRUNC(YEARFRAC(F144,TODAY(),1))</f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ca="1">TRUNC(YEARFRAC(F145,TODAY(),1))</f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ca="1">TRUNC(YEARFRAC(F146,TODAY(),1))</f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ca="1">TRUNC(YEARFRAC(F147,TODAY(),1))</f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ca="1">TRUNC(YEARFRAC(F148,TODAY(),1))</f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ca="1">TRUNC(YEARFRAC(F149,TODAY(),1))</f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ca="1">TRUNC(YEARFRAC(F150,TODAY(),1))</f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ca="1">TRUNC(YEARFRAC(F151,TODAY(),1))</f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ca="1">TRUNC(YEARFRAC(F152,TODAY(),1))</f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ca="1">TRUNC(YEARFRAC(F153,TODAY(),1))</f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ca="1">TRUNC(YEARFRAC(F154,TODAY(),1))</f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ca="1">TRUNC(YEARFRAC(F155,TODAY(),1))</f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ca="1">TRUNC(YEARFRAC(F156,TODAY(),1))</f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ca="1">TRUNC(YEARFRAC(F157,TODAY(),1))</f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ca="1">TRUNC(YEARFRAC(F158,TODAY(),1))</f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ca="1">TRUNC(YEARFRAC(F159,TODAY(),1))</f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ca="1">TRUNC(YEARFRAC(F160,TODAY(),1))</f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ca="1">TRUNC(YEARFRAC(F161,TODAY(),1))</f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ca="1">TRUNC(YEARFRAC(F162,TODAY(),1))</f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ca="1">TRUNC(YEARFRAC(F163,TODAY(),1))</f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ca="1">TRUNC(YEARFRAC(F164,TODAY(),1))</f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ca="1">TRUNC(YEARFRAC(F165,TODAY(),1))</f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ca="1">TRUNC(YEARFRAC(F166,TODAY(),1))</f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ca="1">TRUNC(YEARFRAC(F167,TODAY(),1))</f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ca="1">TRUNC(YEARFRAC(F168,TODAY(),1))</f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ca="1">TRUNC(YEARFRAC(F169,TODAY(),1))</f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ca="1">TRUNC(YEARFRAC(F170,TODAY(),1))</f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ca="1">TRUNC(YEARFRAC(F171,TODAY(),1))</f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ca="1">TRUNC(YEARFRAC(F172,TODAY(),1))</f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ca="1">TRUNC(YEARFRAC(F173,TODAY(),1))</f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ca="1">TRUNC(YEARFRAC(F174,TODAY(),1))</f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ca="1">TRUNC(YEARFRAC(F175,TODAY(),1))</f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ca="1">TRUNC(YEARFRAC(F176,TODAY(),1))</f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ca="1">TRUNC(YEARFRAC(F177,TODAY(),1))</f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ca="1">TRUNC(YEARFRAC(F178,TODAY(),1))</f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ca="1">TRUNC(YEARFRAC(F179,TODAY(),1))</f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ca="1">TRUNC(YEARFRAC(F180,TODAY(),1))</f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ca="1">TRUNC(YEARFRAC(F181,TODAY(),1))</f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ca="1">TRUNC(YEARFRAC(F182,TODAY(),1))</f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ca="1">TRUNC(YEARFRAC(F183,TODAY(),1))</f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ca="1">TRUNC(YEARFRAC(F184,TODAY(),1))</f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ca="1">TRUNC(YEARFRAC(F185,TODAY(),1))</f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ca="1">TRUNC(YEARFRAC(F186,TODAY(),1))</f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ca="1">TRUNC(YEARFRAC(F187,TODAY(),1))</f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ca="1">TRUNC(YEARFRAC(F188,TODAY(),1))</f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ca="1">TRUNC(YEARFRAC(F189,TODAY(),1))</f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ca="1">TRUNC(YEARFRAC(F190,TODAY(),1))</f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ca="1">TRUNC(YEARFRAC(F191,TODAY(),1))</f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ca="1">TRUNC(YEARFRAC(F192,TODAY(),1))</f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ca="1">TRUNC(YEARFRAC(F193,TODAY(),1))</f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ca="1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ca="1">TRUNC(YEARFRAC(F195,TODAY(),1))</f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ca="1">TRUNC(YEARFRAC(F196,TODAY(),1))</f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ca="1">TRUNC(YEARFRAC(F197,TODAY(),1))</f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ca="1">TRUNC(YEARFRAC(F198,TODAY(),1))</f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ca="1">TRUNC(YEARFRAC(F199,TODAY(),1))</f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ca="1">TRUNC(YEARFRAC(F200,TODAY(),1))</f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ca="1">TRUNC(YEARFRAC(F201,TODAY(),1))</f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ca="1">TRUNC(YEARFRAC(F202,TODAY(),1))</f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ca="1">TRUNC(YEARFRAC(F203,TODAY(),1))</f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ca="1">TRUNC(YEARFRAC(F204,TODAY(),1))</f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ca="1">TRUNC(YEARFRAC(F205,TODAY(),1))</f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ca="1">TRUNC(YEARFRAC(F206,TODAY(),1))</f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ca="1">TRUNC(YEARFRAC(F207,TODAY(),1))</f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ca="1">TRUNC(YEARFRAC(F208,TODAY(),1))</f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ca="1">TRUNC(YEARFRAC(F209,TODAY(),1))</f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ca="1">TRUNC(YEARFRAC(F210,TODAY(),1))</f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ca="1">TRUNC(YEARFRAC(F211,TODAY(),1))</f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ca="1">TRUNC(YEARFRAC(F212,TODAY(),1))</f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ca="1">TRUNC(YEARFRAC(F213,TODAY(),1))</f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ca="1">TRUNC(YEARFRAC(F214,TODAY(),1))</f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ca="1">TRUNC(YEARFRAC(F215,TODAY(),1))</f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ca="1">TRUNC(YEARFRAC(F216,TODAY(),1))</f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ca="1">TRUNC(YEARFRAC(F217,TODAY(),1))</f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ca="1">TRUNC(YEARFRAC(F218,TODAY(),1))</f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ca="1">TRUNC(YEARFRAC(F219,TODAY(),1))</f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ca="1">TRUNC(YEARFRAC(F220,TODAY(),1))</f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ca="1">TRUNC(YEARFRAC(F221,TODAY(),1))</f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ca="1">TRUNC(YEARFRAC(F222,TODAY(),1))</f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ca="1">TRUNC(YEARFRAC(F223,TODAY(),1))</f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ca="1">TRUNC(YEARFRAC(F224,TODAY(),1))</f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ca="1">TRUNC(YEARFRAC(F225,TODAY(),1))</f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ca="1">TRUNC(YEARFRAC(F226,TODAY(),1))</f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ca="1">TRUNC(YEARFRAC(F227,TODAY(),1))</f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ca="1">TRUNC(YEARFRAC(F228,TODAY(),1))</f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ca="1">TRUNC(YEARFRAC(F229,TODAY(),1))</f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ca="1">TRUNC(YEARFRAC(F230,TODAY(),1))</f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ca="1">TRUNC(YEARFRAC(F231,TODAY(),1))</f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ca="1">TRUNC(YEARFRAC(F232,TODAY(),1))</f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ca="1">TRUNC(YEARFRAC(F233,TODAY(),1))</f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ca="1">TRUNC(YEARFRAC(F234,TODAY(),1))</f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ca="1">TRUNC(YEARFRAC(F235,TODAY(),1))</f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ca="1">TRUNC(YEARFRAC(F236,TODAY(),1))</f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ca="1">TRUNC(YEARFRAC(F237,TODAY(),1))</f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ca="1">TRUNC(YEARFRAC(F238,TODAY(),1))</f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ca="1">TRUNC(YEARFRAC(F239,TODAY(),1))</f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ca="1">TRUNC(YEARFRAC(F240,TODAY(),1))</f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ca="1">TRUNC(YEARFRAC(F241,TODAY(),1))</f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ca="1">TRUNC(YEARFRAC(F242,TODAY(),1))</f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ca="1">TRUNC(YEARFRAC(F243,TODAY(),1))</f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ca="1">TRUNC(YEARFRAC(F244,TODAY(),1))</f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ca="1">TRUNC(YEARFRAC(F245,TODAY(),1))</f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ca="1">TRUNC(YEARFRAC(F246,TODAY(),1))</f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ca="1">TRUNC(YEARFRAC(F247,TODAY(),1))</f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ca="1">TRUNC(YEARFRAC(F248,TODAY(),1))</f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ca="1">TRUNC(YEARFRAC(F249,TODAY(),1))</f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ca="1">TRUNC(YEARFRAC(F250,TODAY(),1))</f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ca="1">TRUNC(YEARFRAC(F251,TODAY(),1))</f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ca="1">TRUNC(YEARFRAC(F252,TODAY(),1))</f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ca="1">TRUNC(YEARFRAC(F253,TODAY(),1))</f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ca="1">TRUNC(YEARFRAC(F254,TODAY(),1))</f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ca="1">TRUNC(YEARFRAC(F255,TODAY(),1))</f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ca="1">TRUNC(YEARFRAC(F256,TODAY(),1))</f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ca="1">TRUNC(YEARFRAC(F257,TODAY(),1))</f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ca="1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ca="1">TRUNC(YEARFRAC(F259,TODAY(),1))</f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ca="1">TRUNC(YEARFRAC(F260,TODAY(),1))</f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ca="1">TRUNC(YEARFRAC(F261,TODAY(),1))</f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ca="1">TRUNC(YEARFRAC(F262,TODAY(),1))</f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ca="1">TRUNC(YEARFRAC(F263,TODAY(),1))</f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ca="1">TRUNC(YEARFRAC(F264,TODAY(),1))</f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ca="1">TRUNC(YEARFRAC(F265,TODAY(),1))</f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ca="1">TRUNC(YEARFRAC(F266,TODAY(),1))</f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ca="1">TRUNC(YEARFRAC(F267,TODAY(),1))</f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ca="1">TRUNC(YEARFRAC(F268,TODAY(),1))</f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ca="1">TRUNC(YEARFRAC(F269,TODAY(),1))</f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ca="1">TRUNC(YEARFRAC(F270,TODAY(),1))</f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ca="1">TRUNC(YEARFRAC(F271,TODAY(),1))</f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ca="1">TRUNC(YEARFRAC(F272,TODAY(),1))</f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ca="1">TRUNC(YEARFRAC(F273,TODAY(),1))</f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ca="1">TRUNC(YEARFRAC(F274,TODAY(),1))</f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ca="1">TRUNC(YEARFRAC(F275,TODAY(),1))</f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ca="1">TRUNC(YEARFRAC(F276,TODAY(),1))</f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ca="1">TRUNC(YEARFRAC(F277,TODAY(),1))</f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ca="1">TRUNC(YEARFRAC(F278,TODAY(),1))</f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ca="1">TRUNC(YEARFRAC(F279,TODAY(),1))</f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ca="1">TRUNC(YEARFRAC(F280,TODAY(),1))</f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ca="1">TRUNC(YEARFRAC(F281,TODAY(),1))</f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ca="1">TRUNC(YEARFRAC(F282,TODAY(),1))</f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ca="1">TRUNC(YEARFRAC(F283,TODAY(),1))</f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ca="1">TRUNC(YEARFRAC(F284,TODAY(),1))</f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ca="1">TRUNC(YEARFRAC(F285,TODAY(),1))</f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ca="1">TRUNC(YEARFRAC(F286,TODAY(),1))</f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ca="1">TRUNC(YEARFRAC(F287,TODAY(),1))</f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ca="1">TRUNC(YEARFRAC(F288,TODAY(),1))</f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ca="1">TRUNC(YEARFRAC(F289,TODAY(),1))</f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ca="1">TRUNC(YEARFRAC(F290,TODAY(),1))</f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ca="1">TRUNC(YEARFRAC(F291,TODAY(),1))</f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ca="1">TRUNC(YEARFRAC(F292,TODAY(),1))</f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ca="1">TRUNC(YEARFRAC(F293,TODAY(),1))</f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ca="1">TRUNC(YEARFRAC(F294,TODAY(),1))</f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ca="1">TRUNC(YEARFRAC(F295,TODAY(),1))</f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ca="1">TRUNC(YEARFRAC(F296,TODAY(),1))</f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ca="1">TRUNC(YEARFRAC(F297,TODAY(),1))</f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ca="1">TRUNC(YEARFRAC(F298,TODAY(),1))</f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ca="1">TRUNC(YEARFRAC(F299,TODAY(),1))</f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ca="1">TRUNC(YEARFRAC(F300,TODAY(),1))</f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ca="1">TRUNC(YEARFRAC(F301,TODAY(),1))</f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ca="1">TRUNC(YEARFRAC(F302,TODAY(),1))</f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ca="1">TRUNC(YEARFRAC(F303,TODAY(),1))</f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ca="1">TRUNC(YEARFRAC(F304,TODAY(),1))</f>
        <v>7</v>
      </c>
      <c r="H304">
        <f>COUNTIF(BRON!A:A,Tabel6[[#This Row],[Personeelsnummer]])</f>
        <v>0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ca="1">TRUNC(YEARFRAC(F305,TODAY(),1))</f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ca="1">TRUNC(YEARFRAC(F306,TODAY(),1))</f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ca="1">TRUNC(YEARFRAC(F307,TODAY(),1))</f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ca="1">TRUNC(YEARFRAC(F308,TODAY(),1))</f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ca="1">TRUNC(YEARFRAC(F309,TODAY(),1))</f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ca="1">TRUNC(YEARFRAC(F310,TODAY(),1))</f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ca="1">TRUNC(YEARFRAC(F311,TODAY(),1))</f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ca="1">TRUNC(YEARFRAC(F312,TODAY(),1))</f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ca="1">TRUNC(YEARFRAC(F313,TODAY(),1))</f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ca="1">TRUNC(YEARFRAC(F314,TODAY(),1))</f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ca="1">TRUNC(YEARFRAC(F315,TODAY(),1))</f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ca="1">TRUNC(YEARFRAC(F316,TODAY(),1))</f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ca="1">TRUNC(YEARFRAC(F317,TODAY(),1))</f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ca="1">TRUNC(YEARFRAC(F318,TODAY(),1))</f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ca="1">TRUNC(YEARFRAC(F319,TODAY(),1))</f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ca="1">TRUNC(YEARFRAC(F320,TODAY(),1))</f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ca="1">TRUNC(YEARFRAC(F321,TODAY(),1))</f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ca="1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ca="1">TRUNC(YEARFRAC(F323,TODAY(),1))</f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ca="1">TRUNC(YEARFRAC(F324,TODAY(),1))</f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ca="1">TRUNC(YEARFRAC(F325,TODAY(),1))</f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ca="1">TRUNC(YEARFRAC(F326,TODAY(),1))</f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ca="1">TRUNC(YEARFRAC(F327,TODAY(),1))</f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ca="1">TRUNC(YEARFRAC(F328,TODAY(),1))</f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ca="1">TRUNC(YEARFRAC(F329,TODAY(),1))</f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ca="1">TRUNC(YEARFRAC(F330,TODAY(),1))</f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ca="1">TRUNC(YEARFRAC(F331,TODAY(),1))</f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ca="1">TRUNC(YEARFRAC(F332,TODAY(),1))</f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ca="1">TRUNC(YEARFRAC(F333,TODAY(),1))</f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ca="1">TRUNC(YEARFRAC(F334,TODAY(),1))</f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ca="1">TRUNC(YEARFRAC(F335,TODAY(),1))</f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ca="1">TRUNC(YEARFRAC(F336,TODAY(),1))</f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ca="1">TRUNC(YEARFRAC(F337,TODAY(),1))</f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ca="1">TRUNC(YEARFRAC(F338,TODAY(),1))</f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ca="1">TRUNC(YEARFRAC(F339,TODAY(),1))</f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ca="1">TRUNC(YEARFRAC(F340,TODAY(),1))</f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ca="1">TRUNC(YEARFRAC(F341,TODAY(),1))</f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ca="1">TRUNC(YEARFRAC(F342,TODAY(),1))</f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ca="1">TRUNC(YEARFRAC(F343,TODAY(),1))</f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ca="1">TRUNC(YEARFRAC(F344,TODAY(),1))</f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ca="1">TRUNC(YEARFRAC(F345,TODAY(),1))</f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ca="1">TRUNC(YEARFRAC(F346,TODAY(),1))</f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ca="1">TRUNC(YEARFRAC(F347,TODAY(),1))</f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ca="1">TRUNC(YEARFRAC(F348,TODAY(),1))</f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ca="1">TRUNC(YEARFRAC(F349,TODAY(),1))</f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ca="1">TRUNC(YEARFRAC(F350,TODAY(),1))</f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ca="1">TRUNC(YEARFRAC(F351,TODAY(),1))</f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ca="1">TRUNC(YEARFRAC(F352,TODAY(),1))</f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ca="1">TRUNC(YEARFRAC(F353,TODAY(),1))</f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ca="1">TRUNC(YEARFRAC(F354,TODAY(),1))</f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ca="1">TRUNC(YEARFRAC(F355,TODAY(),1))</f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ca="1">TRUNC(YEARFRAC(F356,TODAY(),1))</f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ca="1">TRUNC(YEARFRAC(F357,TODAY(),1))</f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ca="1">TRUNC(YEARFRAC(F358,TODAY(),1))</f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ca="1">TRUNC(YEARFRAC(F359,TODAY(),1))</f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ca="1">TRUNC(YEARFRAC(F360,TODAY(),1))</f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ca="1">TRUNC(YEARFRAC(F361,TODAY(),1))</f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ca="1">TRUNC(YEARFRAC(F362,TODAY(),1))</f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ca="1">TRUNC(YEARFRAC(F363,TODAY(),1))</f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ca="1">TRUNC(YEARFRAC(F364,TODAY(),1))</f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ca="1">TRUNC(YEARFRAC(F365,TODAY(),1))</f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ca="1">TRUNC(YEARFRAC(F366,TODAY(),1))</f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ca="1">TRUNC(YEARFRAC(F367,TODAY(),1))</f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ca="1">TRUNC(YEARFRAC(F368,TODAY(),1))</f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ca="1">TRUNC(YEARFRAC(F369,TODAY(),1))</f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ca="1">TRUNC(YEARFRAC(F370,TODAY(),1))</f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ca="1">TRUNC(YEARFRAC(F371,TODAY(),1))</f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ca="1">TRUNC(YEARFRAC(F372,TODAY(),1))</f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ca="1">TRUNC(YEARFRAC(F373,TODAY(),1))</f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ca="1">TRUNC(YEARFRAC(F374,TODAY(),1))</f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ca="1">TRUNC(YEARFRAC(F375,TODAY(),1))</f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ca="1">TRUNC(YEARFRAC(F376,TODAY(),1))</f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ca="1">TRUNC(YEARFRAC(F377,TODAY(),1))</f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ca="1">TRUNC(YEARFRAC(F378,TODAY(),1))</f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ca="1">TRUNC(YEARFRAC(F379,TODAY(),1))</f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ca="1">TRUNC(YEARFRAC(F380,TODAY(),1))</f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ca="1">TRUNC(YEARFRAC(F381,TODAY(),1))</f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ca="1">TRUNC(YEARFRAC(F382,TODAY(),1))</f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ca="1">TRUNC(YEARFRAC(F383,TODAY(),1))</f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ca="1">TRUNC(YEARFRAC(F384,TODAY(),1))</f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ca="1">TRUNC(YEARFRAC(F385,TODAY(),1))</f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ca="1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ca="1">TRUNC(YEARFRAC(F387,TODAY(),1))</f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ca="1">TRUNC(YEARFRAC(F388,TODAY(),1))</f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ca="1">TRUNC(YEARFRAC(F389,TODAY(),1))</f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ca="1">TRUNC(YEARFRAC(F390,TODAY(),1))</f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ca="1">TRUNC(YEARFRAC(F391,TODAY(),1))</f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ca="1">TRUNC(YEARFRAC(F392,TODAY(),1))</f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ca="1">TRUNC(YEARFRAC(F393,TODAY(),1))</f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ca="1">TRUNC(YEARFRAC(F394,TODAY(),1))</f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ca="1">TRUNC(YEARFRAC(F395,TODAY(),1))</f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ca="1">TRUNC(YEARFRAC(F396,TODAY(),1))</f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ca="1">TRUNC(YEARFRAC(F397,TODAY(),1))</f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ca="1">TRUNC(YEARFRAC(F398,TODAY(),1))</f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ca="1">TRUNC(YEARFRAC(F399,TODAY(),1))</f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ca="1">TRUNC(YEARFRAC(F400,TODAY(),1))</f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ca="1">TRUNC(YEARFRAC(F401,TODAY(),1))</f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ca="1">TRUNC(YEARFRAC(F402,TODAY(),1))</f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ca="1">TRUNC(YEARFRAC(F403,TODAY(),1))</f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ca="1">TRUNC(YEARFRAC(F404,TODAY(),1))</f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ca="1">TRUNC(YEARFRAC(F405,TODAY(),1))</f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ca="1">TRUNC(YEARFRAC(F406,TODAY(),1))</f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ca="1">TRUNC(YEARFRAC(F407,TODAY(),1))</f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ca="1">TRUNC(YEARFRAC(F408,TODAY(),1))</f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ca="1">TRUNC(YEARFRAC(F409,TODAY(),1))</f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ca="1">TRUNC(YEARFRAC(F410,TODAY(),1))</f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ca="1">TRUNC(YEARFRAC(F411,TODAY(),1))</f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ca="1">TRUNC(YEARFRAC(F412,TODAY(),1))</f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ca="1">TRUNC(YEARFRAC(F413,TODAY(),1))</f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ca="1">TRUNC(YEARFRAC(F414,TODAY(),1))</f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ca="1">TRUNC(YEARFRAC(F415,TODAY(),1))</f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ca="1">TRUNC(YEARFRAC(F416,TODAY(),1))</f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ca="1">TRUNC(YEARFRAC(F417,TODAY(),1))</f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ca="1">TRUNC(YEARFRAC(F418,TODAY(),1))</f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ca="1">TRUNC(YEARFRAC(F419,TODAY(),1))</f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ca="1">TRUNC(YEARFRAC(F420,TODAY(),1))</f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ca="1">TRUNC(YEARFRAC(F421,TODAY(),1))</f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ca="1">TRUNC(YEARFRAC(F422,TODAY(),1))</f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ca="1">TRUNC(YEARFRAC(F423,TODAY(),1))</f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ca="1">TRUNC(YEARFRAC(F424,TODAY(),1))</f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ca="1">TRUNC(YEARFRAC(F425,TODAY(),1))</f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ca="1">TRUNC(YEARFRAC(F426,TODAY(),1))</f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ca="1">TRUNC(YEARFRAC(F427,TODAY(),1))</f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ca="1">TRUNC(YEARFRAC(F428,TODAY(),1))</f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ca="1">TRUNC(YEARFRAC(F429,TODAY(),1))</f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ca="1">TRUNC(YEARFRAC(F430,TODAY(),1))</f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ca="1">TRUNC(YEARFRAC(F431,TODAY(),1))</f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ca="1">TRUNC(YEARFRAC(F432,TODAY(),1))</f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ca="1">TRUNC(YEARFRAC(F433,TODAY(),1))</f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ca="1">TRUNC(YEARFRAC(F434,TODAY(),1))</f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ca="1">TRUNC(YEARFRAC(F435,TODAY(),1))</f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ca="1">TRUNC(YEARFRAC(F436,TODAY(),1))</f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ca="1">TRUNC(YEARFRAC(F437,TODAY(),1))</f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ca="1">TRUNC(YEARFRAC(F438,TODAY(),1))</f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ca="1">TRUNC(YEARFRAC(F439,TODAY(),1))</f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ca="1">TRUNC(YEARFRAC(F440,TODAY(),1))</f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ca="1">TRUNC(YEARFRAC(F441,TODAY(),1))</f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ca="1">TRUNC(YEARFRAC(F442,TODAY(),1))</f>
        <v>2</v>
      </c>
      <c r="H442">
        <f>COUNTIF(BRON!A:A,Tabel6[[#This Row],[Personeelsnummer]])</f>
        <v>1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ca="1">TRUNC(YEARFRAC(F443,TODAY(),1))</f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ca="1">TRUNC(YEARFRAC(F444,TODAY(),1))</f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ca="1">TRUNC(YEARFRAC(F445,TODAY(),1))</f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ca="1">TRUNC(YEARFRAC(F446,TODAY(),1))</f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ca="1">TRUNC(YEARFRAC(F447,TODAY(),1))</f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ca="1">TRUNC(YEARFRAC(F448,TODAY(),1))</f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ca="1">TRUNC(YEARFRAC(F449,TODAY(),1))</f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ca="1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ca="1">TRUNC(YEARFRAC(F451,TODAY(),1))</f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ca="1">TRUNC(YEARFRAC(F452,TODAY(),1))</f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ca="1">TRUNC(YEARFRAC(F453,TODAY(),1))</f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ca="1">TRUNC(YEARFRAC(F454,TODAY(),1))</f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ca="1">TRUNC(YEARFRAC(F455,TODAY(),1))</f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ca="1">TRUNC(YEARFRAC(F456,TODAY(),1))</f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ca="1">TRUNC(YEARFRAC(F457,TODAY(),1))</f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ca="1">TRUNC(YEARFRAC(F458,TODAY(),1))</f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ca="1">TRUNC(YEARFRAC(F459,TODAY(),1))</f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ca="1">TRUNC(YEARFRAC(F460,TODAY(),1))</f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ca="1">TRUNC(YEARFRAC(F461,TODAY(),1))</f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ca="1">TRUNC(YEARFRAC(F462,TODAY(),1))</f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ca="1">TRUNC(YEARFRAC(F463,TODAY(),1))</f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ca="1">TRUNC(YEARFRAC(F464,TODAY(),1))</f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ca="1">TRUNC(YEARFRAC(F465,TODAY(),1))</f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ca="1">TRUNC(YEARFRAC(F466,TODAY(),1))</f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ca="1">TRUNC(YEARFRAC(F467,TODAY(),1))</f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ca="1">TRUNC(YEARFRAC(F468,TODAY(),1))</f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ca="1">TRUNC(YEARFRAC(F469,TODAY(),1))</f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ca="1">TRUNC(YEARFRAC(F470,TODAY(),1))</f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ca="1">TRUNC(YEARFRAC(F471,TODAY(),1))</f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ca="1">TRUNC(YEARFRAC(F472,TODAY(),1))</f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ca="1">TRUNC(YEARFRAC(F473,TODAY(),1))</f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ca="1">TRUNC(YEARFRAC(F474,TODAY(),1))</f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ca="1">TRUNC(YEARFRAC(F475,TODAY(),1))</f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ca="1">TRUNC(YEARFRAC(F476,TODAY(),1))</f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ca="1">TRUNC(YEARFRAC(F477,TODAY(),1))</f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ca="1">TRUNC(YEARFRAC(F478,TODAY(),1))</f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ca="1">TRUNC(YEARFRAC(F479,TODAY(),1))</f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ca="1">TRUNC(YEARFRAC(F480,TODAY(),1))</f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ca="1">TRUNC(YEARFRAC(F481,TODAY(),1))</f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ca="1">TRUNC(YEARFRAC(F482,TODAY(),1))</f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ca="1">TRUNC(YEARFRAC(F483,TODAY(),1))</f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ca="1">TRUNC(YEARFRAC(F484,TODAY(),1))</f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ca="1">TRUNC(YEARFRAC(F485,TODAY(),1))</f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ca="1">TRUNC(YEARFRAC(F486,TODAY(),1))</f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ca="1">TRUNC(YEARFRAC(F487,TODAY(),1))</f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ca="1">TRUNC(YEARFRAC(F488,TODAY(),1))</f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ca="1">TRUNC(YEARFRAC(F489,TODAY(),1))</f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ca="1">TRUNC(YEARFRAC(F490,TODAY(),1))</f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ca="1">TRUNC(YEARFRAC(F491,TODAY(),1))</f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ca="1">TRUNC(YEARFRAC(F492,TODAY(),1))</f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ca="1">TRUNC(YEARFRAC(F493,TODAY(),1))</f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ca="1">TRUNC(YEARFRAC(F494,TODAY(),1))</f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ca="1">TRUNC(YEARFRAC(F495,TODAY(),1))</f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ca="1">TRUNC(YEARFRAC(F496,TODAY(),1))</f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ca="1">TRUNC(YEARFRAC(F497,TODAY(),1))</f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ca="1">TRUNC(YEARFRAC(F498,TODAY(),1))</f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ca="1">TRUNC(YEARFRAC(F499,TODAY(),1))</f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ca="1">TRUNC(YEARFRAC(F500,TODAY(),1))</f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ca="1">TRUNC(YEARFRAC(F501,TODAY(),1))</f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ca="1">TRUNC(YEARFRAC(F502,TODAY(),1))</f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ca="1">TRUNC(YEARFRAC(F503,TODAY(),1))</f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ca="1">TRUNC(YEARFRAC(F504,TODAY(),1))</f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ca="1">TRUNC(YEARFRAC(F505,TODAY(),1))</f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ca="1">TRUNC(YEARFRAC(F506,TODAY(),1))</f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ca="1">TRUNC(YEARFRAC(F507,TODAY(),1))</f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ca="1">TRUNC(YEARFRAC(F508,TODAY(),1))</f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ca="1">TRUNC(YEARFRAC(F509,TODAY(),1))</f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ca="1">TRUNC(YEARFRAC(F510,TODAY(),1))</f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ca="1">TRUNC(YEARFRAC(F511,TODAY(),1))</f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ca="1">TRUNC(YEARFRAC(F512,TODAY(),1))</f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ca="1">TRUNC(YEARFRAC(F513,TODAY(),1))</f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ca="1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ca="1">TRUNC(YEARFRAC(F515,TODAY(),1))</f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ca="1">TRUNC(YEARFRAC(F516,TODAY(),1))</f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ca="1">TRUNC(YEARFRAC(F517,TODAY(),1))</f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ca="1">TRUNC(YEARFRAC(F518,TODAY(),1))</f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ca="1">TRUNC(YEARFRAC(F519,TODAY(),1))</f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ca="1">TRUNC(YEARFRAC(F520,TODAY(),1))</f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ca="1">TRUNC(YEARFRAC(F521,TODAY(),1))</f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ca="1">TRUNC(YEARFRAC(F522,TODAY(),1))</f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ca="1">TRUNC(YEARFRAC(F523,TODAY(),1))</f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ca="1">TRUNC(YEARFRAC(F524,TODAY(),1))</f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ca="1">TRUNC(YEARFRAC(F525,TODAY(),1))</f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ca="1">TRUNC(YEARFRAC(F526,TODAY(),1))</f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ca="1">TRUNC(YEARFRAC(F527,TODAY(),1))</f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ca="1">TRUNC(YEARFRAC(F528,TODAY(),1))</f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ca="1">TRUNC(YEARFRAC(F529,TODAY(),1))</f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ca="1">TRUNC(YEARFRAC(F530,TODAY(),1))</f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ca="1">TRUNC(YEARFRAC(F531,TODAY(),1))</f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ca="1">TRUNC(YEARFRAC(F532,TODAY(),1))</f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ca="1">TRUNC(YEARFRAC(F533,TODAY(),1))</f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ca="1">TRUNC(YEARFRAC(F534,TODAY(),1))</f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ca="1">TRUNC(YEARFRAC(F535,TODAY(),1))</f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ca="1">TRUNC(YEARFRAC(F536,TODAY(),1))</f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ca="1">TRUNC(YEARFRAC(F537,TODAY(),1))</f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ca="1">TRUNC(YEARFRAC(F538,TODAY(),1))</f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ca="1">TRUNC(YEARFRAC(F539,TODAY(),1))</f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ca="1">TRUNC(YEARFRAC(F540,TODAY(),1))</f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ca="1">TRUNC(YEARFRAC(F541,TODAY(),1))</f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ca="1">TRUNC(YEARFRAC(F542,TODAY(),1))</f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ca="1">TRUNC(YEARFRAC(F543,TODAY(),1))</f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ca="1">TRUNC(YEARFRAC(F544,TODAY(),1))</f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ca="1">TRUNC(YEARFRAC(F545,TODAY(),1))</f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ca="1">TRUNC(YEARFRAC(F546,TODAY(),1))</f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ca="1">TRUNC(YEARFRAC(F547,TODAY(),1))</f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ca="1">TRUNC(YEARFRAC(F548,TODAY(),1))</f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ca="1">TRUNC(YEARFRAC(F549,TODAY(),1))</f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ca="1">TRUNC(YEARFRAC(F550,TODAY(),1))</f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ca="1">TRUNC(YEARFRAC(F551,TODAY(),1))</f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ca="1">TRUNC(YEARFRAC(F552,TODAY(),1))</f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ca="1">TRUNC(YEARFRAC(F553,TODAY(),1))</f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ca="1">TRUNC(YEARFRAC(F554,TODAY(),1))</f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ca="1">TRUNC(YEARFRAC(F555,TODAY(),1))</f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ca="1">TRUNC(YEARFRAC(F556,TODAY(),1))</f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ca="1">TRUNC(YEARFRAC(F557,TODAY(),1))</f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ca="1">TRUNC(YEARFRAC(F558,TODAY(),1))</f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ca="1">TRUNC(YEARFRAC(F559,TODAY(),1))</f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ca="1">TRUNC(YEARFRAC(F560,TODAY(),1))</f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ca="1">TRUNC(YEARFRAC(F561,TODAY(),1))</f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ca="1">TRUNC(YEARFRAC(F562,TODAY(),1))</f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ca="1">TRUNC(YEARFRAC(F563,TODAY(),1))</f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ca="1">TRUNC(YEARFRAC(F564,TODAY(),1))</f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ca="1">TRUNC(YEARFRAC(F565,TODAY(),1))</f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ca="1">TRUNC(YEARFRAC(F566,TODAY(),1))</f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ca="1">TRUNC(YEARFRAC(F567,TODAY(),1))</f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ca="1">TRUNC(YEARFRAC(F568,TODAY(),1))</f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ca="1">TRUNC(YEARFRAC(F569,TODAY(),1))</f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ca="1">TRUNC(YEARFRAC(F570,TODAY(),1))</f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ca="1">TRUNC(YEARFRAC(F571,TODAY(),1))</f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ca="1">TRUNC(YEARFRAC(F572,TODAY(),1))</f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ca="1">TRUNC(YEARFRAC(F573,TODAY(),1))</f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ca="1">TRUNC(YEARFRAC(F574,TODAY(),1))</f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ca="1">TRUNC(YEARFRAC(F575,TODAY(),1))</f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ca="1">TRUNC(YEARFRAC(F576,TODAY(),1))</f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ca="1">TRUNC(YEARFRAC(F577,TODAY(),1))</f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ca="1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ca="1">TRUNC(YEARFRAC(F579,TODAY(),1))</f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ca="1">TRUNC(YEARFRAC(F580,TODAY(),1))</f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ca="1">TRUNC(YEARFRAC(F581,TODAY(),1))</f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ca="1">TRUNC(YEARFRAC(F582,TODAY(),1))</f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ca="1">TRUNC(YEARFRAC(F583,TODAY(),1))</f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ca="1">TRUNC(YEARFRAC(F584,TODAY(),1))</f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ca="1">TRUNC(YEARFRAC(F585,TODAY(),1))</f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ca="1">TRUNC(YEARFRAC(F586,TODAY(),1))</f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ca="1">TRUNC(YEARFRAC(F587,TODAY(),1))</f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ca="1">TRUNC(YEARFRAC(F588,TODAY(),1))</f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ca="1">TRUNC(YEARFRAC(F589,TODAY(),1))</f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ca="1">TRUNC(YEARFRAC(F590,TODAY(),1))</f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ca="1">TRUNC(YEARFRAC(F591,TODAY(),1))</f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ca="1">TRUNC(YEARFRAC(F592,TODAY(),1))</f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ca="1">TRUNC(YEARFRAC(F593,TODAY(),1))</f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ca="1">TRUNC(YEARFRAC(F594,TODAY(),1))</f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ca="1">TRUNC(YEARFRAC(F595,TODAY(),1))</f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ca="1">TRUNC(YEARFRAC(F596,TODAY(),1))</f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ca="1">TRUNC(YEARFRAC(F597,TODAY(),1))</f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ca="1">TRUNC(YEARFRAC(F598,TODAY(),1))</f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ca="1">TRUNC(YEARFRAC(F599,TODAY(),1))</f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ca="1">TRUNC(YEARFRAC(F600,TODAY(),1))</f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ca="1">TRUNC(YEARFRAC(F601,TODAY(),1))</f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ca="1">TRUNC(YEARFRAC(F602,TODAY(),1))</f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ca="1">TRUNC(YEARFRAC(F603,TODAY(),1))</f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ca="1">TRUNC(YEARFRAC(F604,TODAY(),1))</f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ca="1">TRUNC(YEARFRAC(F605,TODAY(),1))</f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ca="1">TRUNC(YEARFRAC(F606,TODAY(),1))</f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ca="1">TRUNC(YEARFRAC(F607,TODAY(),1))</f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ca="1">TRUNC(YEARFRAC(F608,TODAY(),1))</f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ca="1">TRUNC(YEARFRAC(F609,TODAY(),1))</f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ca="1">TRUNC(YEARFRAC(F610,TODAY(),1))</f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ca="1">TRUNC(YEARFRAC(F611,TODAY(),1))</f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ca="1">TRUNC(YEARFRAC(F612,TODAY(),1))</f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ca="1">TRUNC(YEARFRAC(F613,TODAY(),1))</f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ca="1">TRUNC(YEARFRAC(F614,TODAY(),1))</f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ca="1">TRUNC(YEARFRAC(F615,TODAY(),1))</f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2025-12-04T10:33:55Z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