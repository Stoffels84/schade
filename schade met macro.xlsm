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60" documentId="13_ncr:1_{BC833B0D-2F54-40DF-A6AF-902741D0EBA0}" xr6:coauthVersionLast="47" xr6:coauthVersionMax="47" xr10:uidLastSave="{AC8E91F8-BE34-4F2C-8A8A-2AE01E29DE3F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65" i="1" l="1"/>
  <c r="B865" i="1" s="1"/>
  <c r="D865" i="1"/>
  <c r="E865" i="1"/>
  <c r="S865" i="1"/>
  <c r="C864" i="1"/>
  <c r="B864" i="1" s="1"/>
  <c r="D864" i="1"/>
  <c r="E864" i="1"/>
  <c r="S864" i="1"/>
  <c r="C863" i="1"/>
  <c r="B863" i="1" s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62" i="1" l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<sst xmlns="http://schemas.openxmlformats.org/spreadsheetml/2006/main" count="7864" uniqueCount="3627">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</sst>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5" totalsRowShown="0" headerRowDxfId="10">
  <autoFilter ref="A1:AA865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5"/>
  <sheetViews>
    <sheetView tabSelected="1" zoomScale="85" zoomScaleNormal="85" workbookViewId="0">
      <pane ySplit="1" topLeftCell="A824" activePane="bottomLeft" state="frozen"/>
      <selection activeCell="F1" sqref="F1"/>
      <selection pane="bottomLeft" activeCell="Y1" sqref="Y1:Y1048576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e">
        <f>VLOOKUP(bron[[#This Row],[personeelsnr]],'data hastus'!A:K,11,FALSE)</f>
        <v>#N/A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e">
        <f>VLOOKUP(bron[[#This Row],[personeelsnr]],'data hastus'!A:K,11,FALSE)</f>
        <v>#N/A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e">
        <f>VLOOKUP(bron[[#This Row],[personeelsnr]],'data hastus'!A:K,11,FALSE)</f>
        <v>#N/A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e">
        <f>VLOOKUP(bron[[#This Row],[personeelsnr]],'data hastus'!A:K,11,FALSE)</f>
        <v>#N/A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e">
        <f>VLOOKUP(bron[[#This Row],[personeelsnr]],'data hastus'!A:K,11,FALSE)</f>
        <v>#N/A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x14ac:dyDescent="0.25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10"/>
      <c r="G863" s="7"/>
      <c r="H863" s="7"/>
      <c r="I863" s="7"/>
      <c r="S863" s="5">
        <f>SUM(bron[[#This Row],[Januari]:[December]])</f>
        <v>0</v>
      </c>
      <c r="T863" s="9">
        <v>45919</v>
      </c>
      <c r="U863" s="5" t="s">
        <v>3626</v>
      </c>
      <c r="V863" s="24">
        <v>1</v>
      </c>
      <c r="W863" s="24"/>
      <c r="X863" t="s">
        <v>3514</v>
      </c>
      <c r="Y863" t="s">
        <v>535</v>
      </c>
      <c r="Z863">
        <v>5488</v>
      </c>
      <c r="AA863" s="39" t="s">
        <v>3562</v>
      </c>
    </row>
    <row r="864" spans="1:27" x14ac:dyDescent="0.25">
      <c r="B864" t="e">
        <f>_xlfn.CONCAT(bron[[#This Row],[personeelsnr]]," ",bron[[#This Row],[achternaam]]," ",bron[[#This Row],[voornaam]])</f>
        <v>#N/A</v>
      </c>
      <c r="C864" t="e">
        <f>VLOOKUP(bron[[#This Row],[personeelsnr]],'data hastus'!$A:$C,2,0)</f>
        <v>#N/A</v>
      </c>
      <c r="D864" t="e">
        <f>VLOOKUP(bron[[#This Row],[personeelsnr]],'data hastus'!$A:$C,3,0)</f>
        <v>#N/A</v>
      </c>
      <c r="E864" t="e">
        <f>VLOOKUP(bron[[#This Row],[personeelsnr]],'data hastus'!A:K,11,FALSE)</f>
        <v>#N/A</v>
      </c>
      <c r="F864" s="10"/>
      <c r="G864" s="7"/>
      <c r="H864" s="7"/>
      <c r="I864" s="7"/>
      <c r="S864" s="5">
        <f>SUM(bron[[#This Row],[Januari]:[December]])</f>
        <v>0</v>
      </c>
      <c r="V864" s="24"/>
      <c r="W864" s="24"/>
    </row>
    <row r="865" spans="2:23" x14ac:dyDescent="0.25">
      <c r="B865" t="e">
        <f>_xlfn.CONCAT(bron[[#This Row],[personeelsnr]]," ",bron[[#This Row],[achternaam]]," ",bron[[#This Row],[voornaam]])</f>
        <v>#N/A</v>
      </c>
      <c r="C865" t="e">
        <f>VLOOKUP(bron[[#This Row],[personeelsnr]],'data hastus'!$A:$C,2,0)</f>
        <v>#N/A</v>
      </c>
      <c r="D865" t="e">
        <f>VLOOKUP(bron[[#This Row],[personeelsnr]],'data hastus'!$A:$C,3,0)</f>
        <v>#N/A</v>
      </c>
      <c r="E865" t="e">
        <f>VLOOKUP(bron[[#This Row],[personeelsnr]],'data hastus'!A:K,11,FALSE)</f>
        <v>#N/A</v>
      </c>
      <c r="F865" s="10"/>
      <c r="G865" s="7"/>
      <c r="H865" s="7"/>
      <c r="I865" s="7"/>
      <c r="S865" s="5">
        <f>SUM(bron[[#This Row],[Januari]:[December]])</f>
        <v>0</v>
      </c>
      <c r="V865" s="24"/>
      <c r="W865" s="24"/>
    </row>
  </sheetData>
  <sheetProtection sort="0" autoFilter="0"/>
  <phoneticPr fontId="1" type="noConversion"/>
  <conditionalFormatting sqref="F2:F865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3567</v>
      </c>
    </row>
    <row r="39" spans="1:3" x14ac:dyDescent="0.25">
      <c r="A39">
        <v>23079</v>
      </c>
      <c r="B39" t="s">
        <v>3545</v>
      </c>
      <c r="C39" s="8" t="s">
        <v>3568</v>
      </c>
    </row>
    <row r="40" spans="1:3" x14ac:dyDescent="0.25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2025-09-19T12:07:55Z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