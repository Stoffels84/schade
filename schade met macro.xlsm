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60" documentId="8_{E6BCF386-B104-424C-B4A8-F32964540273}" xr6:coauthVersionLast="47" xr6:coauthVersionMax="47" xr10:uidLastSave="{D3E1D30A-FB2F-4D2C-83F3-F1E0ED0C0E99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4" i="1" l="1"/>
  <c r="B855" i="1"/>
  <c r="B856" i="1"/>
  <c r="B857" i="1"/>
  <c r="C857" i="1"/>
  <c r="D857" i="1"/>
  <c r="E857" i="1"/>
  <c r="S857" i="1"/>
  <c r="C856" i="1"/>
  <c r="D856" i="1"/>
  <c r="E856" i="1"/>
  <c r="S856" i="1"/>
  <c r="C855" i="1"/>
  <c r="D855" i="1"/>
  <c r="E855" i="1"/>
  <c r="S855" i="1"/>
  <c r="C854" i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B844" i="1" s="1"/>
  <c r="D844" i="1"/>
  <c r="E844" i="1"/>
  <c r="S844" i="1"/>
  <c r="C843" i="1"/>
  <c r="B843" i="1" s="1"/>
  <c r="D843" i="1"/>
  <c r="E843" i="1"/>
  <c r="S843" i="1"/>
  <c r="C842" i="1"/>
  <c r="B842" i="1" s="1"/>
  <c r="D842" i="1"/>
  <c r="E842" i="1"/>
  <c r="S842" i="1"/>
  <c r="C841" i="1"/>
  <c r="D841" i="1"/>
  <c r="E841" i="1"/>
  <c r="S841" i="1"/>
  <c r="C840" i="1"/>
  <c r="D840" i="1"/>
  <c r="E840" i="1"/>
  <c r="S840" i="1"/>
  <c r="C839" i="1"/>
  <c r="D839" i="1"/>
  <c r="B839" i="1" s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35" i="1"/>
  <c r="C763" i="1"/>
  <c r="D763" i="1"/>
  <c r="E763" i="1"/>
  <c r="S763" i="1"/>
  <c r="C822" i="1"/>
  <c r="D822" i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B213" i="1" s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B118" i="1" s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B4" i="1" s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B438" i="1" s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B494" i="1" s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B304" i="1" s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B54" i="1" s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B316" i="1" s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B190" i="1" s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B372" i="1" s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B81" i="1" s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B444" i="1" s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3" i="1"/>
  <c r="B239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389" i="10"/>
  <c r="B243" i="10"/>
  <c r="B119" i="10"/>
  <c r="B179" i="10"/>
  <c r="C686" i="1"/>
  <c r="D686" i="1"/>
  <c r="E686" i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C582" i="1"/>
  <c r="C590" i="1"/>
  <c r="C624" i="1"/>
  <c r="C657" i="1"/>
  <c r="C530" i="1"/>
  <c r="C628" i="1"/>
  <c r="C526" i="1"/>
  <c r="C619" i="1"/>
  <c r="C824" i="1"/>
  <c r="C532" i="1"/>
  <c r="C699" i="1"/>
  <c r="C629" i="1"/>
  <c r="C831" i="1"/>
  <c r="C527" i="1"/>
  <c r="C828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25" i="1"/>
  <c r="C574" i="1"/>
  <c r="C636" i="1"/>
  <c r="C812" i="1"/>
  <c r="C521" i="1"/>
  <c r="C609" i="1"/>
  <c r="C525" i="1"/>
  <c r="C823" i="1"/>
  <c r="C600" i="1"/>
  <c r="C571" i="1"/>
  <c r="C556" i="1"/>
  <c r="C798" i="1"/>
  <c r="C588" i="1"/>
  <c r="C514" i="1"/>
  <c r="C830" i="1"/>
  <c r="C650" i="1"/>
  <c r="C637" i="1"/>
  <c r="C542" i="1"/>
  <c r="C584" i="1"/>
  <c r="C814" i="1"/>
  <c r="C543" i="1"/>
  <c r="C819" i="1"/>
  <c r="C633" i="1"/>
  <c r="C817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07" i="1"/>
  <c r="C626" i="1"/>
  <c r="C572" i="1"/>
  <c r="C557" i="1"/>
  <c r="C803" i="1"/>
  <c r="C551" i="1"/>
  <c r="C544" i="1"/>
  <c r="C836" i="1"/>
  <c r="C592" i="1"/>
  <c r="C653" i="1"/>
  <c r="C627" i="1"/>
  <c r="C564" i="1"/>
  <c r="C567" i="1"/>
  <c r="C672" i="1"/>
  <c r="C566" i="1"/>
  <c r="C545" i="1"/>
  <c r="C616" i="1"/>
  <c r="C602" i="1"/>
  <c r="C837" i="1"/>
  <c r="C642" i="1"/>
  <c r="C668" i="1"/>
  <c r="C687" i="1"/>
  <c r="C603" i="1"/>
  <c r="C634" i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18" i="1"/>
  <c r="B818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781" i="1" l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4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840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2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17" i="1"/>
  <c r="B650" i="1"/>
  <c r="B823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0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4" i="1"/>
  <c r="B738" i="1"/>
  <c r="B785" i="1"/>
  <c r="B812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07" i="1"/>
  <c r="B630" i="1"/>
  <c r="B827" i="1"/>
  <c r="B580" i="1"/>
  <c r="B547" i="1"/>
  <c r="B36" i="10"/>
  <c r="B84" i="10"/>
  <c r="B132" i="10"/>
  <c r="B168" i="10"/>
  <c r="B208" i="10"/>
  <c r="B240" i="10"/>
  <c r="B619" i="1"/>
  <c r="B806" i="1"/>
  <c r="B803" i="1"/>
  <c r="B565" i="1"/>
  <c r="B548" i="1"/>
  <c r="B634" i="1"/>
  <c r="B545" i="1"/>
  <c r="B836" i="1"/>
  <c r="B819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28" i="1"/>
  <c r="B635" i="1"/>
  <c r="B617" i="1"/>
  <c r="B560" i="1"/>
  <c r="B628" i="1"/>
  <c r="B595" i="1"/>
  <c r="B687" i="1"/>
  <c r="B672" i="1"/>
  <c r="B551" i="1"/>
  <c r="B680" i="1"/>
  <c r="B814" i="1"/>
  <c r="B798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38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4" i="1"/>
  <c r="B723" i="1"/>
  <c r="B741" i="1"/>
  <c r="B744" i="1"/>
  <c r="B745" i="1"/>
  <c r="B776" i="1"/>
  <c r="B821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<sst xmlns="http://schemas.openxmlformats.org/spreadsheetml/2006/main" count="7351" uniqueCount="3532">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</sst>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7" totalsRowShown="0" headerRowDxfId="10">
  <autoFilter ref="A1:Y857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7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B853" sqref="B853:B85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25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39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25">
      <c r="B842" t="e">
        <f>_xlfn.CONCAT(bron[[#This Row],[personeelsnr]]," ",bron[[#This Row],[achternaam]]," ",bron[[#This Row],[voornaam]])</f>
        <v>#N/A</v>
      </c>
      <c r="C842" t="e">
        <f>VLOOKUP(bron[[#This Row],[personeelsnr]],'data hastus'!$A:$C,2,0)</f>
        <v>#N/A</v>
      </c>
      <c r="D842" t="e">
        <f>VLOOKUP(bron[[#This Row],[personeelsnr]],'data hastus'!$A:$C,3,0)</f>
        <v>#N/A</v>
      </c>
      <c r="E842" t="e">
        <f>VLOOKUP(bron[[#This Row],[personeelsnr]],'data hastus'!A:K,11,FALSE)</f>
        <v>#N/A</v>
      </c>
      <c r="F842" s="10"/>
      <c r="G842" s="7"/>
      <c r="H842" s="7"/>
      <c r="I842" s="7"/>
      <c r="S842" s="39">
        <f>SUM(bron[[#This Row],[Januari]:[December]])</f>
        <v>0</v>
      </c>
      <c r="V842" s="24"/>
      <c r="W842" s="24"/>
    </row>
    <row r="843" spans="1:25" x14ac:dyDescent="0.25">
      <c r="B843" t="e">
        <f>_xlfn.CONCAT(bron[[#This Row],[personeelsnr]]," ",bron[[#This Row],[achternaam]]," ",bron[[#This Row],[voornaam]])</f>
        <v>#N/A</v>
      </c>
      <c r="C843" t="e">
        <f>VLOOKUP(bron[[#This Row],[personeelsnr]],'data hastus'!$A:$C,2,0)</f>
        <v>#N/A</v>
      </c>
      <c r="D843" t="e">
        <f>VLOOKUP(bron[[#This Row],[personeelsnr]],'data hastus'!$A:$C,3,0)</f>
        <v>#N/A</v>
      </c>
      <c r="E843" t="e">
        <f>VLOOKUP(bron[[#This Row],[personeelsnr]],'data hastus'!A:K,11,FALSE)</f>
        <v>#N/A</v>
      </c>
      <c r="F843" s="10"/>
      <c r="G843" s="7"/>
      <c r="H843" s="7"/>
      <c r="I843" s="7"/>
      <c r="S843" s="39">
        <f>SUM(bron[[#This Row],[Januari]:[December]])</f>
        <v>0</v>
      </c>
      <c r="V843" s="24"/>
      <c r="W843" s="24"/>
    </row>
    <row r="844" spans="1:25" x14ac:dyDescent="0.25">
      <c r="B844" t="e">
        <f>_xlfn.CONCAT(bron[[#This Row],[personeelsnr]]," ",bron[[#This Row],[achternaam]]," ",bron[[#This Row],[voornaam]])</f>
        <v>#N/A</v>
      </c>
      <c r="C844" t="e">
        <f>VLOOKUP(bron[[#This Row],[personeelsnr]],'data hastus'!$A:$C,2,0)</f>
        <v>#N/A</v>
      </c>
      <c r="D844" t="e">
        <f>VLOOKUP(bron[[#This Row],[personeelsnr]],'data hastus'!$A:$C,3,0)</f>
        <v>#N/A</v>
      </c>
      <c r="E844" t="e">
        <f>VLOOKUP(bron[[#This Row],[personeelsnr]],'data hastus'!A:K,11,FALSE)</f>
        <v>#N/A</v>
      </c>
      <c r="F844" s="10"/>
      <c r="G844" s="7"/>
      <c r="H844" s="7"/>
      <c r="I844" s="7"/>
      <c r="S844" s="39">
        <f>SUM(bron[[#This Row],[Januari]:[December]])</f>
        <v>0</v>
      </c>
      <c r="V844" s="24"/>
      <c r="W844" s="24"/>
    </row>
    <row r="845" spans="1:25" x14ac:dyDescent="0.25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39">
        <f>SUM(bron[[#This Row],[Januari]:[December]])</f>
        <v>0</v>
      </c>
      <c r="V845" s="24"/>
      <c r="W845" s="24"/>
    </row>
    <row r="846" spans="1:25" x14ac:dyDescent="0.25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39">
        <f>SUM(bron[[#This Row],[Januari]:[December]])</f>
        <v>0</v>
      </c>
      <c r="V846" s="24"/>
      <c r="W846" s="24"/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39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39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39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39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39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39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39">
        <f>SUM(bron[[#This Row],[Januari]:[December]])</f>
        <v>0</v>
      </c>
      <c r="V853" s="24"/>
      <c r="W853" s="24"/>
    </row>
    <row r="854" spans="2:23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39">
        <f>SUM(bron[[#This Row],[Januari]:[December]])</f>
        <v>0</v>
      </c>
      <c r="V854" s="24"/>
      <c r="W854" s="24"/>
    </row>
    <row r="855" spans="2:23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39">
        <f>SUM(bron[[#This Row],[Januari]:[December]])</f>
        <v>0</v>
      </c>
      <c r="V855" s="24"/>
      <c r="W855" s="24"/>
    </row>
    <row r="856" spans="2:23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39">
        <f>SUM(bron[[#This Row],[Januari]:[December]])</f>
        <v>0</v>
      </c>
      <c r="V856" s="24"/>
      <c r="W856" s="24"/>
    </row>
    <row r="857" spans="2:23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39">
        <f>SUM(bron[[#This Row],[Januari]:[December]])</f>
        <v>0</v>
      </c>
      <c r="V857" s="24"/>
      <c r="W857" s="24"/>
    </row>
  </sheetData>
  <sheetProtection sort="0" autoFilter="0"/>
  <phoneticPr fontId="1" type="noConversion"/>
  <conditionalFormatting sqref="F2:F85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2025-09-04T08:24:23Z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