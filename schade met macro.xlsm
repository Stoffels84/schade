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569" documentId="13_ncr:1_{10FCACA5-8197-478D-90D3-5F83063FB753}" xr6:coauthVersionLast="47" xr6:coauthVersionMax="47" xr10:uidLastSave="{EDB00A57-D96C-4144-B20A-1DD39729C3A1}"/>
  <bookViews>
    <workbookView xWindow="-14040" yWindow="-163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71" i="1" l="1"/>
  <c r="B971" i="1" s="1"/>
  <c r="D971" i="1"/>
  <c r="E971" i="1"/>
  <c r="S971" i="1"/>
  <c r="C970" i="1"/>
  <c r="B970" i="1" s="1"/>
  <c r="D970" i="1"/>
  <c r="E970" i="1"/>
  <c r="S970" i="1"/>
  <c r="C954" i="1"/>
  <c r="D954" i="1"/>
  <c r="E954" i="1"/>
  <c r="S954" i="1"/>
  <c r="C950" i="1"/>
  <c r="D950" i="1"/>
  <c r="E950" i="1"/>
  <c r="S950" i="1"/>
  <c r="C951" i="1"/>
  <c r="D951" i="1"/>
  <c r="E951" i="1"/>
  <c r="S951" i="1"/>
  <c r="C947" i="1"/>
  <c r="D947" i="1"/>
  <c r="E947" i="1"/>
  <c r="S947" i="1"/>
  <c r="C909" i="1"/>
  <c r="D909" i="1"/>
  <c r="E909" i="1"/>
  <c r="S909" i="1"/>
  <c r="C969" i="1"/>
  <c r="B969" i="1" s="1"/>
  <c r="D969" i="1"/>
  <c r="E969" i="1"/>
  <c r="S969" i="1"/>
  <c r="C968" i="1"/>
  <c r="B968" i="1" s="1"/>
  <c r="D968" i="1"/>
  <c r="E968" i="1"/>
  <c r="S968" i="1"/>
  <c r="C967" i="1"/>
  <c r="B967" i="1" s="1"/>
  <c r="D967" i="1"/>
  <c r="E967" i="1"/>
  <c r="S967" i="1"/>
  <c r="C966" i="1"/>
  <c r="B966" i="1" s="1"/>
  <c r="D966" i="1"/>
  <c r="E966" i="1"/>
  <c r="S966" i="1"/>
  <c r="C965" i="1"/>
  <c r="B965" i="1" s="1"/>
  <c r="D965" i="1"/>
  <c r="E965" i="1"/>
  <c r="S965" i="1"/>
  <c r="C964" i="1"/>
  <c r="B964" i="1" s="1"/>
  <c r="D964" i="1"/>
  <c r="E964" i="1"/>
  <c r="S964" i="1"/>
  <c r="C963" i="1"/>
  <c r="B963" i="1" s="1"/>
  <c r="D963" i="1"/>
  <c r="E963" i="1"/>
  <c r="S963" i="1"/>
  <c r="C962" i="1"/>
  <c r="D962" i="1"/>
  <c r="E962" i="1"/>
  <c r="S962" i="1"/>
  <c r="C961" i="1"/>
  <c r="B961" i="1" s="1"/>
  <c r="D961" i="1"/>
  <c r="E961" i="1"/>
  <c r="S961" i="1"/>
  <c r="C960" i="1"/>
  <c r="B960" i="1" s="1"/>
  <c r="D960" i="1"/>
  <c r="E960" i="1"/>
  <c r="S960" i="1"/>
  <c r="C958" i="1"/>
  <c r="D958" i="1"/>
  <c r="E958" i="1"/>
  <c r="S958" i="1"/>
  <c r="C959" i="1"/>
  <c r="B959" i="1" s="1"/>
  <c r="D959" i="1"/>
  <c r="E959" i="1"/>
  <c r="S959" i="1"/>
  <c r="C957" i="1"/>
  <c r="D957" i="1"/>
  <c r="E957" i="1"/>
  <c r="S957" i="1"/>
  <c r="C956" i="1"/>
  <c r="B956" i="1" s="1"/>
  <c r="D956" i="1"/>
  <c r="E956" i="1"/>
  <c r="S956" i="1"/>
  <c r="C953" i="1"/>
  <c r="D953" i="1"/>
  <c r="E953" i="1"/>
  <c r="S953" i="1"/>
  <c r="C955" i="1"/>
  <c r="D955" i="1"/>
  <c r="E955" i="1"/>
  <c r="S955" i="1"/>
  <c r="C949" i="1"/>
  <c r="D949" i="1"/>
  <c r="E949" i="1"/>
  <c r="S949" i="1"/>
  <c r="C952" i="1"/>
  <c r="D952" i="1"/>
  <c r="E952" i="1"/>
  <c r="S952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62" i="1" l="1"/>
  <c r="B953" i="1"/>
  <c r="B949" i="1"/>
  <c r="B958" i="1"/>
  <c r="B957" i="1"/>
  <c r="B955" i="1"/>
  <c r="B947" i="1"/>
  <c r="B954" i="1"/>
  <c r="B950" i="1"/>
  <c r="B909" i="1"/>
  <c r="B951" i="1"/>
  <c r="B944" i="1"/>
  <c r="B948" i="1"/>
  <c r="B945" i="1"/>
  <c r="B952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<sst xmlns="http://schemas.openxmlformats.org/spreadsheetml/2006/main" count="8920" uniqueCount="3816">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</sst>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34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34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9</v>
          </cell>
          <cell r="B9" t="str">
            <v>Kenneth De Rick</v>
          </cell>
          <cell r="D9">
            <v>28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71" totalsRowShown="0" headerRowDxfId="10">
  <autoFilter ref="A1:AA971" xr:uid="{2FDE3AF6-1CE1-4F38-BD72-1F03CD30F4FC}">
    <filterColumn colId="19">
      <filters blank="1">
        <dateGroupItem year="2025" dateTimeGrouping="year"/>
      </filters>
    </filterColumn>
  </autoFilter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34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34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28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76</v>
      </c>
      <c r="J50" s="14" t="s">
        <v>109</v>
      </c>
      <c r="K50" s="14"/>
      <c r="L50" s="25"/>
      <c r="M50" s="14">
        <f>SUM(M42:M49)</f>
        <v>238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71"/>
  <sheetViews>
    <sheetView tabSelected="1" zoomScale="85" zoomScaleNormal="85" workbookViewId="0">
      <pane ySplit="1" topLeftCell="A930" activePane="bottomLeft" state="frozen"/>
      <selection activeCell="F1" sqref="F1"/>
      <selection pane="bottomLeft" activeCell="A969" sqref="A969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3547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3547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3548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3547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3547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3547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3547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3512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3548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3547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3547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3548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3548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3548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3547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3547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3547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x14ac:dyDescent="0.25">
      <c r="A950">
        <v>29746</v>
      </c>
      <c r="B950" t="str">
        <f>_xlfn.CONCAT(bron[[#This Row],[personeelsnr]]," ",bron[[#This Row],[achternaam]]," ",bron[[#This Row],[voornaam]])</f>
        <v>29746 Huyse Annicke</v>
      </c>
      <c r="C950" t="str">
        <f>VLOOKUP(bron[[#This Row],[personeelsnr]],'data hastus'!$A:$C,2,0)</f>
        <v>Huyse</v>
      </c>
      <c r="D950" t="str">
        <f>VLOOKUP(bron[[#This Row],[personeelsnr]],'data hastus'!$A:$C,3,0)</f>
        <v>Annicke</v>
      </c>
      <c r="E950" s="2" t="str">
        <f>VLOOKUP(bron[[#This Row],[personeelsnr]],'data hastus'!A:K,11,FALSE)</f>
        <v>Bart Van Der Beken</v>
      </c>
      <c r="F950" s="10"/>
      <c r="G950" s="39"/>
      <c r="H950" s="39"/>
      <c r="I950" s="39"/>
      <c r="S950" s="44">
        <f>SUM(bron[[#This Row],[Januari]:[December]])</f>
        <v>0</v>
      </c>
      <c r="T950" s="41">
        <v>45971</v>
      </c>
      <c r="U950" s="5" t="s">
        <v>3794</v>
      </c>
      <c r="V950" s="37"/>
      <c r="W950" s="37"/>
      <c r="X950" t="s">
        <v>3548</v>
      </c>
      <c r="Y950" t="s">
        <v>40</v>
      </c>
      <c r="Z950" s="2">
        <v>6358</v>
      </c>
      <c r="AA950" s="43" t="s">
        <v>3559</v>
      </c>
    </row>
    <row r="951" spans="1:27" x14ac:dyDescent="0.25">
      <c r="A951">
        <v>40138</v>
      </c>
      <c r="B951" t="str">
        <f>_xlfn.CONCAT(bron[[#This Row],[personeelsnr]]," ",bron[[#This Row],[achternaam]]," ",bron[[#This Row],[voornaam]])</f>
        <v>40138 Moerman Tjimmy</v>
      </c>
      <c r="C951" t="str">
        <f>VLOOKUP(bron[[#This Row],[personeelsnr]],'data hastus'!$A:$C,2,0)</f>
        <v>Moerman</v>
      </c>
      <c r="D951" t="str">
        <f>VLOOKUP(bron[[#This Row],[personeelsnr]],'data hastus'!$A:$C,3,0)</f>
        <v>Tjimmy</v>
      </c>
      <c r="E951" s="2" t="str">
        <f>VLOOKUP(bron[[#This Row],[personeelsnr]],'data hastus'!A:K,11,FALSE)</f>
        <v>Christoff Rotty</v>
      </c>
      <c r="F951" s="10"/>
      <c r="G951" s="39"/>
      <c r="H951" s="39"/>
      <c r="I951" s="39"/>
      <c r="S951" s="44">
        <f>SUM(bron[[#This Row],[Januari]:[December]])</f>
        <v>0</v>
      </c>
      <c r="T951" s="41">
        <v>45972</v>
      </c>
      <c r="U951" s="5" t="s">
        <v>3793</v>
      </c>
      <c r="V951" s="37"/>
      <c r="W951" s="37"/>
      <c r="X951" t="s">
        <v>3513</v>
      </c>
      <c r="Y951" t="s">
        <v>117</v>
      </c>
      <c r="Z951" s="2">
        <v>5045</v>
      </c>
      <c r="AA951" s="43" t="s">
        <v>3558</v>
      </c>
    </row>
    <row r="952" spans="1:27" x14ac:dyDescent="0.25">
      <c r="A952">
        <v>32620</v>
      </c>
      <c r="B952" t="str">
        <f>_xlfn.CONCAT(bron[[#This Row],[personeelsnr]]," ",bron[[#This Row],[achternaam]]," ",bron[[#This Row],[voornaam]])</f>
        <v>32620 Saey Elias</v>
      </c>
      <c r="C952" t="str">
        <f>VLOOKUP(bron[[#This Row],[personeelsnr]],'data hastus'!$A:$C,2,0)</f>
        <v>Saey</v>
      </c>
      <c r="D952" t="str">
        <f>VLOOKUP(bron[[#This Row],[personeelsnr]],'data hastus'!$A:$C,3,0)</f>
        <v>Elias</v>
      </c>
      <c r="E952" s="2" t="str">
        <f>VLOOKUP(bron[[#This Row],[personeelsnr]],'data hastus'!A:K,11,FALSE)</f>
        <v>Els Vanhoe</v>
      </c>
      <c r="F952" s="10"/>
      <c r="G952" s="39"/>
      <c r="H952" s="39"/>
      <c r="I952" s="39"/>
      <c r="S952" s="44">
        <f>SUM(bron[[#This Row],[Januari]:[December]])</f>
        <v>0</v>
      </c>
      <c r="T952" s="41">
        <v>45973</v>
      </c>
      <c r="U952" s="5" t="s">
        <v>3769</v>
      </c>
      <c r="V952" s="37"/>
      <c r="W952" s="37"/>
      <c r="X952" t="s">
        <v>3513</v>
      </c>
      <c r="Y952" t="s">
        <v>3770</v>
      </c>
      <c r="Z952" s="2">
        <v>5047</v>
      </c>
      <c r="AA952" s="43" t="s">
        <v>3559</v>
      </c>
    </row>
    <row r="953" spans="1:27" x14ac:dyDescent="0.25">
      <c r="A953">
        <v>13089</v>
      </c>
      <c r="B953" t="str">
        <f>_xlfn.CONCAT(bron[[#This Row],[personeelsnr]]," ",bron[[#This Row],[achternaam]]," ",bron[[#This Row],[voornaam]])</f>
        <v>13089 Oosterlinck Jan</v>
      </c>
      <c r="C953" t="str">
        <f>VLOOKUP(bron[[#This Row],[personeelsnr]],'data hastus'!$A:$C,2,0)</f>
        <v>Oosterlinck</v>
      </c>
      <c r="D953" t="str">
        <f>VLOOKUP(bron[[#This Row],[personeelsnr]],'data hastus'!$A:$C,3,0)</f>
        <v>Jan</v>
      </c>
      <c r="E953" s="2" t="str">
        <f>VLOOKUP(bron[[#This Row],[personeelsnr]],'data hastus'!A:K,11,FALSE)</f>
        <v>Christoff Rotty</v>
      </c>
      <c r="F953" s="10"/>
      <c r="G953" s="39"/>
      <c r="H953" s="39"/>
      <c r="I953" s="39"/>
      <c r="S953" s="44">
        <f>SUM(bron[[#This Row],[Januari]:[December]])</f>
        <v>0</v>
      </c>
      <c r="T953" s="41">
        <v>45973</v>
      </c>
      <c r="U953" s="5" t="s">
        <v>3800</v>
      </c>
      <c r="V953" s="37"/>
      <c r="W953" s="37"/>
      <c r="X953" t="s">
        <v>3512</v>
      </c>
      <c r="Y953" t="s">
        <v>48</v>
      </c>
      <c r="Z953" s="2">
        <v>5929</v>
      </c>
      <c r="AA953" s="43" t="s">
        <v>3559</v>
      </c>
    </row>
    <row r="954" spans="1:27" x14ac:dyDescent="0.25">
      <c r="A954">
        <v>40403</v>
      </c>
      <c r="B954" t="str">
        <f>_xlfn.CONCAT(bron[[#This Row],[personeelsnr]]," ",bron[[#This Row],[achternaam]]," ",bron[[#This Row],[voornaam]])</f>
        <v>40403 Prové Michaël</v>
      </c>
      <c r="C954" t="str">
        <f>VLOOKUP(bron[[#This Row],[personeelsnr]],'data hastus'!$A:$C,2,0)</f>
        <v>Prové</v>
      </c>
      <c r="D954" t="str">
        <f>VLOOKUP(bron[[#This Row],[personeelsnr]],'data hastus'!$A:$C,3,0)</f>
        <v>Michaël</v>
      </c>
      <c r="E954" s="2" t="str">
        <f>VLOOKUP(bron[[#This Row],[personeelsnr]],'data hastus'!A:K,11,FALSE)</f>
        <v>Dominique De Clercq</v>
      </c>
      <c r="F954" s="10"/>
      <c r="G954" s="39"/>
      <c r="H954" s="39"/>
      <c r="I954" s="39"/>
      <c r="S954" s="44">
        <f>SUM(bron[[#This Row],[Januari]:[December]])</f>
        <v>0</v>
      </c>
      <c r="T954" s="41">
        <v>45974</v>
      </c>
      <c r="U954" s="5" t="s">
        <v>3795</v>
      </c>
      <c r="V954" s="37"/>
      <c r="W954" s="37"/>
      <c r="X954" t="s">
        <v>3513</v>
      </c>
      <c r="Y954" t="s">
        <v>106</v>
      </c>
      <c r="Z954" s="2">
        <v>5233</v>
      </c>
      <c r="AA954" s="43" t="s">
        <v>3558</v>
      </c>
    </row>
    <row r="955" spans="1:27" x14ac:dyDescent="0.25">
      <c r="A955">
        <v>42249</v>
      </c>
      <c r="B955" t="str">
        <f>_xlfn.CONCAT(bron[[#This Row],[personeelsnr]]," ",bron[[#This Row],[achternaam]]," ",bron[[#This Row],[voornaam]])</f>
        <v>42249 Bontinck Stephan</v>
      </c>
      <c r="C955" t="str">
        <f>VLOOKUP(bron[[#This Row],[personeelsnr]],'data hastus'!$A:$C,2,0)</f>
        <v>Bontinck</v>
      </c>
      <c r="D955" t="str">
        <f>VLOOKUP(bron[[#This Row],[personeelsnr]],'data hastus'!$A:$C,3,0)</f>
        <v>Stephan</v>
      </c>
      <c r="E955" s="2" t="str">
        <f>VLOOKUP(bron[[#This Row],[personeelsnr]],'data hastus'!A:K,11,FALSE)</f>
        <v>Kenneth De Rick</v>
      </c>
      <c r="F955" s="10"/>
      <c r="G955" s="39"/>
      <c r="H955" s="39"/>
      <c r="I955" s="39"/>
      <c r="S955" s="44">
        <f>SUM(bron[[#This Row],[Januari]:[December]])</f>
        <v>0</v>
      </c>
      <c r="T955" s="41">
        <v>45974</v>
      </c>
      <c r="U955" s="5" t="s">
        <v>3797</v>
      </c>
      <c r="V955" s="37"/>
      <c r="W955" s="37"/>
      <c r="X955" t="s">
        <v>3513</v>
      </c>
      <c r="Y955" t="s">
        <v>3798</v>
      </c>
      <c r="Z955" s="2" t="s">
        <v>3799</v>
      </c>
      <c r="AA955" s="43" t="s">
        <v>3631</v>
      </c>
    </row>
    <row r="956" spans="1:27" x14ac:dyDescent="0.25">
      <c r="A956">
        <v>36438</v>
      </c>
      <c r="B956" t="str">
        <f>_xlfn.CONCAT(bron[[#This Row],[personeelsnr]]," ",bron[[#This Row],[achternaam]]," ",bron[[#This Row],[voornaam]])</f>
        <v>36438 Agil Birol</v>
      </c>
      <c r="C956" t="str">
        <f>VLOOKUP(bron[[#This Row],[personeelsnr]],'data hastus'!$A:$C,2,0)</f>
        <v>Agil</v>
      </c>
      <c r="D956" t="str">
        <f>VLOOKUP(bron[[#This Row],[personeelsnr]],'data hastus'!$A:$C,3,0)</f>
        <v>Birol</v>
      </c>
      <c r="E956" s="2" t="str">
        <f>VLOOKUP(bron[[#This Row],[personeelsnr]],'data hastus'!A:K,11,FALSE)</f>
        <v>Bart Van Der Beken</v>
      </c>
      <c r="F956" s="10"/>
      <c r="G956" s="39"/>
      <c r="H956" s="39"/>
      <c r="I956" s="39"/>
      <c r="S956" s="44">
        <f>SUM(bron[[#This Row],[Januari]:[December]])</f>
        <v>0</v>
      </c>
      <c r="T956" s="41">
        <v>45975</v>
      </c>
      <c r="U956" s="5" t="s">
        <v>3801</v>
      </c>
      <c r="V956" s="37"/>
      <c r="W956" s="37"/>
      <c r="X956" t="s">
        <v>3512</v>
      </c>
      <c r="Y956" t="s">
        <v>88</v>
      </c>
      <c r="Z956" s="2">
        <v>5969</v>
      </c>
      <c r="AA956" s="43" t="s">
        <v>3558</v>
      </c>
    </row>
    <row r="957" spans="1:27" x14ac:dyDescent="0.25">
      <c r="A957">
        <v>42145</v>
      </c>
      <c r="B957" t="str">
        <f>_xlfn.CONCAT(bron[[#This Row],[personeelsnr]]," ",bron[[#This Row],[achternaam]]," ",bron[[#This Row],[voornaam]])</f>
        <v>42145 Gys Shayya</v>
      </c>
      <c r="C957" t="str">
        <f>VLOOKUP(bron[[#This Row],[personeelsnr]],'data hastus'!$A:$C,2,0)</f>
        <v>Gys</v>
      </c>
      <c r="D957" t="str">
        <f>VLOOKUP(bron[[#This Row],[personeelsnr]],'data hastus'!$A:$C,3,0)</f>
        <v>Shayya</v>
      </c>
      <c r="E957" s="2" t="str">
        <f>VLOOKUP(bron[[#This Row],[personeelsnr]],'data hastus'!A:K,11,FALSE)</f>
        <v>Steven Storm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3803</v>
      </c>
      <c r="V957" s="37"/>
      <c r="W957" s="37"/>
      <c r="X957" t="s">
        <v>3512</v>
      </c>
      <c r="Y957" t="s">
        <v>78</v>
      </c>
      <c r="Z957" s="2">
        <v>550310</v>
      </c>
      <c r="AA957" s="43" t="s">
        <v>3558</v>
      </c>
    </row>
    <row r="958" spans="1:27" x14ac:dyDescent="0.25">
      <c r="A958">
        <v>31118</v>
      </c>
      <c r="B958" t="str">
        <f>_xlfn.CONCAT(bron[[#This Row],[personeelsnr]]," ",bron[[#This Row],[achternaam]]," ",bron[[#This Row],[voornaam]])</f>
        <v>31118 De Sutter Michiel</v>
      </c>
      <c r="C958" t="str">
        <f>VLOOKUP(bron[[#This Row],[personeelsnr]],'data hastus'!$A:$C,2,0)</f>
        <v>De Sutter</v>
      </c>
      <c r="D958" t="str">
        <f>VLOOKUP(bron[[#This Row],[personeelsnr]],'data hastus'!$A:$C,3,0)</f>
        <v>Michiel</v>
      </c>
      <c r="E958" s="2" t="str">
        <f>VLOOKUP(bron[[#This Row],[personeelsnr]],'data hastus'!A:K,11,FALSE)</f>
        <v>Els Dewulf</v>
      </c>
      <c r="F958" s="10"/>
      <c r="G958" s="39"/>
      <c r="H958" s="39"/>
      <c r="I958" s="39"/>
      <c r="S958" s="44">
        <f>SUM(bron[[#This Row],[Januari]:[December]])</f>
        <v>0</v>
      </c>
      <c r="T958" s="41">
        <v>45975</v>
      </c>
      <c r="U958" s="5" t="s">
        <v>3804</v>
      </c>
      <c r="V958" s="37"/>
      <c r="W958" s="37"/>
      <c r="X958" t="s">
        <v>3512</v>
      </c>
      <c r="Y958" t="s">
        <v>3805</v>
      </c>
      <c r="Z958" s="2">
        <v>5794</v>
      </c>
      <c r="AA958" s="43" t="s">
        <v>3558</v>
      </c>
    </row>
    <row r="959" spans="1:27" x14ac:dyDescent="0.25">
      <c r="A959">
        <v>36505</v>
      </c>
      <c r="B959" t="str">
        <f>_xlfn.CONCAT(bron[[#This Row],[personeelsnr]]," ",bron[[#This Row],[achternaam]]," ",bron[[#This Row],[voornaam]])</f>
        <v>36505 De Lange Ruben</v>
      </c>
      <c r="C959" t="str">
        <f>VLOOKUP(bron[[#This Row],[personeelsnr]],'data hastus'!$A:$C,2,0)</f>
        <v>De Lange</v>
      </c>
      <c r="D959" t="str">
        <f>VLOOKUP(bron[[#This Row],[personeelsnr]],'data hastus'!$A:$C,3,0)</f>
        <v>Ruben</v>
      </c>
      <c r="E959" s="2" t="str">
        <f>VLOOKUP(bron[[#This Row],[personeelsnr]],'data hastus'!A:K,11,FALSE)</f>
        <v>Kenneth De Rick</v>
      </c>
      <c r="F959" s="10"/>
      <c r="G959" s="39"/>
      <c r="H959" s="39"/>
      <c r="I959" s="39"/>
      <c r="S959" s="44">
        <f>SUM(bron[[#This Row],[Januari]:[December]])</f>
        <v>0</v>
      </c>
      <c r="T959" s="41">
        <v>45976</v>
      </c>
      <c r="U959" s="5" t="s">
        <v>3802</v>
      </c>
      <c r="V959" s="37"/>
      <c r="W959" s="37"/>
      <c r="X959" t="s">
        <v>3548</v>
      </c>
      <c r="Y959" t="s">
        <v>666</v>
      </c>
      <c r="Z959" s="2">
        <v>6359</v>
      </c>
      <c r="AA959" s="43" t="s">
        <v>3558</v>
      </c>
    </row>
    <row r="960" spans="1:27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39"/>
      <c r="H960" s="39"/>
      <c r="I960" s="39"/>
      <c r="S960" s="44">
        <f>SUM(bron[[#This Row],[Januari]:[December]])</f>
        <v>0</v>
      </c>
      <c r="T960" s="41">
        <v>45975</v>
      </c>
      <c r="U960" s="5" t="s">
        <v>3806</v>
      </c>
      <c r="V960" s="37"/>
      <c r="W960" s="37"/>
      <c r="X960" t="s">
        <v>3513</v>
      </c>
      <c r="Y960" t="s">
        <v>13</v>
      </c>
      <c r="Z960" s="2">
        <v>5254</v>
      </c>
      <c r="AA960" s="43" t="s">
        <v>3558</v>
      </c>
    </row>
    <row r="961" spans="1:27" x14ac:dyDescent="0.25">
      <c r="A961">
        <v>38529</v>
      </c>
      <c r="B961" t="str">
        <f>_xlfn.CONCAT(bron[[#This Row],[personeelsnr]]," ",bron[[#This Row],[achternaam]]," ",bron[[#This Row],[voornaam]])</f>
        <v>38529 Huyghe Jan</v>
      </c>
      <c r="C961" t="str">
        <f>VLOOKUP(bron[[#This Row],[personeelsnr]],'data hastus'!$A:$C,2,0)</f>
        <v>Huyghe</v>
      </c>
      <c r="D961" t="str">
        <f>VLOOKUP(bron[[#This Row],[personeelsnr]],'data hastus'!$A:$C,3,0)</f>
        <v>Jan</v>
      </c>
      <c r="E961" s="2" t="str">
        <f>VLOOKUP(bron[[#This Row],[personeelsnr]],'data hastus'!A:K,11,FALSE)</f>
        <v>Els Dewulf</v>
      </c>
      <c r="F961" s="10"/>
      <c r="G961" s="39"/>
      <c r="H961" s="39"/>
      <c r="I961" s="39"/>
      <c r="S961" s="44">
        <f>SUM(bron[[#This Row],[Januari]:[December]])</f>
        <v>0</v>
      </c>
      <c r="T961" s="41">
        <v>45979</v>
      </c>
      <c r="U961" s="5" t="s">
        <v>3807</v>
      </c>
      <c r="V961" s="37"/>
      <c r="W961" s="37"/>
      <c r="X961" t="s">
        <v>3512</v>
      </c>
      <c r="Y961" t="s">
        <v>28</v>
      </c>
      <c r="Z961" s="2">
        <v>5932</v>
      </c>
      <c r="AA961" s="43" t="s">
        <v>3559</v>
      </c>
    </row>
    <row r="962" spans="1:27" x14ac:dyDescent="0.25">
      <c r="A962">
        <v>33400</v>
      </c>
      <c r="B962" t="str">
        <f>_xlfn.CONCAT(bron[[#This Row],[personeelsnr]]," ",bron[[#This Row],[achternaam]]," ",bron[[#This Row],[voornaam]])</f>
        <v>33400 Petit Cynthia</v>
      </c>
      <c r="C962" t="str">
        <f>VLOOKUP(bron[[#This Row],[personeelsnr]],'data hastus'!$A:$C,2,0)</f>
        <v>Petit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Christoff Rotty</v>
      </c>
      <c r="F962" s="10"/>
      <c r="G962" s="39"/>
      <c r="H962" s="39"/>
      <c r="I962" s="39"/>
      <c r="S962" s="44">
        <f>SUM(bron[[#This Row],[Januari]:[December]])</f>
        <v>0</v>
      </c>
      <c r="T962" s="41">
        <v>45980</v>
      </c>
      <c r="U962" s="5" t="s">
        <v>3808</v>
      </c>
      <c r="V962" s="37"/>
      <c r="W962" s="37"/>
      <c r="X962" t="s">
        <v>3548</v>
      </c>
      <c r="Y962" t="s">
        <v>857</v>
      </c>
      <c r="Z962" s="2">
        <v>6368</v>
      </c>
      <c r="AA962" s="43" t="s">
        <v>3559</v>
      </c>
    </row>
    <row r="963" spans="1:27" x14ac:dyDescent="0.25">
      <c r="A963">
        <v>26524</v>
      </c>
      <c r="B963" t="str">
        <f>_xlfn.CONCAT(bron[[#This Row],[personeelsnr]]," ",bron[[#This Row],[achternaam]]," ",bron[[#This Row],[voornaam]])</f>
        <v>26524 Bolle Cynthia</v>
      </c>
      <c r="C963" t="str">
        <f>VLOOKUP(bron[[#This Row],[personeelsnr]],'data hastus'!$A:$C,2,0)</f>
        <v>Bolle</v>
      </c>
      <c r="D963" t="str">
        <f>VLOOKUP(bron[[#This Row],[personeelsnr]],'data hastus'!$A:$C,3,0)</f>
        <v>Cynthia</v>
      </c>
      <c r="E963" s="2" t="str">
        <f>VLOOKUP(bron[[#This Row],[personeelsnr]],'data hastus'!A:K,11,FALSE)</f>
        <v>Els Vanhoe</v>
      </c>
      <c r="F963" s="10"/>
      <c r="G963" s="39"/>
      <c r="H963" s="39"/>
      <c r="I963" s="39"/>
      <c r="S963" s="44">
        <f>SUM(bron[[#This Row],[Januari]:[December]])</f>
        <v>0</v>
      </c>
      <c r="T963" s="41">
        <v>45975</v>
      </c>
      <c r="U963" s="5" t="s">
        <v>3809</v>
      </c>
      <c r="V963" s="37"/>
      <c r="W963" s="37"/>
      <c r="X963" t="s">
        <v>3548</v>
      </c>
      <c r="Y963" t="s">
        <v>72</v>
      </c>
      <c r="Z963" s="2">
        <v>6362</v>
      </c>
      <c r="AA963" s="43" t="s">
        <v>3558</v>
      </c>
    </row>
    <row r="964" spans="1:27" x14ac:dyDescent="0.25">
      <c r="A964">
        <v>25733</v>
      </c>
      <c r="B964" t="str">
        <f>_xlfn.CONCAT(bron[[#This Row],[personeelsnr]]," ",bron[[#This Row],[achternaam]]," ",bron[[#This Row],[voornaam]])</f>
        <v>25733 Simsek Abdullah</v>
      </c>
      <c r="C964" t="str">
        <f>VLOOKUP(bron[[#This Row],[personeelsnr]],'data hastus'!$A:$C,2,0)</f>
        <v>Simsek</v>
      </c>
      <c r="D964" t="str">
        <f>VLOOKUP(bron[[#This Row],[personeelsnr]],'data hastus'!$A:$C,3,0)</f>
        <v>Abdullah</v>
      </c>
      <c r="E964" s="2" t="str">
        <f>VLOOKUP(bron[[#This Row],[personeelsnr]],'data hastus'!A:K,11,FALSE)</f>
        <v>Els Vanhoe</v>
      </c>
      <c r="F964" s="10"/>
      <c r="G964" s="39"/>
      <c r="H964" s="39"/>
      <c r="I964" s="39"/>
      <c r="S964" s="44">
        <f>SUM(bron[[#This Row],[Januari]:[December]])</f>
        <v>0</v>
      </c>
      <c r="T964" s="41">
        <v>45979</v>
      </c>
      <c r="U964" s="5" t="s">
        <v>3810</v>
      </c>
      <c r="V964" s="37"/>
      <c r="W964" s="37"/>
      <c r="X964" t="s">
        <v>3548</v>
      </c>
      <c r="Y964" t="s">
        <v>608</v>
      </c>
      <c r="Z964" s="2">
        <v>6365</v>
      </c>
      <c r="AA964" s="43" t="s">
        <v>3558</v>
      </c>
    </row>
    <row r="965" spans="1:27" x14ac:dyDescent="0.25">
      <c r="A965">
        <v>36426</v>
      </c>
      <c r="B965" t="str">
        <f>_xlfn.CONCAT(bron[[#This Row],[personeelsnr]]," ",bron[[#This Row],[achternaam]]," ",bron[[#This Row],[voornaam]])</f>
        <v>36426 Mohamed Yassin Abdulhamid</v>
      </c>
      <c r="C965" t="str">
        <f>VLOOKUP(bron[[#This Row],[personeelsnr]],'data hastus'!$A:$C,2,0)</f>
        <v>Mohamed Yassin</v>
      </c>
      <c r="D965" t="str">
        <f>VLOOKUP(bron[[#This Row],[personeelsnr]],'data hastus'!$A:$C,3,0)</f>
        <v>Abdulhamid</v>
      </c>
      <c r="E965" s="2" t="str">
        <f>VLOOKUP(bron[[#This Row],[personeelsnr]],'data hastus'!A:K,11,FALSE)</f>
        <v>Bart Van Der Beken</v>
      </c>
      <c r="F965" s="10"/>
      <c r="G965" s="39"/>
      <c r="H965" s="39"/>
      <c r="I965" s="39"/>
      <c r="S965" s="44">
        <f>SUM(bron[[#This Row],[Januari]:[December]])</f>
        <v>0</v>
      </c>
      <c r="T965" s="41">
        <v>45978</v>
      </c>
      <c r="U965" s="5" t="s">
        <v>3811</v>
      </c>
      <c r="V965" s="37"/>
      <c r="W965" s="37"/>
      <c r="X965" t="s">
        <v>3512</v>
      </c>
      <c r="Y965" t="s">
        <v>3812</v>
      </c>
      <c r="Z965" s="2">
        <v>5790</v>
      </c>
      <c r="AA965" s="43" t="s">
        <v>3558</v>
      </c>
    </row>
    <row r="966" spans="1:27" x14ac:dyDescent="0.25">
      <c r="A966">
        <v>42336</v>
      </c>
      <c r="B966" t="str">
        <f>_xlfn.CONCAT(bron[[#This Row],[personeelsnr]]," ",bron[[#This Row],[achternaam]]," ",bron[[#This Row],[voornaam]])</f>
        <v>42336 Camgöz Furkan</v>
      </c>
      <c r="C966" t="str">
        <f>VLOOKUP(bron[[#This Row],[personeelsnr]],'data hastus'!$A:$C,2,0)</f>
        <v>Camgöz</v>
      </c>
      <c r="D966" t="str">
        <f>VLOOKUP(bron[[#This Row],[personeelsnr]],'data hastus'!$A:$C,3,0)</f>
        <v>Furkan</v>
      </c>
      <c r="E966" s="2">
        <f>VLOOKUP(bron[[#This Row],[personeelsnr]],'data hastus'!A:K,11,FALSE)</f>
        <v>0</v>
      </c>
      <c r="F966" s="10"/>
      <c r="G966" s="39"/>
      <c r="H966" s="39"/>
      <c r="I966" s="39"/>
      <c r="S966" s="44">
        <f>SUM(bron[[#This Row],[Januari]:[December]])</f>
        <v>0</v>
      </c>
      <c r="T966" s="41">
        <v>45981</v>
      </c>
      <c r="U966" s="5" t="s">
        <v>3813</v>
      </c>
      <c r="V966" s="37"/>
      <c r="W966" s="37"/>
      <c r="X966" t="s">
        <v>3512</v>
      </c>
      <c r="Y966" t="s">
        <v>242</v>
      </c>
      <c r="Z966" s="2">
        <v>5912</v>
      </c>
      <c r="AA966" s="43" t="s">
        <v>3558</v>
      </c>
    </row>
    <row r="967" spans="1:27" x14ac:dyDescent="0.25">
      <c r="A967">
        <v>36021</v>
      </c>
      <c r="B967" t="str">
        <f>_xlfn.CONCAT(bron[[#This Row],[personeelsnr]]," ",bron[[#This Row],[achternaam]]," ",bron[[#This Row],[voornaam]])</f>
        <v>36021 Boelaert Frederik</v>
      </c>
      <c r="C967" t="str">
        <f>VLOOKUP(bron[[#This Row],[personeelsnr]],'data hastus'!$A:$C,2,0)</f>
        <v>Boelaert</v>
      </c>
      <c r="D967" t="str">
        <f>VLOOKUP(bron[[#This Row],[personeelsnr]],'data hastus'!$A:$C,3,0)</f>
        <v>Frederik</v>
      </c>
      <c r="E967" s="2" t="str">
        <f>VLOOKUP(bron[[#This Row],[personeelsnr]],'data hastus'!A:K,11,FALSE)</f>
        <v>Lucie Vande Velde</v>
      </c>
      <c r="F967" s="10"/>
      <c r="G967" s="39"/>
      <c r="H967" s="39"/>
      <c r="I967" s="39"/>
      <c r="S967" s="44">
        <f>SUM(bron[[#This Row],[Januari]:[December]])</f>
        <v>0</v>
      </c>
      <c r="T967" s="41">
        <v>45968</v>
      </c>
      <c r="U967" s="5" t="s">
        <v>3814</v>
      </c>
      <c r="V967" s="37"/>
      <c r="W967" s="37"/>
      <c r="X967" t="s">
        <v>3513</v>
      </c>
      <c r="Y967" t="s">
        <v>663</v>
      </c>
      <c r="Z967" s="2">
        <v>5042</v>
      </c>
      <c r="AA967" s="43" t="s">
        <v>3558</v>
      </c>
    </row>
    <row r="968" spans="1:27" x14ac:dyDescent="0.25">
      <c r="A968">
        <v>39901</v>
      </c>
      <c r="B968" t="str">
        <f>_xlfn.CONCAT(bron[[#This Row],[personeelsnr]]," ",bron[[#This Row],[achternaam]]," ",bron[[#This Row],[voornaam]])</f>
        <v>39901 Basha Izmir</v>
      </c>
      <c r="C968" t="str">
        <f>VLOOKUP(bron[[#This Row],[personeelsnr]],'data hastus'!$A:$C,2,0)</f>
        <v>Basha</v>
      </c>
      <c r="D968" t="str">
        <f>VLOOKUP(bron[[#This Row],[personeelsnr]],'data hastus'!$A:$C,3,0)</f>
        <v>Izmir</v>
      </c>
      <c r="E968" s="2" t="str">
        <f>VLOOKUP(bron[[#This Row],[personeelsnr]],'data hastus'!A:K,11,FALSE)</f>
        <v>Christoff Rotty</v>
      </c>
      <c r="F968" s="10"/>
      <c r="G968" s="39"/>
      <c r="H968" s="39"/>
      <c r="I968" s="39"/>
      <c r="S968" s="44">
        <f>SUM(bron[[#This Row],[Januari]:[December]])</f>
        <v>0</v>
      </c>
      <c r="T968" s="41">
        <v>45975</v>
      </c>
      <c r="U968" s="8" t="s">
        <v>3815</v>
      </c>
      <c r="V968" s="37"/>
      <c r="W968" s="37"/>
      <c r="X968" t="s">
        <v>3513</v>
      </c>
      <c r="Y968" t="s">
        <v>669</v>
      </c>
      <c r="Z968" s="2">
        <v>5043</v>
      </c>
      <c r="AA968" s="43" t="s">
        <v>3559</v>
      </c>
    </row>
    <row r="969" spans="1:27" x14ac:dyDescent="0.25">
      <c r="B969" t="e">
        <f>_xlfn.CONCAT(bron[[#This Row],[personeelsnr]]," ",bron[[#This Row],[achternaam]]," ",bron[[#This Row],[voornaam]])</f>
        <v>#N/A</v>
      </c>
      <c r="C969" t="e">
        <f>VLOOKUP(bron[[#This Row],[personeelsnr]],'data hastus'!$A:$C,2,0)</f>
        <v>#N/A</v>
      </c>
      <c r="D969" t="e">
        <f>VLOOKUP(bron[[#This Row],[personeelsnr]],'data hastus'!$A:$C,3,0)</f>
        <v>#N/A</v>
      </c>
      <c r="E969" s="2" t="e">
        <f>VLOOKUP(bron[[#This Row],[personeelsnr]],'data hastus'!A:K,11,FALSE)</f>
        <v>#N/A</v>
      </c>
      <c r="F969" s="10"/>
      <c r="G969" s="39"/>
      <c r="H969" s="39"/>
      <c r="I969" s="39"/>
      <c r="S969" s="44">
        <f>SUM(bron[[#This Row],[Januari]:[December]])</f>
        <v>0</v>
      </c>
      <c r="V969" s="37"/>
      <c r="W969" s="37"/>
    </row>
    <row r="970" spans="1:27" x14ac:dyDescent="0.25">
      <c r="B970" t="e">
        <f>_xlfn.CONCAT(bron[[#This Row],[personeelsnr]]," ",bron[[#This Row],[achternaam]]," ",bron[[#This Row],[voornaam]])</f>
        <v>#N/A</v>
      </c>
      <c r="C970" t="e">
        <f>VLOOKUP(bron[[#This Row],[personeelsnr]],'data hastus'!$A:$C,2,0)</f>
        <v>#N/A</v>
      </c>
      <c r="D970" t="e">
        <f>VLOOKUP(bron[[#This Row],[personeelsnr]],'data hastus'!$A:$C,3,0)</f>
        <v>#N/A</v>
      </c>
      <c r="E970" s="2" t="e">
        <f>VLOOKUP(bron[[#This Row],[personeelsnr]],'data hastus'!A:K,11,FALSE)</f>
        <v>#N/A</v>
      </c>
      <c r="F970" s="10"/>
      <c r="G970" s="39"/>
      <c r="H970" s="39"/>
      <c r="I970" s="39"/>
      <c r="S970" s="44">
        <f>SUM(bron[[#This Row],[Januari]:[December]])</f>
        <v>0</v>
      </c>
      <c r="V970" s="37"/>
      <c r="W970" s="37"/>
    </row>
    <row r="971" spans="1:27" x14ac:dyDescent="0.25">
      <c r="B971" t="e">
        <f>_xlfn.CONCAT(bron[[#This Row],[personeelsnr]]," ",bron[[#This Row],[achternaam]]," ",bron[[#This Row],[voornaam]])</f>
        <v>#N/A</v>
      </c>
      <c r="C971" t="e">
        <f>VLOOKUP(bron[[#This Row],[personeelsnr]],'data hastus'!$A:$C,2,0)</f>
        <v>#N/A</v>
      </c>
      <c r="D971" t="e">
        <f>VLOOKUP(bron[[#This Row],[personeelsnr]],'data hastus'!$A:$C,3,0)</f>
        <v>#N/A</v>
      </c>
      <c r="E971" s="2" t="e">
        <f>VLOOKUP(bron[[#This Row],[personeelsnr]],'data hastus'!A:K,11,FALSE)</f>
        <v>#N/A</v>
      </c>
      <c r="F971" s="10"/>
      <c r="G971" s="39"/>
      <c r="H971" s="39"/>
      <c r="I971" s="39"/>
      <c r="S971" s="44">
        <f>SUM(bron[[#This Row],[Januari]:[December]])</f>
        <v>0</v>
      </c>
      <c r="V971" s="37"/>
      <c r="W971" s="37"/>
    </row>
  </sheetData>
  <sheetProtection sort="0" autoFilter="0"/>
  <phoneticPr fontId="1" type="noConversion"/>
  <conditionalFormatting sqref="F2:F971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2025-11-21T09:28:52Z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