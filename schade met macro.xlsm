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985" documentId="8_{E6BCF386-B104-424C-B4A8-F32964540273}" xr6:coauthVersionLast="47" xr6:coauthVersionMax="47" xr10:uidLastSave="{6E33190F-6921-4430-83FD-F1E96A8C8A91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3" i="1" l="1"/>
  <c r="C853" i="1"/>
  <c r="D853" i="1"/>
  <c r="E853" i="1"/>
  <c r="S853" i="1"/>
  <c r="C852" i="1"/>
  <c r="B852" i="1" s="1"/>
  <c r="D852" i="1"/>
  <c r="E852" i="1"/>
  <c r="S852" i="1"/>
  <c r="C851" i="1"/>
  <c r="B851" i="1" s="1"/>
  <c r="D851" i="1"/>
  <c r="E851" i="1"/>
  <c r="S851" i="1"/>
  <c r="C850" i="1"/>
  <c r="B850" i="1" s="1"/>
  <c r="D850" i="1"/>
  <c r="E850" i="1"/>
  <c r="S850" i="1"/>
  <c r="C849" i="1"/>
  <c r="B849" i="1" s="1"/>
  <c r="D849" i="1"/>
  <c r="E849" i="1"/>
  <c r="S849" i="1"/>
  <c r="C848" i="1"/>
  <c r="B848" i="1" s="1"/>
  <c r="D848" i="1"/>
  <c r="E848" i="1"/>
  <c r="S848" i="1"/>
  <c r="C847" i="1"/>
  <c r="B847" i="1" s="1"/>
  <c r="D847" i="1"/>
  <c r="E847" i="1"/>
  <c r="S847" i="1"/>
  <c r="C846" i="1"/>
  <c r="B846" i="1" s="1"/>
  <c r="D846" i="1"/>
  <c r="E846" i="1"/>
  <c r="S846" i="1"/>
  <c r="C845" i="1"/>
  <c r="B845" i="1" s="1"/>
  <c r="D845" i="1"/>
  <c r="E845" i="1"/>
  <c r="S845" i="1"/>
  <c r="C844" i="1"/>
  <c r="D844" i="1"/>
  <c r="E844" i="1"/>
  <c r="S844" i="1"/>
  <c r="C843" i="1"/>
  <c r="D843" i="1"/>
  <c r="E843" i="1"/>
  <c r="S843" i="1"/>
  <c r="C842" i="1"/>
  <c r="D842" i="1"/>
  <c r="E842" i="1"/>
  <c r="S842" i="1"/>
  <c r="C841" i="1"/>
  <c r="D841" i="1"/>
  <c r="E841" i="1"/>
  <c r="S841" i="1"/>
  <c r="C840" i="1"/>
  <c r="D840" i="1"/>
  <c r="E840" i="1"/>
  <c r="S840" i="1"/>
  <c r="C839" i="1"/>
  <c r="D839" i="1"/>
  <c r="E839" i="1"/>
  <c r="S839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B792" i="1" s="1"/>
  <c r="D792" i="1"/>
  <c r="E792" i="1"/>
  <c r="S792" i="1"/>
  <c r="C838" i="1"/>
  <c r="D838" i="1"/>
  <c r="E838" i="1"/>
  <c r="S838" i="1"/>
  <c r="C790" i="1"/>
  <c r="D790" i="1"/>
  <c r="E790" i="1"/>
  <c r="S790" i="1"/>
  <c r="C789" i="1"/>
  <c r="D789" i="1"/>
  <c r="E789" i="1"/>
  <c r="S789" i="1"/>
  <c r="B772" i="1"/>
  <c r="B787" i="1"/>
  <c r="S787" i="1"/>
  <c r="C788" i="1"/>
  <c r="D788" i="1"/>
  <c r="E788" i="1"/>
  <c r="S788" i="1"/>
  <c r="C816" i="1"/>
  <c r="D816" i="1"/>
  <c r="E816" i="1"/>
  <c r="S816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08" i="1"/>
  <c r="C808" i="1"/>
  <c r="D808" i="1"/>
  <c r="E808" i="1"/>
  <c r="C783" i="1"/>
  <c r="D783" i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B779" i="1" s="1"/>
  <c r="D779" i="1"/>
  <c r="E779" i="1"/>
  <c r="S779" i="1"/>
  <c r="C781" i="1"/>
  <c r="D781" i="1"/>
  <c r="E781" i="1"/>
  <c r="S781" i="1"/>
  <c r="C835" i="1"/>
  <c r="D835" i="1"/>
  <c r="E835" i="1"/>
  <c r="S835" i="1"/>
  <c r="C778" i="1"/>
  <c r="D778" i="1"/>
  <c r="E778" i="1"/>
  <c r="S778" i="1"/>
  <c r="C777" i="1"/>
  <c r="D777" i="1"/>
  <c r="E777" i="1"/>
  <c r="S777" i="1"/>
  <c r="C832" i="1"/>
  <c r="D832" i="1"/>
  <c r="E832" i="1"/>
  <c r="S832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0" i="1"/>
  <c r="D810" i="1"/>
  <c r="E810" i="1"/>
  <c r="S810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26" i="1"/>
  <c r="D826" i="1"/>
  <c r="E826" i="1"/>
  <c r="C805" i="1"/>
  <c r="D805" i="1"/>
  <c r="E805" i="1"/>
  <c r="S805" i="1"/>
  <c r="C771" i="1"/>
  <c r="D771" i="1"/>
  <c r="E771" i="1"/>
  <c r="S771" i="1"/>
  <c r="B835" i="1"/>
  <c r="C763" i="1"/>
  <c r="D763" i="1"/>
  <c r="E763" i="1"/>
  <c r="S763" i="1"/>
  <c r="C822" i="1"/>
  <c r="D822" i="1"/>
  <c r="E822" i="1"/>
  <c r="S822" i="1"/>
  <c r="C769" i="1"/>
  <c r="D769" i="1"/>
  <c r="E769" i="1"/>
  <c r="S769" i="1"/>
  <c r="C809" i="1"/>
  <c r="D809" i="1"/>
  <c r="E809" i="1"/>
  <c r="S809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1" i="1"/>
  <c r="D811" i="1"/>
  <c r="E811" i="1"/>
  <c r="S811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0" i="1"/>
  <c r="D820" i="1"/>
  <c r="E820" i="1"/>
  <c r="S820" i="1"/>
  <c r="C723" i="1"/>
  <c r="D723" i="1"/>
  <c r="E723" i="1"/>
  <c r="S723" i="1"/>
  <c r="C742" i="1"/>
  <c r="D742" i="1"/>
  <c r="E742" i="1"/>
  <c r="S742" i="1"/>
  <c r="C804" i="1"/>
  <c r="D804" i="1"/>
  <c r="E804" i="1"/>
  <c r="S804" i="1"/>
  <c r="C743" i="1"/>
  <c r="D743" i="1"/>
  <c r="E743" i="1"/>
  <c r="S743" i="1"/>
  <c r="C834" i="1"/>
  <c r="D834" i="1"/>
  <c r="E834" i="1"/>
  <c r="S834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3" i="1"/>
  <c r="D813" i="1"/>
  <c r="E813" i="1"/>
  <c r="S813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2" i="1"/>
  <c r="D802" i="1"/>
  <c r="E802" i="1"/>
  <c r="S802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15" i="1"/>
  <c r="D815" i="1"/>
  <c r="E815" i="1"/>
  <c r="S815" i="1"/>
  <c r="B766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B285" i="1" s="1"/>
  <c r="E285" i="1"/>
  <c r="S285" i="1"/>
  <c r="C205" i="1"/>
  <c r="D205" i="1"/>
  <c r="E205" i="1"/>
  <c r="S205" i="1"/>
  <c r="C78" i="1"/>
  <c r="D78" i="1"/>
  <c r="B78" i="1" s="1"/>
  <c r="E78" i="1"/>
  <c r="S78" i="1"/>
  <c r="C118" i="1"/>
  <c r="B118" i="1" s="1"/>
  <c r="D118" i="1"/>
  <c r="E118" i="1"/>
  <c r="S118" i="1"/>
  <c r="C126" i="1"/>
  <c r="D126" i="1"/>
  <c r="B126" i="1" s="1"/>
  <c r="E126" i="1"/>
  <c r="S126" i="1"/>
  <c r="C184" i="1"/>
  <c r="D184" i="1"/>
  <c r="E184" i="1"/>
  <c r="S184" i="1"/>
  <c r="C155" i="1"/>
  <c r="D155" i="1"/>
  <c r="B155" i="1" s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B274" i="1" s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B12" i="1" s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B4" i="1" s="1"/>
  <c r="D4" i="1"/>
  <c r="E4" i="1"/>
  <c r="S4" i="1"/>
  <c r="C5" i="1"/>
  <c r="D5" i="1"/>
  <c r="B5" i="1" s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B438" i="1" s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B479" i="1" s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B85" i="1" s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B494" i="1" s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B709" i="1" s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B505" i="1" s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B472" i="1" s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B220" i="1" s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B27" i="1" s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B475" i="1" s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B54" i="1" s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B316" i="1" s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B190" i="1" s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B252" i="1" s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B372" i="1" s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B239" i="1" s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B81" i="1" s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B3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B400" i="10" s="1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B389" i="10" s="1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B356" i="10" s="1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B330" i="10" s="1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B320" i="10" s="1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B288" i="10" s="1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B272" i="10" s="1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B264" i="10" s="1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B184" i="10" s="1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B176" i="10" s="1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B160" i="10" s="1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B119" i="10" s="1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B20" i="10" s="1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4" i="1"/>
  <c r="S828" i="1"/>
  <c r="S670" i="1"/>
  <c r="S831" i="1"/>
  <c r="S527" i="1"/>
  <c r="S619" i="1"/>
  <c r="S629" i="1"/>
  <c r="S575" i="1"/>
  <c r="S628" i="1"/>
  <c r="S539" i="1"/>
  <c r="S597" i="1"/>
  <c r="S532" i="1"/>
  <c r="S806" i="1"/>
  <c r="S657" i="1"/>
  <c r="S665" i="1"/>
  <c r="S574" i="1"/>
  <c r="S556" i="1"/>
  <c r="S609" i="1"/>
  <c r="S636" i="1"/>
  <c r="S830" i="1"/>
  <c r="S543" i="1"/>
  <c r="S819" i="1"/>
  <c r="S699" i="1"/>
  <c r="S637" i="1"/>
  <c r="S526" i="1"/>
  <c r="S542" i="1"/>
  <c r="S825" i="1"/>
  <c r="S613" i="1"/>
  <c r="S633" i="1"/>
  <c r="S798" i="1"/>
  <c r="S525" i="1"/>
  <c r="S584" i="1"/>
  <c r="S588" i="1"/>
  <c r="S823" i="1"/>
  <c r="S521" i="1"/>
  <c r="S514" i="1"/>
  <c r="S571" i="1"/>
  <c r="S647" i="1"/>
  <c r="S817" i="1"/>
  <c r="S649" i="1"/>
  <c r="S650" i="1"/>
  <c r="S535" i="1"/>
  <c r="S641" i="1"/>
  <c r="S814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2" i="1"/>
  <c r="S827" i="1"/>
  <c r="S818" i="1"/>
  <c r="S612" i="1"/>
  <c r="S601" i="1"/>
  <c r="S578" i="1"/>
  <c r="S829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36" i="1"/>
  <c r="S548" i="1"/>
  <c r="S517" i="1"/>
  <c r="S634" i="1"/>
  <c r="S529" i="1"/>
  <c r="S520" i="1"/>
  <c r="S546" i="1"/>
  <c r="S553" i="1"/>
  <c r="S555" i="1"/>
  <c r="S800" i="1"/>
  <c r="S801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07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37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3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3" i="1"/>
  <c r="S799" i="1"/>
  <c r="S618" i="1"/>
  <c r="S693" i="1"/>
  <c r="S695" i="1"/>
  <c r="S694" i="1"/>
  <c r="S700" i="1"/>
  <c r="S688" i="1"/>
  <c r="S821" i="1"/>
  <c r="C821" i="1"/>
  <c r="D821" i="1"/>
  <c r="E821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B243" i="10"/>
  <c r="B179" i="10"/>
  <c r="C686" i="1"/>
  <c r="D686" i="1"/>
  <c r="E686" i="1"/>
  <c r="C676" i="1"/>
  <c r="D676" i="1"/>
  <c r="E676" i="1"/>
  <c r="C682" i="1"/>
  <c r="D682" i="1"/>
  <c r="E682" i="1"/>
  <c r="C801" i="1"/>
  <c r="D801" i="1"/>
  <c r="E801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C669" i="1"/>
  <c r="D669" i="1"/>
  <c r="E669" i="1"/>
  <c r="C655" i="1"/>
  <c r="D655" i="1"/>
  <c r="E655" i="1"/>
  <c r="C666" i="1"/>
  <c r="D666" i="1"/>
  <c r="E666" i="1"/>
  <c r="C659" i="1"/>
  <c r="D659" i="1"/>
  <c r="E659" i="1"/>
  <c r="E648" i="1"/>
  <c r="D648" i="1"/>
  <c r="C648" i="1"/>
  <c r="C645" i="1"/>
  <c r="D645" i="1"/>
  <c r="E645" i="1"/>
  <c r="C799" i="1"/>
  <c r="D799" i="1"/>
  <c r="E799" i="1"/>
  <c r="E646" i="1"/>
  <c r="D646" i="1"/>
  <c r="C646" i="1"/>
  <c r="C639" i="1"/>
  <c r="D639" i="1"/>
  <c r="E639" i="1"/>
  <c r="C641" i="1"/>
  <c r="D641" i="1"/>
  <c r="E641" i="1"/>
  <c r="E638" i="1"/>
  <c r="D638" i="1"/>
  <c r="C638" i="1"/>
  <c r="C622" i="1"/>
  <c r="D622" i="1"/>
  <c r="E622" i="1"/>
  <c r="C833" i="1"/>
  <c r="D833" i="1"/>
  <c r="E833" i="1"/>
  <c r="C621" i="1"/>
  <c r="D621" i="1"/>
  <c r="E621" i="1"/>
  <c r="C612" i="1"/>
  <c r="D612" i="1"/>
  <c r="E612" i="1"/>
  <c r="C550" i="1"/>
  <c r="D550" i="1"/>
  <c r="E550" i="1"/>
  <c r="C829" i="1"/>
  <c r="D829" i="1"/>
  <c r="E829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0" i="1"/>
  <c r="D800" i="1"/>
  <c r="E800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06" i="1"/>
  <c r="E599" i="1"/>
  <c r="E560" i="1"/>
  <c r="E582" i="1"/>
  <c r="E590" i="1"/>
  <c r="E624" i="1"/>
  <c r="E657" i="1"/>
  <c r="E530" i="1"/>
  <c r="E628" i="1"/>
  <c r="E526" i="1"/>
  <c r="E619" i="1"/>
  <c r="E824" i="1"/>
  <c r="E532" i="1"/>
  <c r="E699" i="1"/>
  <c r="E629" i="1"/>
  <c r="E831" i="1"/>
  <c r="E563" i="1"/>
  <c r="E527" i="1"/>
  <c r="E828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25" i="1"/>
  <c r="E574" i="1"/>
  <c r="E636" i="1"/>
  <c r="E517" i="1"/>
  <c r="E812" i="1"/>
  <c r="E521" i="1"/>
  <c r="E609" i="1"/>
  <c r="E525" i="1"/>
  <c r="E823" i="1"/>
  <c r="E600" i="1"/>
  <c r="E571" i="1"/>
  <c r="E556" i="1"/>
  <c r="E798" i="1"/>
  <c r="E588" i="1"/>
  <c r="E595" i="1"/>
  <c r="E514" i="1"/>
  <c r="E830" i="1"/>
  <c r="E650" i="1"/>
  <c r="E637" i="1"/>
  <c r="E542" i="1"/>
  <c r="E584" i="1"/>
  <c r="E814" i="1"/>
  <c r="E543" i="1"/>
  <c r="E819" i="1"/>
  <c r="E633" i="1"/>
  <c r="E817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07" i="1"/>
  <c r="E626" i="1"/>
  <c r="E572" i="1"/>
  <c r="E557" i="1"/>
  <c r="E598" i="1"/>
  <c r="E803" i="1"/>
  <c r="E551" i="1"/>
  <c r="E544" i="1"/>
  <c r="E836" i="1"/>
  <c r="E592" i="1"/>
  <c r="E653" i="1"/>
  <c r="E627" i="1"/>
  <c r="E564" i="1"/>
  <c r="E567" i="1"/>
  <c r="E672" i="1"/>
  <c r="E566" i="1"/>
  <c r="E545" i="1"/>
  <c r="E616" i="1"/>
  <c r="E602" i="1"/>
  <c r="E837" i="1"/>
  <c r="E642" i="1"/>
  <c r="E579" i="1"/>
  <c r="E668" i="1"/>
  <c r="E687" i="1"/>
  <c r="E603" i="1"/>
  <c r="E634" i="1"/>
  <c r="E610" i="1"/>
  <c r="E652" i="1"/>
  <c r="E558" i="1"/>
  <c r="E827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18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06" i="1"/>
  <c r="D599" i="1"/>
  <c r="D560" i="1"/>
  <c r="D582" i="1"/>
  <c r="D590" i="1"/>
  <c r="D624" i="1"/>
  <c r="D657" i="1"/>
  <c r="D530" i="1"/>
  <c r="D628" i="1"/>
  <c r="D526" i="1"/>
  <c r="D619" i="1"/>
  <c r="D824" i="1"/>
  <c r="D532" i="1"/>
  <c r="D699" i="1"/>
  <c r="D629" i="1"/>
  <c r="D831" i="1"/>
  <c r="D527" i="1"/>
  <c r="D828" i="1"/>
  <c r="D597" i="1"/>
  <c r="D607" i="1"/>
  <c r="B607" i="1" s="1"/>
  <c r="D516" i="1"/>
  <c r="D662" i="1"/>
  <c r="D539" i="1"/>
  <c r="D533" i="1"/>
  <c r="D635" i="1"/>
  <c r="D575" i="1"/>
  <c r="D670" i="1"/>
  <c r="D536" i="1"/>
  <c r="D665" i="1"/>
  <c r="D613" i="1"/>
  <c r="D649" i="1"/>
  <c r="D825" i="1"/>
  <c r="D574" i="1"/>
  <c r="D636" i="1"/>
  <c r="D812" i="1"/>
  <c r="D521" i="1"/>
  <c r="D609" i="1"/>
  <c r="D525" i="1"/>
  <c r="D823" i="1"/>
  <c r="D600" i="1"/>
  <c r="D571" i="1"/>
  <c r="D556" i="1"/>
  <c r="D798" i="1"/>
  <c r="D588" i="1"/>
  <c r="D514" i="1"/>
  <c r="D830" i="1"/>
  <c r="D650" i="1"/>
  <c r="D637" i="1"/>
  <c r="D542" i="1"/>
  <c r="D584" i="1"/>
  <c r="D814" i="1"/>
  <c r="D543" i="1"/>
  <c r="D819" i="1"/>
  <c r="D633" i="1"/>
  <c r="D817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07" i="1"/>
  <c r="D626" i="1"/>
  <c r="D572" i="1"/>
  <c r="D557" i="1"/>
  <c r="D803" i="1"/>
  <c r="D551" i="1"/>
  <c r="D544" i="1"/>
  <c r="D836" i="1"/>
  <c r="D592" i="1"/>
  <c r="D653" i="1"/>
  <c r="D627" i="1"/>
  <c r="D564" i="1"/>
  <c r="D567" i="1"/>
  <c r="D672" i="1"/>
  <c r="D566" i="1"/>
  <c r="D545" i="1"/>
  <c r="D616" i="1"/>
  <c r="D602" i="1"/>
  <c r="D837" i="1"/>
  <c r="D642" i="1"/>
  <c r="D668" i="1"/>
  <c r="D687" i="1"/>
  <c r="D603" i="1"/>
  <c r="D634" i="1"/>
  <c r="D610" i="1"/>
  <c r="D652" i="1"/>
  <c r="D558" i="1"/>
  <c r="D827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18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06" i="1"/>
  <c r="C599" i="1"/>
  <c r="C560" i="1"/>
  <c r="C582" i="1"/>
  <c r="C590" i="1"/>
  <c r="C624" i="1"/>
  <c r="C657" i="1"/>
  <c r="C530" i="1"/>
  <c r="C628" i="1"/>
  <c r="C526" i="1"/>
  <c r="C619" i="1"/>
  <c r="C824" i="1"/>
  <c r="C532" i="1"/>
  <c r="C699" i="1"/>
  <c r="C629" i="1"/>
  <c r="C831" i="1"/>
  <c r="C527" i="1"/>
  <c r="C828" i="1"/>
  <c r="C597" i="1"/>
  <c r="C607" i="1"/>
  <c r="C516" i="1"/>
  <c r="C662" i="1"/>
  <c r="C539" i="1"/>
  <c r="C533" i="1"/>
  <c r="C635" i="1"/>
  <c r="C575" i="1"/>
  <c r="C670" i="1"/>
  <c r="C536" i="1"/>
  <c r="C665" i="1"/>
  <c r="C613" i="1"/>
  <c r="C649" i="1"/>
  <c r="C825" i="1"/>
  <c r="C574" i="1"/>
  <c r="C636" i="1"/>
  <c r="C812" i="1"/>
  <c r="C521" i="1"/>
  <c r="C609" i="1"/>
  <c r="C525" i="1"/>
  <c r="C823" i="1"/>
  <c r="C600" i="1"/>
  <c r="C571" i="1"/>
  <c r="C556" i="1"/>
  <c r="C798" i="1"/>
  <c r="C588" i="1"/>
  <c r="C514" i="1"/>
  <c r="C830" i="1"/>
  <c r="C650" i="1"/>
  <c r="C637" i="1"/>
  <c r="C542" i="1"/>
  <c r="C584" i="1"/>
  <c r="C814" i="1"/>
  <c r="C543" i="1"/>
  <c r="C819" i="1"/>
  <c r="C633" i="1"/>
  <c r="C817" i="1"/>
  <c r="C661" i="1"/>
  <c r="C587" i="1"/>
  <c r="C608" i="1"/>
  <c r="C680" i="1"/>
  <c r="C685" i="1"/>
  <c r="C630" i="1"/>
  <c r="C647" i="1"/>
  <c r="C654" i="1"/>
  <c r="C604" i="1"/>
  <c r="C528" i="1"/>
  <c r="C643" i="1"/>
  <c r="C593" i="1"/>
  <c r="C807" i="1"/>
  <c r="C626" i="1"/>
  <c r="C572" i="1"/>
  <c r="C557" i="1"/>
  <c r="C803" i="1"/>
  <c r="C551" i="1"/>
  <c r="C544" i="1"/>
  <c r="C836" i="1"/>
  <c r="C592" i="1"/>
  <c r="C653" i="1"/>
  <c r="C627" i="1"/>
  <c r="C564" i="1"/>
  <c r="C567" i="1"/>
  <c r="C672" i="1"/>
  <c r="C566" i="1"/>
  <c r="C545" i="1"/>
  <c r="C616" i="1"/>
  <c r="C602" i="1"/>
  <c r="C837" i="1"/>
  <c r="C642" i="1"/>
  <c r="C668" i="1"/>
  <c r="C687" i="1"/>
  <c r="C603" i="1"/>
  <c r="C634" i="1"/>
  <c r="C610" i="1"/>
  <c r="B610" i="1"/>
  <c r="C652" i="1"/>
  <c r="B652" i="1" s="1"/>
  <c r="C558" i="1"/>
  <c r="C827" i="1"/>
  <c r="C632" i="1"/>
  <c r="C568" i="1"/>
  <c r="C684" i="1"/>
  <c r="C625" i="1"/>
  <c r="C594" i="1"/>
  <c r="B594" i="1" s="1"/>
  <c r="C538" i="1"/>
  <c r="B538" i="1" s="1"/>
  <c r="C578" i="1"/>
  <c r="C660" i="1"/>
  <c r="C623" i="1"/>
  <c r="C617" i="1"/>
  <c r="C548" i="1"/>
  <c r="C606" i="1"/>
  <c r="C520" i="1"/>
  <c r="B520" i="1" s="1"/>
  <c r="C663" i="1"/>
  <c r="B663" i="1" s="1"/>
  <c r="C818" i="1"/>
  <c r="B818" i="1" s="1"/>
  <c r="C651" i="1"/>
  <c r="C631" i="1"/>
  <c r="D596" i="1"/>
  <c r="C596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844" i="1" l="1"/>
  <c r="B843" i="1"/>
  <c r="B842" i="1"/>
  <c r="B444" i="1"/>
  <c r="B304" i="1"/>
  <c r="B839" i="1"/>
  <c r="B213" i="1"/>
  <c r="B781" i="1"/>
  <c r="B598" i="1"/>
  <c r="B68" i="1"/>
  <c r="B74" i="1"/>
  <c r="B417" i="1"/>
  <c r="B225" i="1"/>
  <c r="B70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41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3" i="1"/>
  <c r="B840" i="1"/>
  <c r="B111" i="1"/>
  <c r="B337" i="1"/>
  <c r="B172" i="1"/>
  <c r="B353" i="1"/>
  <c r="B712" i="1"/>
  <c r="B613" i="1"/>
  <c r="B659" i="1"/>
  <c r="B683" i="1"/>
  <c r="B549" i="1"/>
  <c r="B614" i="1"/>
  <c r="B633" i="1"/>
  <c r="B533" i="1"/>
  <c r="B618" i="1"/>
  <c r="B641" i="1"/>
  <c r="B674" i="1"/>
  <c r="B676" i="1"/>
  <c r="B362" i="10"/>
  <c r="B365" i="10"/>
  <c r="B305" i="10"/>
  <c r="B692" i="1"/>
  <c r="B694" i="1"/>
  <c r="B11" i="10"/>
  <c r="B19" i="10"/>
  <c r="B27" i="10"/>
  <c r="B35" i="10"/>
  <c r="B43" i="10"/>
  <c r="B51" i="10"/>
  <c r="B67" i="10"/>
  <c r="B75" i="10"/>
  <c r="B609" i="1"/>
  <c r="B665" i="1"/>
  <c r="B581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4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6" i="1"/>
  <c r="B6" i="10"/>
  <c r="B102" i="10"/>
  <c r="B298" i="10"/>
  <c r="B350" i="10"/>
  <c r="B394" i="10"/>
  <c r="B100" i="10"/>
  <c r="B304" i="10"/>
  <c r="B158" i="10"/>
  <c r="B338" i="10"/>
  <c r="B822" i="1"/>
  <c r="B764" i="1"/>
  <c r="B54" i="10"/>
  <c r="B86" i="10"/>
  <c r="B162" i="10"/>
  <c r="B282" i="10"/>
  <c r="B322" i="10"/>
  <c r="B68" i="10"/>
  <c r="B224" i="10"/>
  <c r="B328" i="10"/>
  <c r="B392" i="10"/>
  <c r="B552" i="1"/>
  <c r="B669" i="1"/>
  <c r="B686" i="1"/>
  <c r="B196" i="10"/>
  <c r="B244" i="10"/>
  <c r="B260" i="10"/>
  <c r="B308" i="10"/>
  <c r="B316" i="10"/>
  <c r="B360" i="10"/>
  <c r="B368" i="10"/>
  <c r="B374" i="10"/>
  <c r="B684" i="1"/>
  <c r="B584" i="1"/>
  <c r="B528" i="1"/>
  <c r="B62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5" i="1"/>
  <c r="B404" i="10"/>
  <c r="B705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17" i="1"/>
  <c r="B650" i="1"/>
  <c r="B823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89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0" i="1"/>
  <c r="B79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8" i="1"/>
  <c r="B685" i="1"/>
  <c r="B523" i="1"/>
  <c r="B834" i="1"/>
  <c r="B738" i="1"/>
  <c r="B785" i="1"/>
  <c r="B812" i="1"/>
  <c r="B177" i="10"/>
  <c r="B529" i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07" i="1"/>
  <c r="B630" i="1"/>
  <c r="B827" i="1"/>
  <c r="B580" i="1"/>
  <c r="B547" i="1"/>
  <c r="B36" i="10"/>
  <c r="B84" i="10"/>
  <c r="B132" i="10"/>
  <c r="B168" i="10"/>
  <c r="B208" i="10"/>
  <c r="B240" i="10"/>
  <c r="B619" i="1"/>
  <c r="B806" i="1"/>
  <c r="B803" i="1"/>
  <c r="B565" i="1"/>
  <c r="B548" i="1"/>
  <c r="B634" i="1"/>
  <c r="B545" i="1"/>
  <c r="B836" i="1"/>
  <c r="B819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28" i="1"/>
  <c r="B635" i="1"/>
  <c r="B617" i="1"/>
  <c r="B560" i="1"/>
  <c r="B628" i="1"/>
  <c r="B595" i="1"/>
  <c r="B687" i="1"/>
  <c r="B672" i="1"/>
  <c r="B551" i="1"/>
  <c r="B680" i="1"/>
  <c r="B814" i="1"/>
  <c r="B798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38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04" i="1"/>
  <c r="B723" i="1"/>
  <c r="B741" i="1"/>
  <c r="B744" i="1"/>
  <c r="B745" i="1"/>
  <c r="B776" i="1"/>
  <c r="B821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00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25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24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31" i="1"/>
  <c r="B837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32" i="1"/>
  <c r="B18" i="1"/>
  <c r="B112" i="1"/>
  <c r="B169" i="1"/>
  <c r="B767" i="1"/>
  <c r="B783" i="1"/>
  <c r="B816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26" i="1"/>
  <c r="B604" i="1"/>
  <c r="B670" i="1"/>
  <c r="B601" i="1"/>
  <c r="B622" i="1"/>
  <c r="B799" i="1"/>
  <c r="B48" i="10"/>
  <c r="B104" i="10"/>
  <c r="B120" i="10"/>
  <c r="B188" i="10"/>
  <c r="B204" i="10"/>
  <c r="B606" i="1"/>
  <c r="B570" i="1"/>
  <c r="B829" i="1"/>
  <c r="B639" i="1"/>
  <c r="B830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1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3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0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3" i="1"/>
  <c r="B740" i="1"/>
  <c r="B737" i="1"/>
  <c r="B677" i="1"/>
  <c r="B777" i="1"/>
  <c r="B391" i="1"/>
  <c r="B253" i="1"/>
  <c r="B763" i="1"/>
  <c r="B805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15" i="1"/>
  <c r="B715" i="1"/>
  <c r="B707" i="1"/>
  <c r="B719" i="1"/>
  <c r="B720" i="1"/>
  <c r="B664" i="1"/>
  <c r="B802" i="1"/>
  <c r="B724" i="1"/>
  <c r="B726" i="1"/>
  <c r="B722" i="1"/>
  <c r="B731" i="1"/>
  <c r="B732" i="1"/>
  <c r="B736" i="1"/>
  <c r="B739" i="1"/>
  <c r="B743" i="1"/>
  <c r="B742" i="1"/>
  <c r="B820" i="1"/>
  <c r="B728" i="1"/>
  <c r="B734" i="1"/>
  <c r="B748" i="1"/>
  <c r="B759" i="1"/>
  <c r="B811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09" i="1"/>
  <c r="B696" i="1"/>
  <c r="I50" i="11"/>
  <c r="M50" i="11"/>
</calcChain>
</file>

<file path=xl/sharedStrings.xml><?xml version="1.0" encoding="utf-8"?>
<sst xmlns="http://schemas.openxmlformats.org/spreadsheetml/2006/main" count="7360" uniqueCount="3534">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</sst>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11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3" totalsRowShown="0" headerRowDxfId="10">
  <autoFilter ref="A1:Y853" xr:uid="{2FDE3AF6-1CE1-4F38-BD72-1F03CD30F4FC}"/>
  <sortState xmlns:xlrd2="http://schemas.microsoft.com/office/spreadsheetml/2017/richdata2" ref="A2:Y840">
    <sortCondition ref="T1:T840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3"/>
  <sheetViews>
    <sheetView tabSelected="1" zoomScale="85" zoomScaleNormal="85" workbookViewId="0">
      <pane ySplit="1" topLeftCell="A831" activePane="bottomLeft" state="frozen"/>
      <selection activeCell="F1" sqref="F1"/>
      <selection pane="bottomLeft" activeCell="A845" sqref="A845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2" width="9.109375" style="5" hidden="1" customWidth="1"/>
    <col min="13" max="13" width="9.109375" style="5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3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x14ac:dyDescent="0.3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x14ac:dyDescent="0.3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x14ac:dyDescent="0.3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x14ac:dyDescent="0.3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x14ac:dyDescent="0.3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x14ac:dyDescent="0.3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x14ac:dyDescent="0.3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x14ac:dyDescent="0.3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x14ac:dyDescent="0.3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x14ac:dyDescent="0.3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x14ac:dyDescent="0.3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x14ac:dyDescent="0.3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x14ac:dyDescent="0.3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x14ac:dyDescent="0.3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x14ac:dyDescent="0.3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x14ac:dyDescent="0.3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3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x14ac:dyDescent="0.3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x14ac:dyDescent="0.3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x14ac:dyDescent="0.3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x14ac:dyDescent="0.3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x14ac:dyDescent="0.3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x14ac:dyDescent="0.3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x14ac:dyDescent="0.3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x14ac:dyDescent="0.3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x14ac:dyDescent="0.3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x14ac:dyDescent="0.3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x14ac:dyDescent="0.3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x14ac:dyDescent="0.3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x14ac:dyDescent="0.3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x14ac:dyDescent="0.3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x14ac:dyDescent="0.3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x14ac:dyDescent="0.3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x14ac:dyDescent="0.3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x14ac:dyDescent="0.3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x14ac:dyDescent="0.3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x14ac:dyDescent="0.3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x14ac:dyDescent="0.3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x14ac:dyDescent="0.3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x14ac:dyDescent="0.3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x14ac:dyDescent="0.3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x14ac:dyDescent="0.3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x14ac:dyDescent="0.3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x14ac:dyDescent="0.3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x14ac:dyDescent="0.3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x14ac:dyDescent="0.3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x14ac:dyDescent="0.3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x14ac:dyDescent="0.3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x14ac:dyDescent="0.3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x14ac:dyDescent="0.3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x14ac:dyDescent="0.3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x14ac:dyDescent="0.3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x14ac:dyDescent="0.3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x14ac:dyDescent="0.3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x14ac:dyDescent="0.3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x14ac:dyDescent="0.3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x14ac:dyDescent="0.3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x14ac:dyDescent="0.3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x14ac:dyDescent="0.3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x14ac:dyDescent="0.3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x14ac:dyDescent="0.3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x14ac:dyDescent="0.3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x14ac:dyDescent="0.3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x14ac:dyDescent="0.3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x14ac:dyDescent="0.3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x14ac:dyDescent="0.3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x14ac:dyDescent="0.3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x14ac:dyDescent="0.3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x14ac:dyDescent="0.3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x14ac:dyDescent="0.3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x14ac:dyDescent="0.3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x14ac:dyDescent="0.3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x14ac:dyDescent="0.3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x14ac:dyDescent="0.3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x14ac:dyDescent="0.3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x14ac:dyDescent="0.3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x14ac:dyDescent="0.3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x14ac:dyDescent="0.3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x14ac:dyDescent="0.3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x14ac:dyDescent="0.3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x14ac:dyDescent="0.3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x14ac:dyDescent="0.3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x14ac:dyDescent="0.3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x14ac:dyDescent="0.3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x14ac:dyDescent="0.3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x14ac:dyDescent="0.3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x14ac:dyDescent="0.3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x14ac:dyDescent="0.3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x14ac:dyDescent="0.3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x14ac:dyDescent="0.3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x14ac:dyDescent="0.3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x14ac:dyDescent="0.3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x14ac:dyDescent="0.3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x14ac:dyDescent="0.3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x14ac:dyDescent="0.3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x14ac:dyDescent="0.3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x14ac:dyDescent="0.3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x14ac:dyDescent="0.3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x14ac:dyDescent="0.3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x14ac:dyDescent="0.3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x14ac:dyDescent="0.3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x14ac:dyDescent="0.3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x14ac:dyDescent="0.3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x14ac:dyDescent="0.3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x14ac:dyDescent="0.3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x14ac:dyDescent="0.3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x14ac:dyDescent="0.3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x14ac:dyDescent="0.3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x14ac:dyDescent="0.3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x14ac:dyDescent="0.3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x14ac:dyDescent="0.3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x14ac:dyDescent="0.3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x14ac:dyDescent="0.3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x14ac:dyDescent="0.3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x14ac:dyDescent="0.3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x14ac:dyDescent="0.3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x14ac:dyDescent="0.3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x14ac:dyDescent="0.3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x14ac:dyDescent="0.3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x14ac:dyDescent="0.3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x14ac:dyDescent="0.3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x14ac:dyDescent="0.3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x14ac:dyDescent="0.3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x14ac:dyDescent="0.3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x14ac:dyDescent="0.3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x14ac:dyDescent="0.3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x14ac:dyDescent="0.3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x14ac:dyDescent="0.3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x14ac:dyDescent="0.3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x14ac:dyDescent="0.3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x14ac:dyDescent="0.3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x14ac:dyDescent="0.3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x14ac:dyDescent="0.3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x14ac:dyDescent="0.3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x14ac:dyDescent="0.3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x14ac:dyDescent="0.3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x14ac:dyDescent="0.3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x14ac:dyDescent="0.3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x14ac:dyDescent="0.3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x14ac:dyDescent="0.3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x14ac:dyDescent="0.3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x14ac:dyDescent="0.3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x14ac:dyDescent="0.3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x14ac:dyDescent="0.3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x14ac:dyDescent="0.3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x14ac:dyDescent="0.3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x14ac:dyDescent="0.3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x14ac:dyDescent="0.3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x14ac:dyDescent="0.3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x14ac:dyDescent="0.3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x14ac:dyDescent="0.3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x14ac:dyDescent="0.3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x14ac:dyDescent="0.3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x14ac:dyDescent="0.3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x14ac:dyDescent="0.3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x14ac:dyDescent="0.3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x14ac:dyDescent="0.3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x14ac:dyDescent="0.3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x14ac:dyDescent="0.3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x14ac:dyDescent="0.3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x14ac:dyDescent="0.3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x14ac:dyDescent="0.3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x14ac:dyDescent="0.3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x14ac:dyDescent="0.3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x14ac:dyDescent="0.3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x14ac:dyDescent="0.3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x14ac:dyDescent="0.3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x14ac:dyDescent="0.3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x14ac:dyDescent="0.3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x14ac:dyDescent="0.3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x14ac:dyDescent="0.3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x14ac:dyDescent="0.3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x14ac:dyDescent="0.3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x14ac:dyDescent="0.3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x14ac:dyDescent="0.3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x14ac:dyDescent="0.3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x14ac:dyDescent="0.3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x14ac:dyDescent="0.3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x14ac:dyDescent="0.3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x14ac:dyDescent="0.3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x14ac:dyDescent="0.3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x14ac:dyDescent="0.3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x14ac:dyDescent="0.3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x14ac:dyDescent="0.3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x14ac:dyDescent="0.3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x14ac:dyDescent="0.3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x14ac:dyDescent="0.3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x14ac:dyDescent="0.3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x14ac:dyDescent="0.3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x14ac:dyDescent="0.3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x14ac:dyDescent="0.3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x14ac:dyDescent="0.3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x14ac:dyDescent="0.3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x14ac:dyDescent="0.3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x14ac:dyDescent="0.3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x14ac:dyDescent="0.3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x14ac:dyDescent="0.3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x14ac:dyDescent="0.3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x14ac:dyDescent="0.3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x14ac:dyDescent="0.3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x14ac:dyDescent="0.3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x14ac:dyDescent="0.3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x14ac:dyDescent="0.3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x14ac:dyDescent="0.3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x14ac:dyDescent="0.3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x14ac:dyDescent="0.3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x14ac:dyDescent="0.3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x14ac:dyDescent="0.3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x14ac:dyDescent="0.3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x14ac:dyDescent="0.3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x14ac:dyDescent="0.3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x14ac:dyDescent="0.3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x14ac:dyDescent="0.3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x14ac:dyDescent="0.3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x14ac:dyDescent="0.3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x14ac:dyDescent="0.3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x14ac:dyDescent="0.3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x14ac:dyDescent="0.3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x14ac:dyDescent="0.3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x14ac:dyDescent="0.3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x14ac:dyDescent="0.3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x14ac:dyDescent="0.3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x14ac:dyDescent="0.3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x14ac:dyDescent="0.3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x14ac:dyDescent="0.3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x14ac:dyDescent="0.3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x14ac:dyDescent="0.3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x14ac:dyDescent="0.3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x14ac:dyDescent="0.3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x14ac:dyDescent="0.3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x14ac:dyDescent="0.3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x14ac:dyDescent="0.3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x14ac:dyDescent="0.3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x14ac:dyDescent="0.3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x14ac:dyDescent="0.3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x14ac:dyDescent="0.3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x14ac:dyDescent="0.3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x14ac:dyDescent="0.3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x14ac:dyDescent="0.3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x14ac:dyDescent="0.3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x14ac:dyDescent="0.3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x14ac:dyDescent="0.3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x14ac:dyDescent="0.3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x14ac:dyDescent="0.3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x14ac:dyDescent="0.3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x14ac:dyDescent="0.3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x14ac:dyDescent="0.3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x14ac:dyDescent="0.3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x14ac:dyDescent="0.3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x14ac:dyDescent="0.3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x14ac:dyDescent="0.3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x14ac:dyDescent="0.3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x14ac:dyDescent="0.3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x14ac:dyDescent="0.3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x14ac:dyDescent="0.3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x14ac:dyDescent="0.3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x14ac:dyDescent="0.3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x14ac:dyDescent="0.3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x14ac:dyDescent="0.3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x14ac:dyDescent="0.3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x14ac:dyDescent="0.3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x14ac:dyDescent="0.3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x14ac:dyDescent="0.3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x14ac:dyDescent="0.3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x14ac:dyDescent="0.3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x14ac:dyDescent="0.3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x14ac:dyDescent="0.3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x14ac:dyDescent="0.3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x14ac:dyDescent="0.3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x14ac:dyDescent="0.3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x14ac:dyDescent="0.3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x14ac:dyDescent="0.3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x14ac:dyDescent="0.3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x14ac:dyDescent="0.3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x14ac:dyDescent="0.3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x14ac:dyDescent="0.3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x14ac:dyDescent="0.3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x14ac:dyDescent="0.3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x14ac:dyDescent="0.3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x14ac:dyDescent="0.3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x14ac:dyDescent="0.3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x14ac:dyDescent="0.3">
      <c r="A798">
        <v>36426</v>
      </c>
      <c r="B798" t="str">
        <f>_xlfn.CONCAT(bron[[#This Row],[personeelsnr]]," ",bron[[#This Row],[achternaam]]," ",bron[[#This Row],[voornaam]])</f>
        <v>36426 Mohamed Yassin Abdulhamid</v>
      </c>
      <c r="C798" t="str">
        <f>VLOOKUP(bron[[#This Row],[personeelsnr]],'data hastus'!$A:$C,2,0)</f>
        <v>Mohamed Yassin</v>
      </c>
      <c r="D798" t="str">
        <f>VLOOKUP(bron[[#This Row],[personeelsnr]],'data hastus'!$A:$C,3,0)</f>
        <v>Abdulhamid</v>
      </c>
      <c r="E798" t="str">
        <f>VLOOKUP(bron[[#This Row],[personeelsnr]],'data hastus'!A:K,11,FALSE)</f>
        <v>Bart Van Der Beken</v>
      </c>
      <c r="F798" s="10">
        <v>45660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1291</v>
      </c>
      <c r="V798" s="8"/>
      <c r="W798" s="8">
        <v>1</v>
      </c>
      <c r="X798" t="s">
        <v>8</v>
      </c>
      <c r="Y798" t="s">
        <v>235</v>
      </c>
    </row>
    <row r="799" spans="1:25" x14ac:dyDescent="0.3">
      <c r="A799">
        <v>40744</v>
      </c>
      <c r="B799" t="str">
        <f>_xlfn.CONCAT(bron[[#This Row],[personeelsnr]]," ",bron[[#This Row],[achternaam]]," ",bron[[#This Row],[voornaam]])</f>
        <v>40744 Gözüküçük Ugur</v>
      </c>
      <c r="C799" t="str">
        <f>VLOOKUP(bron[[#This Row],[personeelsnr]],'data hastus'!$A:$C,2,0)</f>
        <v>Gözüküçük</v>
      </c>
      <c r="D799" t="str">
        <f>VLOOKUP(bron[[#This Row],[personeelsnr]],'data hastus'!$A:$C,3,0)</f>
        <v>Ugur</v>
      </c>
      <c r="E799" t="str">
        <f>VLOOKUP(bron[[#This Row],[personeelsnr]],'data hastus'!A:K,11,FALSE)</f>
        <v>Bart Van Der Beken</v>
      </c>
      <c r="F799" s="10">
        <v>45630</v>
      </c>
      <c r="G799" s="6"/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0</v>
      </c>
      <c r="T799" s="3"/>
      <c r="U799" s="8" t="s">
        <v>956</v>
      </c>
      <c r="V799" s="8">
        <v>1</v>
      </c>
      <c r="W799" s="8"/>
      <c r="X799" t="s">
        <v>7</v>
      </c>
      <c r="Y799" t="s">
        <v>1292</v>
      </c>
    </row>
    <row r="800" spans="1:25" x14ac:dyDescent="0.3">
      <c r="A800">
        <v>37509</v>
      </c>
      <c r="B800" t="str">
        <f>_xlfn.CONCAT(bron[[#This Row],[personeelsnr]]," ",bron[[#This Row],[achternaam]]," ",bron[[#This Row],[voornaam]])</f>
        <v>37509 Abdulkader Sabah</v>
      </c>
      <c r="C800" t="str">
        <f>VLOOKUP(bron[[#This Row],[personeelsnr]],'data hastus'!$A:$C,2,0)</f>
        <v>Abdulkader</v>
      </c>
      <c r="D800" t="str">
        <f>VLOOKUP(bron[[#This Row],[personeelsnr]],'data hastus'!$A:$C,3,0)</f>
        <v>Sabah</v>
      </c>
      <c r="E800" t="str">
        <f>VLOOKUP(bron[[#This Row],[personeelsnr]],'data hastus'!A:K,11,FALSE)</f>
        <v>Bart Van Der Beken</v>
      </c>
      <c r="F800" s="10">
        <v>45706</v>
      </c>
      <c r="G800" s="6"/>
      <c r="H800" s="6">
        <v>1</v>
      </c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1293</v>
      </c>
      <c r="V800" s="8">
        <v>1</v>
      </c>
      <c r="W800" s="8"/>
      <c r="X800" t="s">
        <v>7</v>
      </c>
      <c r="Y800" t="s">
        <v>1294</v>
      </c>
    </row>
    <row r="801" spans="1:25" x14ac:dyDescent="0.3">
      <c r="A801">
        <v>37662</v>
      </c>
      <c r="B801" t="str">
        <f>_xlfn.CONCAT(bron[[#This Row],[personeelsnr]]," ",bron[[#This Row],[achternaam]]," ",bron[[#This Row],[voornaam]])</f>
        <v>37662 Van den Meerssche Steven</v>
      </c>
      <c r="C801" t="str">
        <f>VLOOKUP(bron[[#This Row],[personeelsnr]],'data hastus'!$A:$C,2,0)</f>
        <v>Van den Meerssche</v>
      </c>
      <c r="D801" t="str">
        <f>VLOOKUP(bron[[#This Row],[personeelsnr]],'data hastus'!$A:$C,3,0)</f>
        <v>Steven</v>
      </c>
      <c r="E801" t="str">
        <f>VLOOKUP(bron[[#This Row],[personeelsnr]],'data hastus'!A:K,11,FALSE)</f>
        <v>Bart Van Der Beken</v>
      </c>
      <c r="F801" s="10">
        <v>45783</v>
      </c>
      <c r="G801" s="6"/>
      <c r="H801" s="6"/>
      <c r="I801" s="6"/>
      <c r="J801"/>
      <c r="K801">
        <v>1</v>
      </c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1295</v>
      </c>
      <c r="V801" s="8">
        <v>1</v>
      </c>
      <c r="W801" s="8"/>
      <c r="X801" t="s">
        <v>7</v>
      </c>
      <c r="Y801" t="s">
        <v>34</v>
      </c>
    </row>
    <row r="802" spans="1:25" x14ac:dyDescent="0.3">
      <c r="A802">
        <v>29746</v>
      </c>
      <c r="B802" t="str">
        <f>_xlfn.CONCAT(bron[[#This Row],[personeelsnr]]," ",bron[[#This Row],[achternaam]]," ",bron[[#This Row],[voornaam]])</f>
        <v>29746 Huyse Annicke</v>
      </c>
      <c r="C802" t="str">
        <f>VLOOKUP(bron[[#This Row],[personeelsnr]],'data hastus'!$A:$C,2,0)</f>
        <v>Huyse</v>
      </c>
      <c r="D802" t="str">
        <f>VLOOKUP(bron[[#This Row],[personeelsnr]],'data hastus'!$A:$C,3,0)</f>
        <v>Annicke</v>
      </c>
      <c r="E802" t="str">
        <f>VLOOKUP(bron[[#This Row],[personeelsnr]],'data hastus'!A:K,11,FALSE)</f>
        <v>Bart Van Der Beken</v>
      </c>
      <c r="F802" s="10">
        <v>45831</v>
      </c>
      <c r="G802" s="7"/>
      <c r="H802" s="7"/>
      <c r="I802" s="7"/>
      <c r="L802" s="5">
        <v>1</v>
      </c>
      <c r="S802" s="5">
        <f>SUM(bron[[#This Row],[Januari]:[December]])</f>
        <v>1</v>
      </c>
      <c r="U802" s="8" t="s">
        <v>1296</v>
      </c>
      <c r="V802" s="24"/>
      <c r="W802" s="24">
        <v>1</v>
      </c>
      <c r="X802" t="s">
        <v>8</v>
      </c>
      <c r="Y802" t="s">
        <v>739</v>
      </c>
    </row>
    <row r="803" spans="1:25" x14ac:dyDescent="0.3">
      <c r="A803">
        <v>39779</v>
      </c>
      <c r="B803" t="str">
        <f>_xlfn.CONCAT(bron[[#This Row],[personeelsnr]]," ",bron[[#This Row],[achternaam]]," ",bron[[#This Row],[voornaam]])</f>
        <v>39779 Avci Muhammet Abdullah</v>
      </c>
      <c r="C803" t="str">
        <f>VLOOKUP(bron[[#This Row],[personeelsnr]],'data hastus'!$A:$C,2,0)</f>
        <v>Avci</v>
      </c>
      <c r="D803" t="str">
        <f>VLOOKUP(bron[[#This Row],[personeelsnr]],'data hastus'!$A:$C,3,0)</f>
        <v>Muhammet Abdullah</v>
      </c>
      <c r="E803" t="str">
        <f>VLOOKUP(bron[[#This Row],[personeelsnr]],'data hastus'!A:K,11,FALSE)</f>
        <v>Bart Van Der Beken</v>
      </c>
      <c r="F803" s="10">
        <v>45735</v>
      </c>
      <c r="G803" s="6"/>
      <c r="H803" s="6"/>
      <c r="I803" s="6">
        <v>1</v>
      </c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1297</v>
      </c>
      <c r="V803" s="8">
        <v>1</v>
      </c>
      <c r="W803" s="8"/>
      <c r="X803" t="s">
        <v>7</v>
      </c>
      <c r="Y803" t="s">
        <v>72</v>
      </c>
    </row>
    <row r="804" spans="1:25" x14ac:dyDescent="0.3">
      <c r="A804">
        <v>39660</v>
      </c>
      <c r="B804" t="str">
        <f>_xlfn.CONCAT(bron[[#This Row],[personeelsnr]]," ",bron[[#This Row],[achternaam]]," ",bron[[#This Row],[voornaam]])</f>
        <v>39660 Lloyd Glenn</v>
      </c>
      <c r="C804" t="str">
        <f>VLOOKUP(bron[[#This Row],[personeelsnr]],'data hastus'!$A:$C,2,0)</f>
        <v>Lloyd</v>
      </c>
      <c r="D804" t="str">
        <f>VLOOKUP(bron[[#This Row],[personeelsnr]],'data hastus'!$A:$C,3,0)</f>
        <v>Glenn</v>
      </c>
      <c r="E804" t="str">
        <f>VLOOKUP(bron[[#This Row],[personeelsnr]],'data hastus'!A:K,11,FALSE)</f>
        <v>Bart Van Der Beken</v>
      </c>
      <c r="F804" s="10">
        <v>45842</v>
      </c>
      <c r="G804" s="7"/>
      <c r="H804" s="7"/>
      <c r="I804" s="7"/>
      <c r="M804" s="5">
        <v>1</v>
      </c>
      <c r="S804" s="5">
        <f>SUM(bron[[#This Row],[Januari]:[December]])</f>
        <v>1</v>
      </c>
      <c r="U804" s="8" t="s">
        <v>1298</v>
      </c>
      <c r="V804" s="24">
        <v>1</v>
      </c>
      <c r="W804" s="24"/>
      <c r="X804" t="s">
        <v>7</v>
      </c>
      <c r="Y804" t="s">
        <v>227</v>
      </c>
    </row>
    <row r="805" spans="1:25" x14ac:dyDescent="0.3">
      <c r="A805">
        <v>20653</v>
      </c>
      <c r="B805" t="str">
        <f>_xlfn.CONCAT(bron[[#This Row],[personeelsnr]]," ",bron[[#This Row],[achternaam]]," ",bron[[#This Row],[voornaam]])</f>
        <v>20653 Mestdag Marius</v>
      </c>
      <c r="C805" t="str">
        <f>VLOOKUP(bron[[#This Row],[personeelsnr]],'data hastus'!$A:$C,2,0)</f>
        <v>Mestdag</v>
      </c>
      <c r="D805" t="str">
        <f>VLOOKUP(bron[[#This Row],[personeelsnr]],'data hastus'!$A:$C,3,0)</f>
        <v>Marius</v>
      </c>
      <c r="E805" t="str">
        <f>VLOOKUP(bron[[#This Row],[personeelsnr]],'data hastus'!A:K,11,FALSE)</f>
        <v>Bart Van Der Beken</v>
      </c>
      <c r="F805" s="10">
        <v>45867</v>
      </c>
      <c r="G805" s="7"/>
      <c r="H805" s="7"/>
      <c r="I805" s="7"/>
      <c r="M805" s="5">
        <v>1</v>
      </c>
      <c r="S805" s="5">
        <f>SUM(bron[[#This Row],[Januari]:[December]])</f>
        <v>1</v>
      </c>
      <c r="U805" s="8" t="s">
        <v>1299</v>
      </c>
      <c r="V805" s="24"/>
      <c r="W805" s="24">
        <v>1</v>
      </c>
      <c r="X805" t="s">
        <v>8</v>
      </c>
      <c r="Y805" t="s">
        <v>133</v>
      </c>
    </row>
    <row r="806" spans="1:25" x14ac:dyDescent="0.3">
      <c r="A806">
        <v>40058</v>
      </c>
      <c r="B806" t="str">
        <f>_xlfn.CONCAT(bron[[#This Row],[personeelsnr]]," ",bron[[#This Row],[achternaam]]," ",bron[[#This Row],[voornaam]])</f>
        <v>40058 Sögüt Can</v>
      </c>
      <c r="C806" t="str">
        <f>VLOOKUP(bron[[#This Row],[personeelsnr]],'data hastus'!$A:$C,2,0)</f>
        <v>Sögüt</v>
      </c>
      <c r="D806" t="str">
        <f>VLOOKUP(bron[[#This Row],[personeelsnr]],'data hastus'!$A:$C,3,0)</f>
        <v>Can</v>
      </c>
      <c r="E806" t="str">
        <f>VLOOKUP(bron[[#This Row],[personeelsnr]],'data hastus'!A:K,11,FALSE)</f>
        <v>Christoff Rotty</v>
      </c>
      <c r="F806" s="10">
        <v>45660</v>
      </c>
      <c r="G806" s="6"/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0</v>
      </c>
      <c r="T806" s="3"/>
      <c r="U806" s="8" t="s">
        <v>1300</v>
      </c>
      <c r="V806" s="8">
        <v>1</v>
      </c>
      <c r="W806" s="8"/>
      <c r="X806" t="s">
        <v>7</v>
      </c>
      <c r="Y806" t="s">
        <v>119</v>
      </c>
    </row>
    <row r="807" spans="1:25" x14ac:dyDescent="0.3">
      <c r="A807">
        <v>38740</v>
      </c>
      <c r="B807" t="str">
        <f>_xlfn.CONCAT(bron[[#This Row],[personeelsnr]]," ",bron[[#This Row],[achternaam]]," ",bron[[#This Row],[voornaam]])</f>
        <v>38740 Meskens Anthony</v>
      </c>
      <c r="C807" t="str">
        <f>VLOOKUP(bron[[#This Row],[personeelsnr]],'data hastus'!$A:$C,2,0)</f>
        <v>Meskens</v>
      </c>
      <c r="D807" t="str">
        <f>VLOOKUP(bron[[#This Row],[personeelsnr]],'data hastus'!$A:$C,3,0)</f>
        <v>Anthony</v>
      </c>
      <c r="E807" t="str">
        <f>VLOOKUP(bron[[#This Row],[personeelsnr]],'data hastus'!A:K,11,FALSE)</f>
        <v>Christoff Rotty</v>
      </c>
      <c r="F807" s="10">
        <v>45777</v>
      </c>
      <c r="G807" s="6"/>
      <c r="H807" s="6"/>
      <c r="I807" s="6"/>
      <c r="J807">
        <v>1</v>
      </c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1301</v>
      </c>
      <c r="V807" s="8"/>
      <c r="W807" s="8">
        <v>1</v>
      </c>
      <c r="X807" t="s">
        <v>8</v>
      </c>
      <c r="Y807" t="s">
        <v>859</v>
      </c>
    </row>
    <row r="808" spans="1:25" x14ac:dyDescent="0.3">
      <c r="A808">
        <v>41348</v>
      </c>
      <c r="B808" t="str">
        <f>_xlfn.CONCAT(bron[[#This Row],[personeelsnr]]," ",bron[[#This Row],[achternaam]]," ",bron[[#This Row],[voornaam]])</f>
        <v>41348 Van Huffel Tim</v>
      </c>
      <c r="C808" t="str">
        <f>VLOOKUP(bron[[#This Row],[personeelsnr]],'data hastus'!$A:$C,2,0)</f>
        <v>Van Huffel</v>
      </c>
      <c r="D808" t="str">
        <f>VLOOKUP(bron[[#This Row],[personeelsnr]],'data hastus'!$A:$C,3,0)</f>
        <v>Tim</v>
      </c>
      <c r="E808" t="str">
        <f>VLOOKUP(bron[[#This Row],[personeelsnr]],'data hastus'!A:K,11,FALSE)</f>
        <v>Christoff Rotty</v>
      </c>
      <c r="F808" s="10">
        <v>45883</v>
      </c>
      <c r="G808" s="6"/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0</v>
      </c>
      <c r="T808" s="3"/>
      <c r="U808" s="24" t="s">
        <v>1302</v>
      </c>
      <c r="V808" s="8">
        <v>1</v>
      </c>
      <c r="W808" s="8"/>
      <c r="X808" t="s">
        <v>7</v>
      </c>
      <c r="Y808" t="s">
        <v>10</v>
      </c>
    </row>
    <row r="809" spans="1:25" x14ac:dyDescent="0.3">
      <c r="A809">
        <v>41384</v>
      </c>
      <c r="B809" t="str">
        <f>_xlfn.CONCAT(bron[[#This Row],[personeelsnr]]," ",bron[[#This Row],[achternaam]]," ",bron[[#This Row],[voornaam]])</f>
        <v>41384 Hillaert Thimo</v>
      </c>
      <c r="C809" t="str">
        <f>VLOOKUP(bron[[#This Row],[personeelsnr]],'data hastus'!$A:$C,2,0)</f>
        <v>Hillaert</v>
      </c>
      <c r="D809" t="str">
        <f>VLOOKUP(bron[[#This Row],[personeelsnr]],'data hastus'!$A:$C,3,0)</f>
        <v>Thimo</v>
      </c>
      <c r="E809" t="str">
        <f>VLOOKUP(bron[[#This Row],[personeelsnr]],'data hastus'!A:K,11,FALSE)</f>
        <v>Christoff Rotty</v>
      </c>
      <c r="F809" s="10">
        <v>45864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1303</v>
      </c>
      <c r="V809" s="24">
        <v>1</v>
      </c>
      <c r="W809" s="24"/>
      <c r="X809" t="s">
        <v>7</v>
      </c>
      <c r="Y809" t="s">
        <v>108</v>
      </c>
    </row>
    <row r="810" spans="1:25" x14ac:dyDescent="0.3">
      <c r="A810">
        <v>18051</v>
      </c>
      <c r="B810" t="str">
        <f>_xlfn.CONCAT(bron[[#This Row],[personeelsnr]]," ",bron[[#This Row],[achternaam]]," ",bron[[#This Row],[voornaam]])</f>
        <v>18051 Van Wittenberge Filip</v>
      </c>
      <c r="C810" t="str">
        <f>VLOOKUP(bron[[#This Row],[personeelsnr]],'data hastus'!$A:$C,2,0)</f>
        <v>Van Wittenberge</v>
      </c>
      <c r="D810" t="str">
        <f>VLOOKUP(bron[[#This Row],[personeelsnr]],'data hastus'!$A:$C,3,0)</f>
        <v>Filip</v>
      </c>
      <c r="E810" t="str">
        <f>VLOOKUP(bron[[#This Row],[personeelsnr]],'data hastus'!A:K,11,FALSE)</f>
        <v>Christoff Rotty</v>
      </c>
      <c r="F810" s="10">
        <v>45863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1304</v>
      </c>
      <c r="V810" s="24"/>
      <c r="W810" s="24">
        <v>1</v>
      </c>
      <c r="X810" t="s">
        <v>8</v>
      </c>
      <c r="Y810" t="s">
        <v>668</v>
      </c>
    </row>
    <row r="811" spans="1:25" x14ac:dyDescent="0.3">
      <c r="A811">
        <v>39529</v>
      </c>
      <c r="B811" t="str">
        <f>_xlfn.CONCAT(bron[[#This Row],[personeelsnr]]," ",bron[[#This Row],[achternaam]]," ",bron[[#This Row],[voornaam]])</f>
        <v>39529 Desmet Patricia</v>
      </c>
      <c r="C811" t="str">
        <f>VLOOKUP(bron[[#This Row],[personeelsnr]],'data hastus'!$A:$C,2,0)</f>
        <v>Desmet</v>
      </c>
      <c r="D811" t="str">
        <f>VLOOKUP(bron[[#This Row],[personeelsnr]],'data hastus'!$A:$C,3,0)</f>
        <v>Patricia</v>
      </c>
      <c r="E811" t="str">
        <f>VLOOKUP(bron[[#This Row],[personeelsnr]],'data hastus'!A:K,11,FALSE)</f>
        <v>Christoff Rotty</v>
      </c>
      <c r="F811" s="10">
        <v>45853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1305</v>
      </c>
      <c r="V811" s="24"/>
      <c r="W811" s="24">
        <v>1</v>
      </c>
      <c r="X811" t="s">
        <v>8</v>
      </c>
      <c r="Y811" t="s">
        <v>962</v>
      </c>
    </row>
    <row r="812" spans="1:25" x14ac:dyDescent="0.3">
      <c r="A812">
        <v>21509</v>
      </c>
      <c r="B812" t="str">
        <f>_xlfn.CONCAT(bron[[#This Row],[personeelsnr]]," ",bron[[#This Row],[achternaam]]," ",bron[[#This Row],[voornaam]])</f>
        <v>21509 De Craemer Kris</v>
      </c>
      <c r="C812" t="str">
        <f>VLOOKUP(bron[[#This Row],[personeelsnr]],'data hastus'!$A:$C,2,0)</f>
        <v>De Craemer</v>
      </c>
      <c r="D812" t="str">
        <f>VLOOKUP(bron[[#This Row],[personeelsnr]],'data hastus'!$A:$C,3,0)</f>
        <v>Kris</v>
      </c>
      <c r="E812" t="str">
        <f>VLOOKUP(bron[[#This Row],[personeelsnr]],'data hastus'!A:K,11,FALSE)</f>
        <v>Dominique De Clercq</v>
      </c>
      <c r="F812" s="10">
        <v>45684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8" t="s">
        <v>1306</v>
      </c>
      <c r="V812" s="8"/>
      <c r="W812" s="8">
        <v>1</v>
      </c>
      <c r="X812" t="s">
        <v>8</v>
      </c>
      <c r="Y812" t="s">
        <v>81</v>
      </c>
    </row>
    <row r="813" spans="1:25" x14ac:dyDescent="0.3">
      <c r="A813">
        <v>29646</v>
      </c>
      <c r="B813" t="str">
        <f>_xlfn.CONCAT(bron[[#This Row],[personeelsnr]]," ",bron[[#This Row],[achternaam]]," ",bron[[#This Row],[voornaam]])</f>
        <v>29646 Özer Mesut</v>
      </c>
      <c r="C813" t="str">
        <f>VLOOKUP(bron[[#This Row],[personeelsnr]],'data hastus'!$A:$C,2,0)</f>
        <v>Özer</v>
      </c>
      <c r="D813" t="str">
        <f>VLOOKUP(bron[[#This Row],[personeelsnr]],'data hastus'!$A:$C,3,0)</f>
        <v>Mesut</v>
      </c>
      <c r="E813" t="str">
        <f>VLOOKUP(bron[[#This Row],[personeelsnr]],'data hastus'!A:K,11,FALSE)</f>
        <v>Dominique De Clercq</v>
      </c>
      <c r="F813" s="10">
        <v>45836</v>
      </c>
      <c r="G813" s="7"/>
      <c r="H813" s="7"/>
      <c r="I813" s="7"/>
      <c r="L813" s="5">
        <v>1</v>
      </c>
      <c r="S813" s="5">
        <f>SUM(bron[[#This Row],[Januari]:[December]])</f>
        <v>1</v>
      </c>
      <c r="U813" s="8" t="s">
        <v>1307</v>
      </c>
      <c r="V813" s="24">
        <v>1</v>
      </c>
      <c r="W813" s="24"/>
      <c r="X813" t="s">
        <v>7</v>
      </c>
      <c r="Y813" t="s">
        <v>1308</v>
      </c>
    </row>
    <row r="814" spans="1:25" x14ac:dyDescent="0.3">
      <c r="A814">
        <v>23700</v>
      </c>
      <c r="B814" t="str">
        <f>_xlfn.CONCAT(bron[[#This Row],[personeelsnr]]," ",bron[[#This Row],[achternaam]]," ",bron[[#This Row],[voornaam]])</f>
        <v>23700 Byosière Christof</v>
      </c>
      <c r="C814" t="str">
        <f>VLOOKUP(bron[[#This Row],[personeelsnr]],'data hastus'!$A:$C,2,0)</f>
        <v>Byosière</v>
      </c>
      <c r="D814" t="str">
        <f>VLOOKUP(bron[[#This Row],[personeelsnr]],'data hastus'!$A:$C,3,0)</f>
        <v>Christof</v>
      </c>
      <c r="E814" t="str">
        <f>VLOOKUP(bron[[#This Row],[personeelsnr]],'data hastus'!A:K,11,FALSE)</f>
        <v>Dominique De Clercq</v>
      </c>
      <c r="F814" s="10">
        <v>45763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1309</v>
      </c>
      <c r="V814" s="8">
        <v>1</v>
      </c>
      <c r="W814" s="8"/>
      <c r="X814" t="s">
        <v>7</v>
      </c>
      <c r="Y814" t="s">
        <v>5</v>
      </c>
    </row>
    <row r="815" spans="1:25" x14ac:dyDescent="0.3">
      <c r="A815">
        <v>30119</v>
      </c>
      <c r="B815" t="str">
        <f>_xlfn.CONCAT(bron[[#This Row],[personeelsnr]]," ",bron[[#This Row],[achternaam]]," ",bron[[#This Row],[voornaam]])</f>
        <v>30119 Haerens Tom</v>
      </c>
      <c r="C815" t="str">
        <f>VLOOKUP(bron[[#This Row],[personeelsnr]],'data hastus'!$A:$C,2,0)</f>
        <v>Haerens</v>
      </c>
      <c r="D815" t="str">
        <f>VLOOKUP(bron[[#This Row],[personeelsnr]],'data hastus'!$A:$C,3,0)</f>
        <v>Tom</v>
      </c>
      <c r="E815" t="str">
        <f>VLOOKUP(bron[[#This Row],[personeelsnr]],'data hastus'!A:K,11,FALSE)</f>
        <v>Dominique De Clercq</v>
      </c>
      <c r="F815" s="10">
        <v>45813</v>
      </c>
      <c r="G815" s="7"/>
      <c r="H815" s="7"/>
      <c r="I815" s="7"/>
      <c r="L815" s="5">
        <v>1</v>
      </c>
      <c r="S815" s="5">
        <f>SUM(bron[[#This Row],[Januari]:[December]])</f>
        <v>1</v>
      </c>
      <c r="U815" s="8" t="s">
        <v>1310</v>
      </c>
      <c r="V815" s="24"/>
      <c r="W815" s="24">
        <v>1</v>
      </c>
      <c r="X815" t="s">
        <v>8</v>
      </c>
      <c r="Y815" t="s">
        <v>31</v>
      </c>
    </row>
    <row r="816" spans="1:25" x14ac:dyDescent="0.3">
      <c r="A816">
        <v>40403</v>
      </c>
      <c r="B816" t="str">
        <f>_xlfn.CONCAT(bron[[#This Row],[personeelsnr]]," ",bron[[#This Row],[achternaam]]," ",bron[[#This Row],[voornaam]])</f>
        <v>40403 Prové Michaël</v>
      </c>
      <c r="C816" t="str">
        <f>VLOOKUP(bron[[#This Row],[personeelsnr]],'data hastus'!$A:$C,2,0)</f>
        <v>Prové</v>
      </c>
      <c r="D816" t="str">
        <f>VLOOKUP(bron[[#This Row],[personeelsnr]],'data hastus'!$A:$C,3,0)</f>
        <v>Michaël</v>
      </c>
      <c r="E816" t="str">
        <f>VLOOKUP(bron[[#This Row],[personeelsnr]],'data hastus'!A:K,11,FALSE)</f>
        <v>Dominique De Clercq</v>
      </c>
      <c r="F816" s="10">
        <v>45890</v>
      </c>
      <c r="G816" s="7"/>
      <c r="H816" s="7"/>
      <c r="I816" s="7"/>
      <c r="N816" s="5">
        <v>1</v>
      </c>
      <c r="S816" s="5">
        <f>SUM(bron[[#This Row],[Januari]:[December]])</f>
        <v>1</v>
      </c>
      <c r="U816" s="5" t="s">
        <v>1311</v>
      </c>
      <c r="V816" s="24">
        <v>1</v>
      </c>
      <c r="W816" s="24"/>
      <c r="X816" t="s">
        <v>7</v>
      </c>
      <c r="Y816" t="s">
        <v>537</v>
      </c>
    </row>
    <row r="817" spans="1:25" x14ac:dyDescent="0.3">
      <c r="A817">
        <v>39831</v>
      </c>
      <c r="B817" t="str">
        <f>_xlfn.CONCAT(bron[[#This Row],[personeelsnr]]," ",bron[[#This Row],[achternaam]]," ",bron[[#This Row],[voornaam]])</f>
        <v>39831 Dolgiev Mukhamed</v>
      </c>
      <c r="C817" t="str">
        <f>VLOOKUP(bron[[#This Row],[personeelsnr]],'data hastus'!$A:$C,2,0)</f>
        <v>Dolgiev</v>
      </c>
      <c r="D817" t="str">
        <f>VLOOKUP(bron[[#This Row],[personeelsnr]],'data hastus'!$A:$C,3,0)</f>
        <v>Mukhamed</v>
      </c>
      <c r="E817" t="str">
        <f>VLOOKUP(bron[[#This Row],[personeelsnr]],'data hastus'!A:K,11,FALSE)</f>
        <v>Els Dewulf</v>
      </c>
      <c r="F817" s="10">
        <v>45710</v>
      </c>
      <c r="G817" s="6"/>
      <c r="H817" s="6">
        <v>1</v>
      </c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/>
      <c r="U817" s="8" t="s">
        <v>1312</v>
      </c>
      <c r="V817" s="8">
        <v>1</v>
      </c>
      <c r="W817" s="8"/>
      <c r="X817" t="s">
        <v>7</v>
      </c>
      <c r="Y817" t="s">
        <v>113</v>
      </c>
    </row>
    <row r="818" spans="1:25" x14ac:dyDescent="0.3">
      <c r="A818">
        <v>22052</v>
      </c>
      <c r="B818" t="str">
        <f>_xlfn.CONCAT(bron[[#This Row],[personeelsnr]]," ",bron[[#This Row],[achternaam]]," ",bron[[#This Row],[voornaam]])</f>
        <v>22052 Meyvaert Peter</v>
      </c>
      <c r="C818" t="str">
        <f>VLOOKUP(bron[[#This Row],[personeelsnr]],'data hastus'!$A:$C,2,0)</f>
        <v>Meyvaert</v>
      </c>
      <c r="D818" t="str">
        <f>VLOOKUP(bron[[#This Row],[personeelsnr]],'data hastus'!$A:$C,3,0)</f>
        <v>Peter</v>
      </c>
      <c r="E818" t="str">
        <f>VLOOKUP(bron[[#This Row],[personeelsnr]],'data hastus'!A:K,11,FALSE)</f>
        <v>Els Dewulf</v>
      </c>
      <c r="F818" s="10">
        <v>45670</v>
      </c>
      <c r="G818" s="6">
        <v>1</v>
      </c>
      <c r="H818" s="6"/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1313</v>
      </c>
      <c r="V818" s="8">
        <v>1</v>
      </c>
      <c r="W818" s="8"/>
      <c r="X818" t="s">
        <v>7</v>
      </c>
      <c r="Y818" t="s">
        <v>113</v>
      </c>
    </row>
    <row r="819" spans="1:25" x14ac:dyDescent="0.3">
      <c r="A819">
        <v>31600</v>
      </c>
      <c r="B819" t="str">
        <f>_xlfn.CONCAT(bron[[#This Row],[personeelsnr]]," ",bron[[#This Row],[achternaam]]," ",bron[[#This Row],[voornaam]])</f>
        <v>31600 Mertens Tom</v>
      </c>
      <c r="C819" t="str">
        <f>VLOOKUP(bron[[#This Row],[personeelsnr]],'data hastus'!$A:$C,2,0)</f>
        <v>Mertens</v>
      </c>
      <c r="D819" t="str">
        <f>VLOOKUP(bron[[#This Row],[personeelsnr]],'data hastus'!$A:$C,3,0)</f>
        <v>Tom</v>
      </c>
      <c r="E819" t="str">
        <f>VLOOKUP(bron[[#This Row],[personeelsnr]],'data hastus'!A:K,11,FALSE)</f>
        <v>Els Dewulf</v>
      </c>
      <c r="F819" s="10">
        <v>45737</v>
      </c>
      <c r="G819" s="6"/>
      <c r="H819" s="6"/>
      <c r="I819" s="6">
        <v>1</v>
      </c>
      <c r="J819"/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1314</v>
      </c>
      <c r="V819" s="8">
        <v>1</v>
      </c>
      <c r="W819" s="8"/>
      <c r="X819" t="s">
        <v>7</v>
      </c>
      <c r="Y819" t="s">
        <v>1315</v>
      </c>
    </row>
    <row r="820" spans="1:25" x14ac:dyDescent="0.3">
      <c r="A820">
        <v>15088</v>
      </c>
      <c r="B820" t="str">
        <f>_xlfn.CONCAT(bron[[#This Row],[personeelsnr]]," ",bron[[#This Row],[achternaam]]," ",bron[[#This Row],[voornaam]])</f>
        <v>15088 Laute Dirk</v>
      </c>
      <c r="C820" t="str">
        <f>VLOOKUP(bron[[#This Row],[personeelsnr]],'data hastus'!$A:$C,2,0)</f>
        <v>Laute</v>
      </c>
      <c r="D820" t="str">
        <f>VLOOKUP(bron[[#This Row],[personeelsnr]],'data hastus'!$A:$C,3,0)</f>
        <v>Dirk</v>
      </c>
      <c r="E820" t="str">
        <f>VLOOKUP(bron[[#This Row],[personeelsnr]],'data hastus'!A:K,11,FALSE)</f>
        <v>Els Vanhoe</v>
      </c>
      <c r="F820" s="10">
        <v>45837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1316</v>
      </c>
      <c r="V820" s="24">
        <v>1</v>
      </c>
      <c r="W820" s="24"/>
      <c r="X820" t="s">
        <v>7</v>
      </c>
      <c r="Y820" t="s">
        <v>48</v>
      </c>
    </row>
    <row r="821" spans="1:25" x14ac:dyDescent="0.3">
      <c r="A821">
        <v>26960</v>
      </c>
      <c r="B821" t="str">
        <f>_xlfn.CONCAT(bron[[#This Row],[personeelsnr]]," ",bron[[#This Row],[achternaam]]," ",bron[[#This Row],[voornaam]])</f>
        <v>26960 Toubadie Mossa</v>
      </c>
      <c r="C821" t="str">
        <f>VLOOKUP(bron[[#This Row],[personeelsnr]],'data hastus'!$A:$C,2,0)</f>
        <v>Toubadie</v>
      </c>
      <c r="D821" t="str">
        <f>VLOOKUP(bron[[#This Row],[personeelsnr]],'data hastus'!$A:$C,3,0)</f>
        <v>Mossa</v>
      </c>
      <c r="E821" t="str">
        <f>VLOOKUP(bron[[#This Row],[personeelsnr]],'data hastus'!A:K,11,FALSE)</f>
        <v>Els Vanhoe</v>
      </c>
      <c r="F821" s="10">
        <v>45798</v>
      </c>
      <c r="G821" s="7"/>
      <c r="H821" s="7"/>
      <c r="I821" s="7"/>
      <c r="K821" s="5">
        <v>1</v>
      </c>
      <c r="S821" s="5">
        <f>SUM(bron[[#This Row],[Januari]:[December]])</f>
        <v>1</v>
      </c>
      <c r="T821" s="23"/>
      <c r="U821" s="8" t="s">
        <v>1317</v>
      </c>
      <c r="V821" s="8">
        <v>1</v>
      </c>
      <c r="W821" s="8"/>
      <c r="X821" t="s">
        <v>7</v>
      </c>
      <c r="Y821" t="s">
        <v>131</v>
      </c>
    </row>
    <row r="822" spans="1:25" x14ac:dyDescent="0.3">
      <c r="A822">
        <v>42002</v>
      </c>
      <c r="B822" t="str">
        <f>_xlfn.CONCAT(bron[[#This Row],[personeelsnr]]," ",bron[[#This Row],[achternaam]]," ",bron[[#This Row],[voornaam]])</f>
        <v>42002 Bogaert Kevin</v>
      </c>
      <c r="C822" t="str">
        <f>VLOOKUP(bron[[#This Row],[personeelsnr]],'data hastus'!$A:$C,2,0)</f>
        <v>Bogaert</v>
      </c>
      <c r="D822" t="str">
        <f>VLOOKUP(bron[[#This Row],[personeelsnr]],'data hastus'!$A:$C,3,0)</f>
        <v>Kevin</v>
      </c>
      <c r="E822" t="str">
        <f>VLOOKUP(bron[[#This Row],[personeelsnr]],'data hastus'!A:K,11,FALSE)</f>
        <v>Els Vanhoe</v>
      </c>
      <c r="F822" s="10">
        <v>45862</v>
      </c>
      <c r="G822" s="7"/>
      <c r="H822" s="7"/>
      <c r="I822" s="7"/>
      <c r="M822" s="5">
        <v>1</v>
      </c>
      <c r="S822" s="5">
        <f>SUM(bron[[#This Row],[Januari]:[December]])</f>
        <v>1</v>
      </c>
      <c r="U822" s="8" t="s">
        <v>1318</v>
      </c>
      <c r="V822" s="24">
        <v>1</v>
      </c>
      <c r="W822" s="24"/>
      <c r="X822" t="s">
        <v>7</v>
      </c>
      <c r="Y822" t="s">
        <v>16</v>
      </c>
    </row>
    <row r="823" spans="1:25" x14ac:dyDescent="0.3">
      <c r="A823">
        <v>37543</v>
      </c>
      <c r="B823" t="str">
        <f>_xlfn.CONCAT(bron[[#This Row],[personeelsnr]]," ",bron[[#This Row],[achternaam]]," ",bron[[#This Row],[voornaam]])</f>
        <v>37543 Öztürk Bilgehan</v>
      </c>
      <c r="C823" t="str">
        <f>VLOOKUP(bron[[#This Row],[personeelsnr]],'data hastus'!$A:$C,2,0)</f>
        <v>Öztürk</v>
      </c>
      <c r="D823" t="str">
        <f>VLOOKUP(bron[[#This Row],[personeelsnr]],'data hastus'!$A:$C,3,0)</f>
        <v>Bilgehan</v>
      </c>
      <c r="E823" t="str">
        <f>VLOOKUP(bron[[#This Row],[personeelsnr]],'data hastus'!A:K,11,FALSE)</f>
        <v>Kenneth De Rick</v>
      </c>
      <c r="F823" s="10">
        <v>45703</v>
      </c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1319</v>
      </c>
      <c r="V823" s="8">
        <v>1</v>
      </c>
      <c r="W823" s="8"/>
      <c r="X823" t="s">
        <v>7</v>
      </c>
      <c r="Y823" t="s">
        <v>106</v>
      </c>
    </row>
    <row r="824" spans="1:25" x14ac:dyDescent="0.3">
      <c r="A824">
        <v>39677</v>
      </c>
      <c r="B824" t="str">
        <f>_xlfn.CONCAT(bron[[#This Row],[personeelsnr]]," ",bron[[#This Row],[achternaam]]," ",bron[[#This Row],[voornaam]])</f>
        <v>39677 Tacq Joey</v>
      </c>
      <c r="C824" t="str">
        <f>VLOOKUP(bron[[#This Row],[personeelsnr]],'data hastus'!$A:$C,2,0)</f>
        <v>Tacq</v>
      </c>
      <c r="D824" t="str">
        <f>VLOOKUP(bron[[#This Row],[personeelsnr]],'data hastus'!$A:$C,3,0)</f>
        <v>Joey</v>
      </c>
      <c r="E824" t="str">
        <f>VLOOKUP(bron[[#This Row],[personeelsnr]],'data hastus'!A:K,11,FALSE)</f>
        <v>Kenneth De Rick</v>
      </c>
      <c r="F824" s="10">
        <v>45754</v>
      </c>
      <c r="G824" s="6"/>
      <c r="H824" s="6"/>
      <c r="I824" s="6"/>
      <c r="J824">
        <v>1</v>
      </c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1320</v>
      </c>
      <c r="V824" s="8">
        <v>1</v>
      </c>
      <c r="W824" s="8"/>
      <c r="X824" t="s">
        <v>7</v>
      </c>
      <c r="Y824" t="s">
        <v>1321</v>
      </c>
    </row>
    <row r="825" spans="1:25" x14ac:dyDescent="0.3">
      <c r="A825">
        <v>35495</v>
      </c>
      <c r="B825" t="str">
        <f>_xlfn.CONCAT(bron[[#This Row],[personeelsnr]]," ",bron[[#This Row],[achternaam]]," ",bron[[#This Row],[voornaam]])</f>
        <v>35495 Razzaz Mahmoud</v>
      </c>
      <c r="C825" t="str">
        <f>VLOOKUP(bron[[#This Row],[personeelsnr]],'data hastus'!$A:$C,2,0)</f>
        <v>Razzaz</v>
      </c>
      <c r="D825" t="str">
        <f>VLOOKUP(bron[[#This Row],[personeelsnr]],'data hastus'!$A:$C,3,0)</f>
        <v>Mahmoud</v>
      </c>
      <c r="E825" t="str">
        <f>VLOOKUP(bron[[#This Row],[personeelsnr]],'data hastus'!A:K,11,FALSE)</f>
        <v>Kenneth De Rick</v>
      </c>
      <c r="F825" s="10">
        <v>45731</v>
      </c>
      <c r="G825" s="6"/>
      <c r="H825" s="6"/>
      <c r="I825" s="6">
        <v>1</v>
      </c>
      <c r="J825"/>
      <c r="K825"/>
      <c r="L825"/>
      <c r="M825"/>
      <c r="N825"/>
      <c r="O825"/>
      <c r="P825"/>
      <c r="Q825"/>
      <c r="R825"/>
      <c r="S825">
        <f>SUM(bron[[#This Row],[Januari]:[December]])</f>
        <v>1</v>
      </c>
      <c r="T825" s="3"/>
      <c r="U825" s="8" t="s">
        <v>1322</v>
      </c>
      <c r="V825" s="8"/>
      <c r="W825" s="8">
        <v>1</v>
      </c>
      <c r="X825" t="s">
        <v>8</v>
      </c>
      <c r="Y825" t="s">
        <v>967</v>
      </c>
    </row>
    <row r="826" spans="1:25" x14ac:dyDescent="0.3">
      <c r="A826">
        <v>10782</v>
      </c>
      <c r="B826" t="str">
        <f>_xlfn.CONCAT(bron[[#This Row],[personeelsnr]]," ",bron[[#This Row],[achternaam]]," ",bron[[#This Row],[voornaam]])</f>
        <v>10782 De Kee Ina</v>
      </c>
      <c r="C826" t="str">
        <f>VLOOKUP(bron[[#This Row],[personeelsnr]],'data hastus'!$A:$C,2,0)</f>
        <v>De Kee</v>
      </c>
      <c r="D826" t="str">
        <f>VLOOKUP(bron[[#This Row],[personeelsnr]],'data hastus'!$A:$C,3,0)</f>
        <v>Ina</v>
      </c>
      <c r="E826" t="str">
        <f>VLOOKUP(bron[[#This Row],[personeelsnr]],'data hastus'!A:K,11,FALSE)</f>
        <v>Kenneth De Rick</v>
      </c>
      <c r="F826" s="10">
        <v>45868</v>
      </c>
      <c r="G826" s="7"/>
      <c r="H826" s="7"/>
      <c r="I826" s="7"/>
      <c r="S826" s="5">
        <v>1</v>
      </c>
      <c r="U826" s="8" t="s">
        <v>1323</v>
      </c>
      <c r="V826" s="24"/>
      <c r="W826" s="24">
        <v>1</v>
      </c>
      <c r="X826" t="s">
        <v>8</v>
      </c>
      <c r="Y826" t="s">
        <v>1324</v>
      </c>
    </row>
    <row r="827" spans="1:25" x14ac:dyDescent="0.3">
      <c r="A827">
        <v>21581</v>
      </c>
      <c r="B827" t="str">
        <f>_xlfn.CONCAT(bron[[#This Row],[personeelsnr]]," ",bron[[#This Row],[achternaam]]," ",bron[[#This Row],[voornaam]])</f>
        <v>21581 Vanderstraeten Franky</v>
      </c>
      <c r="C827" t="str">
        <f>VLOOKUP(bron[[#This Row],[personeelsnr]],'data hastus'!$A:$C,2,0)</f>
        <v>Vanderstraeten</v>
      </c>
      <c r="D827" t="str">
        <f>VLOOKUP(bron[[#This Row],[personeelsnr]],'data hastus'!$A:$C,3,0)</f>
        <v>Franky</v>
      </c>
      <c r="E827" t="str">
        <f>VLOOKUP(bron[[#This Row],[personeelsnr]],'data hastus'!A:K,11,FALSE)</f>
        <v>Lucie Vande Velde</v>
      </c>
      <c r="F827" s="10">
        <v>45678</v>
      </c>
      <c r="G827" s="6">
        <v>1</v>
      </c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1325</v>
      </c>
      <c r="V827" s="8">
        <v>1</v>
      </c>
      <c r="W827" s="8"/>
      <c r="X827" t="s">
        <v>7</v>
      </c>
      <c r="Y827" t="s">
        <v>1326</v>
      </c>
    </row>
    <row r="828" spans="1:25" x14ac:dyDescent="0.3">
      <c r="A828">
        <v>39633</v>
      </c>
      <c r="B828" t="str">
        <f>_xlfn.CONCAT(bron[[#This Row],[personeelsnr]]," ",bron[[#This Row],[achternaam]]," ",bron[[#This Row],[voornaam]])</f>
        <v>39633 Duyck Kimberly</v>
      </c>
      <c r="C828" t="str">
        <f>VLOOKUP(bron[[#This Row],[personeelsnr]],'data hastus'!$A:$C,2,0)</f>
        <v>Duyck</v>
      </c>
      <c r="D828" t="str">
        <f>VLOOKUP(bron[[#This Row],[personeelsnr]],'data hastus'!$A:$C,3,0)</f>
        <v>Kimberly</v>
      </c>
      <c r="E828" t="str">
        <f>VLOOKUP(bron[[#This Row],[personeelsnr]],'data hastus'!A:K,11,FALSE)</f>
        <v>Lucie Vande Velde</v>
      </c>
      <c r="F828" s="10">
        <v>45782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1327</v>
      </c>
      <c r="V828" s="8">
        <v>1</v>
      </c>
      <c r="W828" s="8"/>
      <c r="X828" t="s">
        <v>7</v>
      </c>
      <c r="Y828" t="s">
        <v>489</v>
      </c>
    </row>
    <row r="829" spans="1:25" x14ac:dyDescent="0.3">
      <c r="A829">
        <v>28737</v>
      </c>
      <c r="B829" t="str">
        <f>_xlfn.CONCAT(bron[[#This Row],[personeelsnr]]," ",bron[[#This Row],[achternaam]]," ",bron[[#This Row],[voornaam]])</f>
        <v>28737 El-Mohamed Mohamed</v>
      </c>
      <c r="C829" t="str">
        <f>VLOOKUP(bron[[#This Row],[personeelsnr]],'data hastus'!$A:$C,2,0)</f>
        <v>El-Mohamed</v>
      </c>
      <c r="D829" t="str">
        <f>VLOOKUP(bron[[#This Row],[personeelsnr]],'data hastus'!$A:$C,3,0)</f>
        <v>Mohamed</v>
      </c>
      <c r="E829" t="str">
        <f>VLOOKUP(bron[[#This Row],[personeelsnr]],'data hastus'!A:K,11,FALSE)</f>
        <v>Lucie Vande Velde</v>
      </c>
      <c r="F829" s="10">
        <v>45715</v>
      </c>
      <c r="G829" s="6"/>
      <c r="H829" s="6">
        <v>1</v>
      </c>
      <c r="I829" s="6"/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1328</v>
      </c>
      <c r="V829" s="8"/>
      <c r="W829" s="8">
        <v>1</v>
      </c>
      <c r="X829" t="s">
        <v>8</v>
      </c>
      <c r="Y829" t="s">
        <v>668</v>
      </c>
    </row>
    <row r="830" spans="1:25" x14ac:dyDescent="0.3">
      <c r="A830">
        <v>19249</v>
      </c>
      <c r="B830" t="str">
        <f>_xlfn.CONCAT(bron[[#This Row],[personeelsnr]]," ",bron[[#This Row],[achternaam]]," ",bron[[#This Row],[voornaam]])</f>
        <v>19249 Odaci Kadir</v>
      </c>
      <c r="C830" t="str">
        <f>VLOOKUP(bron[[#This Row],[personeelsnr]],'data hastus'!$A:$C,2,0)</f>
        <v>Odaci</v>
      </c>
      <c r="D830" t="str">
        <f>VLOOKUP(bron[[#This Row],[personeelsnr]],'data hastus'!$A:$C,3,0)</f>
        <v>Kadir</v>
      </c>
      <c r="E830" t="str">
        <f>VLOOKUP(bron[[#This Row],[personeelsnr]],'data hastus'!A:K,11,FALSE)</f>
        <v>Lucie Vande Velde</v>
      </c>
      <c r="F830" s="10">
        <v>45674</v>
      </c>
      <c r="G830" s="6">
        <v>1</v>
      </c>
      <c r="H830" s="6"/>
      <c r="I830" s="6"/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1329</v>
      </c>
      <c r="V830" s="8"/>
      <c r="W830" s="8">
        <v>1</v>
      </c>
      <c r="X830" t="s">
        <v>8</v>
      </c>
      <c r="Y830" t="s">
        <v>580</v>
      </c>
    </row>
    <row r="831" spans="1:25" x14ac:dyDescent="0.3">
      <c r="A831">
        <v>35588</v>
      </c>
      <c r="B831" t="str">
        <f>_xlfn.CONCAT(bron[[#This Row],[personeelsnr]]," ",bron[[#This Row],[achternaam]]," ",bron[[#This Row],[voornaam]])</f>
        <v>35588 Smesman Glenn</v>
      </c>
      <c r="C831" t="str">
        <f>VLOOKUP(bron[[#This Row],[personeelsnr]],'data hastus'!$A:$C,2,0)</f>
        <v>Smesman</v>
      </c>
      <c r="D831" t="str">
        <f>VLOOKUP(bron[[#This Row],[personeelsnr]],'data hastus'!$A:$C,3,0)</f>
        <v>Glenn</v>
      </c>
      <c r="E831" t="str">
        <f>VLOOKUP(bron[[#This Row],[personeelsnr]],'data hastus'!A:K,11,FALSE)</f>
        <v>Lucie Vande Velde</v>
      </c>
      <c r="F831" s="10">
        <v>45675</v>
      </c>
      <c r="G831" s="6">
        <v>1</v>
      </c>
      <c r="H831" s="6"/>
      <c r="I831" s="6"/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1330</v>
      </c>
      <c r="V831" s="8"/>
      <c r="W831" s="8">
        <v>1</v>
      </c>
      <c r="X831" t="s">
        <v>8</v>
      </c>
      <c r="Y831" t="s">
        <v>72</v>
      </c>
    </row>
    <row r="832" spans="1:25" x14ac:dyDescent="0.3">
      <c r="A832">
        <v>14625</v>
      </c>
      <c r="B832" t="str">
        <f>_xlfn.CONCAT(bron[[#This Row],[personeelsnr]]," ",bron[[#This Row],[achternaam]]," ",bron[[#This Row],[voornaam]])</f>
        <v>14625 Rodrigue Vincent</v>
      </c>
      <c r="C832" t="str">
        <f>VLOOKUP(bron[[#This Row],[personeelsnr]],'data hastus'!$A:$C,2,0)</f>
        <v>Rodrigue</v>
      </c>
      <c r="D832" t="str">
        <f>VLOOKUP(bron[[#This Row],[personeelsnr]],'data hastus'!$A:$C,3,0)</f>
        <v>Vincent</v>
      </c>
      <c r="E832" t="str">
        <f>VLOOKUP(bron[[#This Row],[personeelsnr]],'data hastus'!A:K,11,FALSE)</f>
        <v>Lucie Vande Velde</v>
      </c>
      <c r="F832" s="10">
        <v>45828</v>
      </c>
      <c r="G832" s="7"/>
      <c r="H832" s="7"/>
      <c r="I832" s="7"/>
      <c r="L832" s="5">
        <v>1</v>
      </c>
      <c r="S832" s="5">
        <f>SUM(bron[[#This Row],[Januari]:[December]])</f>
        <v>1</v>
      </c>
      <c r="U832" s="8" t="s">
        <v>1331</v>
      </c>
      <c r="V832" s="24">
        <v>1</v>
      </c>
      <c r="W832" s="24"/>
      <c r="X832" t="s">
        <v>7</v>
      </c>
      <c r="Y832" t="s">
        <v>427</v>
      </c>
    </row>
    <row r="833" spans="1:25" x14ac:dyDescent="0.3">
      <c r="A833">
        <v>11120</v>
      </c>
      <c r="B833" t="str">
        <f>_xlfn.CONCAT(bron[[#This Row],[personeelsnr]]," ",bron[[#This Row],[achternaam]]," ",bron[[#This Row],[voornaam]])</f>
        <v>11120 De Vrieze Ludo</v>
      </c>
      <c r="C833" t="str">
        <f>VLOOKUP(bron[[#This Row],[personeelsnr]],'data hastus'!$A:$C,2,0)</f>
        <v>De Vrieze</v>
      </c>
      <c r="D833" t="str">
        <f>VLOOKUP(bron[[#This Row],[personeelsnr]],'data hastus'!$A:$C,3,0)</f>
        <v>Ludo</v>
      </c>
      <c r="E833" t="str">
        <f>VLOOKUP(bron[[#This Row],[personeelsnr]],'data hastus'!A:K,11,FALSE)</f>
        <v>Lucie Vande Velde</v>
      </c>
      <c r="F833" s="10">
        <v>45735</v>
      </c>
      <c r="G833" s="6"/>
      <c r="H833" s="6"/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0</v>
      </c>
      <c r="T833" s="3"/>
      <c r="U833" s="8" t="s">
        <v>1332</v>
      </c>
      <c r="V833" s="8"/>
      <c r="W833" s="8">
        <v>1</v>
      </c>
      <c r="X833" t="s">
        <v>8</v>
      </c>
      <c r="Y833" t="s">
        <v>1333</v>
      </c>
    </row>
    <row r="834" spans="1:25" x14ac:dyDescent="0.3">
      <c r="A834">
        <v>4419</v>
      </c>
      <c r="B834" t="str">
        <f>_xlfn.CONCAT(bron[[#This Row],[personeelsnr]]," ",bron[[#This Row],[achternaam]]," ",bron[[#This Row],[voornaam]])</f>
        <v>4419 Maelbrancke Eddy</v>
      </c>
      <c r="C834" t="str">
        <f>VLOOKUP(bron[[#This Row],[personeelsnr]],'data hastus'!$A:$C,2,0)</f>
        <v>Maelbrancke</v>
      </c>
      <c r="D834" t="str">
        <f>VLOOKUP(bron[[#This Row],[personeelsnr]],'data hastus'!$A:$C,3,0)</f>
        <v>Eddy</v>
      </c>
      <c r="E834" t="str">
        <f>VLOOKUP(bron[[#This Row],[personeelsnr]],'data hastus'!A:K,11,FALSE)</f>
        <v>Lucie Vande Velde</v>
      </c>
      <c r="F834" s="10">
        <v>45841</v>
      </c>
      <c r="G834" s="7"/>
      <c r="H834" s="7"/>
      <c r="I834" s="7"/>
      <c r="M834" s="5">
        <v>1</v>
      </c>
      <c r="S834" s="5">
        <f>SUM(bron[[#This Row],[Januari]:[December]])</f>
        <v>1</v>
      </c>
      <c r="U834" s="8" t="s">
        <v>1334</v>
      </c>
      <c r="V834" s="24">
        <v>1</v>
      </c>
      <c r="W834" s="24"/>
      <c r="X834" t="s">
        <v>7</v>
      </c>
      <c r="Y834" t="s">
        <v>1335</v>
      </c>
    </row>
    <row r="835" spans="1:25" x14ac:dyDescent="0.3">
      <c r="A835">
        <v>36021</v>
      </c>
      <c r="B835" t="str">
        <f>_xlfn.CONCAT(bron[[#This Row],[personeelsnr]]," ",bron[[#This Row],[achternaam]]," ",bron[[#This Row],[voornaam]])</f>
        <v>36021 Boelaert Frederik</v>
      </c>
      <c r="C835" t="str">
        <f>VLOOKUP(bron[[#This Row],[personeelsnr]],'data hastus'!$A:$C,2,0)</f>
        <v>Boelaert</v>
      </c>
      <c r="D835" t="str">
        <f>VLOOKUP(bron[[#This Row],[personeelsnr]],'data hastus'!$A:$C,3,0)</f>
        <v>Frederik</v>
      </c>
      <c r="E835" t="str">
        <f>VLOOKUP(bron[[#This Row],[personeelsnr]],'data hastus'!A:K,11,FALSE)</f>
        <v>Lucie Vande Velde</v>
      </c>
      <c r="F835" s="10">
        <v>45874</v>
      </c>
      <c r="G835" s="7"/>
      <c r="H835" s="7"/>
      <c r="I835" s="7"/>
      <c r="N835" s="5">
        <v>1</v>
      </c>
      <c r="S835" s="5">
        <f>SUM(bron[[#This Row],[Januari]:[December]])</f>
        <v>1</v>
      </c>
      <c r="U835" s="24" t="s">
        <v>1336</v>
      </c>
      <c r="V835" s="24">
        <v>1</v>
      </c>
      <c r="W835" s="24"/>
      <c r="X835" t="s">
        <v>7</v>
      </c>
      <c r="Y835" t="s">
        <v>51</v>
      </c>
    </row>
    <row r="836" spans="1:25" x14ac:dyDescent="0.3">
      <c r="A836">
        <v>35490</v>
      </c>
      <c r="B836" t="str">
        <f>_xlfn.CONCAT(bron[[#This Row],[personeelsnr]]," ",bron[[#This Row],[achternaam]]," ",bron[[#This Row],[voornaam]])</f>
        <v>35490 Nguetto Brisco Romeo</v>
      </c>
      <c r="C836" t="str">
        <f>VLOOKUP(bron[[#This Row],[personeelsnr]],'data hastus'!$A:$C,2,0)</f>
        <v>Nguetto</v>
      </c>
      <c r="D836" t="str">
        <f>VLOOKUP(bron[[#This Row],[personeelsnr]],'data hastus'!$A:$C,3,0)</f>
        <v>Brisco Romeo</v>
      </c>
      <c r="E836" t="str">
        <f>VLOOKUP(bron[[#This Row],[personeelsnr]],'data hastus'!A:K,11,FALSE)</f>
        <v>Steven Storm</v>
      </c>
      <c r="F836" s="10">
        <v>45706</v>
      </c>
      <c r="G836" s="6"/>
      <c r="H836" s="6">
        <v>1</v>
      </c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1337</v>
      </c>
      <c r="V836" s="8">
        <v>1</v>
      </c>
      <c r="W836" s="8"/>
      <c r="X836" t="s">
        <v>7</v>
      </c>
      <c r="Y836" t="s">
        <v>219</v>
      </c>
    </row>
    <row r="837" spans="1:25" x14ac:dyDescent="0.3">
      <c r="A837">
        <v>32002</v>
      </c>
      <c r="B837" t="str">
        <f>_xlfn.CONCAT(bron[[#This Row],[personeelsnr]]," ",bron[[#This Row],[achternaam]]," ",bron[[#This Row],[voornaam]])</f>
        <v>32002 Hasni Helmi</v>
      </c>
      <c r="C837" t="str">
        <f>VLOOKUP(bron[[#This Row],[personeelsnr]],'data hastus'!$A:$C,2,0)</f>
        <v>Hasni</v>
      </c>
      <c r="D837" t="str">
        <f>VLOOKUP(bron[[#This Row],[personeelsnr]],'data hastus'!$A:$C,3,0)</f>
        <v>Helmi</v>
      </c>
      <c r="E837" t="str">
        <f>VLOOKUP(bron[[#This Row],[personeelsnr]],'data hastus'!A:K,11,FALSE)</f>
        <v>Steven Storm</v>
      </c>
      <c r="F837" s="10">
        <v>45773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1338</v>
      </c>
      <c r="V837" s="8"/>
      <c r="W837" s="8">
        <v>1</v>
      </c>
      <c r="X837" t="s">
        <v>8</v>
      </c>
      <c r="Y837" t="s">
        <v>5</v>
      </c>
    </row>
    <row r="838" spans="1:25" x14ac:dyDescent="0.3">
      <c r="A838">
        <v>25829</v>
      </c>
      <c r="B838" t="str">
        <f>_xlfn.CONCAT(bron[[#This Row],[personeelsnr]]," ",bron[[#This Row],[achternaam]]," ",bron[[#This Row],[voornaam]])</f>
        <v>25829 Kayim Akin</v>
      </c>
      <c r="C838" t="str">
        <f>VLOOKUP(bron[[#This Row],[personeelsnr]],'data hastus'!$A:$C,2,0)</f>
        <v>Kayim</v>
      </c>
      <c r="D838" t="str">
        <f>VLOOKUP(bron[[#This Row],[personeelsnr]],'data hastus'!$A:$C,3,0)</f>
        <v>Akin</v>
      </c>
      <c r="E838" t="str">
        <f>VLOOKUP(bron[[#This Row],[personeelsnr]],'data hastus'!A:K,11,FALSE)</f>
        <v>Steven Storm</v>
      </c>
      <c r="F838" s="10">
        <v>45891</v>
      </c>
      <c r="G838" s="7"/>
      <c r="H838" s="7"/>
      <c r="I838" s="7"/>
      <c r="N838" s="5">
        <v>1</v>
      </c>
      <c r="S838" s="5">
        <f>SUM(bron[[#This Row],[Januari]:[December]])</f>
        <v>1</v>
      </c>
      <c r="U838" s="5" t="s">
        <v>1339</v>
      </c>
      <c r="V838" s="24"/>
      <c r="W838" s="24">
        <v>1</v>
      </c>
      <c r="X838" t="s">
        <v>8</v>
      </c>
      <c r="Y838" t="s">
        <v>967</v>
      </c>
    </row>
    <row r="839" spans="1:25" x14ac:dyDescent="0.3">
      <c r="A839">
        <v>41874</v>
      </c>
      <c r="B839" t="str">
        <f>_xlfn.CONCAT(bron[[#This Row],[personeelsnr]]," ",bron[[#This Row],[achternaam]]," ",bron[[#This Row],[voornaam]])</f>
        <v>41874 Dobbeleire Bruno</v>
      </c>
      <c r="C839" t="str">
        <f>VLOOKUP(bron[[#This Row],[personeelsnr]],'data hastus'!$A:$C,2,0)</f>
        <v>Dobbeleire</v>
      </c>
      <c r="D839" t="str">
        <f>VLOOKUP(bron[[#This Row],[personeelsnr]],'data hastus'!$A:$C,3,0)</f>
        <v>Bruno</v>
      </c>
      <c r="E839" t="str">
        <f>VLOOKUP(bron[[#This Row],[personeelsnr]],'data hastus'!A:K,11,FALSE)</f>
        <v>Dominique De Clercq</v>
      </c>
      <c r="F839" s="10"/>
      <c r="G839" s="7"/>
      <c r="H839" s="7"/>
      <c r="I839" s="7"/>
      <c r="O839" s="5">
        <v>1</v>
      </c>
      <c r="S839" s="5">
        <f>SUM(bron[[#This Row],[Januari]:[December]])</f>
        <v>1</v>
      </c>
      <c r="T839" s="9">
        <v>45901</v>
      </c>
      <c r="U839" s="5" t="s">
        <v>1340</v>
      </c>
      <c r="V839" s="24">
        <v>1</v>
      </c>
      <c r="W839" s="24"/>
      <c r="X839" t="s">
        <v>7</v>
      </c>
      <c r="Y839" t="s">
        <v>1341</v>
      </c>
    </row>
    <row r="840" spans="1:25" x14ac:dyDescent="0.3">
      <c r="A840">
        <v>39528</v>
      </c>
      <c r="B840" t="str">
        <f>_xlfn.CONCAT(bron[[#This Row],[personeelsnr]]," ",bron[[#This Row],[achternaam]]," ",bron[[#This Row],[voornaam]])</f>
        <v>39528 Mihaylov Plamen</v>
      </c>
      <c r="C840" t="str">
        <f>VLOOKUP(bron[[#This Row],[personeelsnr]],'data hastus'!$A:$C,2,0)</f>
        <v>Mihaylov</v>
      </c>
      <c r="D840" t="str">
        <f>VLOOKUP(bron[[#This Row],[personeelsnr]],'data hastus'!$A:$C,3,0)</f>
        <v>Plamen</v>
      </c>
      <c r="E840" t="str">
        <f>VLOOKUP(bron[[#This Row],[personeelsnr]],'data hastus'!A:K,11,FALSE)</f>
        <v>Christoff Rotty</v>
      </c>
      <c r="F840" s="10"/>
      <c r="G840" s="7"/>
      <c r="H840" s="7"/>
      <c r="I840" s="7"/>
      <c r="O840" s="5">
        <v>1</v>
      </c>
      <c r="S840" s="5">
        <f>SUM(bron[[#This Row],[Januari]:[December]])</f>
        <v>1</v>
      </c>
      <c r="T840" s="9">
        <v>45902</v>
      </c>
      <c r="U840" s="5" t="s">
        <v>1342</v>
      </c>
      <c r="V840" s="24">
        <v>1</v>
      </c>
      <c r="W840" s="24"/>
      <c r="X840" t="s">
        <v>7</v>
      </c>
      <c r="Y840" t="s">
        <v>399</v>
      </c>
    </row>
    <row r="841" spans="1:25" x14ac:dyDescent="0.3">
      <c r="A841">
        <v>20656</v>
      </c>
      <c r="B841" t="str">
        <f>_xlfn.CONCAT(bron[[#This Row],[personeelsnr]]," ",bron[[#This Row],[achternaam]]," ",bron[[#This Row],[voornaam]])</f>
        <v>20656 Vonck Bart</v>
      </c>
      <c r="C841" t="str">
        <f>VLOOKUP(bron[[#This Row],[personeelsnr]],'data hastus'!$A:$C,2,0)</f>
        <v>Vonck</v>
      </c>
      <c r="D841" t="str">
        <f>VLOOKUP(bron[[#This Row],[personeelsnr]],'data hastus'!$A:$C,3,0)</f>
        <v>Bart</v>
      </c>
      <c r="E841" t="str">
        <f>VLOOKUP(bron[[#This Row],[personeelsnr]],'data hastus'!A:K,11,FALSE)</f>
        <v>Els Vanhoe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45903</v>
      </c>
      <c r="U841" s="5" t="s">
        <v>3530</v>
      </c>
      <c r="V841" s="24">
        <v>1</v>
      </c>
      <c r="W841" s="24"/>
      <c r="X841" t="s">
        <v>7</v>
      </c>
      <c r="Y841" t="s">
        <v>3531</v>
      </c>
    </row>
    <row r="842" spans="1:25" x14ac:dyDescent="0.3">
      <c r="A842">
        <v>33085</v>
      </c>
      <c r="B842" t="str">
        <f>_xlfn.CONCAT(bron[[#This Row],[personeelsnr]]," ",bron[[#This Row],[achternaam]]," ",bron[[#This Row],[voornaam]])</f>
        <v>33085 Van Hoe Ivo</v>
      </c>
      <c r="C842" t="str">
        <f>VLOOKUP(bron[[#This Row],[personeelsnr]],'data hastus'!$A:$C,2,0)</f>
        <v>Van Hoe</v>
      </c>
      <c r="D842" t="str">
        <f>VLOOKUP(bron[[#This Row],[personeelsnr]],'data hastus'!$A:$C,3,0)</f>
        <v>Ivo</v>
      </c>
      <c r="E842" t="str">
        <f>VLOOKUP(bron[[#This Row],[personeelsnr]],'data hastus'!A:K,11,FALSE)</f>
        <v>Kenneth De Rick</v>
      </c>
      <c r="F842" s="10"/>
      <c r="G842" s="7"/>
      <c r="H842" s="7"/>
      <c r="I842" s="7"/>
      <c r="O842" s="5">
        <v>1</v>
      </c>
      <c r="S842" s="5">
        <f>SUM(bron[[#This Row],[Januari]:[December]])</f>
        <v>1</v>
      </c>
      <c r="T842" s="9">
        <v>45904</v>
      </c>
      <c r="U842" s="5" t="s">
        <v>3532</v>
      </c>
      <c r="V842" s="24"/>
      <c r="W842" s="24">
        <v>1</v>
      </c>
      <c r="X842" t="s">
        <v>8</v>
      </c>
      <c r="Y842" t="s">
        <v>5</v>
      </c>
    </row>
    <row r="843" spans="1:25" x14ac:dyDescent="0.3">
      <c r="A843">
        <v>27153</v>
      </c>
      <c r="B843" t="str">
        <f>_xlfn.CONCAT(bron[[#This Row],[personeelsnr]]," ",bron[[#This Row],[achternaam]]," ",bron[[#This Row],[voornaam]])</f>
        <v>27153 Oben Thibaud</v>
      </c>
      <c r="C843" t="str">
        <f>VLOOKUP(bron[[#This Row],[personeelsnr]],'data hastus'!$A:$C,2,0)</f>
        <v>Oben</v>
      </c>
      <c r="D843" t="str">
        <f>VLOOKUP(bron[[#This Row],[personeelsnr]],'data hastus'!$A:$C,3,0)</f>
        <v>Thibaud</v>
      </c>
      <c r="E843" t="str">
        <f>VLOOKUP(bron[[#This Row],[personeelsnr]],'data hastus'!A:K,11,FALSE)</f>
        <v>Christoff Rotty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45902</v>
      </c>
      <c r="U843" s="5" t="s">
        <v>3533</v>
      </c>
      <c r="V843" s="24">
        <v>1</v>
      </c>
      <c r="W843" s="24"/>
      <c r="X843" t="s">
        <v>7</v>
      </c>
      <c r="Y843" t="s">
        <v>100</v>
      </c>
    </row>
    <row r="844" spans="1:25" x14ac:dyDescent="0.3">
      <c r="A844">
        <v>40938</v>
      </c>
      <c r="B844" t="str">
        <f>_xlfn.CONCAT(bron[[#This Row],[personeelsnr]]," ",bron[[#This Row],[achternaam]]," ",bron[[#This Row],[voornaam]])</f>
        <v>40938 Hasnaoui Nejmeddine</v>
      </c>
      <c r="C844" t="str">
        <f>VLOOKUP(bron[[#This Row],[personeelsnr]],'data hastus'!$A:$C,2,0)</f>
        <v>Hasnaoui</v>
      </c>
      <c r="D844" t="str">
        <f>VLOOKUP(bron[[#This Row],[personeelsnr]],'data hastus'!$A:$C,3,0)</f>
        <v>Nejmeddine</v>
      </c>
      <c r="E844" t="str">
        <f>VLOOKUP(bron[[#This Row],[personeelsnr]],'data hastus'!A:K,11,FALSE)</f>
        <v>Dominique De Clercq</v>
      </c>
      <c r="F844" s="10">
        <v>45902</v>
      </c>
      <c r="G844" s="7"/>
      <c r="H844" s="7"/>
      <c r="I844" s="7"/>
      <c r="O844" s="5">
        <v>1</v>
      </c>
      <c r="S844" s="5">
        <f>SUM(bron[[#This Row],[Januari]:[December]])</f>
        <v>1</v>
      </c>
      <c r="U844" s="5" t="s">
        <v>3533</v>
      </c>
      <c r="V844" s="24">
        <v>1</v>
      </c>
      <c r="W844" s="24"/>
      <c r="X844" t="s">
        <v>7</v>
      </c>
      <c r="Y844" t="s">
        <v>100</v>
      </c>
    </row>
    <row r="845" spans="1:25" x14ac:dyDescent="0.3">
      <c r="B845" t="e">
        <f>_xlfn.CONCAT(bron[[#This Row],[personeelsnr]]," ",bron[[#This Row],[achternaam]]," ",bron[[#This Row],[voornaam]])</f>
        <v>#N/A</v>
      </c>
      <c r="C845" t="e">
        <f>VLOOKUP(bron[[#This Row],[personeelsnr]],'data hastus'!$A:$C,2,0)</f>
        <v>#N/A</v>
      </c>
      <c r="D845" t="e">
        <f>VLOOKUP(bron[[#This Row],[personeelsnr]],'data hastus'!$A:$C,3,0)</f>
        <v>#N/A</v>
      </c>
      <c r="E845" t="e">
        <f>VLOOKUP(bron[[#This Row],[personeelsnr]],'data hastus'!A:K,11,FALSE)</f>
        <v>#N/A</v>
      </c>
      <c r="F845" s="10"/>
      <c r="G845" s="7"/>
      <c r="H845" s="7"/>
      <c r="I845" s="7"/>
      <c r="S845" s="5">
        <f>SUM(bron[[#This Row],[Januari]:[December]])</f>
        <v>0</v>
      </c>
      <c r="V845" s="24"/>
      <c r="W845" s="24"/>
    </row>
    <row r="846" spans="1:25" x14ac:dyDescent="0.3">
      <c r="B846" t="e">
        <f>_xlfn.CONCAT(bron[[#This Row],[personeelsnr]]," ",bron[[#This Row],[achternaam]]," ",bron[[#This Row],[voornaam]])</f>
        <v>#N/A</v>
      </c>
      <c r="C846" t="e">
        <f>VLOOKUP(bron[[#This Row],[personeelsnr]],'data hastus'!$A:$C,2,0)</f>
        <v>#N/A</v>
      </c>
      <c r="D846" t="e">
        <f>VLOOKUP(bron[[#This Row],[personeelsnr]],'data hastus'!$A:$C,3,0)</f>
        <v>#N/A</v>
      </c>
      <c r="E846" t="e">
        <f>VLOOKUP(bron[[#This Row],[personeelsnr]],'data hastus'!A:K,11,FALSE)</f>
        <v>#N/A</v>
      </c>
      <c r="F846" s="10"/>
      <c r="G846" s="7"/>
      <c r="H846" s="7"/>
      <c r="I846" s="7"/>
      <c r="S846" s="5">
        <f>SUM(bron[[#This Row],[Januari]:[December]])</f>
        <v>0</v>
      </c>
      <c r="V846" s="24"/>
      <c r="W846" s="24"/>
    </row>
    <row r="847" spans="1:25" x14ac:dyDescent="0.3">
      <c r="B847" t="e">
        <f>_xlfn.CONCAT(bron[[#This Row],[personeelsnr]]," ",bron[[#This Row],[achternaam]]," ",bron[[#This Row],[voornaam]])</f>
        <v>#N/A</v>
      </c>
      <c r="C847" t="e">
        <f>VLOOKUP(bron[[#This Row],[personeelsnr]],'data hastus'!$A:$C,2,0)</f>
        <v>#N/A</v>
      </c>
      <c r="D847" t="e">
        <f>VLOOKUP(bron[[#This Row],[personeelsnr]],'data hastus'!$A:$C,3,0)</f>
        <v>#N/A</v>
      </c>
      <c r="E847" t="e">
        <f>VLOOKUP(bron[[#This Row],[personeelsnr]],'data hastus'!A:K,11,FALSE)</f>
        <v>#N/A</v>
      </c>
      <c r="F847" s="10"/>
      <c r="G847" s="7"/>
      <c r="H847" s="7"/>
      <c r="I847" s="7"/>
      <c r="S847" s="5">
        <f>SUM(bron[[#This Row],[Januari]:[December]])</f>
        <v>0</v>
      </c>
      <c r="V847" s="24"/>
      <c r="W847" s="24"/>
    </row>
    <row r="848" spans="1:25" x14ac:dyDescent="0.3">
      <c r="B848" t="e">
        <f>_xlfn.CONCAT(bron[[#This Row],[personeelsnr]]," ",bron[[#This Row],[achternaam]]," ",bron[[#This Row],[voornaam]])</f>
        <v>#N/A</v>
      </c>
      <c r="C848" t="e">
        <f>VLOOKUP(bron[[#This Row],[personeelsnr]],'data hastus'!$A:$C,2,0)</f>
        <v>#N/A</v>
      </c>
      <c r="D848" t="e">
        <f>VLOOKUP(bron[[#This Row],[personeelsnr]],'data hastus'!$A:$C,3,0)</f>
        <v>#N/A</v>
      </c>
      <c r="E848" t="e">
        <f>VLOOKUP(bron[[#This Row],[personeelsnr]],'data hastus'!A:K,11,FALSE)</f>
        <v>#N/A</v>
      </c>
      <c r="F848" s="10"/>
      <c r="G848" s="7"/>
      <c r="H848" s="7"/>
      <c r="I848" s="7"/>
      <c r="S848" s="5">
        <f>SUM(bron[[#This Row],[Januari]:[December]])</f>
        <v>0</v>
      </c>
      <c r="V848" s="24"/>
      <c r="W848" s="24"/>
    </row>
    <row r="849" spans="2:23" x14ac:dyDescent="0.3">
      <c r="B849" t="e">
        <f>_xlfn.CONCAT(bron[[#This Row],[personeelsnr]]," ",bron[[#This Row],[achternaam]]," ",bron[[#This Row],[voornaam]])</f>
        <v>#N/A</v>
      </c>
      <c r="C849" t="e">
        <f>VLOOKUP(bron[[#This Row],[personeelsnr]],'data hastus'!$A:$C,2,0)</f>
        <v>#N/A</v>
      </c>
      <c r="D849" t="e">
        <f>VLOOKUP(bron[[#This Row],[personeelsnr]],'data hastus'!$A:$C,3,0)</f>
        <v>#N/A</v>
      </c>
      <c r="E849" t="e">
        <f>VLOOKUP(bron[[#This Row],[personeelsnr]],'data hastus'!A:K,11,FALSE)</f>
        <v>#N/A</v>
      </c>
      <c r="F849" s="10"/>
      <c r="G849" s="7"/>
      <c r="H849" s="7"/>
      <c r="I849" s="7"/>
      <c r="S849" s="5">
        <f>SUM(bron[[#This Row],[Januari]:[December]])</f>
        <v>0</v>
      </c>
      <c r="V849" s="24"/>
      <c r="W849" s="24"/>
    </row>
    <row r="850" spans="2:23" x14ac:dyDescent="0.3">
      <c r="B850" t="e">
        <f>_xlfn.CONCAT(bron[[#This Row],[personeelsnr]]," ",bron[[#This Row],[achternaam]]," ",bron[[#This Row],[voornaam]])</f>
        <v>#N/A</v>
      </c>
      <c r="C850" t="e">
        <f>VLOOKUP(bron[[#This Row],[personeelsnr]],'data hastus'!$A:$C,2,0)</f>
        <v>#N/A</v>
      </c>
      <c r="D850" t="e">
        <f>VLOOKUP(bron[[#This Row],[personeelsnr]],'data hastus'!$A:$C,3,0)</f>
        <v>#N/A</v>
      </c>
      <c r="E850" t="e">
        <f>VLOOKUP(bron[[#This Row],[personeelsnr]],'data hastus'!A:K,11,FALSE)</f>
        <v>#N/A</v>
      </c>
      <c r="F850" s="10"/>
      <c r="G850" s="7"/>
      <c r="H850" s="7"/>
      <c r="I850" s="7"/>
      <c r="S850" s="5">
        <f>SUM(bron[[#This Row],[Januari]:[December]])</f>
        <v>0</v>
      </c>
      <c r="V850" s="24"/>
      <c r="W850" s="24"/>
    </row>
    <row r="851" spans="2:23" x14ac:dyDescent="0.3">
      <c r="B851" t="e">
        <f>_xlfn.CONCAT(bron[[#This Row],[personeelsnr]]," ",bron[[#This Row],[achternaam]]," ",bron[[#This Row],[voornaam]])</f>
        <v>#N/A</v>
      </c>
      <c r="C851" t="e">
        <f>VLOOKUP(bron[[#This Row],[personeelsnr]],'data hastus'!$A:$C,2,0)</f>
        <v>#N/A</v>
      </c>
      <c r="D851" t="e">
        <f>VLOOKUP(bron[[#This Row],[personeelsnr]],'data hastus'!$A:$C,3,0)</f>
        <v>#N/A</v>
      </c>
      <c r="E851" t="e">
        <f>VLOOKUP(bron[[#This Row],[personeelsnr]],'data hastus'!A:K,11,FALSE)</f>
        <v>#N/A</v>
      </c>
      <c r="F851" s="10"/>
      <c r="G851" s="7"/>
      <c r="H851" s="7"/>
      <c r="I851" s="7"/>
      <c r="S851" s="5">
        <f>SUM(bron[[#This Row],[Januari]:[December]])</f>
        <v>0</v>
      </c>
      <c r="V851" s="24"/>
      <c r="W851" s="24"/>
    </row>
    <row r="852" spans="2:23" x14ac:dyDescent="0.3">
      <c r="B852" t="e">
        <f>_xlfn.CONCAT(bron[[#This Row],[personeelsnr]]," ",bron[[#This Row],[achternaam]]," ",bron[[#This Row],[voornaam]])</f>
        <v>#N/A</v>
      </c>
      <c r="C852" t="e">
        <f>VLOOKUP(bron[[#This Row],[personeelsnr]],'data hastus'!$A:$C,2,0)</f>
        <v>#N/A</v>
      </c>
      <c r="D852" t="e">
        <f>VLOOKUP(bron[[#This Row],[personeelsnr]],'data hastus'!$A:$C,3,0)</f>
        <v>#N/A</v>
      </c>
      <c r="E852" t="e">
        <f>VLOOKUP(bron[[#This Row],[personeelsnr]],'data hastus'!A:K,11,FALSE)</f>
        <v>#N/A</v>
      </c>
      <c r="F852" s="10"/>
      <c r="G852" s="7"/>
      <c r="H852" s="7"/>
      <c r="I852" s="7"/>
      <c r="S852" s="5">
        <f>SUM(bron[[#This Row],[Januari]:[December]])</f>
        <v>0</v>
      </c>
      <c r="V852" s="24"/>
      <c r="W852" s="24"/>
    </row>
    <row r="853" spans="2:23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</sheetData>
  <sheetProtection sort="0" autoFilter="0"/>
  <phoneticPr fontId="1" type="noConversion"/>
  <conditionalFormatting sqref="F2:F853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0" r:id="rId3" display="../../../../../../../:b:/r/teams/CTM-OTGentStad/Shared Documents/General/EAF/CSI(nieuwe sharepoint) 2025/1. Januari/EAF 6337 Gent 17012025.pdf?csf=1&amp;web=1&amp;e=HIde3n" xr:uid="{B7A5B04D-2444-4A69-96EE-429FE1FAEFC1}"/>
    <hyperlink ref="U831" r:id="rId4" display="../../../../../../../:b:/r/teams/CTM-OTGentStad/Shared Documents/General/EAF/CSI(nieuwe sharepoint) 2025/1. Januari/EAF 6356 Gentbrugge 18012025.pdf?csf=1&amp;web=1&amp;e=mefvXc" xr:uid="{3B1FF491-C1E6-43FD-A0C3-057465EB5192}"/>
    <hyperlink ref="U818" r:id="rId5" display="../../../../../../../:b:/r/teams/CTM-OTGentStad/Shared Documents/General/EAF/CSI(nieuwe sharepoint) 2025/1. Januari/EAF 5263 Mariakerke 13012025.pdf?csf=1&amp;web=1&amp;e=qFf0hX" xr:uid="{1AF9CACF-A798-4483-851F-5828A099BE42}"/>
    <hyperlink ref="U806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3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36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0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1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2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79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27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35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798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19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3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3" r:id="rId645" xr:uid="{ABEA59BF-FF44-4925-AA21-B49F73E586F9}"/>
    <hyperlink ref="U634" r:id="rId646" xr:uid="{6ADC597C-C276-4C62-8E82-A4969ACC73EF}"/>
    <hyperlink ref="U825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4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4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07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37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1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1" r:id="rId728" xr:uid="{F06FFB0D-5885-4D14-8AC6-016C02308BD6}"/>
    <hyperlink ref="U828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2" r:id="rId733" xr:uid="{4CE98016-D7E6-4D5E-912E-DED4D44F20AD}"/>
    <hyperlink ref="U719" r:id="rId734" xr:uid="{9321BFD9-F8A8-4656-8410-61658A528AC5}"/>
    <hyperlink ref="U734" r:id="rId735" xr:uid="{A92F0936-5E6B-42FE-85E7-A4B061C5DAD3}"/>
    <hyperlink ref="U820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15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2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3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0" r:id="rId773" xr:uid="{8C7050E5-1548-47AD-9816-9F8590927730}"/>
    <hyperlink ref="U826" r:id="rId774" xr:uid="{298E54A3-9DBF-4CA6-8BA6-31974C23228C}"/>
    <hyperlink ref="U805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2" r:id="rId779" xr:uid="{77FF1940-85B2-4158-80F6-DBA00A0D3F48}"/>
    <hyperlink ref="U809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1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4" r:id="rId806" xr:uid="{5E6E094E-D08D-41A9-9AD4-AB96C0D2D0E5}"/>
    <hyperlink ref="U743" r:id="rId807" xr:uid="{738BBA94-39E1-4EAD-85E3-D6FD30B5D2A2}"/>
    <hyperlink ref="U834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08" r:id="rId815" xr:uid="{C0FAEEAC-68E5-4E84-8EFB-8E0C90520D3D}"/>
    <hyperlink ref="U787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2025-09-04T16:44:20Z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