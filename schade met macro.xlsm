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36" documentId="13_ncr:1_{10FCACA5-8197-478D-90D3-5F83063FB753}" xr6:coauthVersionLast="47" xr6:coauthVersionMax="47" xr10:uidLastSave="{6A427156-0CF1-4D24-A3FF-98AEC8FFA9D4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2" i="1" l="1"/>
  <c r="B972" i="1" s="1"/>
  <c r="D972" i="1"/>
  <c r="E972" i="1"/>
  <c r="S972" i="1"/>
  <c r="C971" i="1"/>
  <c r="B971" i="1" s="1"/>
  <c r="D971" i="1"/>
  <c r="E971" i="1"/>
  <c r="S971" i="1"/>
  <c r="C953" i="1"/>
  <c r="D953" i="1"/>
  <c r="E953" i="1"/>
  <c r="S953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70" i="1"/>
  <c r="B970" i="1" s="1"/>
  <c r="D970" i="1"/>
  <c r="E970" i="1"/>
  <c r="S970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D954" i="1"/>
  <c r="E954" i="1"/>
  <c r="S954" i="1"/>
  <c r="C949" i="1"/>
  <c r="B949" i="1" s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4" i="1" l="1"/>
  <c r="B947" i="1"/>
  <c r="B953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<sst xmlns="http://schemas.openxmlformats.org/spreadsheetml/2006/main" count="8868" uniqueCount="3801">
  <si>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</si>
  <si>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</si>
  <si>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</si>
  <si>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</si>
  <si>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</si>
  <si>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</si>
  <si>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</si>
  <si>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</si>
  <si>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</si>
  <si>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</si>
  <si>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</si>
  <si>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</si>
  <si>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</si>
  <si>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</si>
  <si>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</si>
  <si>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</si>
  <si>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</si>
  <si>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</si>
  <si>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</si>
  <si>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</si>
  <si>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</si>
  <si>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</si>
  <si>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</si>
  <si>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</si>
  <si>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</si>
  <si>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</si>
  <si>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</si>
  <si>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</si>
  <si>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</si>
  <si>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</si>
  <si>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</si>
  <si>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</si>
  <si>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</si>
  <si>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</si>
  <si>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</si>
  <si>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</si>
  <si>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</si>
  <si>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</si>
  <si>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</si>
  <si>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</si>
  <si>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</si>
  <si>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</si>
  <si>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</si>
  <si>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</si>
  <si>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</si>
  <si>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</si>
  <si>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</si>
  <si>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</si>
  <si>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</si>
  <si>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</si>
  <si>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</si>
  <si>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</si>
  <si>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</si>
  <si>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</si>
  <si>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</si>
  <si>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</si>
  <si>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</si>
  <si>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</si>
  <si>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</si>
  <si>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</si>
  <si>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</si>
  <si>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</si>
  <si>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</si>
  <si>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</si>
  <si>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</si>
  <si>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</si>
  <si>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</si>
  <si>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</si>
  <si>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</si>
  <si>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</si>
  <si>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</si>
  <si>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</si>
  <si>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</si>
  <si>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</si>
  <si>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</si>
  <si>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</si>
  <si>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</si>
  <si>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</si>
  <si>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</si>
  <si>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</si>
  <si>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</si>
  <si>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</si>
  <si>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</si>
  <si>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</si>
  <si>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</si>
  <si>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</si>
  <si>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</si>
  <si>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</si>
  <si>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</si>
  <si>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</si>
  <si>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</si>
  <si>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</si>
  <si>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</si>
  <si>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</si>
  <si>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</si>
  <si>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</si>
  <si>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</si>
  <si>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</si>
  <si>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</si>
  <si>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</si>
  <si>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</si>
  <si>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</si>
  <si>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</si>
  <si>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</si>
  <si>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</si>
  <si>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</si>
  <si>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</si>
  <si>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</si>
  <si>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</si>
  <si>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</si>
  <si>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</si>
  <si>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</si>
  <si>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</si>
  <si>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</si>
  <si>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</si>
  <si>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</si>
  <si>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</si>
  <si>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</si>
  <si>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</si>
  <si>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</si>
  <si>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</si>
  <si>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</si>
  <si>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</si>
  <si>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</si>
  <si>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</si>
  <si>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</si>
  <si>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</si>
  <si>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</si>
  <si>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</si>
  <si>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</si>
  <si>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</si>
  <si>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</si>
  <si>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</si>
  <si>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</si>
  <si>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</si>
  <si>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</si>
  <si>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</si>
  <si>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</si>
  <si>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</si>
  <si>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</si>
  <si>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</si>
  <si>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</si>
  <si>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</si>
  <si>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</si>
  <si>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</si>
  <si>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</si>
  <si>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</si>
  <si>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</si>
  <si>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</si>
  <si>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</si>
  <si>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</si>
  <si>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</si>
  <si>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</si>
  <si>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</si>
  <si>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</si>
  <si>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</si>
  <si>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</si>
  <si>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</si>
  <si>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</si>
  <si>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</si>
  <si>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</si>
  <si>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</si>
  <si>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</si>
  <si>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</si>
  <si>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</si>
  <si>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</si>
  <si>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</si>
  <si>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</si>
  <si>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</si>
  <si>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</si>
  <si>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</si>
  <si>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</si>
  <si>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</si>
  <si>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</si>
  <si>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</si>
  <si>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</si>
  <si>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</si>
  <si>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</si>
  <si>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</si>
  <si>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</si>
  <si>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</si>
  <si>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</si>
  <si>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</si>
  <si>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</si>
  <si>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</si>
  <si>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</si>
  <si>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</si>
  <si>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</si>
  <si>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</si>
  <si>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</si>
  <si>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</si>
  <si>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</si>
  <si>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</si>
  <si>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</si>
  <si>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</si>
  <si>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</si>
  <si>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</si>
  <si>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</si>
  <si>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</si>
  <si>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</si>
  <si>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</si>
  <si>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</si>
  <si>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</si>
  <si>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</si>
  <si>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</si>
  <si>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</si>
  <si>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</si>
  <si>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</si>
  <si>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</si>
  <si>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</si>
  <si>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</si>
  <si>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</si>
  <si>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</si>
  <si>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</si>
  <si>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</si>
  <si>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</si>
  <si>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</si>
  <si>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</si>
  <si>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</si>
  <si>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</si>
  <si>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</si>
  <si>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</si>
  <si>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</si>
  <si>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</si>
  <si>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</si>
  <si>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</si>
  <si>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</si>
  <si>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</si>
  <si>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</si>
  <si>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</si>
  <si>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</si>
  <si>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</si>
  <si>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</si>
  <si>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</si>
  <si>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</si>
  <si>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</si>
  <si>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</si>
  <si>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</si>
  <si>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</si>
  <si>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</si>
  <si>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</si>
  <si>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</si>
  <si>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</si>
  <si>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</si>
  <si>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</si>
  <si>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</si>
  <si>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</si>
  <si>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</si>
  <si>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</si>
  <si>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</si>
  <si>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</si>
  <si>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</si>
  <si>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</si>
  <si>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</si>
  <si>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</si>
  <si>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</si>
  <si>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</si>
  <si>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</si>
  <si>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</si>
  <si>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</si>
  <si>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</si>
  <si>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</si>
  <si>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</si>
  <si>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</si>
  <si>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</si>
  <si>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</si>
  <si>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</si>
  <si>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</si>
  <si>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</si>
  <si>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</si>
  <si>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</si>
  <si>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</si>
  <si>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</si>
  <si>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</si>
  <si>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</si>
  <si>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</si>
  <si>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</si>
  <si>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</si>
  <si>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</si>
  <si>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</si>
  <si>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</si>
  <si>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</si>
  <si>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</si>
  <si>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</si>
  <si>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</si>
  <si>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</si>
  <si>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</si>
  <si>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</si>
  <si>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</si>
  <si>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</si>
  <si>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</si>
  <si>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</si>
  <si>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</si>
  <si>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</si>
  <si>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</si>
  <si>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</si>
  <si>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</si>
  <si>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</si>
  <si>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</si>
  <si>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</si>
  <si>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</si>
  <si>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</si>
  <si>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</si>
  <si>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</si>
  <si>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</si>
  <si>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</si>
  <si>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</si>
  <si>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</si>
  <si>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</si>
  <si>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</si>
  <si>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</si>
  <si>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</si>
  <si>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</si>
  <si>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</si>
  <si>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</si>
  <si>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</si>
  <si>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</si>
  <si>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</si>
  <si>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</si>
  <si>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</si>
  <si>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</si>
  <si>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</si>
  <si>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</si>
  <si>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</si>
  <si>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</si>
  <si>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</si>
  <si>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</si>
  <si>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</si>
  <si>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</si>
  <si>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</si>
  <si>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</si>
  <si>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</si>
  <si>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</si>
  <si>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</si>
  <si>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</si>
  <si>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</si>
  <si>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</si>
  <si>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</si>
  <si>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</si>
  <si>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</si>
  <si>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</si>
  <si>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</si>
  <si>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</si>
  <si>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</si>
  <si>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</si>
  <si>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</si>
  <si>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</si>
  <si>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</si>
  <si>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</si>
  <si>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</si>
  <si>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</si>
  <si>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</si>
  <si>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</si>
  <si>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</si>
  <si>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</si>
  <si>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</si>
  <si>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</si>
  <si>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</si>
  <si>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</si>
  <si>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</si>
  <si>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</si>
  <si>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</si>
  <si>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</si>
  <si>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</si>
  <si>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</si>
  <si>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</si>
  <si>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</si>
  <si>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</si>
  <si>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</si>
  <si>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</si>
  <si>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</si>
  <si>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</si>
  <si>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</si>
  <si>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</si>
  <si>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</si>
  <si>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</si>
  <si>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</si>
  <si>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</si>
  <si>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</si>
  <si>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</si>
  <si>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</si>
  <si>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</si>
  <si>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</si>
  <si>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</si>
  <si>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</si>
  <si>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</si>
  <si>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</si>
  <si>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</si>
  <si>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</si>
  <si>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</si>
  <si>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</si>
  <si>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</si>
  <si>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</si>
  <si>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</si>
  <si>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</si>
  <si>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</si>
  <si>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</si>
  <si>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</si>
  <si>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</si>
  <si>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</si>
  <si>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</si>
  <si>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</si>
  <si>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</si>
  <si>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</si>
  <si>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</si>
  <si>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</si>
  <si>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</si>
  <si>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</si>
  <si>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</si>
  <si>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</si>
  <si>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</si>
  <si>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</si>
  <si>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</si>
  <si>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</si>
  <si>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</si>
  <si>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</si>
  <si>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</si>
  <si>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</si>
  <si>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</si>
  <si>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</si>
  <si>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</si>
  <si>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</si>
  <si>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</si>
  <si>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</si>
  <si>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</si>
  <si>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</si>
  <si>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</si>
  <si>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</si>
  <si>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</si>
  <si>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</si>
  <si>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</si>
  <si>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</si>
  <si>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</si>
  <si>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</si>
  <si>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</si>
  <si>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</si>
  <si>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</si>
  <si>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</si>
  <si>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</si>
  <si>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</si>
  <si>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</si>
  <si>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</si>
  <si>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</si>
  <si>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</si>
  <si>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</si>
  <si>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</si>
  <si>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</si>
  <si>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</si>
  <si>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</si>
  <si>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</si>
  <si>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</si>
  <si>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</si>
  <si>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</si>
  <si>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</si>
  <si>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</si>
  <si>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</si>
  <si>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</si>
  <si>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</si>
  <si>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</si>
  <si>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</si>
  <si>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</si>
  <si>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</si>
  <si>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</si>
  <si>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</si>
  <si>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</si>
  <si>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</si>
  <si>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</si>
  <si>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</si>
  <si>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</si>
  <si>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</si>
  <si>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</si>
  <si>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</si>
  <si>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</si>
  <si>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</si>
  <si>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</si>
  <si>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</si>
  <si>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</si>
  <si>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</si>
  <si>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</si>
  <si>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</si>
  <si>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</si>
  <si>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</si>
  <si>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</si>
  <si>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</si>
  <si>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</si>
  <si>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</si>
  <si>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</si>
  <si>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</si>
  <si>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</si>
  <si>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</si>
  <si>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</si>
  <si>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</si>
  <si>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</si>
  <si>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</si>
  <si>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</si>
  <si>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</si>
  <si>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</si>
  <si>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</si>
  <si>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</si>
  <si>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</si>
  <si>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</si>
  <si>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</si>
  <si>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</si>
  <si>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</si>
  <si>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</si>
  <si>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</si>
  <si>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</si>
  <si>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</si>
  <si>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</si>
  <si>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</si>
  <si>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</si>
  <si>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</si>
  <si>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</si>
  <si>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</si>
  <si>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</si>
  <si>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</si>
  <si>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</si>
  <si>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</si>
  <si>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</si>
  <si>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</si>
  <si>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</si>
  <si>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</si>
  <si>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</si>
  <si>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</si>
  <si>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</si>
  <si>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</si>
  <si>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</si>
  <si>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</si>
  <si>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</si>
  <si>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</si>
  <si>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</si>
  <si>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</si>
  <si>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</si>
  <si>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</si>
  <si>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</si>
  <si>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</si>
  <si>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</si>
  <si>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</si>
  <si>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</si>
  <si>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</si>
  <si>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</si>
  <si>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</si>
  <si>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</si>
  <si>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</si>
  <si>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</si>
  <si>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</si>
  <si>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</si>
  <si>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</si>
  <si>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</si>
  <si>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</si>
  <si>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</si>
  <si>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</si>
  <si>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</si>
  <si>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</si>
  <si>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</si>
  <si>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</si>
  <si>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</si>
  <si>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</si>
  <si>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</si>
  <si>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</si>
  <si>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</si>
  <si>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</si>
  <si>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</si>
  <si>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</si>
  <si>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</si>
  <si>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</si>
  <si>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</si>
  <si>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</si>
  <si>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</si>
  <si>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</si>
  <si>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</si>
  <si>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</si>
  <si>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</si>
  <si>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</si>
  <si>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</si>
  <si>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</si>
  <si>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</si>
  <si>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</si>
  <si>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</si>
  <si>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</si>
  <si>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</si>
  <si>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</si>
  <si>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</si>
  <si>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</si>
  <si>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</si>
  <si>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</si>
  <si>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</si>
  <si>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</si>
  <si>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</si>
  <si>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</si>
  <si>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</si>
  <si>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</si>
  <si>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</si>
  <si>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</si>
  <si>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</si>
  <si>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</si>
  <si>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</si>
  <si>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</si>
  <si>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</si>
  <si>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</si>
  <si>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</si>
  <si>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</si>
  <si>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</si>
  <si>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</si>
  <si>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</si>
  <si>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</si>
  <si>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</si>
  <si>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</si>
  <si>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</si>
  <si>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</si>
  <si>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</si>
  <si>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</si>
  <si>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</si>
  <si>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</si>
  <si>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</si>
  <si>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</si>
  <si>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</si>
  <si>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</si>
  <si>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</si>
  <si>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</si>
  <si>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</si>
  <si>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</si>
  <si>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</si>
  <si>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</si>
  <si>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</si>
  <si>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</si>
  <si>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</si>
  <si>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</si>
  <si>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</si>
  <si>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</si>
  <si>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</si>
  <si>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</si>
  <si>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</si>
  <si>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</si>
  <si>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</si>
  <si>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</si>
  <si>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</si>
  <si>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</si>
  <si>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</si>
  <si>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</si>
  <si>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</si>
  <si>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</si>
  <si>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</si>
  <si>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</si>
  <si>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</si>
  <si>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</si>
  <si>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</si>
  <si>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</si>
  <si>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</si>
  <si>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</si>
  <si>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</si>
  <si>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</si>
  <si>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</si>
  <si>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</si>
  <si>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</si>
  <si>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</si>
  <si>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</si>
  <si>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</si>
  <si>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</si>
  <si>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</si>
  <si>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</si>
  <si>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</si>
  <si>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</si>
  <si>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</si>
  <si>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</si>
  <si>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</si>
  <si>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</si>
  <si>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</si>
  <si>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</si>
  <si>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</si>
  <si>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</si>
  <si>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</si>
  <si>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</si>
  <si>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</si>
  <si>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</si>
  <si>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</si>
  <si>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</si>
  <si>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</si>
  <si>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</si>
  <si>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</si>
  <si>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</si>
  <si>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</si>
  <si>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</si>
  <si>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</si>
  <si>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</si>
  <si>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</si>
  <si>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</si>
  <si>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</si>
  <si>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</si>
  <si>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</si>
  <si>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</si>
  <si>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</si>
  <si>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</si>
  <si>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</si>
  <si>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</si>
  <si>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</si>
  <si>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</si>
  <si>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</si>
  <si>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</si>
  <si>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</si>
  <si>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</si>
  <si>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</si>
  <si>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</si>
  <si>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</si>
  <si>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</si>
  <si>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</si>
  <si>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</si>
  <si>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</si>
  <si>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</si>
  <si>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</si>
  <si>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</si>
  <si>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</si>
  <si>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</si>
  <si>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</si>
  <si>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</si>
  <si>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</si>
  <si>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</si>
  <si>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</si>
  <si>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</si>
  <si>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</si>
  <si>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</si>
  <si>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</si>
  <si>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</si>
  <si>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</si>
  <si>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</si>
  <si>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</si>
  <si>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</si>
  <si>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</si>
  <si>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</si>
  <si>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</si>
  <si>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</si>
  <si>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</si>
  <si>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</si>
  <si>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</si>
  <si>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</si>
  <si>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</si>
  <si>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</si>
  <si>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</si>
  <si>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</si>
  <si>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</si>
  <si>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</si>
  <si>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</si>
  <si>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</si>
  <si>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</si>
  <si>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</si>
  <si>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</si>
  <si>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</si>
  <si>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</si>
  <si>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</si>
  <si>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</si>
  <si>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</si>
  <si>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</si>
  <si>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</si>
  <si>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</si>
  <si>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</si>
  <si>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</si>
  <si>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</si>
  <si>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</si>
  <si>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</si>
  <si>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</si>
  <si>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</si>
  <si>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</si>
  <si>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</si>
  <si>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</si>
  <si>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</si>
  <si>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</si>
  <si>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</si>
  <si>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</si>
  <si>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</si>
  <si>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</si>
  <si>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</si>
  <si>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</si>
  <si>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</si>
  <si>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</si>
  <si>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</si>
  <si>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</si>
  <si>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</si>
  <si>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</si>
  <si>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</si>
  <si>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</si>
  <si>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</si>
  <si>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</si>
  <si>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</si>
  <si>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</si>
  <si>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</si>
  <si>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</si>
  <si>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</si>
  <si>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</si>
  <si>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</si>
  <si>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</si>
  <si>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</si>
  <si>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</si>
  <si>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</si>
  <si>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</si>
  <si>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</si>
  <si>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</si>
  <si>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</si>
  <si>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</si>
  <si>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</si>
  <si>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</si>
  <si>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</si>
  <si>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</si>
  <si>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</si>
  <si>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</si>
  <si>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</si>
  <si>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</si>
  <si>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</si>
  <si>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</si>
  <si>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</si>
  <si>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</si>
  <si>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</si>
  <si>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</si>
  <si>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</si>
  <si>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</si>
  <si>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</si>
  <si>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</si>
  <si>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</si>
  <si>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</si>
  <si>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</si>
  <si>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</si>
  <si>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</si>
  <si>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</si>
  <si>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</si>
  <si>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</si>
  <si>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</si>
  <si>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</si>
  <si>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</si>
  <si>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</si>
  <si>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</si>
  <si>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</si>
  <si>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</si>
  <si>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</si>
  <si>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</si>
  <si>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</si>
  <si>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</si>
  <si>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</si>
  <si>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</si>
  <si>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</si>
  <si>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</si>
  <si>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</si>
  <si>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</si>
  <si>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</si>
  <si>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</si>
  <si>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</si>
  <si>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</si>
  <si>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</si>
  <si>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</si>
  <si>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</si>
  <si>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</si>
  <si>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</si>
  <si>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</si>
  <si>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</si>
  <si>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</si>
  <si>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</si>
  <si>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</si>
  <si>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</si>
  <si>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</si>
  <si>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</si>
  <si>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</si>
  <si>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</si>
  <si>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</si>
  <si>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</si>
  <si>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</si>
  <si>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</si>
  <si>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</si>
  <si>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</si>
  <si>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</si>
  <si>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</si>
  <si>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</si>
  <si>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</si>
  <si>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</si>
  <si>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</si>
  <si>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</si>
  <si>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</si>
  <si>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</si>
  <si>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</si>
  <si>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</si>
  <si>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</si>
  <si>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</si>
  <si>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</si>
  <si>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</si>
  <si>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</si>
  <si>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</si>
  <si>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</si>
  <si>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</si>
  <si>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</si>
  <si>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</si>
  <si>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</si>
  <si>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</si>
  <si>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</si>
  <si>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</si>
  <si>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</si>
  <si>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</si>
  <si>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</si>
  <si>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</si>
  <si>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</si>
  <si>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</si>
  <si>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</si>
  <si>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</si>
  <si>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</si>
  <si>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</si>
  <si>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</si>
  <si>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</si>
  <si>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</si>
  <si>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</si>
  <si>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</si>
  <si>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</si>
  <si>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</si>
  <si>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</si>
  <si>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</si>
  <si>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</si>
  <si>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</si>
  <si>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</si>
  <si>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</si>
  <si>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</si>
  <si>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</si>
  <si>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</si>
  <si>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</si>
  <si>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</si>
  <si>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</si>
  <si>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</si>
  <si>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</si>
  <si>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</si>
  <si>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</si>
  <si>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</si>
  <si>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</si>
  <si>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</si>
  <si>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</si>
  <si>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</si>
  <si>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</si>
  <si>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</si>
  <si>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</si>
  <si>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</si>
  <si>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</si>
  <si>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</si>
  <si>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</si>
  <si>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</si>
  <si>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</si>
  <si>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</si>
  <si>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</si>
  <si>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</si>
  <si>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</si>
  <si>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</si>
  <si>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</si>
  <si>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</si>
  <si>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</si>
  <si>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</si>
  <si>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</si>
  <si>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</si>
  <si>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</si>
  <si>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</si>
  <si>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</si>
  <si>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</si>
  <si>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</si>
  <si>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</si>
  <si>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</si>
  <si>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</si>
  <si>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</si>
  <si>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</si>
  <si>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</si>
  <si>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</si>
  <si>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</si>
  <si>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</si>
  <si>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</si>
  <si>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</si>
  <si>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</si>
  <si>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</si>
  <si>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</si>
  <si>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</si>
  <si>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</si>
  <si>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</si>
  <si>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</si>
  <si>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</si>
  <si>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</si>
  <si>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</si>
  <si>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</si>
  <si>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</si>
  <si>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</si>
  <si>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</si>
  <si>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</si>
  <si>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</si>
  <si>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</si>
  <si>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</si>
  <si>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</si>
  <si>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</si>
  <si>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</si>
  <si>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</si>
  <si>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</si>
  <si>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</si>
  <si>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</si>
  <si>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</si>
  <si>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</si>
  <si>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</si>
  <si>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</si>
  <si>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</si>
  <si>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</si>
  <si>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</si>
  <si>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</si>
  <si>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</si>
  <si>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</si>
  <si>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</si>
  <si>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</si>
  <si>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</si>
  <si>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</si>
  <si>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</si>
  <si>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</si>
  <si>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</si>
  <si>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</si>
  <si>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</si>
  <si>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</si>
  <si>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</si>
  <si>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</si>
  <si>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</si>
  <si>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</si>
  <si>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</si>
  <si>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</si>
  <si>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</si>
  <si>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</si>
  <si>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</si>
  <si>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</si>
  <si>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</si>
  <si>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</si>
  <si>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</si>
  <si>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</si>
  <si>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</si>
  <si>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</si>
  <si>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</si>
  <si>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</si>
  <si>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</si>
  <si>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</si>
  <si>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</si>
  <si>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</si>
  <si>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</si>
  <si>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</si>
  <si>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</si>
  <si>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</si>
  <si>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</si>
  <si>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</si>
  <si>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</si>
  <si>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</si>
  <si>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</si>
  <si>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</si>
  <si>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</si>
  <si>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</si>
  <si>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</si>
  <si>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</si>
  <si>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</si>
  <si>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</si>
  <si>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</si>
  <si>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</si>
  <si>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</si>
  <si>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</si>
  <si>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</si>
  <si>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</si>
  <si>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</si>
  <si>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</si>
  <si>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</si>
  <si>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</si>
  <si>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</si>
  <si>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</si>
  <si>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</si>
  <si>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</si>
  <si>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</si>
  <si>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</si>
  <si>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</si>
  <si>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</si>
  <si>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</si>
  <si>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</si>
  <si>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</si>
  <si>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</si>
  <si>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</si>
  <si>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</si>
  <si>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</si>
  <si>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</si>
  <si>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</si>
  <si>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</si>
  <si>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</si>
  <si>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</si>
  <si>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</si>
  <si>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</si>
  <si>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</si>
  <si>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</si>
  <si>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</si>
  <si>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</si>
  <si>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</si>
  <si>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</si>
  <si>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</si>
  <si>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</si>
  <si>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</si>
  <si>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</si>
  <si>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</si>
  <si>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</si>
  <si>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</si>
  <si>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</si>
  <si>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</si>
  <si>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</si>
  <si>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</si>
  <si>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</si>
  <si>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</si>
  <si>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</si>
  <si>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</si>
  <si>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</si>
  <si>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</si>
  <si>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</si>
  <si>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</si>
  <si>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</si>
  <si>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</si>
  <si>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</si>
  <si>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</si>
  <si>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</si>
  <si>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</si>
  <si>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</si>
  <si>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</si>
  <si>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</si>
  <si>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</si>
  <si>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</si>
  <si>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</si>
  <si>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</si>
  <si>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</si>
  <si>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</si>
  <si>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</si>
  <si>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</si>
  <si>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</si>
  <si>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</si>
  <si>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</si>
  <si>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</si>
  <si>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</si>
  <si>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</si>
  <si>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</si>
  <si>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</si>
  <si>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</si>
  <si>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</si>
  <si>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</si>
  <si>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</si>
  <si>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</si>
  <si>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</si>
  <si>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</si>
  <si>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</si>
  <si>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</si>
  <si>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</si>
  <si>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</si>
  <si>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</si>
  <si>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</si>
  <si>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</si>
  <si>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</si>
  <si>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</si>
  <si>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</si>
  <si>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</si>
  <si>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</si>
  <si>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</si>
  <si>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</si>
  <si>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</si>
  <si>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</si>
  <si>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</si>
  <si>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</si>
  <si>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</si>
  <si>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</si>
  <si>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</si>
  <si>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</si>
  <si>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</si>
  <si>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</si>
  <si>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</si>
  <si>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</si>
  <si>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</si>
  <si>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</si>
  <si>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</si>
  <si>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</si>
  <si>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</si>
  <si>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</si>
  <si>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</si>
  <si>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</si>
  <si>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</si>
  <si>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</si>
  <si>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</si>
  <si>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</si>
  <si>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</si>
  <si>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</si>
  <si>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</si>
  <si>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</si>
  <si>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</si>
  <si>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</si>
  <si>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</si>
  <si>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</si>
  <si>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</si>
  <si>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</si>
  <si>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</si>
  <si>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</si>
  <si>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</si>
  <si>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</si>
  <si>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</si>
  <si>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</si>
  <si>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</si>
  <si>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</si>
  <si>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</si>
  <si>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</si>
  <si>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</si>
  <si>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</si>
  <si>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</si>
  <si>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</si>
  <si>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</si>
  <si>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</si>
  <si>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</si>
  <si>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</si>
  <si>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</si>
  <si>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</si>
  <si>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</si>
  <si>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</si>
  <si>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</si>
  <si>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</si>
  <si>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</si>
  <si>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</si>
  <si>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</si>
  <si>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</si>
  <si>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</si>
  <si>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</si>
  <si>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</si>
  <si>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</si>
  <si>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</si>
  <si>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</si>
  <si>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</si>
  <si>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</si>
  <si>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</si>
  <si>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</si>
  <si>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</si>
  <si>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</si>
  <si>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</si>
  <si>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</si>
  <si>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</si>
  <si>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</si>
  <si>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</si>
  <si>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</si>
  <si>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</si>
  <si>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</si>
  <si>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</si>
  <si>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</si>
  <si>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</si>
  <si>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</si>
  <si>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</si>
  <si>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</si>
  <si>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</si>
  <si>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</si>
  <si>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</si>
  <si>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</si>
  <si>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</si>
  <si>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</si>
  <si>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</si>
  <si>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</si>
  <si>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</si>
  <si>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</si>
  <si>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</si>
  <si>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</si>
  <si>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</si>
  <si>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</si>
  <si>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</si>
  <si>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</si>
  <si>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</si>
  <si>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</si>
  <si>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</si>
  <si>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</si>
  <si>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</si>
  <si>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</si>
  <si>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</si>
  <si>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</si>
  <si>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</si>
  <si>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</si>
  <si>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</si>
  <si>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</si>
  <si>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</si>
  <si>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</si>
  <si>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</si>
  <si>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</si>
  <si>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</si>
  <si>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</si>
  <si>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</si>
  <si>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</si>
  <si>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</si>
  <si>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</si>
  <si>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</si>
  <si>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</si>
  <si>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</si>
  <si>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</si>
  <si>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</si>
  <si>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</si>
  <si>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</si>
  <si>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</si>
  <si>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</si>
  <si>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</si>
  <si>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</si>
  <si>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</si>
  <si>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</si>
  <si>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</si>
  <si>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</si>
  <si>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</si>
  <si>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</si>
  <si>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</si>
  <si>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</si>
  <si>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</si>
  <si>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</si>
  <si>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</si>
  <si>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</si>
  <si>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</si>
  <si>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</si>
  <si>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</si>
  <si>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</si>
  <si>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</si>
  <si>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</si>
  <si>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</si>
  <si>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</si>
  <si>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</si>
  <si>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</si>
  <si>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</si>
  <si>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</si>
  <si>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</si>
  <si>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</si>
  <si>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</si>
  <si>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</si>
  <si>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</si>
  <si>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</si>
  <si>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</si>
  <si>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</si>
  <si>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</si>
  <si>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</si>
  <si>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</si>
  <si>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</si>
  <si>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</si>
  <si>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</si>
  <si>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</si>
  <si>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</si>
  <si>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</si>
  <si>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</si>
  <si>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</si>
  <si>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</si>
  <si>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</si>
  <si>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</si>
  <si>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</si>
  <si>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</si>
  <si>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</si>
  <si>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</si>
  <si>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</si>
  <si>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</si>
  <si>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</si>
  <si>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</si>
  <si>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</si>
  <si>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</si>
  <si>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</si>
  <si>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</si>
  <si>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</si>
  <si>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</si>
  <si>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</si>
  <si>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</si>
  <si>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</si>
  <si>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</si>
  <si>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</si>
  <si>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</si>
  <si>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</si>
  <si>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</si>
  <si>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</si>
  <si>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</si>
  <si>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</si>
  <si>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</si>
  <si>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</si>
  <si>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</si>
  <si>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</si>
  <si>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</si>
  <si>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</si>
  <si>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</si>
  <si>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</si>
  <si>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</si>
  <si>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</si>
  <si>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</si>
  <si>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</si>
  <si>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</si>
  <si>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</si>
  <si>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</si>
  <si>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</si>
  <si>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</si>
  <si>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</si>
  <si>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</si>
  <si>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</si>
  <si>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</si>
  <si>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</si>
  <si>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</si>
  <si>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</si>
  <si>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</si>
  <si>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</si>
  <si>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</si>
  <si>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</si>
  <si>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</si>
  <si>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</si>
  <si>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</si>
  <si>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</si>
  <si>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</si>
  <si>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</si>
  <si>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</si>
  <si>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</si>
  <si>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</si>
  <si>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</si>
  <si>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</si>
  <si>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</si>
  <si>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</si>
  <si>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</si>
  <si>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</si>
  <si>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</si>
  <si>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</si>
  <si>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</si>
  <si>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</si>
  <si>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</si>
  <si>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</si>
  <si>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</si>
  <si>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</si>
  <si>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</si>
  <si>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</si>
  <si>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</si>
  <si>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</si>
  <si>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</si>
  <si>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</si>
  <si>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</si>
  <si>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</si>
  <si>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</si>
  <si>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</si>
  <si>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</si>
  <si>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</si>
  <si>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</si>
  <si>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</si>
  <si>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</si>
  <si>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</si>
  <si>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</si>
  <si>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</si>
  <si>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</si>
  <si>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</si>
  <si>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</si>
  <si>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</si>
  <si>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</si>
  <si>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</si>
  <si>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</si>
  <si>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</si>
  <si>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</si>
  <si>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</si>
  <si>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</si>
  <si>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</si>
  <si>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</si>
  <si>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</si>
  <si>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</si>
  <si>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</si>
  <si>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</si>
  <si>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</si>
  <si>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</si>
  <si>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</si>
  <si>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</si>
  <si>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</si>
  <si>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</si>
  <si>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</si>
  <si>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</si>
  <si>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</si>
  <si>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</si>
  <si>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</si>
  <si>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</si>
  <si>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</si>
  <si>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</si>
  <si>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</si>
  <si>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</si>
  <si>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</si>
  <si>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</si>
  <si>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</si>
  <si>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</si>
  <si>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</si>
  <si>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</si>
  <si>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</si>
  <si>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</si>
  <si>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</si>
  <si>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</si>
  <si>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</si>
  <si>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</si>
  <si>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</si>
  <si>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</si>
  <si>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</si>
  <si>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</si>
  <si>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</si>
  <si>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</si>
  <si>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</si>
  <si>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</si>
  <si>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</si>
  <si>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</si>
  <si>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</si>
  <si>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</si>
  <si>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</si>
  <si>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</si>
  <si>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</si>
  <si>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</si>
  <si>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</si>
  <si>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</si>
  <si>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</si>
  <si>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</si>
  <si>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</si>
  <si>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</si>
  <si>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</si>
  <si>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</si>
  <si>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</si>
  <si>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</si>
  <si>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</si>
  <si>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</si>
  <si>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</si>
  <si>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</si>
  <si>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</si>
  <si>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</si>
  <si>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</si>
  <si>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</si>
  <si>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</si>
  <si>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</si>
  <si>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</si>
  <si>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</si>
  <si>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</si>
  <si>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</si>
  <si>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</si>
  <si>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</si>
  <si>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</si>
  <si>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</si>
  <si>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</si>
  <si>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</si>
  <si>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</si>
  <si>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</si>
  <si>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</si>
  <si>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</si>
  <si>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</si>
  <si>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</si>
  <si>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</si>
  <si>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</si>
  <si>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</si>
  <si>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</si>
  <si>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</si>
  <si>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</si>
  <si>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</si>
  <si>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</si>
  <si>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</si>
  <si>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</si>
  <si>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</si>
  <si>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</si>
  <si>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</si>
  <si>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</si>
  <si>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</si>
  <si>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</si>
  <si>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</si>
  <si>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</si>
  <si>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</si>
  <si>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</si>
  <si>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</si>
  <si>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</si>
  <si>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</si>
  <si>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</si>
  <si>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</si>
  <si>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</si>
  <si>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</si>
  <si>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</si>
  <si>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</si>
  <si>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</si>
  <si>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</si>
  <si>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</si>
  <si>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</si>
  <si>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</si>
  <si>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</si>
  <si>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</si>
  <si>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</si>
  <si>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</si>
  <si>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</si>
  <si>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</si>
  <si>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</si>
  <si>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</si>
  <si>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</si>
  <si>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</si>
  <si>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</si>
  <si>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</si>
  <si>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</si>
  <si>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</si>
  <si>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</si>
  <si>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</si>
  <si>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</si>
  <si>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</si>
  <si>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</si>
  <si>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</si>
  <si>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</si>
  <si>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</si>
  <si>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</si>
  <si>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</si>
  <si>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</si>
  <si>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</si>
  <si>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</si>
  <si>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</si>
  <si>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</si>
  <si>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</si>
  <si>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</si>
  <si>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</si>
  <si>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</si>
  <si>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</si>
  <si>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</si>
  <si>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</si>
  <si>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</si>
  <si>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</si>
  <si>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</si>
  <si>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</si>
  <si>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</si>
  <si>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</si>
  <si>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</si>
  <si>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</si>
  <si>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</si>
  <si>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</si>
  <si>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</si>
  <si>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</si>
  <si>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</si>
  <si>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</si>
  <si>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</si>
  <si>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</si>
  <si>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</si>
  <si>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</si>
  <si>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</si>
  <si>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</si>
  <si>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</si>
  <si>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</si>
  <si>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</si>
  <si>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</si>
  <si>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</si>
  <si>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</si>
  <si>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</si>
  <si>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</si>
  <si>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</si>
  <si>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</si>
  <si>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</si>
  <si>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</si>
  <si>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</si>
  <si>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</si>
  <si>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</si>
  <si>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</si>
  <si>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</si>
  <si>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</si>
  <si>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</si>
  <si>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</si>
  <si>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</si>
  <si>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</si>
  <si>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</si>
  <si>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</si>
  <si>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</si>
  <si>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</si>
  <si>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</si>
  <si>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</si>
  <si>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</si>
  <si>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</si>
  <si>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</si>
  <si>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</si>
  <si>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</si>
  <si>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</si>
  <si>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</si>
  <si>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</si>
  <si>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</si>
  <si>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</si>
  <si>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</si>
  <si>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</si>
  <si>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</si>
  <si>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</si>
  <si>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</si>
  <si>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</si>
  <si>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</si>
  <si>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</si>
  <si>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</si>
  <si>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</si>
  <si>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</si>
  <si>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</si>
  <si>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</si>
  <si>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</si>
  <si>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</si>
  <si>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</si>
  <si>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</si>
  <si>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</si>
  <si>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</si>
  <si>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</si>
  <si>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</si>
  <si>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</si>
  <si>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</si>
  <si>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</si>
  <si>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</si>
  <si>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</si>
  <si>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</si>
  <si>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</si>
  <si>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</si>
  <si>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</si>
  <si>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</si>
  <si>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</si>
  <si>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</si>
  <si>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</si>
  <si>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</si>
  <si>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</si>
  <si>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</si>
  <si>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</si>
  <si>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</si>
  <si>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</si>
  <si>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</si>
  <si>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</si>
  <si>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</si>
  <si>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</si>
  <si>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</si>
  <si>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</si>
  <si>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</si>
  <si>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</si>
  <si>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</si>
  <si>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</si>
  <si>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</si>
  <si>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</si>
  <si>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</si>
  <si>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</si>
  <si>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</si>
  <si>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</si>
  <si>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</si>
  <si>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</si>
  <si>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</si>
  <si>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</si>
  <si>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</si>
  <si>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</si>
  <si>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</si>
  <si>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</si>
  <si>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</si>
  <si>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</si>
  <si>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</si>
  <si>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</si>
  <si>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</si>
  <si>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</si>
  <si>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</si>
  <si>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</si>
  <si>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</si>
  <si>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</si>
  <si>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</si>
  <si>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</si>
  <si>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</si>
  <si>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</si>
  <si>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</si>
  <si>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</si>
  <si>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</si>
  <si>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</si>
  <si>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</si>
  <si>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</si>
  <si>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</si>
  <si>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</si>
  <si>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</si>
  <si>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</si>
  <si>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</si>
  <si>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</si>
  <si>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</si>
  <si>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</si>
  <si>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</si>
  <si>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</si>
  <si>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</si>
  <si>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</si>
  <si>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</si>
  <si>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</si>
  <si>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</si>
  <si>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</si>
  <si>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</si>
  <si>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</si>
  <si>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</si>
  <si>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</si>
  <si>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</si>
  <si>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</si>
  <si>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</si>
  <si>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</si>
  <si>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</si>
  <si>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</si>
  <si>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</si>
  <si>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</si>
  <si>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</si>
  <si>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</si>
  <si>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</si>
  <si>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</si>
  <si>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</si>
  <si>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</si>
  <si>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</si>
  <si>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</si>
  <si>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</si>
  <si>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</si>
  <si>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</si>
  <si>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</si>
  <si>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</si>
  <si>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</si>
  <si>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</si>
  <si>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</si>
  <si>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</si>
  <si>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</si>
  <si>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</si>
  <si>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</si>
  <si>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</si>
  <si>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</si>
  <si>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</si>
  <si>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</si>
  <si>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</si>
  <si>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</si>
  <si>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</si>
  <si>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</si>
  <si>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</si>
  <si>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</si>
  <si>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</si>
  <si>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</si>
  <si>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</si>
  <si>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</si>
  <si>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</si>
  <si>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</si>
  <si>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</si>
  <si>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</si>
  <si>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</si>
  <si>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</si>
  <si>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</si>
  <si>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</si>
  <si>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</si>
  <si>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</si>
  <si>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</si>
  <si>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</si>
  <si>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</si>
  <si>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</si>
  <si>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</si>
  <si>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</si>
  <si>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</si>
  <si>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</si>
  <si>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</si>
  <si>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</si>
  <si>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</si>
  <si>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</si>
  <si>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</si>
  <si>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</si>
  <si>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</si>
  <si>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</si>
  <si>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</si>
  <si>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</si>
  <si>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</si>
  <si>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</si>
  <si>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</si>
  <si>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</si>
  <si>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</si>
  <si>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</si>
  <si>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</si>
  <si>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</si>
  <si>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</si>
  <si>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</si>
  <si>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</si>
  <si>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</si>
  <si>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</si>
  <si>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</si>
  <si>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</si>
  <si>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</si>
  <si>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</si>
  <si>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</si>
  <si>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</si>
  <si>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</si>
  <si>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</si>
  <si>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</si>
  <si>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</si>
  <si>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</si>
  <si>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</si>
  <si>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</si>
  <si>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</si>
  <si>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</si>
  <si>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</si>
  <si>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</si>
  <si>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</si>
  <si>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</si>
  <si>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</si>
  <si>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</si>
  <si>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</si>
  <si>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</si>
  <si>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</si>
  <si>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</si>
  <si>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</si>
  <si>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</si>
  <si>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</si>
  <si>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</si>
  <si>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</si>
  <si>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</si>
  <si>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</si>
  <si>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</si>
  <si>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</si>
  <si>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</si>
  <si>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</si>
  <si>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</si>
  <si>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</si>
  <si>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</si>
  <si>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</si>
  <si>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</si>
  <si>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</si>
  <si>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</si>
  <si>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</si>
  <si>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</si>
  <si>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</si>
  <si>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</si>
  <si>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</si>
  <si>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</si>
  <si>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</si>
  <si>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</si>
  <si>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</si>
  <si>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</si>
  <si>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</si>
  <si>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</si>
  <si>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</si>
  <si>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</si>
  <si>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</si>
  <si>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</si>
  <si>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</si>
  <si>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</si>
  <si>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</si>
  <si>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</si>
  <si>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</si>
  <si>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</si>
  <si>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</si>
  <si>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</si>
  <si>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</si>
  <si>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</si>
  <si>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</si>
  <si>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</si>
  <si>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</si>
  <si>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</si>
  <si>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</si>
  <si>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</si>
  <si>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</si>
  <si>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</si>
  <si>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</si>
  <si>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</si>
  <si>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</si>
  <si>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</si>
  <si>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</si>
  <si>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</si>
  <si>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</si>
  <si>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</si>
  <si>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</si>
  <si>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</si>
  <si>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</si>
  <si>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</si>
  <si>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</si>
  <si>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</si>
  <si>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</si>
  <si>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</si>
  <si>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</si>
  <si>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</si>
  <si>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</si>
  <si>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</si>
  <si>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</si>
  <si>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</si>
  <si>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</si>
  <si>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</si>
  <si>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</si>
  <si>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</si>
  <si>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</si>
  <si>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</si>
  <si>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</si>
  <si>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</si>
  <si>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</si>
  <si>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</si>
  <si>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</si>
  <si>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</si>
  <si>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</si>
  <si>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</si>
  <si>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</si>
  <si>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</si>
  <si>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</si>
  <si>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</si>
  <si>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</si>
  <si>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</si>
  <si>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</si>
  <si>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</si>
  <si>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</si>
  <si>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</si>
  <si>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</si>
  <si>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</si>
  <si>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</si>
  <si>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</si>
  <si>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</si>
  <si>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</si>
  <si>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</si>
  <si>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</si>
  <si>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</si>
  <si>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</si>
  <si>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</si>
  <si>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</si>
  <si>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</si>
  <si>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</si>
  <si>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</si>
  <si>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</si>
  <si>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</si>
  <si>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</si>
  <si>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</si>
  <si>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</si>
  <si>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</si>
  <si>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</si>
  <si>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</si>
  <si>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</si>
  <si>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</si>
  <si>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</si>
  <si>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</si>
  <si>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</si>
  <si>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</si>
  <si>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</si>
  <si>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</si>
  <si>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</si>
  <si>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</si>
  <si>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</si>
  <si>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</si>
  <si>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</si>
  <si>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</si>
  <si>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</si>
  <si>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</si>
  <si>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</si>
  <si>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</si>
  <si>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</si>
  <si>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</si>
  <si>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</si>
  <si>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</si>
  <si>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</si>
  <si>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</si>
  <si>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</si>
  <si>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</si>
  <si>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</si>
  <si>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</si>
  <si>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</si>
  <si>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</si>
  <si>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</si>
  <si>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</si>
  <si>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</si>
  <si>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</si>
  <si>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</si>
  <si>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</si>
  <si>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</si>
  <si>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</si>
  <si>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</si>
  <si>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</si>
  <si>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</si>
  <si>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</si>
  <si>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</si>
  <si>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</si>
  <si>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</si>
  <si>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</si>
  <si>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</si>
  <si>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</si>
  <si>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</si>
  <si>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</si>
  <si>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</si>
  <si>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</si>
  <si>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</si>
  <si>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</si>
  <si>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</si>
  <si>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</si>
  <si>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</si>
  <si>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</si>
  <si>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</si>
  <si>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</si>
  <si>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</si>
  <si>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</si>
  <si>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</si>
  <si>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</si>
  <si>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</si>
  <si>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</si>
  <si>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</si>
  <si>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</si>
  <si>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</si>
  <si>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</si>
  <si>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</si>
  <si>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</si>
  <si>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</si>
  <si>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</si>
  <si>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</si>
  <si>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</si>
  <si>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</si>
  <si>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</si>
  <si>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</si>
  <si>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</si>
  <si>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</si>
  <si>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</si>
  <si>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</si>
  <si>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</si>
  <si>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</si>
  <si>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</si>
  <si>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</si>
  <si>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</si>
  <si>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</si>
  <si>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</si>
  <si>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</si>
  <si>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</si>
  <si>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</si>
  <si>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</si>
  <si>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</si>
  <si>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</si>
  <si>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</si>
  <si>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</si>
  <si>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</si>
  <si>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</si>
  <si>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</si>
  <si>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</si>
  <si>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</si>
  <si>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</si>
  <si>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</si>
  <si>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</si>
  <si>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</si>
  <si>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</si>
  <si>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</si>
  <si>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</si>
  <si>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</si>
  <si>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</si>
  <si>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</si>
  <si>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</si>
  <si>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</si>
  <si>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</si>
  <si>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</si>
  <si>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</si>
  <si>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</si>
  <si>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</si>
  <si>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</si>
  <si>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</si>
  <si>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</si>
  <si>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</si>
  <si>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</si>
  <si>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</si>
  <si>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</si>
  <si>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</si>
  <si>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</si>
  <si>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</si>
  <si>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</si>
  <si>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</si>
  <si>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</si>
  <si>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</si>
  <si>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</si>
  <si>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</si>
  <si>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</si>
  <si>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</si>
  <si>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</si>
  <si>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</si>
  <si>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</si>
  <si>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</si>
  <si>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</si>
  <si>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</si>
  <si>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</si>
  <si>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</si>
  <si>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</si>
  <si>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</si>
  <si>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</si>
  <si>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</si>
  <si>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</si>
  <si>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</si>
  <si>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</si>
  <si>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</si>
  <si>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</si>
  <si>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</si>
  <si>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</si>
  <si>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</si>
  <si>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</si>
  <si>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</si>
  <si>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</si>
  <si>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</si>
  <si>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</si>
  <si>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</si>
  <si>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</si>
  <si>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</si>
  <si>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</si>
  <si>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</si>
  <si>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</si>
  <si>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</si>
  <si>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</si>
  <si>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</si>
  <si>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</si>
  <si>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</si>
  <si>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</si>
  <si>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</si>
  <si>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</si>
  <si>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</si>
  <si>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</si>
  <si>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</si>
  <si>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</si>
  <si>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</si>
  <si>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</si>
  <si>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</si>
  <si>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</si>
  <si>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</si>
  <si>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</si>
  <si>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</si>
  <si>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</si>
  <si>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</si>
  <si>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</si>
  <si>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</si>
  <si>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</si>
  <si>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</si>
  <si>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</si>
  <si>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</si>
  <si>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</si>
  <si>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</si>
  <si>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</si>
  <si>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</si>
  <si>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</si>
  <si>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</si>
  <si>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</si>
  <si>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</si>
  <si>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</si>
  <si>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</si>
  <si>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</si>
  <si>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</si>
  <si>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</si>
  <si>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</si>
  <si>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</si>
  <si>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</si>
  <si>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</si>
  <si>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</si>
  <si>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</si>
  <si>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</si>
  <si>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</si>
  <si>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</si>
  <si>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</si>
  <si>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</si>
  <si>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</si>
  <si>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</si>
  <si>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</si>
  <si>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</si>
  <si>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</si>
  <si>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</si>
  <si>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</si>
  <si>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</si>
  <si>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</si>
  <si>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</si>
  <si>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</si>
  <si>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</si>
  <si>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</si>
  <si>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</si>
  <si>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</si>
  <si>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</si>
  <si>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</si>
  <si>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</si>
  <si>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</si>
  <si>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</si>
  <si>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</si>
  <si>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</si>
  <si>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</si>
  <si>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</si>
  <si>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</si>
  <si>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</si>
  <si>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</si>
  <si>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</si>
  <si>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</si>
  <si>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</si>
  <si>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</si>
  <si>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</si>
  <si>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</si>
  <si>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</si>
  <si>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</si>
  <si>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</si>
  <si>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</si>
  <si>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</si>
  <si>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</si>
  <si>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</si>
  <si>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</si>
  <si>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</si>
  <si>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</si>
  <si>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</si>
  <si>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</si>
  <si>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</si>
  <si>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</si>
  <si>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</si>
  <si>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</si>
  <si>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</si>
  <si>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</si>
  <si>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</si>
  <si>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</si>
  <si>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</si>
  <si>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</si>
  <si>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</si>
  <si>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</si>
  <si>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</si>
  <si>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</si>
  <si>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</si>
  <si>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</si>
  <si>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</si>
  <si>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</si>
  <si>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</si>
  <si>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</si>
  <si>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</si>
  <si>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</si>
  <si>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</si>
  <si>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</si>
  <si>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</si>
  <si>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</si>
  <si>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</si>
  <si>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</si>
  <si>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</si>
  <si>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</si>
  <si>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</si>
  <si>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</si>
  <si>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</si>
  <si>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</si>
  <si>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</si>
  <si>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</si>
  <si>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</si>
  <si>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</si>
  <si>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</si>
  <si>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</si>
  <si>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</si>
  <si>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</si>
  <si>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</si>
  <si>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</si>
  <si>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</si>
  <si>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</si>
  <si>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</si>
  <si>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</si>
  <si>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</si>
  <si>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</si>
  <si>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</si>
  <si>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</si>
  <si>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</si>
  <si>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</si>
  <si>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</si>
  <si>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</si>
  <si>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</si>
  <si>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</si>
  <si>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</si>
  <si>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</si>
  <si>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</si>
  <si>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</si>
  <si>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</si>
  <si>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</si>
  <si>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</si>
  <si>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</si>
  <si>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</si>
  <si>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</si>
  <si>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</si>
  <si>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</si>
  <si>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</si>
  <si>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</si>
  <si>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</si>
  <si>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</si>
  <si>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</si>
  <si>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</si>
  <si>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</si>
  <si>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</si>
  <si>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</si>
  <si>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</si>
  <si>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</si>
  <si>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</si>
  <si>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</si>
  <si>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</si>
  <si>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</si>
  <si>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</si>
  <si>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</si>
  <si>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</si>
  <si>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</si>
  <si>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</si>
  <si>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</si>
  <si>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</si>
  <si>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</si>
  <si>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</si>
  <si>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</si>
  <si>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</si>
  <si>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</si>
  <si>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</si>
  <si>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</si>
  <si>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</si>
  <si>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</si>
  <si>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</si>
  <si>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</si>
  <si>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</si>
  <si>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</si>
  <si>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</si>
  <si>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</si>
  <si>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</si>
  <si>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</si>
  <si>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</si>
  <si>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</si>
  <si>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</si>
  <si>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</si>
  <si>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</si>
  <si>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</si>
  <si>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</si>
  <si>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</si>
  <si>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</si>
  <si>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</si>
  <si>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</si>
  <si>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</si>
  <si>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</si>
  <si>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</si>
  <si>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</si>
  <si>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</si>
  <si>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</si>
  <si>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</si>
  <si>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</si>
  <si>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</si>
  <si>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</si>
  <si>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</si>
  <si>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</si>
  <si>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</si>
  <si>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</si>
  <si>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</si>
  <si>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</si>
  <si>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</si>
  <si>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</si>
  <si>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</si>
  <si>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</si>
  <si>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</si>
  <si>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</si>
  <si>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</si>
  <si>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</si>
  <si>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</si>
  <si>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</si>
  <si>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</si>
  <si>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</si>
  <si>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</si>
  <si>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</si>
  <si>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</si>
  <si>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</si>
  <si>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</si>
  <si>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</si>
  <si>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</si>
  <si>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</si>
  <si>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</si>
  <si>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</si>
  <si>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</si>
  <si>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</si>
  <si>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</si>
  <si>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</si>
  <si>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</si>
  <si>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</si>
  <si>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</si>
  <si>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</si>
  <si>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</si>
  <si>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</si>
  <si>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</si>
  <si>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</si>
  <si>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</si>
  <si>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</si>
  <si>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</si>
  <si>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</si>
  <si>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</si>
  <si>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</si>
  <si>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</si>
  <si>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</si>
  <si>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</si>
  <si>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</si>
  <si>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</si>
  <si>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</si>
  <si>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</si>
  <si>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</si>
  <si>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</si>
  <si>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</si>
  <si>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</si>
  <si>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</si>
  <si>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</si>
  <si>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</si>
  <si>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</si>
  <si>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</si>
  <si>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</si>
  <si>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</si>
  <si>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</si>
  <si>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</si>
  <si>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</si>
  <si>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</si>
  <si>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</si>
  <si>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</si>
  <si>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</si>
  <si>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</si>
  <si>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</si>
  <si>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</si>
  <si>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</si>
  <si>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</si>
  <si>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</si>
  <si>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</si>
  <si>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</si>
  <si>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</si>
  <si>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</si>
  <si>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</si>
  <si>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</si>
  <si>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</si>
  <si>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</si>
  <si>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</si>
  <si>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</si>
  <si>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</si>
  <si>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</si>
  <si>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</si>
  <si>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</si>
  <si>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</si>
  <si>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</si>
  <si>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</si>
  <si>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</si>
  <si>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</si>
  <si>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</si>
  <si>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</si>
  <si>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</si>
  <si>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</si>
  <si>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</si>
  <si>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</si>
  <si>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</si>
  <si>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</si>
  <si>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</si>
  <si>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</si>
  <si>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</si>
  <si>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</si>
  <si>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</si>
  <si>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</si>
  <si>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</si>
  <si>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</si>
  <si>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</si>
  <si>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</si>
  <si>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</si>
  <si>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</si>
  <si>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</si>
  <si>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</si>
  <si>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</si>
  <si>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</si>
  <si>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</si>
  <si>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</si>
  <si>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</si>
  <si>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</si>
  <si>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</si>
  <si>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</si>
  <si>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</si>
  <si>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</si>
  <si>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</si>
  <si>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</si>
  <si>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</si>
  <si>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</si>
  <si>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</si>
  <si>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</si>
  <si>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</si>
  <si>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</si>
  <si>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</si>
  <si>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</si>
  <si>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</si>
  <si>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</si>
  <si>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</si>
  <si>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</si>
  <si>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</si>
  <si>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</si>
  <si>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</si>
  <si>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</si>
  <si>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</si>
  <si>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</si>
  <si>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</si>
  <si>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</si>
  <si>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</si>
  <si>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</si>
  <si>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</si>
  <si>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</si>
  <si>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</si>
  <si>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</si>
  <si>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</si>
  <si>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</si>
  <si>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</si>
  <si>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</si>
  <si>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</si>
  <si>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</si>
  <si>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</si>
  <si>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</si>
  <si>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</si>
  <si>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</si>
  <si>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</si>
  <si>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</si>
  <si>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</si>
  <si>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</si>
  <si>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</si>
  <si>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</si>
  <si>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</si>
  <si>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</si>
  <si>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</si>
  <si>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</si>
  <si>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</si>
  <si>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</si>
  <si>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</si>
  <si>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</si>
  <si>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</si>
  <si>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</si>
  <si>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</si>
  <si>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</si>
  <si>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</si>
  <si>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</si>
  <si>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</si>
  <si>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</si>
  <si>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</si>
  <si>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</si>
  <si>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</si>
  <si>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</si>
  <si>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</si>
  <si>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</si>
  <si>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</si>
  <si>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</si>
  <si>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</si>
  <si>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</si>
  <si>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</si>
  <si>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</si>
  <si>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</si>
  <si>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</si>
  <si>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</si>
  <si>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</si>
  <si>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</si>
  <si>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</si>
  <si>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</si>
  <si>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</si>
  <si>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</si>
  <si>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</si>
  <si>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</si>
  <si>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</si>
  <si>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</si>
  <si>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</si>
  <si>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</si>
  <si>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</si>
  <si>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</si>
  <si>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</si>
  <si>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</si>
  <si>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</si>
  <si>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</si>
  <si>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</si>
  <si>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</si>
  <si>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</si>
  <si>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</si>
  <si>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</si>
  <si>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</si>
  <si>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</si>
  <si>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</si>
  <si>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</si>
  <si>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</si>
  <si>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</si>
  <si>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</si>
  <si>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</si>
  <si>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</si>
  <si>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</si>
  <si>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</si>
  <si>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</si>
  <si>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</si>
  <si>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</si>
  <si>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</si>
  <si>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</si>
  <si>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</si>
  <si>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</si>
  <si>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</si>
  <si>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</si>
  <si>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</si>
  <si>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</si>
  <si>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</si>
  <si>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</si>
  <si>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</si>
  <si>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</si>
  <si>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</si>
  <si>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</si>
  <si>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</si>
  <si>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</si>
  <si>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</si>
  <si>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</si>
  <si>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</si>
  <si>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</si>
  <si>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</si>
  <si>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</si>
  <si>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</si>
  <si>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</si>
  <si>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</si>
  <si>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</si>
  <si>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</si>
  <si>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</si>
  <si>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</si>
  <si>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</si>
  <si>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</si>
  <si>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</si>
  <si>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</si>
  <si>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</si>
  <si>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</si>
  <si>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</si>
  <si>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</si>
  <si>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</si>
  <si>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</si>
  <si>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</si>
  <si>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</si>
  <si>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</si>
  <si>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</si>
  <si>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</si>
  <si>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</si>
  <si>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</si>
  <si>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</si>
  <si>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</si>
  <si>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</si>
  <si>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</si>
  <si>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</si>
  <si>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</si>
  <si>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</si>
  <si>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</si>
  <si>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</si>
  <si>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</si>
  <si>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</si>
  <si>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</si>
  <si>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</si>
  <si>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</si>
  <si>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</si>
  <si>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</si>
  <si>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</si>
  <si>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</si>
  <si>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</si>
  <si>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</si>
  <si>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</si>
  <si>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</si>
  <si>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</si>
  <si>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</si>
  <si>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</si>
  <si>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</si>
  <si>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</si>
  <si>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</si>
  <si>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</si>
  <si>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</si>
  <si>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</si>
  <si>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</si>
  <si>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</si>
  <si>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</si>
  <si>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</si>
  <si>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</si>
  <si>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</si>
  <si>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</si>
  <si>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</si>
  <si>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</si>
  <si>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</si>
  <si>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</si>
  <si>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</si>
  <si>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</si>
  <si>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</si>
  <si>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</si>
  <si>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</si>
  <si>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</si>
  <si>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</si>
  <si>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</si>
  <si>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</si>
  <si>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</si>
  <si>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</si>
  <si>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</si>
  <si>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</si>
  <si>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</si>
  <si>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</si>
  <si>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</si>
  <si>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</si>
  <si>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</si>
  <si>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</si>
  <si>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</si>
  <si>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</si>
  <si>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</si>
  <si>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</si>
  <si>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</si>
  <si>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</si>
  <si>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</si>
  <si>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</si>
  <si>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</si>
  <si>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</si>
  <si>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</si>
  <si>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</si>
  <si>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</si>
  <si>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</si>
  <si>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</si>
  <si>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</si>
  <si>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</si>
  <si>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</si>
  <si>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</si>
  <si>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</si>
  <si>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</si>
  <si>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</si>
  <si>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</si>
  <si>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</si>
  <si>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</si>
  <si>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</si>
  <si>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</si>
  <si>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</si>
  <si>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</si>
  <si>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</si>
  <si>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</si>
  <si>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</si>
  <si>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</si>
  <si>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</si>
  <si>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</si>
  <si>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</si>
  <si>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</si>
  <si>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</si>
  <si>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</si>
  <si>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</si>
  <si>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</si>
  <si>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</si>
  <si>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</si>
  <si>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</si>
  <si>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</si>
  <si>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</si>
  <si>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</si>
  <si>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</si>
  <si>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</si>
  <si>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</si>
  <si>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</si>
  <si>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</si>
  <si>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</si>
  <si>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</si>
  <si>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</si>
  <si>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</si>
  <si>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</si>
  <si>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</si>
  <si>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</si>
  <si>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</si>
  <si>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</si>
  <si>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</si>
  <si>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</si>
  <si>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</si>
  <si>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</si>
  <si>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</si>
  <si>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</si>
  <si>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</si>
  <si>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</si>
  <si>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</si>
  <si>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</si>
  <si>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</si>
  <si>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</si>
  <si>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</si>
  <si>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</si>
  <si>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</si>
  <si>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</si>
  <si>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</si>
  <si>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</si>
  <si>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</si>
  <si>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</si>
  <si>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</si>
  <si>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</si>
  <si>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</si>
  <si>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</si>
  <si>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</si>
  <si>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</si>
  <si>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</si>
  <si>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</si>
  <si>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</si>
  <si>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</si>
  <si>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</si>
  <si>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</si>
  <si>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</si>
  <si>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</si>
  <si>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</si>
  <si>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</si>
  <si>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</si>
  <si>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</si>
  <si>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</si>
  <si>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</si>
  <si>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</si>
  <si>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</si>
  <si>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</si>
  <si>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</si>
  <si>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</si>
  <si>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</si>
  <si>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</si>
  <si>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</si>
  <si>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</si>
  <si>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</si>
  <si>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</si>
  <si>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</si>
  <si>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</si>
  <si>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</si>
  <si>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</si>
  <si>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</si>
  <si>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</si>
  <si>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</si>
  <si>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</si>
  <si>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</si>
  <si>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</si>
  <si>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</si>
  <si>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</si>
  <si>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</si>
  <si>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</si>
  <si>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</si>
  <si>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</si>
  <si>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</si>
  <si>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</si>
  <si>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</si>
  <si>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</si>
  <si>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</si>
  <si>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</si>
  <si>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</si>
  <si>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</si>
  <si>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</si>
  <si>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</si>
  <si>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</si>
  <si>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</si>
  <si>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</si>
  <si>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</si>
  <si>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</si>
  <si>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</si>
  <si>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</si>
  <si>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</si>
  <si>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</si>
  <si>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</si>
  <si>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</si>
  <si>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</si>
  <si>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</si>
  <si>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</si>
  <si>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</si>
  <si>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</si>
  <si>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</si>
  <si>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</si>
  <si>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</si>
  <si>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</si>
  <si>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</si>
  <si>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</si>
  <si>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</si>
  <si>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</si>
  <si>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</si>
  <si>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</si>
  <si>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</si>
  <si>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</si>
  <si>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</si>
  <si>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</si>
  <si>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</si>
  <si>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</si>
  <si>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</si>
  <si>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</si>
  <si>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</si>
  <si>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</si>
  <si>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</si>
  <si>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</si>
  <si>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</si>
  <si>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</si>
  <si>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</si>
  <si>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</si>
  <si>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</si>
  <si>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</si>
  <si>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</si>
  <si>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</si>
  <si>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</si>
  <si>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</si>
  <si>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</si>
  <si>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</si>
  <si>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</si>
  <si>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</si>
  <si>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</si>
  <si>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</si>
  <si>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</si>
  <si>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</si>
  <si>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</si>
  <si>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</si>
  <si>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</si>
  <si>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</si>
  <si>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</si>
  <si>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</si>
  <si>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</si>
  <si>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</si>
  <si>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</si>
  <si>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</si>
  <si>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</si>
  <si>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</si>
  <si>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</si>
  <si>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</si>
  <si>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</si>
  <si>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</si>
  <si>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</si>
  <si>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</si>
  <si>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</si>
  <si>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</si>
  <si>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</si>
  <si>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</si>
  <si>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</si>
  <si>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</si>
  <si>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</si>
  <si>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</si>
  <si>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</si>
  <si>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</si>
  <si>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</si>
  <si>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</si>
  <si>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</si>
  <si>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</si>
  <si>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</si>
  <si>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</si>
  <si>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</si>
  <si>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</si>
  <si>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</si>
  <si>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</si>
  <si>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</si>
  <si>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</si>
  <si>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</si>
  <si>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</si>
  <si>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</si>
  <si>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</si>
  <si>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</si>
  <si>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</si>
  <si>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</si>
  <si>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</si>
  <si>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</si>
  <si>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</si>
  <si>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</si>
  <si>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</si>
  <si>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</si>
  <si>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</si>
  <si>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</si>
  <si>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</si>
  <si>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</si>
  <si>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</si>
  <si>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</si>
  <si>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</si>
  <si>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</si>
  <si>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</si>
  <si>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</si>
  <si>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</si>
  <si>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</si>
  <si>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</si>
  <si>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</si>
  <si>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</si>
  <si>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</si>
  <si>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</si>
  <si>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</si>
  <si>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</si>
  <si>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</si>
  <si>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</si>
  <si>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</si>
  <si>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</si>
  <si>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</si>
  <si>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</si>
  <si>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</si>
  <si>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</si>
  <si>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</si>
  <si>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</si>
  <si>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</si>
  <si>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</si>
  <si>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</si>
  <si>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</si>
  <si>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</si>
  <si>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</si>
  <si>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</si>
  <si>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</si>
  <si>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</si>
  <si>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</si>
  <si>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</si>
  <si>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</si>
  <si>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</si>
  <si>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</si>
  <si>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</si>
  <si>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</si>
  <si>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</si>
  <si>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</si>
  <si>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</si>
  <si>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</si>
  <si>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</si>
  <si>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</si>
  <si>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</si>
  <si>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</si>
  <si>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</si>
  <si>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</si>
  <si>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</si>
  <si>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</si>
  <si>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</si>
  <si>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</si>
  <si>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</si>
  <si>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</si>
  <si>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</si>
  <si>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</si>
  <si>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</si>
  <si>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</si>
  <si>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</si>
  <si>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</si>
  <si>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</si>
  <si>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</si>
  <si>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</si>
  <si>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</si>
  <si>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</si>
  <si>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</si>
  <si>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</si>
  <si>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</si>
  <si>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</si>
  <si>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</si>
  <si>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</si>
  <si>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</si>
  <si>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</si>
  <si>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</si>
  <si>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</si>
  <si>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</si>
  <si>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</si>
  <si>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</si>
  <si>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</si>
  <si>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</si>
  <si>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</si>
  <si>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</si>
  <si>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</si>
  <si>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</si>
  <si>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</si>
  <si>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</si>
  <si>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</si>
  <si>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</si>
  <si>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</si>
  <si>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</si>
  <si>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</si>
  <si>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</si>
  <si>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</si>
  <si>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</si>
  <si>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</si>
  <si>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</si>
  <si>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</si>
  <si>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</si>
  <si>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</si>
  <si>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</si>
  <si>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</si>
  <si>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</si>
  <si>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</si>
  <si>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</si>
  <si>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</si>
  <si>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</si>
  <si>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</si>
  <si>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</si>
  <si>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</si>
  <si>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</si>
  <si>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</si>
  <si>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</si>
  <si>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</si>
  <si>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</si>
  <si>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</si>
  <si>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</si>
  <si>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</si>
  <si>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</si>
  <si>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</si>
  <si>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</si>
  <si>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</si>
  <si>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</si>
  <si>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</si>
  <si>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</si>
  <si>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</si>
  <si>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</si>
  <si>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</si>
  <si>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</si>
  <si>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</si>
  <si>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</si>
  <si>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</si>
  <si>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</si>
  <si>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</si>
  <si>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</si>
  <si>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</si>
  <si>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</si>
  <si>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</si>
  <si>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</si>
  <si>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</si>
  <si>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</si>
  <si>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</si>
  <si>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</si>
  <si>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</si>
  <si>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</si>
  <si>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</si>
  <si>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</si>
  <si>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</si>
  <si>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</si>
  <si>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</si>
  <si>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</si>
  <si>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</si>
  <si>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</si>
  <si>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</si>
  <si>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</si>
  <si>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</si>
  <si>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</si>
  <si>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</si>
  <si>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</si>
  <si>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</si>
  <si>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</si>
  <si>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</si>
  <si>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</si>
  <si>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</si>
  <si>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</si>
  <si>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</si>
  <si>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</si>
  <si>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</si>
  <si>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</si>
  <si>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</si>
  <si>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</si>
  <si>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</si>
  <si>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</si>
  <si>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</si>
  <si>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</si>
  <si>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</si>
  <si>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</si>
  <si>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</si>
  <si>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</si>
  <si>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</si>
  <si>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</si>
  <si>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</si>
  <si>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</si>
  <si>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</si>
  <si>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</si>
  <si>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</si>
  <si>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</si>
  <si>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</si>
  <si>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</si>
  <si>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</si>
  <si>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</si>
  <si>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</si>
  <si>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</si>
  <si>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</si>
  <si>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</si>
  <si>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</si>
  <si>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</si>
  <si>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</si>
  <si>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</si>
  <si>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</si>
  <si>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</si>
  <si>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</si>
  <si>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</si>
  <si>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</si>
  <si>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</si>
  <si>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</si>
  <si>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</si>
  <si>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</si>
  <si>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</si>
  <si>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</si>
  <si>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</si>
  <si>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</si>
  <si>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</si>
  <si>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</si>
  <si>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</si>
  <si>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</si>
  <si>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</si>
  <si>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</si>
  <si>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</si>
  <si>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</si>
  <si>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</si>
  <si>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</si>
  <si>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</si>
  <si>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</si>
  <si>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</si>
  <si>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</si>
  <si>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</si>
  <si>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</si>
  <si>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</si>
  <si>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</si>
  <si>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</si>
  <si>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</si>
  <si>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</si>
  <si>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</si>
  <si>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</si>
  <si>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</si>
  <si>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</si>
  <si>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</si>
  <si>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</si>
  <si>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</si>
  <si>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</si>
  <si>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</si>
  <si>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</si>
  <si>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</si>
  <si>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</si>
  <si>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</si>
  <si>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</si>
  <si>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</si>
  <si>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</si>
  <si>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</si>
  <si>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</si>
  <si>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</si>
  <si>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</si>
  <si>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</si>
  <si>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</si>
  <si>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</si>
  <si>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</si>
  <si>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</si>
  <si>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</si>
  <si>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</si>
  <si>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</si>
  <si>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</si>
  <si>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</si>
  <si>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</si>
  <si>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</si>
  <si>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</si>
  <si>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</si>
  <si>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</si>
  <si>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</si>
  <si>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</si>
  <si>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</si>
  <si>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</si>
  <si>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</si>
  <si>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</si>
  <si>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</si>
  <si>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</si>
  <si>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</si>
  <si>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</si>
  <si>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</si>
  <si>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</si>
  <si>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</si>
  <si>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</si>
  <si>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</si>
  <si>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</si>
  <si>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</si>
  <si>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</si>
  <si>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</si>
  <si>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</si>
  <si>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</si>
  <si>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</si>
  <si>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</si>
  <si>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</si>
  <si>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</si>
  <si>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</si>
  <si>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</si>
  <si>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</si>
  <si>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</si>
  <si>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</si>
  <si>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</si>
  <si>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</si>
  <si>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</si>
  <si>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</si>
  <si>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</si>
  <si>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</si>
  <si>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</si>
  <si>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</si>
  <si>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</si>
  <si>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</si>
  <si>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</si>
  <si>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</si>
  <si>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</si>
  <si>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</si>
  <si>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</si>
  <si>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</si>
  <si>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</si>
  <si>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</si>
  <si>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</si>
  <si>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</si>
  <si>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</si>
  <si>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</si>
  <si>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</si>
  <si>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</si>
  <si>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</si>
  <si>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</si>
  <si>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</si>
  <si>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</si>
  <si>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</si>
  <si>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</si>
  <si>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</si>
  <si>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</si>
  <si>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</si>
  <si>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</si>
  <si>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</si>
  <si>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</si>
  <si>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</si>
  <si>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</si>
  <si>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</si>
  <si>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</si>
  <si>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</si>
  <si>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</si>
  <si>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</si>
  <si>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</si>
  <si>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</si>
  <si>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</si>
  <si>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</si>
  <si>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</si>
  <si>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</si>
  <si>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</si>
  <si>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</si>
  <si>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</si>
  <si>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</si>
  <si>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</si>
  <si>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</si>
  <si>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</si>
  <si>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</si>
  <si>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</si>
  <si>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</si>
  <si>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</si>
  <si>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</si>
  <si>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</si>
  <si>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</si>
  <si>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</si>
  <si>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</si>
  <si>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</si>
  <si>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</si>
  <si>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</si>
  <si>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</si>
  <si>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</si>
  <si>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</si>
  <si>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</si>
  <si>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</si>
  <si>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</si>
  <si>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</si>
  <si>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</si>
  <si>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</si>
  <si>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</si>
  <si>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</si>
  <si>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</si>
  <si>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</si>
  <si>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</si>
  <si>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</si>
  <si>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</si>
  <si>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</si>
  <si>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</si>
  <si>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</si>
  <si>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</si>
  <si>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</si>
  <si>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</si>
  <si>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</si>
  <si>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</si>
  <si>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</si>
  <si>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</si>
  <si>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</si>
  <si>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</si>
  <si>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</si>
  <si>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</si>
  <si>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</si>
  <si>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</si>
  <si>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</si>
  <si>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</si>
  <si>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</si>
  <si>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</si>
  <si>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</si>
  <si>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</si>
  <si>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</si>
  <si>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</si>
  <si>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</si>
  <si>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</si>
  <si>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</si>
  <si>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</si>
  <si>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</si>
  <si>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</si>
  <si>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</si>
  <si>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</si>
  <si>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</si>
  <si>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</si>
  <si>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</si>
  <si>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</si>
  <si>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</si>
  <si>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</si>
  <si>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</si>
  <si>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</si>
  <si>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</si>
  <si>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</si>
  <si>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</si>
  <si>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</si>
  <si>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</si>
  <si>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</si>
  <si>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</si>
  <si>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</si>
  <si>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</si>
  <si>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</si>
  <si>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</si>
  <si>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</si>
  <si>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</si>
  <si>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</si>
  <si>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</si>
  <si>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</si>
  <si>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</si>
  <si>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</si>
  <si>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</si>
  <si>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</si>
  <si>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</si>
  <si>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</si>
  <si>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</si>
  <si>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</si>
  <si>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</si>
  <si>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</si>
  <si>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</si>
  <si>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</si>
  <si>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</si>
  <si>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</si>
  <si>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</si>
  <si>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</si>
  <si>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</si>
  <si>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</si>
  <si>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</si>
  <si>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</si>
  <si>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</si>
  <si>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</si>
  <si>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</si>
  <si>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</si>
  <si>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</si>
  <si>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</si>
  <si>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</si>
  <si>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</si>
  <si>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</si>
  <si>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</si>
  <si>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</si>
  <si>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</si>
  <si>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</si>
  <si>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</si>
  <si>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</si>
  <si>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</si>
  <si>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</si>
  <si>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</si>
  <si>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</si>
  <si>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</si>
  <si>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</si>
  <si>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</si>
  <si>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</si>
  <si>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</si>
  <si>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</si>
  <si>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</si>
  <si>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</si>
  <si>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</si>
  <si>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</si>
  <si>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</si>
  <si>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</si>
  <si>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</si>
  <si>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</si>
  <si>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</si>
  <si>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</si>
  <si>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</si>
  <si>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</si>
  <si>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</si>
  <si>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</si>
  <si>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</si>
  <si>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</si>
  <si>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</si>
  <si>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</si>
  <si>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</si>
  <si>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</si>
  <si>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</si>
  <si>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</si>
  <si>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</si>
  <si>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</si>
  <si>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</si>
  <si>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</si>
  <si>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</si>
  <si>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</si>
  <si>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</si>
  <si>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</si>
  <si>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</si>
  <si>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</si>
  <si>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</si>
  <si>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</si>
  <si>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</si>
  <si>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</si>
  <si>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</si>
  <si>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</si>
  <si>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</si>
  <si>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</si>
  <si>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</si>
  <si>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</si>
  <si>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</si>
  <si>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</si>
  <si>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</si>
  <si>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</si>
  <si>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</si>
  <si>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</si>
  <si>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</si>
  <si>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</si>
  <si>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</si>
  <si>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</si>
  <si>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</si>
  <si>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</si>
  <si>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</si>
  <si>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</si>
  <si>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</si>
  <si>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</si>
  <si>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</si>
  <si>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</si>
  <si>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</si>
  <si>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</si>
  <si>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</si>
  <si>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</si>
  <si>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</si>
  <si>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</si>
  <si>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</si>
  <si>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</si>
  <si>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</si>
  <si>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</si>
  <si>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</si>
  <si>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</si>
  <si>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</si>
  <si>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</si>
  <si>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</si>
  <si>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</si>
  <si>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</si>
  <si>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</si>
  <si>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</si>
  <si>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</si>
  <si>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</si>
  <si>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</si>
  <si>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</si>
  <si>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</si>
  <si>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</si>
  <si>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</si>
  <si>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</si>
  <si>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</si>
  <si>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</si>
  <si>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</si>
  <si>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</si>
  <si>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</si>
  <si>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</si>
  <si>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</si>
  <si>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</si>
  <si>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</si>
  <si>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</si>
  <si>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</si>
  <si>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</si>
  <si>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</si>
  <si>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</si>
  <si>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</si>
  <si>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</si>
  <si>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</si>
  <si>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</si>
  <si>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</si>
  <si>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</si>
  <si>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</si>
  <si>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</si>
  <si>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</si>
  <si>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</si>
  <si>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</si>
  <si>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</si>
  <si>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</si>
  <si>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</si>
  <si>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</si>
  <si>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</si>
  <si>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</si>
  <si>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</si>
  <si>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</si>
  <si>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</si>
  <si>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</si>
  <si>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</si>
  <si>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</si>
  <si>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</si>
  <si>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</si>
  <si>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</si>
  <si>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</si>
  <si>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</si>
  <si>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</si>
  <si>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</si>
  <si>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</si>
  <si>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</si>
  <si>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</si>
  <si>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</si>
  <si>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</si>
  <si>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</si>
  <si>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</si>
  <si>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</si>
  <si>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</si>
  <si>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</si>
  <si>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</si>
  <si>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</si>
  <si>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</si>
  <si>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</si>
  <si>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</si>
  <si>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</si>
  <si>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</si>
  <si>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</si>
  <si>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</si>
  <si>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</si>
  <si>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</si>
  <si>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</si>
  <si>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</si>
  <si>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</si>
  <si>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</si>
  <si>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</si>
  <si>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</si>
  <si>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</si>
  <si>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</si>
  <si>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</si>
  <si>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</si>
  <si>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</si>
  <si>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</si>
  <si>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</si>
  <si>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</si>
  <si>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</si>
  <si>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</si>
  <si>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</si>
  <si>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</si>
  <si>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</si>
  <si>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</si>
  <si>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</si>
  <si>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</si>
  <si>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</si>
  <si>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</si>
  <si>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</si>
  <si>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</si>
  <si>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</si>
  <si>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</si>
  <si>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</si>
  <si>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</si>
  <si>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</si>
  <si>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</si>
  <si>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</si>
  <si>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</si>
  <si>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</si>
  <si>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</si>
  <si>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</si>
  <si>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</si>
  <si>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</si>
  <si>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</si>
  <si>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</si>
  <si>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</si>
  <si>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</si>
  <si>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</si>
  <si>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</si>
  <si>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</si>
  <si>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</si>
  <si>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</si>
  <si>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</si>
  <si>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</si>
  <si>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</si>
  <si>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</si>
  <si>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</si>
  <si>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</si>
  <si>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</si>
  <si>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</si>
  <si>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</si>
  <si>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</si>
  <si>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</si>
  <si>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</si>
  <si>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</si>
  <si>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</si>
  <si>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</si>
  <si>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</si>
  <si>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</si>
  <si>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</si>
  <si>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</si>
  <si>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</si>
  <si>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</si>
  <si>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</si>
  <si>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</si>
  <si>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</si>
  <si>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</si>
  <si>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</si>
  <si>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</si>
  <si>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</si>
  <si>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</si>
  <si>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</si>
  <si>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</si>
  <si>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</si>
  <si>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</si>
  <si>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</si>
  <si>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</si>
  <si>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</si>
  <si>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</si>
  <si>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</si>
  <si>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</si>
  <si>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</si>
  <si>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</si>
  <si>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</si>
  <si>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</si>
  <si>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</si>
  <si>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</si>
  <si>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</si>
  <si>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</si>
  <si>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</si>
  <si>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</si>
  <si>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</si>
  <si>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</si>
  <si>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</si>
  <si>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</si>
  <si>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</si>
  <si>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</si>
  <si>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</si>
  <si>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</si>
  <si>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</si>
  <si>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</si>
  <si>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</si>
  <si>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</si>
  <si>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</si>
  <si>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</si>
  <si>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</si>
  <si>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</si>
  <si>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</si>
  <si>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</si>
  <si>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</si>
  <si>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</si>
  <si>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</si>
  <si>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</si>
  <si>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</si>
  <si>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</si>
  <si>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</si>
  <si>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</si>
  <si>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</si>
  <si>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</si>
  <si>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</si>
  <si>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</si>
  <si>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</si>
  <si>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</si>
  <si>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</si>
  <si>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</si>
  <si>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</si>
  <si>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</si>
  <si>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</si>
  <si>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</si>
  <si>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</si>
  <si>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</si>
  <si>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</si>
  <si>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</si>
  <si>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</si>
  <si>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</si>
  <si>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</si>
  <si>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</si>
  <si>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</si>
  <si>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</si>
  <si>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</si>
  <si>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</si>
  <si>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</si>
  <si>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</si>
  <si>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</si>
  <si>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</si>
  <si>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</si>
  <si>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</si>
  <si>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</si>
  <si>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</si>
  <si>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</si>
  <si>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</si>
  <si>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</si>
  <si>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</si>
  <si>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</si>
  <si>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</si>
  <si>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</si>
  <si>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</si>
  <si>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</si>
  <si>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</si>
  <si>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</si>
  <si>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</si>
  <si>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</si>
  <si>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</si>
  <si>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</si>
  <si>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</si>
  <si>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</si>
  <si>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</si>
  <si>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</si>
  <si>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</si>
  <si>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</si>
  <si>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</si>
  <si>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</si>
  <si>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</si>
  <si>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</si>
  <si>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</si>
  <si>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</si>
  <si>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</si>
  <si>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</si>
  <si>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https://delijn.sharepoint.com/:b:/r/teams/CTM-OTGentStad/Shared%20Documents/General/EAF/CSI(nieuwe%20sharepoint)%202025/11.%20November/EAF%205047%20Gent%2032620%2012112025.pdf?csf=1&amp;web=1&amp;e=Luepe0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</si>
</sst>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left"/>
    </xf>
    <xf numFmtId="14" fontId="9" fillId="11" borderId="0" xfId="0" applyNumberFormat="1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right"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2" totalsRowShown="0" headerRowDxfId="10">
  <autoFilter ref="A1:AA97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2">
    <sortCondition ref="T1:T972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77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2"/>
  <sheetViews>
    <sheetView tabSelected="1" zoomScale="85" zoomScaleNormal="85" workbookViewId="0">
      <pane ySplit="1" topLeftCell="A943" activePane="bottomLeft" state="frozen"/>
      <selection activeCell="F1" sqref="F1"/>
      <selection pane="bottomLeft" activeCell="X964" sqref="X96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40403</v>
      </c>
      <c r="B953" t="str">
        <f>_xlfn.CONCAT(bron[[#This Row],[personeelsnr]]," ",bron[[#This Row],[achternaam]]," ",bron[[#This Row],[voornaam]])</f>
        <v>40403 Prové Michaël</v>
      </c>
      <c r="C953" t="str">
        <f>VLOOKUP(bron[[#This Row],[personeelsnr]],'data hastus'!$A:$C,2,0)</f>
        <v>Prové</v>
      </c>
      <c r="D953" t="str">
        <f>VLOOKUP(bron[[#This Row],[personeelsnr]],'data hastus'!$A:$C,3,0)</f>
        <v>Michaël</v>
      </c>
      <c r="E953" s="2" t="str">
        <f>VLOOKUP(bron[[#This Row],[personeelsnr]],'data hastus'!A:K,11,FALSE)</f>
        <v>Dominique De Clercq</v>
      </c>
      <c r="F953" s="10"/>
      <c r="G953" s="39"/>
      <c r="H953" s="39"/>
      <c r="I953" s="39"/>
      <c r="S953" s="44">
        <f>SUM(bron[[#This Row],[Januari]:[December]])</f>
        <v>0</v>
      </c>
      <c r="T953" s="41">
        <v>45974</v>
      </c>
      <c r="U953" s="5" t="s">
        <v>3795</v>
      </c>
      <c r="V953" s="37"/>
      <c r="W953" s="37"/>
      <c r="X953" t="s">
        <v>3513</v>
      </c>
      <c r="Y953" t="s">
        <v>106</v>
      </c>
      <c r="Z953" s="2">
        <v>5233</v>
      </c>
      <c r="AA953" s="43" t="s">
        <v>3558</v>
      </c>
    </row>
    <row r="954" spans="1:27" x14ac:dyDescent="0.25">
      <c r="A954">
        <v>42249</v>
      </c>
      <c r="B954" t="str">
        <f>_xlfn.CONCAT(bron[[#This Row],[personeelsnr]]," ",bron[[#This Row],[achternaam]]," ",bron[[#This Row],[voornaam]])</f>
        <v>42249 Bontinck Stephan</v>
      </c>
      <c r="C954" t="str">
        <f>VLOOKUP(bron[[#This Row],[personeelsnr]],'data hastus'!$A:$C,2,0)</f>
        <v>Bontinck</v>
      </c>
      <c r="D954" t="str">
        <f>VLOOKUP(bron[[#This Row],[personeelsnr]],'data hastus'!$A:$C,3,0)</f>
        <v>Stephan</v>
      </c>
      <c r="E954" s="2" t="str">
        <f>VLOOKUP(bron[[#This Row],[personeelsnr]],'data hastus'!A:K,11,FALSE)</f>
        <v>Kenneth De Rick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3797</v>
      </c>
      <c r="V954" s="37"/>
      <c r="W954" s="37"/>
      <c r="X954" t="s">
        <v>3513</v>
      </c>
      <c r="Y954" t="s">
        <v>3798</v>
      </c>
      <c r="Z954" s="2" t="s">
        <v>3799</v>
      </c>
      <c r="AA954" s="43" t="s">
        <v>3631</v>
      </c>
    </row>
    <row r="955" spans="1:27" s="47" customFormat="1" x14ac:dyDescent="0.25">
      <c r="A955" s="47">
        <v>32620</v>
      </c>
      <c r="B955" s="47" t="str">
        <f>_xlfn.CONCAT(bron[[#This Row],[personeelsnr]]," ",bron[[#This Row],[achternaam]]," ",bron[[#This Row],[voornaam]])</f>
        <v>32620 Saey Elias</v>
      </c>
      <c r="C955" s="47" t="str">
        <f>VLOOKUP(bron[[#This Row],[personeelsnr]],'data hastus'!$A:$C,2,0)</f>
        <v>Saey</v>
      </c>
      <c r="D955" s="47" t="str">
        <f>VLOOKUP(bron[[#This Row],[personeelsnr]],'data hastus'!$A:$C,3,0)</f>
        <v>Elias</v>
      </c>
      <c r="E955" s="48" t="str">
        <f>VLOOKUP(bron[[#This Row],[personeelsnr]],'data hastus'!A:K,11,FALSE)</f>
        <v>Els Vanhoe</v>
      </c>
      <c r="F955" s="10"/>
      <c r="G955" s="39"/>
      <c r="H955" s="39"/>
      <c r="I955" s="39"/>
      <c r="J955" s="36"/>
      <c r="K955" s="36"/>
      <c r="L955" s="36"/>
      <c r="M955" s="36"/>
      <c r="N955" s="36"/>
      <c r="O955" s="36"/>
      <c r="P955" s="36"/>
      <c r="Q955" s="36"/>
      <c r="R955" s="36"/>
      <c r="S955" s="44">
        <f>SUM(bron[[#This Row],[Januari]:[December]])</f>
        <v>0</v>
      </c>
      <c r="T955" s="49">
        <v>45973</v>
      </c>
      <c r="U955" s="50" t="s">
        <v>3800</v>
      </c>
      <c r="V955" s="37"/>
      <c r="W955" s="37"/>
      <c r="X955" s="47" t="s">
        <v>3513</v>
      </c>
      <c r="Y955" s="47" t="s">
        <v>3770</v>
      </c>
      <c r="Z955" s="48">
        <v>5047</v>
      </c>
      <c r="AA955" s="51" t="s">
        <v>3558</v>
      </c>
    </row>
    <row r="956" spans="1:27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  <row r="972" spans="2:23" x14ac:dyDescent="0.25">
      <c r="B972" t="e">
        <f>_xlfn.CONCAT(bron[[#This Row],[personeelsnr]]," ",bron[[#This Row],[achternaam]]," ",bron[[#This Row],[voornaam]])</f>
        <v>#N/A</v>
      </c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</sheetData>
  <sheetProtection sort="0" autoFilter="0"/>
  <phoneticPr fontId="1" type="noConversion"/>
  <conditionalFormatting sqref="F2:F972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2025-11-17T07:56:28Z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