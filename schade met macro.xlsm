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74" documentId="13_ncr:1_{BC833B0D-2F54-40DF-A6AF-902741D0EBA0}" xr6:coauthVersionLast="47" xr6:coauthVersionMax="47" xr10:uidLastSave="{E18E670E-18ED-4686-9932-AFF6D15CC190}"/>
  <bookViews>
    <workbookView xWindow="-108" yWindow="-108" windowWidth="30768" windowHeight="17628" tabRatio="656" activeTab="5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B862" i="1" s="1"/>
  <c r="D862" i="1"/>
  <c r="E862" i="1"/>
  <c r="S862" i="1"/>
  <c r="C861" i="1"/>
  <c r="D861" i="1"/>
  <c r="E861" i="1"/>
  <c r="S861" i="1"/>
  <c r="C860" i="1"/>
  <c r="D860" i="1"/>
  <c r="E860" i="1"/>
  <c r="S860" i="1"/>
  <c r="B861" i="1" l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<sst xmlns="http://schemas.openxmlformats.org/spreadsheetml/2006/main" count="7858" uniqueCount="3624">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</sst>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zoomScale="85" zoomScaleNormal="85" workbookViewId="0">
      <pane ySplit="1" topLeftCell="A481" activePane="bottomLeft" state="frozen"/>
      <selection activeCell="F1" sqref="F1"/>
      <selection pane="bottomLeft" activeCell="A862" sqref="A862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3562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 t="s">
        <v>391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 t="s">
        <v>3564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3562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 t="s">
        <v>391</v>
      </c>
      <c r="AA732" s="39" t="s">
        <v>3561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 t="s">
        <v>391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3565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3566</v>
      </c>
      <c r="V860" s="24"/>
      <c r="W860" s="24"/>
      <c r="X860" t="s">
        <v>3514</v>
      </c>
      <c r="Y860" t="s">
        <v>3567</v>
      </c>
      <c r="Z860">
        <v>5913</v>
      </c>
      <c r="AA860" s="39" t="s">
        <v>3561</v>
      </c>
    </row>
    <row r="861" spans="1:27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3570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x14ac:dyDescent="0.3">
      <c r="B862" t="e">
        <f>_xlfn.CONCAT(bron[[#This Row],[personeelsnr]]," ",bron[[#This Row],[achternaam]]," ",bron[[#This Row],[voornaam]])</f>
        <v>#N/A</v>
      </c>
      <c r="C862" t="e">
        <f>VLOOKUP(bron[[#This Row],[personeelsnr]],'data hastus'!$A:$C,2,0)</f>
        <v>#N/A</v>
      </c>
      <c r="D862" t="e">
        <f>VLOOKUP(bron[[#This Row],[personeelsnr]],'data hastus'!$A:$C,3,0)</f>
        <v>#N/A</v>
      </c>
      <c r="E862" t="e">
        <f>VLOOKUP(bron[[#This Row],[personeelsnr]],'data hastus'!A:K,11,FALSE)</f>
        <v>#N/A</v>
      </c>
      <c r="F862" s="10"/>
      <c r="G862" s="7"/>
      <c r="H862" s="7"/>
      <c r="I862" s="7"/>
      <c r="S862" s="5">
        <f>SUM(bron[[#This Row],[Januari]:[December]])</f>
        <v>0</v>
      </c>
      <c r="V862" s="24"/>
      <c r="W862" s="24"/>
    </row>
    <row r="863" spans="1:27" x14ac:dyDescent="0.3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x14ac:dyDescent="0.3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3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opLeftCell="A2" workbookViewId="0">
      <selection activeCell="L34" sqref="L34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3568</v>
      </c>
    </row>
    <row r="39" spans="1:3" x14ac:dyDescent="0.3">
      <c r="A39">
        <v>23079</v>
      </c>
      <c r="B39" t="s">
        <v>3545</v>
      </c>
      <c r="C39" s="8" t="s">
        <v>3569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tabSelected="1" workbookViewId="0">
      <selection sqref="A1:T601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3571</v>
      </c>
      <c r="C40" t="s">
        <v>3572</v>
      </c>
      <c r="D40" s="3">
        <v>38253</v>
      </c>
      <c r="E40" t="s">
        <v>1400</v>
      </c>
      <c r="G40" s="3">
        <v>45918</v>
      </c>
      <c r="H40" t="s">
        <v>3573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3574</v>
      </c>
      <c r="J41" t="s">
        <v>1857</v>
      </c>
      <c r="K41" t="s">
        <v>61</v>
      </c>
      <c r="L41" s="3">
        <v>1</v>
      </c>
      <c r="M41" s="3">
        <v>1</v>
      </c>
      <c r="N41" t="s">
        <v>3575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3576</v>
      </c>
      <c r="C42" t="s">
        <v>3577</v>
      </c>
      <c r="D42" s="3">
        <v>30518</v>
      </c>
      <c r="E42" t="s">
        <v>1400</v>
      </c>
      <c r="G42" s="3">
        <v>45918</v>
      </c>
      <c r="H42" t="s">
        <v>3578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3579</v>
      </c>
      <c r="D43" s="3">
        <v>36642</v>
      </c>
      <c r="E43" t="s">
        <v>1400</v>
      </c>
      <c r="G43" s="3">
        <v>45903</v>
      </c>
      <c r="H43" t="s">
        <v>3580</v>
      </c>
      <c r="J43" t="s">
        <v>1857</v>
      </c>
      <c r="K43" t="s">
        <v>61</v>
      </c>
      <c r="L43" s="3">
        <v>1</v>
      </c>
      <c r="M43" s="3">
        <v>1</v>
      </c>
      <c r="N43" t="s">
        <v>3581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3582</v>
      </c>
      <c r="C44" t="s">
        <v>3460</v>
      </c>
      <c r="D44" s="3">
        <v>37782</v>
      </c>
      <c r="E44" t="s">
        <v>1400</v>
      </c>
      <c r="G44" s="3">
        <v>45903</v>
      </c>
      <c r="H44" t="s">
        <v>3583</v>
      </c>
      <c r="J44" t="s">
        <v>1857</v>
      </c>
      <c r="K44" t="s">
        <v>61</v>
      </c>
      <c r="L44" s="3">
        <v>1</v>
      </c>
      <c r="M44" s="3">
        <v>1</v>
      </c>
      <c r="N44" t="s">
        <v>3584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3585</v>
      </c>
      <c r="C45" t="s">
        <v>1684</v>
      </c>
      <c r="D45" s="3">
        <v>24857</v>
      </c>
      <c r="E45" t="s">
        <v>1400</v>
      </c>
      <c r="G45" s="3">
        <v>45903</v>
      </c>
      <c r="H45" t="s">
        <v>3586</v>
      </c>
      <c r="J45" t="s">
        <v>1857</v>
      </c>
      <c r="K45" t="s">
        <v>64</v>
      </c>
      <c r="L45" s="3">
        <v>1</v>
      </c>
      <c r="M45" s="3">
        <v>1</v>
      </c>
      <c r="N45" t="s">
        <v>3587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3588</v>
      </c>
      <c r="D46" s="3">
        <v>37215</v>
      </c>
      <c r="E46" t="s">
        <v>1400</v>
      </c>
      <c r="G46" s="3">
        <v>45903</v>
      </c>
      <c r="H46" t="s">
        <v>3589</v>
      </c>
      <c r="J46" t="s">
        <v>1857</v>
      </c>
      <c r="K46" t="s">
        <v>70</v>
      </c>
      <c r="L46" s="3">
        <v>1</v>
      </c>
      <c r="M46" s="3">
        <v>1</v>
      </c>
      <c r="N46" t="s">
        <v>3590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3591</v>
      </c>
      <c r="C47" t="s">
        <v>3592</v>
      </c>
      <c r="D47" s="3">
        <v>36604</v>
      </c>
      <c r="E47" t="s">
        <v>1400</v>
      </c>
      <c r="G47" s="3">
        <v>45889</v>
      </c>
      <c r="H47" t="s">
        <v>3593</v>
      </c>
      <c r="J47" t="s">
        <v>1857</v>
      </c>
      <c r="K47" t="s">
        <v>64</v>
      </c>
      <c r="L47" s="3">
        <v>1</v>
      </c>
      <c r="M47" s="3">
        <v>1</v>
      </c>
      <c r="N47" t="s">
        <v>3594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3595</v>
      </c>
      <c r="C48" t="s">
        <v>3596</v>
      </c>
      <c r="D48" s="3">
        <v>37251</v>
      </c>
      <c r="E48" t="s">
        <v>1400</v>
      </c>
      <c r="G48" s="3">
        <v>45903</v>
      </c>
      <c r="H48" t="s">
        <v>3597</v>
      </c>
      <c r="J48" t="s">
        <v>1408</v>
      </c>
      <c r="K48" t="s">
        <v>55</v>
      </c>
      <c r="L48" s="3">
        <v>1</v>
      </c>
      <c r="M48" s="3">
        <v>1</v>
      </c>
      <c r="N48" t="s">
        <v>3598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3599</v>
      </c>
      <c r="C49" t="s">
        <v>3600</v>
      </c>
      <c r="D49" s="3">
        <v>33465</v>
      </c>
      <c r="E49" t="s">
        <v>1400</v>
      </c>
      <c r="G49" s="3">
        <v>45889</v>
      </c>
      <c r="H49" t="s">
        <v>3601</v>
      </c>
      <c r="J49" t="s">
        <v>1408</v>
      </c>
      <c r="K49" t="s">
        <v>70</v>
      </c>
      <c r="L49" s="3">
        <v>1</v>
      </c>
      <c r="M49" s="3">
        <v>1</v>
      </c>
      <c r="N49" t="s">
        <v>3602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3603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3604</v>
      </c>
      <c r="C53" t="s">
        <v>3605</v>
      </c>
      <c r="D53" s="3">
        <v>35367</v>
      </c>
      <c r="E53" t="s">
        <v>1400</v>
      </c>
      <c r="G53" s="3">
        <v>45889</v>
      </c>
      <c r="H53" t="s">
        <v>3606</v>
      </c>
      <c r="J53" t="s">
        <v>1408</v>
      </c>
      <c r="K53" t="s">
        <v>58</v>
      </c>
      <c r="L53" s="3">
        <v>1</v>
      </c>
      <c r="M53" s="3">
        <v>1</v>
      </c>
      <c r="N53" t="s">
        <v>3607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3608</v>
      </c>
      <c r="C54" t="s">
        <v>3609</v>
      </c>
      <c r="D54" s="3">
        <v>32154</v>
      </c>
      <c r="E54" t="s">
        <v>1400</v>
      </c>
      <c r="G54" s="3">
        <v>45889</v>
      </c>
      <c r="H54" t="s">
        <v>3610</v>
      </c>
      <c r="J54" t="s">
        <v>1408</v>
      </c>
      <c r="K54" t="s">
        <v>55</v>
      </c>
      <c r="L54" s="3">
        <v>1</v>
      </c>
      <c r="M54" s="3">
        <v>1</v>
      </c>
      <c r="N54" t="s">
        <v>3611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3612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3613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3614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3615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3616</v>
      </c>
      <c r="J151" t="s">
        <v>1857</v>
      </c>
      <c r="K151" t="s">
        <v>55</v>
      </c>
      <c r="L151" s="3">
        <v>47302</v>
      </c>
      <c r="M151" s="3">
        <v>47100</v>
      </c>
      <c r="N151" t="s">
        <v>3617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3618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3619</v>
      </c>
      <c r="C270" t="s">
        <v>3620</v>
      </c>
      <c r="D270" s="3">
        <v>36246</v>
      </c>
      <c r="E270" t="s">
        <v>1400</v>
      </c>
      <c r="G270" s="3">
        <v>44312</v>
      </c>
      <c r="H270" t="s">
        <v>3621</v>
      </c>
      <c r="J270" t="s">
        <v>1408</v>
      </c>
      <c r="K270" t="s">
        <v>58</v>
      </c>
      <c r="L270" s="3">
        <v>46152</v>
      </c>
      <c r="M270" s="3">
        <v>46090</v>
      </c>
      <c r="N270" t="s">
        <v>3622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3623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2025-09-18T16:54:39Z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