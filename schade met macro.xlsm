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86" documentId="13_ncr:1_{10FCACA5-8197-478D-90D3-5F83063FB753}" xr6:coauthVersionLast="47" xr6:coauthVersionMax="47" xr10:uidLastSave="{11704BCA-4A09-47B6-A633-A78F22C6456D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937" i="1" l="1"/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D939" i="1"/>
  <c r="E939" i="1"/>
  <c r="S939" i="1"/>
  <c r="C938" i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9" i="1" l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<sst xmlns="http://schemas.openxmlformats.org/spreadsheetml/2006/main" count="8777" uniqueCount="3762">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</sst>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30</v>
          </cell>
        </row>
        <row r="3">
          <cell r="A3">
            <v>13</v>
          </cell>
          <cell r="B3" t="str">
            <v>Bart Van der Beken</v>
          </cell>
          <cell r="D3">
            <v>27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9</v>
          </cell>
          <cell r="B5" t="str">
            <v>Els Vanhoe</v>
          </cell>
          <cell r="D5">
            <v>28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10</v>
          </cell>
          <cell r="B8" t="str">
            <v>Lucie Vande Velde</v>
          </cell>
          <cell r="D8">
            <v>26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4" totalsRowShown="0" headerRowDxfId="10">
  <autoFilter ref="A1:AA94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30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27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28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75</v>
      </c>
      <c r="J50" s="14" t="s">
        <v>109</v>
      </c>
      <c r="K50" s="14"/>
      <c r="L50" s="25"/>
      <c r="M50" s="14">
        <f>SUM(M42:M49)</f>
        <v>211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4"/>
  <sheetViews>
    <sheetView tabSelected="1" zoomScale="85" zoomScaleNormal="85" workbookViewId="0">
      <pane ySplit="1" topLeftCell="A917" activePane="bottomLeft" state="frozen"/>
      <selection activeCell="F1" sqref="F1"/>
      <selection pane="bottomLeft" activeCell="X941" sqref="X94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B942" t="e">
        <f>_xlfn.CONCAT(bron[[#This Row],[personeelsnr]]," ",bron[[#This Row],[achternaam]]," ",bron[[#This Row],[voornaam]])</f>
        <v>#N/A</v>
      </c>
      <c r="C942" t="e">
        <f>VLOOKUP(bron[[#This Row],[personeelsnr]],'data hastus'!$A:$C,2,0)</f>
        <v>#N/A</v>
      </c>
      <c r="D942" t="e">
        <f>VLOOKUP(bron[[#This Row],[personeelsnr]],'data hastus'!$A:$C,3,0)</f>
        <v>#N/A</v>
      </c>
      <c r="E942" s="2" t="e">
        <f>VLOOKUP(bron[[#This Row],[personeelsnr]],'data hastus'!A:K,11,FALSE)</f>
        <v>#N/A</v>
      </c>
      <c r="F942" s="10"/>
      <c r="G942" s="39"/>
      <c r="H942" s="39"/>
      <c r="I942" s="39"/>
      <c r="S942" s="36">
        <f>SUM(bron[[#This Row],[Januari]:[December]])</f>
        <v>0</v>
      </c>
      <c r="V942" s="37"/>
      <c r="W942" s="37"/>
    </row>
    <row r="943" spans="1:27" x14ac:dyDescent="0.25">
      <c r="B943" t="e">
        <f>_xlfn.CONCAT(bron[[#This Row],[personeelsnr]]," ",bron[[#This Row],[achternaam]]," ",bron[[#This Row],[voornaam]])</f>
        <v>#N/A</v>
      </c>
      <c r="C943" t="e">
        <f>VLOOKUP(bron[[#This Row],[personeelsnr]],'data hastus'!$A:$C,2,0)</f>
        <v>#N/A</v>
      </c>
      <c r="D943" t="e">
        <f>VLOOKUP(bron[[#This Row],[personeelsnr]],'data hastus'!$A:$C,3,0)</f>
        <v>#N/A</v>
      </c>
      <c r="E943" s="2" t="e">
        <f>VLOOKUP(bron[[#This Row],[personeelsnr]],'data hastus'!A:K,11,FALSE)</f>
        <v>#N/A</v>
      </c>
      <c r="F943" s="10"/>
      <c r="G943" s="39"/>
      <c r="H943" s="39"/>
      <c r="I943" s="39"/>
      <c r="S943" s="36">
        <f>SUM(bron[[#This Row],[Januari]:[December]])</f>
        <v>0</v>
      </c>
      <c r="V943" s="37"/>
      <c r="W943" s="37"/>
    </row>
    <row r="944" spans="1:27" x14ac:dyDescent="0.25">
      <c r="B944" t="e">
        <f>_xlfn.CONCAT(bron[[#This Row],[personeelsnr]]," ",bron[[#This Row],[achternaam]]," ",bron[[#This Row],[voornaam]])</f>
        <v>#N/A</v>
      </c>
      <c r="C944" t="e">
        <f>VLOOKUP(bron[[#This Row],[personeelsnr]],'data hastus'!$A:$C,2,0)</f>
        <v>#N/A</v>
      </c>
      <c r="D944" t="e">
        <f>VLOOKUP(bron[[#This Row],[personeelsnr]],'data hastus'!$A:$C,3,0)</f>
        <v>#N/A</v>
      </c>
      <c r="E944" s="2" t="e">
        <f>VLOOKUP(bron[[#This Row],[personeelsnr]],'data hastus'!A:K,11,FALSE)</f>
        <v>#N/A</v>
      </c>
      <c r="F944" s="10"/>
      <c r="G944" s="39"/>
      <c r="H944" s="39"/>
      <c r="I944" s="39"/>
      <c r="S944" s="36">
        <f>SUM(bron[[#This Row],[Januari]:[December]])</f>
        <v>0</v>
      </c>
      <c r="V944" s="37"/>
      <c r="W944" s="37"/>
    </row>
  </sheetData>
  <sheetProtection sort="0" autoFilter="0"/>
  <phoneticPr fontId="1" type="noConversion"/>
  <conditionalFormatting sqref="F2:F94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2025-11-05T09:54:43Z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