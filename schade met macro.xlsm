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43" documentId="13_ncr:1_{10FCACA5-8197-478D-90D3-5F83063FB753}" xr6:coauthVersionLast="47" xr6:coauthVersionMax="47" xr10:uidLastSave="{F480BB68-AB16-46D4-BD99-2F02BBF433E0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B976" i="1"/>
  <c r="C976" i="1"/>
  <c r="D976" i="1"/>
  <c r="E976" i="1"/>
  <c r="S976" i="1"/>
  <c r="C975" i="1"/>
  <c r="B975" i="1" s="1"/>
  <c r="D975" i="1"/>
  <c r="E975" i="1"/>
  <c r="S975" i="1"/>
  <c r="C974" i="1"/>
  <c r="B974" i="1" s="1"/>
  <c r="D974" i="1"/>
  <c r="E974" i="1"/>
  <c r="S974" i="1"/>
  <c r="C973" i="1"/>
  <c r="B973" i="1" s="1"/>
  <c r="D973" i="1"/>
  <c r="E973" i="1"/>
  <c r="S973" i="1"/>
  <c r="C972" i="1"/>
  <c r="B972" i="1" s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3" i="1" l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<sst xmlns="http://schemas.openxmlformats.org/spreadsheetml/2006/main" count="8948" uniqueCount="3825">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</sst>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84" totalsRowShown="0" headerRowDxfId="10">
  <autoFilter ref="A1:AA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6">
    <sortCondition ref="T1:T976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45" activePane="bottomLeft" state="frozen"/>
      <selection activeCell="F1" sqref="F1"/>
      <selection pane="bottomLeft" activeCell="A976" sqref="A97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</row>
    <row r="951" spans="1:27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</row>
    <row r="952" spans="1:27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</row>
    <row r="953" spans="1:27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</row>
    <row r="954" spans="1:27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</row>
    <row r="955" spans="1:27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</row>
    <row r="956" spans="1:27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</row>
    <row r="957" spans="1:27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</row>
    <row r="962" spans="1:27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</row>
    <row r="963" spans="1:27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</row>
    <row r="964" spans="1:27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</row>
    <row r="967" spans="1:27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</row>
    <row r="968" spans="1:27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</row>
    <row r="969" spans="1:27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</row>
    <row r="970" spans="1:27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</row>
    <row r="971" spans="1:27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</row>
    <row r="972" spans="1:27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</row>
    <row r="973" spans="1:27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</row>
    <row r="974" spans="1:27" x14ac:dyDescent="0.25">
      <c r="A974">
        <v>41482</v>
      </c>
      <c r="B974" t="str">
        <f>_xlfn.CONCAT(bron[[#This Row],[personeelsnr]]," ",bron[[#This Row],[achternaam]]," ",bron[[#This Row],[voornaam]])</f>
        <v>41482 Özdemir Osman</v>
      </c>
      <c r="C974" t="str">
        <f>VLOOKUP(bron[[#This Row],[personeelsnr]],'data hastus'!$A:$C,2,0)</f>
        <v>Özdemir</v>
      </c>
      <c r="D974" t="str">
        <f>VLOOKUP(bron[[#This Row],[personeelsnr]],'data hastus'!$A:$C,3,0)</f>
        <v>Osman</v>
      </c>
      <c r="E974" s="2" t="str">
        <f>VLOOKUP(bron[[#This Row],[personeelsnr]],'data hastus'!A:K,11,FALSE)</f>
        <v>Bart Van Der Beken</v>
      </c>
      <c r="F974" s="10"/>
      <c r="G974" s="39"/>
      <c r="H974" s="39"/>
      <c r="I974" s="39"/>
      <c r="S974" s="44">
        <f>SUM(bron[[#This Row],[Januari]:[December]])</f>
        <v>0</v>
      </c>
      <c r="T974" s="41">
        <v>45985</v>
      </c>
      <c r="U974" s="5" t="s">
        <v>3822</v>
      </c>
      <c r="V974" s="37"/>
      <c r="W974" s="37"/>
      <c r="X974" t="s">
        <v>3513</v>
      </c>
      <c r="Y974" t="s">
        <v>48</v>
      </c>
      <c r="Z974" s="2">
        <v>5054</v>
      </c>
      <c r="AA974" s="43" t="s">
        <v>3559</v>
      </c>
    </row>
    <row r="975" spans="1:27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39"/>
      <c r="H975" s="39"/>
      <c r="I975" s="39"/>
      <c r="S975" s="44">
        <f>SUM(bron[[#This Row],[Januari]:[December]])</f>
        <v>0</v>
      </c>
      <c r="T975" s="41">
        <v>45982</v>
      </c>
      <c r="U975" s="5" t="s">
        <v>3823</v>
      </c>
      <c r="V975" s="37"/>
      <c r="W975" s="37"/>
      <c r="X975" t="s">
        <v>3512</v>
      </c>
      <c r="Y975" t="s">
        <v>3824</v>
      </c>
      <c r="Z975" s="2">
        <v>104023</v>
      </c>
      <c r="AA975" s="43" t="s">
        <v>3631</v>
      </c>
    </row>
    <row r="976" spans="1:27" x14ac:dyDescent="0.25">
      <c r="B976" t="e">
        <f>_xlfn.CONCAT(bron[[#This Row],[personeelsnr]]," ",bron[[#This Row],[achternaam]]," ",bron[[#This Row],[voornaam]])</f>
        <v>#N/A</v>
      </c>
      <c r="C976" t="e">
        <f>VLOOKUP(bron[[#This Row],[personeelsnr]],'data hastus'!$A:$C,2,0)</f>
        <v>#N/A</v>
      </c>
      <c r="D976" t="e">
        <f>VLOOKUP(bron[[#This Row],[personeelsnr]],'data hastus'!$A:$C,3,0)</f>
        <v>#N/A</v>
      </c>
      <c r="E976" s="2" t="e">
        <f>VLOOKUP(bron[[#This Row],[personeelsnr]],'data hastus'!A:K,11,FALSE)</f>
        <v>#N/A</v>
      </c>
      <c r="F976" s="10"/>
      <c r="G976" s="39"/>
      <c r="H976" s="39"/>
      <c r="I976" s="39"/>
      <c r="S976" s="44">
        <f>SUM(bron[[#This Row],[Januari]:[December]])</f>
        <v>0</v>
      </c>
      <c r="V976" s="37"/>
      <c r="W976" s="37"/>
    </row>
    <row r="977" spans="2:23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</row>
    <row r="978" spans="2:23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</row>
    <row r="979" spans="2:23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</row>
    <row r="980" spans="2:23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</row>
    <row r="981" spans="2:23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</row>
    <row r="982" spans="2:23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</row>
    <row r="983" spans="2:23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</row>
    <row r="984" spans="2:23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</row>
  </sheetData>
  <sheetProtection sort="0" autoFilter="0"/>
  <phoneticPr fontId="1" type="noConversion"/>
  <conditionalFormatting sqref="F2:F98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2025-11-25T11:54:18Z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