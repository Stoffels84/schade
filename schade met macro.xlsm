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16" documentId="8_{E6BCF386-B104-424C-B4A8-F32964540273}" xr6:coauthVersionLast="47" xr6:coauthVersionMax="47" xr10:uidLastSave="{B22B5F3F-C069-4602-B52D-37E8A68B963F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84" i="1" l="1"/>
  <c r="D784" i="1"/>
  <c r="E784" i="1"/>
  <c r="S784" i="1"/>
  <c r="B2" i="12" l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E48" i="12" s="1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E72" i="12" s="1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E153" i="12" s="1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E169" i="12" s="1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E184" i="12" s="1"/>
  <c r="B185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20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4" i="12"/>
  <c r="C5" i="12"/>
  <c r="C6" i="12"/>
  <c r="C785" i="1"/>
  <c r="D785" i="1"/>
  <c r="E785" i="1"/>
  <c r="S785" i="1"/>
  <c r="E4" i="12"/>
  <c r="E5" i="12"/>
  <c r="E20" i="12"/>
  <c r="E24" i="12"/>
  <c r="E30" i="12"/>
  <c r="E36" i="12"/>
  <c r="E38" i="12"/>
  <c r="E47" i="12"/>
  <c r="E54" i="12"/>
  <c r="E55" i="12"/>
  <c r="E56" i="12"/>
  <c r="E63" i="12"/>
  <c r="E76" i="12"/>
  <c r="E78" i="12"/>
  <c r="E91" i="12"/>
  <c r="E95" i="12"/>
  <c r="E100" i="12"/>
  <c r="E102" i="12"/>
  <c r="E109" i="12"/>
  <c r="E116" i="12"/>
  <c r="E118" i="12"/>
  <c r="E125" i="12"/>
  <c r="E147" i="12"/>
  <c r="E154" i="12"/>
  <c r="E155" i="12"/>
  <c r="E166" i="12"/>
  <c r="E172" i="12"/>
  <c r="E182" i="12"/>
  <c r="D4" i="12"/>
  <c r="D5" i="12"/>
  <c r="D20" i="12"/>
  <c r="D24" i="12"/>
  <c r="D30" i="12"/>
  <c r="D36" i="12"/>
  <c r="D38" i="12"/>
  <c r="D47" i="12"/>
  <c r="D54" i="12"/>
  <c r="D55" i="12"/>
  <c r="D56" i="12"/>
  <c r="D63" i="12"/>
  <c r="D76" i="12"/>
  <c r="D78" i="12"/>
  <c r="D91" i="12"/>
  <c r="D95" i="12"/>
  <c r="D100" i="12"/>
  <c r="D102" i="12"/>
  <c r="D109" i="12"/>
  <c r="D116" i="12"/>
  <c r="D118" i="12"/>
  <c r="D125" i="12"/>
  <c r="D147" i="12"/>
  <c r="D154" i="12"/>
  <c r="D155" i="12"/>
  <c r="D166" i="12"/>
  <c r="D172" i="12"/>
  <c r="D182" i="12"/>
  <c r="C2" i="12"/>
  <c r="C3" i="12"/>
  <c r="B186" i="12"/>
  <c r="C679" i="1"/>
  <c r="D679" i="1"/>
  <c r="E679" i="1"/>
  <c r="S679" i="1"/>
  <c r="D153" i="12" l="1"/>
  <c r="D184" i="12"/>
  <c r="D48" i="12"/>
  <c r="D169" i="12"/>
  <c r="D72" i="12"/>
  <c r="E150" i="12"/>
  <c r="D150" i="12"/>
  <c r="E64" i="12"/>
  <c r="D64" i="12"/>
  <c r="E149" i="12"/>
  <c r="D149" i="12"/>
  <c r="E148" i="12"/>
  <c r="D148" i="12"/>
  <c r="E157" i="12"/>
  <c r="D157" i="12"/>
  <c r="E156" i="12"/>
  <c r="D156" i="12"/>
  <c r="E152" i="12"/>
  <c r="D152" i="12"/>
  <c r="E151" i="12"/>
  <c r="D151" i="12"/>
  <c r="E146" i="12"/>
  <c r="D146" i="12"/>
  <c r="E165" i="12"/>
  <c r="D165" i="12"/>
  <c r="E164" i="12"/>
  <c r="D164" i="12"/>
  <c r="E75" i="12"/>
  <c r="D75" i="12"/>
  <c r="E163" i="12"/>
  <c r="D163" i="12"/>
  <c r="E162" i="12"/>
  <c r="D162" i="12"/>
  <c r="E73" i="12"/>
  <c r="D73" i="12"/>
  <c r="E161" i="12"/>
  <c r="D161" i="12"/>
  <c r="E160" i="12"/>
  <c r="D160" i="12"/>
  <c r="E92" i="12"/>
  <c r="D92" i="12"/>
  <c r="E107" i="12"/>
  <c r="D107" i="12"/>
  <c r="E159" i="12"/>
  <c r="D159" i="12"/>
  <c r="E106" i="12"/>
  <c r="D106" i="12"/>
  <c r="E158" i="12"/>
  <c r="D158" i="12"/>
  <c r="E90" i="12"/>
  <c r="D90" i="12"/>
  <c r="E82" i="12"/>
  <c r="D82" i="12"/>
  <c r="E77" i="12"/>
  <c r="D77" i="12"/>
  <c r="E89" i="12"/>
  <c r="D89" i="12"/>
  <c r="E104" i="12"/>
  <c r="D104" i="12"/>
  <c r="E101" i="12"/>
  <c r="D101" i="12"/>
  <c r="E68" i="12"/>
  <c r="D68" i="12"/>
  <c r="E88" i="12"/>
  <c r="D88" i="12"/>
  <c r="E79" i="12"/>
  <c r="D79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136" i="12"/>
  <c r="D136" i="12"/>
  <c r="E105" i="12"/>
  <c r="D105" i="12"/>
  <c r="E135" i="12"/>
  <c r="D135" i="12"/>
  <c r="E84" i="12"/>
  <c r="D84" i="12"/>
  <c r="E69" i="12"/>
  <c r="D69" i="12"/>
  <c r="E134" i="12"/>
  <c r="D134" i="12"/>
  <c r="E133" i="12"/>
  <c r="D133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123" i="12"/>
  <c r="D123" i="12"/>
  <c r="E122" i="12"/>
  <c r="D122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0" i="1"/>
  <c r="D820" i="1"/>
  <c r="E820" i="1"/>
  <c r="S820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B31" i="11"/>
  <c r="I42" i="11"/>
  <c r="I48" i="11"/>
  <c r="C767" i="1"/>
  <c r="D767" i="1"/>
  <c r="E767" i="1"/>
  <c r="S767" i="1"/>
  <c r="C818" i="1"/>
  <c r="D818" i="1"/>
  <c r="E818" i="1"/>
  <c r="S818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7" i="1"/>
  <c r="D817" i="1"/>
  <c r="E817" i="1"/>
  <c r="C816" i="1"/>
  <c r="D816" i="1"/>
  <c r="E816" i="1"/>
  <c r="S816" i="1"/>
  <c r="C773" i="1"/>
  <c r="D773" i="1"/>
  <c r="E773" i="1"/>
  <c r="S773" i="1"/>
  <c r="I50" i="11" l="1"/>
  <c r="M50" i="11"/>
  <c r="C765" i="1"/>
  <c r="D765" i="1"/>
  <c r="E765" i="1"/>
  <c r="S765" i="1"/>
  <c r="C815" i="1" l="1"/>
  <c r="D815" i="1"/>
  <c r="E815" i="1"/>
  <c r="S815" i="1"/>
  <c r="C770" i="1"/>
  <c r="D770" i="1"/>
  <c r="E770" i="1"/>
  <c r="S770" i="1"/>
  <c r="C814" i="1" l="1"/>
  <c r="D814" i="1"/>
  <c r="E814" i="1"/>
  <c r="S814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19" i="1"/>
  <c r="D819" i="1"/>
  <c r="E819" i="1"/>
  <c r="S819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2" i="1"/>
  <c r="D812" i="1"/>
  <c r="E812" i="1"/>
  <c r="S812" i="1"/>
  <c r="C747" i="1"/>
  <c r="D747" i="1"/>
  <c r="E747" i="1"/>
  <c r="S747" i="1"/>
  <c r="C813" i="1"/>
  <c r="D813" i="1"/>
  <c r="E813" i="1"/>
  <c r="S813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C714" i="1" l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C705" i="1" l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146" i="10" l="1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C678" i="1" l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C671" i="1" l="1"/>
  <c r="D671" i="1"/>
  <c r="E671" i="1"/>
  <c r="C657" i="1"/>
  <c r="D657" i="1"/>
  <c r="E657" i="1"/>
  <c r="C668" i="1"/>
  <c r="D668" i="1"/>
  <c r="E668" i="1"/>
  <c r="C662" i="1" l="1"/>
  <c r="D662" i="1"/>
  <c r="E662" i="1"/>
  <c r="E650" i="1"/>
  <c r="D650" i="1"/>
  <c r="C650" i="1"/>
  <c r="C646" i="1"/>
  <c r="D646" i="1"/>
  <c r="E646" i="1"/>
  <c r="C786" i="1"/>
  <c r="D786" i="1"/>
  <c r="E786" i="1"/>
  <c r="E648" i="1" l="1"/>
  <c r="D648" i="1"/>
  <c r="C648" i="1"/>
  <c r="C641" i="1"/>
  <c r="D641" i="1"/>
  <c r="E641" i="1"/>
  <c r="C643" i="1" l="1"/>
  <c r="D643" i="1"/>
  <c r="E643" i="1"/>
  <c r="E640" i="1"/>
  <c r="D640" i="1"/>
  <c r="C640" i="1"/>
  <c r="C623" i="1" l="1"/>
  <c r="D623" i="1"/>
  <c r="E623" i="1"/>
  <c r="C810" i="1"/>
  <c r="D810" i="1"/>
  <c r="E810" i="1"/>
  <c r="C624" i="1"/>
  <c r="D624" i="1"/>
  <c r="E624" i="1"/>
  <c r="C614" i="1"/>
  <c r="D614" i="1"/>
  <c r="E614" i="1"/>
  <c r="C552" i="1" l="1"/>
  <c r="D552" i="1"/>
  <c r="E552" i="1"/>
  <c r="C796" i="1"/>
  <c r="D796" i="1"/>
  <c r="E796" i="1"/>
  <c r="C620" i="1" l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C565" i="1" l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C575" i="1"/>
  <c r="C554" i="1"/>
  <c r="C593" i="1"/>
  <c r="C539" i="1"/>
  <c r="C571" i="1"/>
  <c r="C792" i="1"/>
  <c r="C601" i="1"/>
  <c r="C562" i="1"/>
  <c r="C584" i="1"/>
  <c r="C592" i="1"/>
  <c r="C626" i="1"/>
  <c r="C658" i="1"/>
  <c r="C530" i="1"/>
  <c r="C630" i="1"/>
  <c r="C527" i="1"/>
  <c r="C621" i="1"/>
  <c r="C800" i="1"/>
  <c r="C533" i="1"/>
  <c r="C702" i="1"/>
  <c r="C632" i="1"/>
  <c r="C799" i="1"/>
  <c r="C528" i="1"/>
  <c r="C791" i="1"/>
  <c r="C598" i="1"/>
  <c r="C608" i="1"/>
  <c r="C515" i="1"/>
  <c r="C663" i="1"/>
  <c r="C541" i="1"/>
  <c r="C534" i="1"/>
  <c r="C637" i="1"/>
  <c r="C578" i="1"/>
  <c r="C672" i="1"/>
  <c r="C537" i="1"/>
  <c r="C669" i="1"/>
  <c r="C615" i="1"/>
  <c r="C651" i="1"/>
  <c r="C811" i="1"/>
  <c r="C576" i="1"/>
  <c r="C638" i="1"/>
  <c r="C795" i="1"/>
  <c r="C522" i="1"/>
  <c r="C610" i="1"/>
  <c r="C526" i="1"/>
  <c r="C789" i="1"/>
  <c r="C602" i="1"/>
  <c r="C573" i="1"/>
  <c r="C558" i="1"/>
  <c r="C519" i="1"/>
  <c r="C590" i="1"/>
  <c r="C516" i="1"/>
  <c r="C798" i="1"/>
  <c r="C653" i="1"/>
  <c r="C639" i="1"/>
  <c r="C544" i="1"/>
  <c r="C586" i="1"/>
  <c r="C801" i="1"/>
  <c r="C546" i="1"/>
  <c r="C807" i="1"/>
  <c r="C636" i="1"/>
  <c r="C790" i="1"/>
  <c r="C664" i="1"/>
  <c r="C589" i="1"/>
  <c r="C611" i="1"/>
  <c r="C682" i="1"/>
  <c r="C687" i="1"/>
  <c r="C631" i="1"/>
  <c r="C649" i="1"/>
  <c r="C656" i="1"/>
  <c r="C605" i="1"/>
  <c r="C529" i="1"/>
  <c r="C647" i="1"/>
  <c r="C595" i="1"/>
  <c r="C802" i="1"/>
  <c r="C628" i="1"/>
  <c r="C574" i="1"/>
  <c r="C559" i="1"/>
  <c r="C808" i="1"/>
  <c r="C551" i="1"/>
  <c r="C545" i="1"/>
  <c r="C787" i="1"/>
  <c r="C594" i="1"/>
  <c r="C655" i="1"/>
  <c r="C629" i="1"/>
  <c r="C567" i="1"/>
  <c r="C568" i="1"/>
  <c r="C674" i="1"/>
  <c r="C569" i="1"/>
  <c r="C547" i="1"/>
  <c r="C619" i="1"/>
  <c r="C604" i="1"/>
  <c r="C803" i="1"/>
  <c r="C644" i="1"/>
  <c r="C670" i="1"/>
  <c r="C689" i="1"/>
  <c r="C606" i="1"/>
  <c r="C635" i="1"/>
  <c r="C613" i="1"/>
  <c r="C654" i="1"/>
  <c r="C561" i="1"/>
  <c r="C540" i="1"/>
  <c r="C634" i="1"/>
  <c r="C570" i="1"/>
  <c r="C686" i="1"/>
  <c r="C627" i="1"/>
  <c r="C596" i="1"/>
  <c r="C538" i="1"/>
  <c r="C580" i="1"/>
  <c r="C661" i="1"/>
  <c r="C625" i="1"/>
  <c r="C618" i="1"/>
  <c r="C549" i="1"/>
  <c r="C609" i="1"/>
  <c r="C521" i="1"/>
  <c r="C666" i="1"/>
  <c r="C793" i="1"/>
  <c r="C652" i="1"/>
  <c r="C633" i="1"/>
  <c r="D599" i="1"/>
  <c r="C599" i="1"/>
</calcChain>
</file>

<file path=xl/sharedStrings.xml><?xml version="1.0" encoding="utf-8"?>
<sst xmlns="http://schemas.openxmlformats.org/spreadsheetml/2006/main" count="7489" uniqueCount="3474">
  <si>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</si>
  <si>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</si>
  <si>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</si>
  <si>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</si>
  <si>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</si>
  <si>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</si>
  <si>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</si>
  <si>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</si>
  <si>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</si>
  <si>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</si>
  <si>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</si>
  <si>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</si>
  <si>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</si>
  <si>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</si>
  <si>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</si>
  <si>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</si>
  <si>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</si>
  <si>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</si>
  <si>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</si>
  <si>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</si>
  <si>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</si>
  <si>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</si>
  <si>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</si>
  <si>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</si>
  <si>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</si>
  <si>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</si>
  <si>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</si>
  <si>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</si>
  <si>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</si>
  <si>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</si>
  <si>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</si>
  <si>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</si>
  <si>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</si>
  <si>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</si>
  <si>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</si>
  <si>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</si>
  <si>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</si>
  <si>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</si>
  <si>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</si>
  <si>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</si>
  <si>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</si>
  <si>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</si>
  <si>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</si>
  <si>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</si>
  <si>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</si>
  <si>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</si>
  <si>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</si>
  <si>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</si>
  <si>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</si>
  <si>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</si>
  <si>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</si>
  <si>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</si>
  <si>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</si>
  <si>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</si>
  <si>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</si>
  <si>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</si>
  <si>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</si>
  <si>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</si>
  <si>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</si>
  <si>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</si>
  <si>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</si>
  <si>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</si>
  <si>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</si>
  <si>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</si>
  <si>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</si>
  <si>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</si>
  <si>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</si>
  <si>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</si>
  <si>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</si>
  <si>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</si>
  <si>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</si>
  <si>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</si>
  <si>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</si>
  <si>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</si>
  <si>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</si>
  <si>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</si>
  <si>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</si>
  <si>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</si>
  <si>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</si>
  <si>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</si>
  <si>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</si>
  <si>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</si>
  <si>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</si>
  <si>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</si>
  <si>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</si>
  <si>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</si>
  <si>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</si>
  <si>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</si>
  <si>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</si>
  <si>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</si>
  <si>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</si>
  <si>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</si>
  <si>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</si>
  <si>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</si>
  <si>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</si>
  <si>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</si>
  <si>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</si>
  <si>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</si>
  <si>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</si>
  <si>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</si>
  <si>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</si>
  <si>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</si>
  <si>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</si>
  <si>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</si>
  <si>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</si>
  <si>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</si>
  <si>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</si>
  <si>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</si>
  <si>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</si>
  <si>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</si>
  <si>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</si>
  <si>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</si>
  <si>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</si>
  <si>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</si>
  <si>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</si>
  <si>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</si>
  <si>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</si>
  <si>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</si>
  <si>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</si>
  <si>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</si>
  <si>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</si>
  <si>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</si>
  <si>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</si>
  <si>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</si>
  <si>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</si>
  <si>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</si>
  <si>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</si>
  <si>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</si>
  <si>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</si>
  <si>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</si>
  <si>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</si>
  <si>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</si>
  <si>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</si>
  <si>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</si>
  <si>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</si>
  <si>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</si>
  <si>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</si>
  <si>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</si>
  <si>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</si>
  <si>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</si>
  <si>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</si>
  <si>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</si>
  <si>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</si>
  <si>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</si>
  <si>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</si>
  <si>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</si>
  <si>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</si>
  <si>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</si>
  <si>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</si>
  <si>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</si>
  <si>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</si>
  <si>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</si>
  <si>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</si>
  <si>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</si>
  <si>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</si>
  <si>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</si>
  <si>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</si>
  <si>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</si>
  <si>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</si>
  <si>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</si>
  <si>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</si>
  <si>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</si>
  <si>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</si>
  <si>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</si>
  <si>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</si>
  <si>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</si>
  <si>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</si>
  <si>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</si>
  <si>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</si>
  <si>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</si>
  <si>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</si>
  <si>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</si>
  <si>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</si>
  <si>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</si>
  <si>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</si>
  <si>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</si>
  <si>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</si>
  <si>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</si>
  <si>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</si>
  <si>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</si>
  <si>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</si>
  <si>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</si>
  <si>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</si>
  <si>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</si>
  <si>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</si>
  <si>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</si>
  <si>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</si>
  <si>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</si>
  <si>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</si>
  <si>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</si>
  <si>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</si>
  <si>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</si>
  <si>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</si>
  <si>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</si>
  <si>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</si>
  <si>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</si>
  <si>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</si>
  <si>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</si>
  <si>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</si>
  <si>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</si>
  <si>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</si>
  <si>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</si>
  <si>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</si>
  <si>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</si>
  <si>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</si>
  <si>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</si>
  <si>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</si>
  <si>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</si>
  <si>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</si>
  <si>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</si>
  <si>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</si>
  <si>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</si>
  <si>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</si>
  <si>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</si>
  <si>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</si>
  <si>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</si>
  <si>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</si>
  <si>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</si>
  <si>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</si>
  <si>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</si>
  <si>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</si>
  <si>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</si>
  <si>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</si>
  <si>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</si>
  <si>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</si>
  <si>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</si>
  <si>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</si>
  <si>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</si>
  <si>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</si>
  <si>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</si>
  <si>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</si>
  <si>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</si>
  <si>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</si>
  <si>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</si>
  <si>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</si>
  <si>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</si>
  <si>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</si>
  <si>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</si>
  <si>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</si>
  <si>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</si>
  <si>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</si>
  <si>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</si>
  <si>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</si>
  <si>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</si>
  <si>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</si>
  <si>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</si>
  <si>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</si>
  <si>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</si>
  <si>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</si>
  <si>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</si>
  <si>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</si>
  <si>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</si>
  <si>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</si>
  <si>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</si>
  <si>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</si>
  <si>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</si>
  <si>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</si>
  <si>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</si>
  <si>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</si>
  <si>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</si>
  <si>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</si>
  <si>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</si>
  <si>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</si>
  <si>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</si>
  <si>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</si>
  <si>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</si>
  <si>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</si>
  <si>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</si>
  <si>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</si>
  <si>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</si>
  <si>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</si>
  <si>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</si>
  <si>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</si>
  <si>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</si>
  <si>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</si>
  <si>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</si>
  <si>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</si>
  <si>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</si>
  <si>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</si>
  <si>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</si>
  <si>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</si>
  <si>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</si>
  <si>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</si>
  <si>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</si>
  <si>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</si>
  <si>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</si>
  <si>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</si>
  <si>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</si>
  <si>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</si>
  <si>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</si>
  <si>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</si>
  <si>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</si>
  <si>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</si>
  <si>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</si>
  <si>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</si>
  <si>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</si>
  <si>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</si>
  <si>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</si>
  <si>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</si>
  <si>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</si>
  <si>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</si>
  <si>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</si>
  <si>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</si>
  <si>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</si>
  <si>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</si>
  <si>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</si>
  <si>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</si>
  <si>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</si>
  <si>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</si>
  <si>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</si>
  <si>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</si>
  <si>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</si>
  <si>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</si>
  <si>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</si>
  <si>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</si>
  <si>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</si>
  <si>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</si>
  <si>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</si>
  <si>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</si>
  <si>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</si>
  <si>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</si>
  <si>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</si>
  <si>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</si>
  <si>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</si>
  <si>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</si>
  <si>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</si>
  <si>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</si>
  <si>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</si>
  <si>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</si>
  <si>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</si>
  <si>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</si>
  <si>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</si>
  <si>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</si>
  <si>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</si>
  <si>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</si>
  <si>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</si>
  <si>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</si>
  <si>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</si>
  <si>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</si>
  <si>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</si>
  <si>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</si>
  <si>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</si>
  <si>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</si>
  <si>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</si>
  <si>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</si>
  <si>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</si>
  <si>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</si>
  <si>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</si>
  <si>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</si>
  <si>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</si>
  <si>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</si>
  <si>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</si>
  <si>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</si>
  <si>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</si>
  <si>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</si>
  <si>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</si>
  <si>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</si>
  <si>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</si>
  <si>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</si>
  <si>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</si>
  <si>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</si>
  <si>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</si>
  <si>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</si>
  <si>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</si>
  <si>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</si>
  <si>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</si>
  <si>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</si>
  <si>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</si>
  <si>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</si>
  <si>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</si>
  <si>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</si>
  <si>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</si>
  <si>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</si>
  <si>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</si>
  <si>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</si>
  <si>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</si>
  <si>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</si>
  <si>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</si>
  <si>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</si>
  <si>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</si>
  <si>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</si>
  <si>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</si>
  <si>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</si>
  <si>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</si>
  <si>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</si>
  <si>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</si>
  <si>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</si>
  <si>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</si>
  <si>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</si>
  <si>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</si>
  <si>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</si>
  <si>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</si>
  <si>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</si>
  <si>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</si>
  <si>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</si>
  <si>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</si>
  <si>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</si>
  <si>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</si>
  <si>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</si>
  <si>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</si>
  <si>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</si>
  <si>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</si>
  <si>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</si>
  <si>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</si>
  <si>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</si>
  <si>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</si>
  <si>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</si>
  <si>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</si>
  <si>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</si>
  <si>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</si>
  <si>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</si>
  <si>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</si>
  <si>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</si>
  <si>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</si>
  <si>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</si>
  <si>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</si>
  <si>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</si>
  <si>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</si>
  <si>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</si>
  <si>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</si>
  <si>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</si>
  <si>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</si>
  <si>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</si>
  <si>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</si>
  <si>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</si>
  <si>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</si>
  <si>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</si>
  <si>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</si>
  <si>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</si>
  <si>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</si>
  <si>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</si>
  <si>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</si>
  <si>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</si>
  <si>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</si>
  <si>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</si>
  <si>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</si>
  <si>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</si>
  <si>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</si>
  <si>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</si>
  <si>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</si>
  <si>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</si>
  <si>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</si>
  <si>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</si>
  <si>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</si>
  <si>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</si>
  <si>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</si>
  <si>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</si>
  <si>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</si>
  <si>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</si>
  <si>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</si>
  <si>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</si>
  <si>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</si>
  <si>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</si>
  <si>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</si>
  <si>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</si>
  <si>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</si>
  <si>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</si>
  <si>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</si>
  <si>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</si>
  <si>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</si>
  <si>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</si>
  <si>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</si>
  <si>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</si>
  <si>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</si>
  <si>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</si>
  <si>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</si>
  <si>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</si>
  <si>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</si>
  <si>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</si>
  <si>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</si>
  <si>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</si>
  <si>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</si>
  <si>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</si>
  <si>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</si>
  <si>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</si>
  <si>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</si>
  <si>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</si>
  <si>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</si>
  <si>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</si>
  <si>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</si>
  <si>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</si>
  <si>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</si>
  <si>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</si>
  <si>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</si>
  <si>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</si>
  <si>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</si>
  <si>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</si>
  <si>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</si>
  <si>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</si>
  <si>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</si>
  <si>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</si>
  <si>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</si>
  <si>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</si>
  <si>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</si>
  <si>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</si>
  <si>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</si>
  <si>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</si>
  <si>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</si>
  <si>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</si>
  <si>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</si>
  <si>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</si>
  <si>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</si>
  <si>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</si>
  <si>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</si>
  <si>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</si>
  <si>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</si>
  <si>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</si>
  <si>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</si>
  <si>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</si>
  <si>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</si>
  <si>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</si>
  <si>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</si>
  <si>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</si>
  <si>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</si>
  <si>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</si>
  <si>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</si>
  <si>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</si>
  <si>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</si>
  <si>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</si>
  <si>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</si>
  <si>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</si>
  <si>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</si>
  <si>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</si>
  <si>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</si>
  <si>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</si>
  <si>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</si>
  <si>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</si>
  <si>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</si>
  <si>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</si>
  <si>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</si>
  <si>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</si>
  <si>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</si>
  <si>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</si>
  <si>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</si>
  <si>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</si>
  <si>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</si>
  <si>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</si>
  <si>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</si>
  <si>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</si>
  <si>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</si>
  <si>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</si>
  <si>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</si>
  <si>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</si>
  <si>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</si>
  <si>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</si>
  <si>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</si>
  <si>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</si>
  <si>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</si>
  <si>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</si>
  <si>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</si>
  <si>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</si>
  <si>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</si>
  <si>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</si>
  <si>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</si>
  <si>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</si>
  <si>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</si>
  <si>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</si>
  <si>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</si>
  <si>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</si>
  <si>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</si>
  <si>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</si>
  <si>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</si>
  <si>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</si>
  <si>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</si>
  <si>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</si>
  <si>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</si>
  <si>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</si>
  <si>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</si>
  <si>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</si>
  <si>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</si>
  <si>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</si>
  <si>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</si>
  <si>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</si>
  <si>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</si>
  <si>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</si>
  <si>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</si>
  <si>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</si>
  <si>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</si>
  <si>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</si>
  <si>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</si>
  <si>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</si>
  <si>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</si>
  <si>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</si>
  <si>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</si>
  <si>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</si>
  <si>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</si>
  <si>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</si>
  <si>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</si>
  <si>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</si>
  <si>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</si>
  <si>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</si>
  <si>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</si>
  <si>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</si>
  <si>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</si>
  <si>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</si>
  <si>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</si>
  <si>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</si>
  <si>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</si>
  <si>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</si>
  <si>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</si>
  <si>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</si>
  <si>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</si>
  <si>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</si>
  <si>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</si>
  <si>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</si>
  <si>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</si>
  <si>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</si>
  <si>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</si>
  <si>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</si>
  <si>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</si>
  <si>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</si>
  <si>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</si>
  <si>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</si>
  <si>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</si>
  <si>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</si>
  <si>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</si>
  <si>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</si>
  <si>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</si>
  <si>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</si>
  <si>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</si>
  <si>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</si>
  <si>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</si>
  <si>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</si>
  <si>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</si>
  <si>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</si>
  <si>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</si>
  <si>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</si>
  <si>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</si>
  <si>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</si>
  <si>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</si>
  <si>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</si>
  <si>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</si>
  <si>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</si>
  <si>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</si>
  <si>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</si>
  <si>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</si>
  <si>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</si>
  <si>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</si>
  <si>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</si>
  <si>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</si>
  <si>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</si>
  <si>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</si>
  <si>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</si>
  <si>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</si>
  <si>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</si>
  <si>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</si>
  <si>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</si>
  <si>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</si>
  <si>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</si>
  <si>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</si>
  <si>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</si>
  <si>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</si>
  <si>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</si>
  <si>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</si>
  <si>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</si>
  <si>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</si>
  <si>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</si>
  <si>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</si>
  <si>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</si>
  <si>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</si>
  <si>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</si>
  <si>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</si>
  <si>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</si>
  <si>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</si>
  <si>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</si>
  <si>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</si>
  <si>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</si>
  <si>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</si>
  <si>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</si>
  <si>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</si>
  <si>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</si>
  <si>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</si>
  <si>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</si>
  <si>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</si>
  <si>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</si>
  <si>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</si>
  <si>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</si>
  <si>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</si>
  <si>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</si>
  <si>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</si>
  <si>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</si>
  <si>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</si>
  <si>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</si>
  <si>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</si>
  <si>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</si>
  <si>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</si>
  <si>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</si>
  <si>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</si>
  <si>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</si>
  <si>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</si>
  <si>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</si>
  <si>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</si>
  <si>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</si>
  <si>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</si>
  <si>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</si>
  <si>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</si>
  <si>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</si>
  <si>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</si>
  <si>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</si>
  <si>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</si>
  <si>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</si>
  <si>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</si>
  <si>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</si>
  <si>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</si>
  <si>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</si>
  <si>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</si>
  <si>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</si>
  <si>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</si>
  <si>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</si>
  <si>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</si>
  <si>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</si>
  <si>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</si>
  <si>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</si>
  <si>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</si>
  <si>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</si>
  <si>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</si>
  <si>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</si>
  <si>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</si>
  <si>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</si>
  <si>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</si>
  <si>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</si>
  <si>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</si>
  <si>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</si>
  <si>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</si>
  <si>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</si>
  <si>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</si>
  <si>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</si>
  <si>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</si>
  <si>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</si>
  <si>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</si>
  <si>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</si>
  <si>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</si>
  <si>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</si>
  <si>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</si>
  <si>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</si>
  <si>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</si>
  <si>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</si>
  <si>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</si>
  <si>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</si>
  <si>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</si>
  <si>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</si>
  <si>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</si>
  <si>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</si>
  <si>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</si>
  <si>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</si>
  <si>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</si>
  <si>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</si>
  <si>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</si>
  <si>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</si>
  <si>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</si>
  <si>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</si>
  <si>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</si>
  <si>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</si>
  <si>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</si>
  <si>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</si>
  <si>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</si>
  <si>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</si>
  <si>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</si>
  <si>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</si>
  <si>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</si>
  <si>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</si>
  <si>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</si>
  <si>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</si>
  <si>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</si>
  <si>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</si>
  <si>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</si>
  <si>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</si>
  <si>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</si>
  <si>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</si>
  <si>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</si>
  <si>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</si>
  <si>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</si>
  <si>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</si>
  <si>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</si>
  <si>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</si>
  <si>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</si>
  <si>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</si>
  <si>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</si>
  <si>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</si>
  <si>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</si>
  <si>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</si>
  <si>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</si>
  <si>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</si>
  <si>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</si>
  <si>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</si>
  <si>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</si>
  <si>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</si>
  <si>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</si>
  <si>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</si>
  <si>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</si>
  <si>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</si>
  <si>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</si>
  <si>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</si>
  <si>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</si>
  <si>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</si>
  <si>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</si>
  <si>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</si>
  <si>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</si>
  <si>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</si>
  <si>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</si>
  <si>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</si>
  <si>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</si>
  <si>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</si>
  <si>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</si>
  <si>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</si>
  <si>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</si>
  <si>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</si>
  <si>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</si>
  <si>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</si>
  <si>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</si>
  <si>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</si>
  <si>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</si>
  <si>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</si>
  <si>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</si>
  <si>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</si>
  <si>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</si>
  <si>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</si>
  <si>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</si>
  <si>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</si>
  <si>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</si>
  <si>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</si>
  <si>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</si>
  <si>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</si>
  <si>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</si>
  <si>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</si>
  <si>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</si>
  <si>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</si>
  <si>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</si>
  <si>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</si>
  <si>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</si>
  <si>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</si>
  <si>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</si>
  <si>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</si>
  <si>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</si>
  <si>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</si>
  <si>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</si>
  <si>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</si>
  <si>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</si>
  <si>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</si>
  <si>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</si>
  <si>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</si>
  <si>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</si>
  <si>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</si>
  <si>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</si>
  <si>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</si>
  <si>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</si>
  <si>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</si>
  <si>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</si>
  <si>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</si>
  <si>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</si>
  <si>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</si>
  <si>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</si>
  <si>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</si>
  <si>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</si>
  <si>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</si>
  <si>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</si>
  <si>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</si>
  <si>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</si>
  <si>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</si>
  <si>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</si>
  <si>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</si>
  <si>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</si>
  <si>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</si>
  <si>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</si>
  <si>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</si>
  <si>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</si>
  <si>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</si>
  <si>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</si>
  <si>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</si>
  <si>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</si>
  <si>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</si>
  <si>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</si>
  <si>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</si>
  <si>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</si>
  <si>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</si>
  <si>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</si>
  <si>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</si>
  <si>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</si>
  <si>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</si>
  <si>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</si>
  <si>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</si>
  <si>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</si>
  <si>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</si>
  <si>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</si>
  <si>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</si>
  <si>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</si>
  <si>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</si>
  <si>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</si>
  <si>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</si>
  <si>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</si>
  <si>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</si>
  <si>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</si>
  <si>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</si>
  <si>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</si>
  <si>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</si>
  <si>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</si>
  <si>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</si>
  <si>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</si>
  <si>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</si>
  <si>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</si>
  <si>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</si>
  <si>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</si>
  <si>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</si>
  <si>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</si>
  <si>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</si>
  <si>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</si>
  <si>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</si>
  <si>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</si>
  <si>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</si>
  <si>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</si>
  <si>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</si>
  <si>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</si>
  <si>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</si>
  <si>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</si>
  <si>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</si>
  <si>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</si>
  <si>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</si>
  <si>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</si>
  <si>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</si>
  <si>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</si>
  <si>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</si>
  <si>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</si>
  <si>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</si>
  <si>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</si>
  <si>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</si>
  <si>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</si>
  <si>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</si>
  <si>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</si>
  <si>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</si>
  <si>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</si>
  <si>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</si>
  <si>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</si>
  <si>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</si>
  <si>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</si>
  <si>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</si>
  <si>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</si>
  <si>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</si>
  <si>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</si>
  <si>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</si>
  <si>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</si>
  <si>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</si>
  <si>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</si>
  <si>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</si>
  <si>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</si>
  <si>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</si>
  <si>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</si>
  <si>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</si>
  <si>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</si>
  <si>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</si>
  <si>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</si>
  <si>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</si>
  <si>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</si>
  <si>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</si>
  <si>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</si>
  <si>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</si>
  <si>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</si>
  <si>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</si>
  <si>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</si>
  <si>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</si>
  <si>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</si>
  <si>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</si>
  <si>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</si>
  <si>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</si>
  <si>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</si>
  <si>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</si>
  <si>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</si>
  <si>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</si>
  <si>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</si>
  <si>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</si>
  <si>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</si>
  <si>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</si>
  <si>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</si>
  <si>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</si>
  <si>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</si>
  <si>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</si>
  <si>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</si>
  <si>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</si>
  <si>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</si>
  <si>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</si>
  <si>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</si>
  <si>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</si>
  <si>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</si>
  <si>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</si>
  <si>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</si>
  <si>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</si>
  <si>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</si>
  <si>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</si>
  <si>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</si>
  <si>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</si>
  <si>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</si>
  <si>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</si>
  <si>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</si>
  <si>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</si>
  <si>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</si>
  <si>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</si>
  <si>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</si>
  <si>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</si>
  <si>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</si>
  <si>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</si>
  <si>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</si>
  <si>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</si>
  <si>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</si>
  <si>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</si>
  <si>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</si>
  <si>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</si>
  <si>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</si>
  <si>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</si>
  <si>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</si>
  <si>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</si>
  <si>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</si>
  <si>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</si>
  <si>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</si>
  <si>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</si>
  <si>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</si>
  <si>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</si>
  <si>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</si>
  <si>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</si>
  <si>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</si>
  <si>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</si>
  <si>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</si>
  <si>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</si>
  <si>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</si>
  <si>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</si>
  <si>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</si>
  <si>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</si>
  <si>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</si>
  <si>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</si>
  <si>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</si>
  <si>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</si>
  <si>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</si>
  <si>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</si>
  <si>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</si>
  <si>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</si>
  <si>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</si>
  <si>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</si>
  <si>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</si>
  <si>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</si>
  <si>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</si>
  <si>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</si>
  <si>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</si>
  <si>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</si>
  <si>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</si>
  <si>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</si>
  <si>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</si>
  <si>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</si>
  <si>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</si>
  <si>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</si>
  <si>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</si>
  <si>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</si>
  <si>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</si>
  <si>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</si>
  <si>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</si>
  <si>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</si>
  <si>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</si>
  <si>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</si>
  <si>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</si>
  <si>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</si>
  <si>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</si>
  <si>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</si>
  <si>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</si>
  <si>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</si>
  <si>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</si>
  <si>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</si>
  <si>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</si>
  <si>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</si>
  <si>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</si>
  <si>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</si>
  <si>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</si>
  <si>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</si>
  <si>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</si>
  <si>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</si>
  <si>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</si>
  <si>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</si>
  <si>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</si>
  <si>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</si>
  <si>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</si>
  <si>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</si>
  <si>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</si>
  <si>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</si>
  <si>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</si>
  <si>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</si>
  <si>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</si>
  <si>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</si>
  <si>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</si>
  <si>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</si>
  <si>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</si>
  <si>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</si>
  <si>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</si>
  <si>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</si>
  <si>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</si>
  <si>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</si>
  <si>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</si>
  <si>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</si>
  <si>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</si>
  <si>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</si>
  <si>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</si>
  <si>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</si>
  <si>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</si>
  <si>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</si>
  <si>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</si>
  <si>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</si>
  <si>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</si>
  <si>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</si>
  <si>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</si>
  <si>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</si>
  <si>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</si>
  <si>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</si>
  <si>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</si>
  <si>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</si>
  <si>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</si>
  <si>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</si>
  <si>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</si>
  <si>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</si>
  <si>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</si>
  <si>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</si>
  <si>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</si>
  <si>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</si>
  <si>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</si>
  <si>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</si>
  <si>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</si>
  <si>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</si>
  <si>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</si>
  <si>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</si>
  <si>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</si>
  <si>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</si>
  <si>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</si>
  <si>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</si>
  <si>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</si>
  <si>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</si>
  <si>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</si>
  <si>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</si>
  <si>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</si>
  <si>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</si>
  <si>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</si>
  <si>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</si>
  <si>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</si>
  <si>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</si>
  <si>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</si>
  <si>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</si>
  <si>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</si>
  <si>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</si>
  <si>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</si>
  <si>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</si>
  <si>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</si>
  <si>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</si>
  <si>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</si>
  <si>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</si>
  <si>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</si>
  <si>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</si>
  <si>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</si>
  <si>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</si>
  <si>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</si>
  <si>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</si>
  <si>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</si>
  <si>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</si>
  <si>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</si>
  <si>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</si>
  <si>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</si>
  <si>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</si>
  <si>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</si>
  <si>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</si>
  <si>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</si>
  <si>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</si>
  <si>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</si>
  <si>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</si>
  <si>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</si>
  <si>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</si>
  <si>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</si>
  <si>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</si>
  <si>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</si>
  <si>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</si>
  <si>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</si>
  <si>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</si>
  <si>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</si>
  <si>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</si>
  <si>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</si>
  <si>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</si>
  <si>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</si>
  <si>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</si>
  <si>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</si>
  <si>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</si>
  <si>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</si>
  <si>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</si>
  <si>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</si>
  <si>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</si>
  <si>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</si>
  <si>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</si>
  <si>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</si>
  <si>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</si>
  <si>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</si>
  <si>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</si>
  <si>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</si>
  <si>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</si>
  <si>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</si>
  <si>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</si>
  <si>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</si>
  <si>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</si>
  <si>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</si>
  <si>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</si>
  <si>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</si>
  <si>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</si>
  <si>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</si>
  <si>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</si>
  <si>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</si>
  <si>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</si>
  <si>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</si>
  <si>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</si>
  <si>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</si>
  <si>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</si>
  <si>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</si>
  <si>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</si>
  <si>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</si>
  <si>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</si>
  <si>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</si>
  <si>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</si>
  <si>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</si>
  <si>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</si>
  <si>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</si>
  <si>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</si>
  <si>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</si>
  <si>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</si>
  <si>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</si>
  <si>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</si>
  <si>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</si>
  <si>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</si>
  <si>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</si>
  <si>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</si>
  <si>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</si>
  <si>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</si>
  <si>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</si>
  <si>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</si>
  <si>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</si>
  <si>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</si>
  <si>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</si>
  <si>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</si>
  <si>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</si>
  <si>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</si>
  <si>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</si>
  <si>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</si>
  <si>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</si>
  <si>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</si>
  <si>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</si>
  <si>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</si>
  <si>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</si>
  <si>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</si>
  <si>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</si>
  <si>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</si>
  <si>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</si>
  <si>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</si>
  <si>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</si>
  <si>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</si>
  <si>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</si>
  <si>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</si>
  <si>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</si>
  <si>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</si>
  <si>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</si>
  <si>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</si>
  <si>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</si>
  <si>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</si>
  <si>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</si>
  <si>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</si>
  <si>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</si>
  <si>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</si>
  <si>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</si>
  <si>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</si>
  <si>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</si>
  <si>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</si>
  <si>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</si>
  <si>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</si>
  <si>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</si>
  <si>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</si>
  <si>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</si>
  <si>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</si>
  <si>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</si>
  <si>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</si>
  <si>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</si>
  <si>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</si>
  <si>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</si>
  <si>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</si>
  <si>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</si>
  <si>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</si>
  <si>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</si>
  <si>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</si>
  <si>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</si>
  <si>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</si>
  <si>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</si>
  <si>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</si>
  <si>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</si>
  <si>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</si>
  <si>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</si>
  <si>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</si>
  <si>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</si>
  <si>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</si>
  <si>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</si>
  <si>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</si>
  <si>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</si>
  <si>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</si>
  <si>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</si>
  <si>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</si>
  <si>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</si>
  <si>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</si>
  <si>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</si>
  <si>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</si>
  <si>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</si>
  <si>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</si>
  <si>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</si>
  <si>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</si>
  <si>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</si>
  <si>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</si>
  <si>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</si>
  <si>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</si>
  <si>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</si>
  <si>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</si>
  <si>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</si>
  <si>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</si>
  <si>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</si>
  <si>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</si>
  <si>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</si>
  <si>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</si>
  <si>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</si>
  <si>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</si>
  <si>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</si>
  <si>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</si>
  <si>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</si>
  <si>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</si>
  <si>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</si>
  <si>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</si>
  <si>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</si>
  <si>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</si>
  <si>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</si>
  <si>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</si>
  <si>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</si>
  <si>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</si>
  <si>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</si>
  <si>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</si>
  <si>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</si>
  <si>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</si>
  <si>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</si>
  <si>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</si>
  <si>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</si>
  <si>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</si>
  <si>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</si>
  <si>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</si>
  <si>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</si>
  <si>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</si>
  <si>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</si>
  <si>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</si>
  <si>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</si>
  <si>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</si>
  <si>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</si>
  <si>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</si>
  <si>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</si>
  <si>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</si>
  <si>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</si>
  <si>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</si>
  <si>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</si>
  <si>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</si>
  <si>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</si>
  <si>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</si>
  <si>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</si>
  <si>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</si>
  <si>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</si>
  <si>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</si>
  <si>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</si>
  <si>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</si>
  <si>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</si>
  <si>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</si>
  <si>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</si>
  <si>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</si>
  <si>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</si>
  <si>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</si>
  <si>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</si>
  <si>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</si>
  <si>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</si>
  <si>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</si>
  <si>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</si>
  <si>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</si>
  <si>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</si>
  <si>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</si>
  <si>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</si>
  <si>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</si>
  <si>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</si>
  <si>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</si>
  <si>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</si>
  <si>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</si>
  <si>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</si>
  <si>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</si>
  <si>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</si>
  <si>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</si>
  <si>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</si>
  <si>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</si>
  <si>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</si>
  <si>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</si>
  <si>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</si>
  <si>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</si>
  <si>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</si>
  <si>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</si>
  <si>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</si>
  <si>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</si>
  <si>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</si>
  <si>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</si>
  <si>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</si>
  <si>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</si>
  <si>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</si>
  <si>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</si>
  <si>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</si>
  <si>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</si>
  <si>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</si>
  <si>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</si>
  <si>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</si>
  <si>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</si>
  <si>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</si>
  <si>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</si>
  <si>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</si>
  <si>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</si>
  <si>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</si>
  <si>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</si>
  <si>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</si>
  <si>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</si>
  <si>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</si>
  <si>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</si>
  <si>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</si>
  <si>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</si>
  <si>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</si>
  <si>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</si>
  <si>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</si>
  <si>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</si>
  <si>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</si>
  <si>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</si>
  <si>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</si>
  <si>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</si>
  <si>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</si>
  <si>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</si>
  <si>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</si>
  <si>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</si>
  <si>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</si>
  <si>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</si>
  <si>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</si>
  <si>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</si>
  <si>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</si>
  <si>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</si>
  <si>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</si>
  <si>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</si>
  <si>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</si>
  <si>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</si>
  <si>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</si>
  <si>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</si>
  <si>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</si>
  <si>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</si>
  <si>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</si>
  <si>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</si>
  <si>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</si>
  <si>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</si>
  <si>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</si>
  <si>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</si>
  <si>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</si>
  <si>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</si>
  <si>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</si>
  <si>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</si>
  <si>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</si>
  <si>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</si>
  <si>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</si>
  <si>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</si>
  <si>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</si>
  <si>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</si>
  <si>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</si>
  <si>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</si>
  <si>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</si>
  <si>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</si>
  <si>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</si>
  <si>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</si>
  <si>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</si>
  <si>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</si>
  <si>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</si>
  <si>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</si>
  <si>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</si>
  <si>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</si>
  <si>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</si>
  <si>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</si>
  <si>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</si>
  <si>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</si>
  <si>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</si>
  <si>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</si>
  <si>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</si>
  <si>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</si>
  <si>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</si>
  <si>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</si>
  <si>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</si>
  <si>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</si>
  <si>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</si>
  <si>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</si>
  <si>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</si>
  <si>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</si>
  <si>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</si>
  <si>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</si>
  <si>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</si>
  <si>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</si>
  <si>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</si>
  <si>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</si>
  <si>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</si>
  <si>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</si>
  <si>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</si>
  <si>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</si>
  <si>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</si>
  <si>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</si>
  <si>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</si>
  <si>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</si>
  <si>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</si>
  <si>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</si>
  <si>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</si>
  <si>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</si>
  <si>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</si>
  <si>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</si>
  <si>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</si>
  <si>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</si>
  <si>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</si>
  <si>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</si>
  <si>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</si>
  <si>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</si>
  <si>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</si>
  <si>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</si>
  <si>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</si>
  <si>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</si>
  <si>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</si>
  <si>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</si>
  <si>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</si>
  <si>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</si>
  <si>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</si>
  <si>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</si>
  <si>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</si>
  <si>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</si>
  <si>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</si>
  <si>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</si>
  <si>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</si>
  <si>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</si>
  <si>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</si>
  <si>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</si>
  <si>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</si>
  <si>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</si>
  <si>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</si>
  <si>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</si>
  <si>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</si>
  <si>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</si>
  <si>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</si>
  <si>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</si>
  <si>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</si>
  <si>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</si>
  <si>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</si>
  <si>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</si>
  <si>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</si>
  <si>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</si>
  <si>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</si>
  <si>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</si>
  <si>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</si>
  <si>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</si>
  <si>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</si>
  <si>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</si>
  <si>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</si>
  <si>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</si>
  <si>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</si>
  <si>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</si>
  <si>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</si>
  <si>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</si>
  <si>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</si>
  <si>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</si>
  <si>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</si>
  <si>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</si>
  <si>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</si>
  <si>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</si>
  <si>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</si>
  <si>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</si>
  <si>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</si>
  <si>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</si>
  <si>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</si>
  <si>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</si>
  <si>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</si>
  <si>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</si>
  <si>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</si>
  <si>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</si>
  <si>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</si>
  <si>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</si>
  <si>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</si>
  <si>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</si>
  <si>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</si>
  <si>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</si>
  <si>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</si>
  <si>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</si>
  <si>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</si>
  <si>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</si>
  <si>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</si>
  <si>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</si>
  <si>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</si>
  <si>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</si>
  <si>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</si>
  <si>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</si>
  <si>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</si>
  <si>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</si>
  <si>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</si>
  <si>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</si>
  <si>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</si>
  <si>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</si>
  <si>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</si>
  <si>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</si>
  <si>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</si>
  <si>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</si>
  <si>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</si>
  <si>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</si>
  <si>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</si>
  <si>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</si>
  <si>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</si>
  <si>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</si>
  <si>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</si>
  <si>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</si>
  <si>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</si>
  <si>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</si>
  <si>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</si>
  <si>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</si>
  <si>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</si>
  <si>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</si>
  <si>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</si>
  <si>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</si>
  <si>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</si>
  <si>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</si>
  <si>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</si>
  <si>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</si>
  <si>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</si>
  <si>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</si>
  <si>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</si>
  <si>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</si>
  <si>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</si>
  <si>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</si>
  <si>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</si>
  <si>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</si>
  <si>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</si>
  <si>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</si>
  <si>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</si>
  <si>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</si>
  <si>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</si>
  <si>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</si>
  <si>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</si>
  <si>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</si>
  <si>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</si>
  <si>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</si>
  <si>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</si>
  <si>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</si>
  <si>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</si>
  <si>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</si>
  <si>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</si>
  <si>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</si>
  <si>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</si>
  <si>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</si>
  <si>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</si>
  <si>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</si>
  <si>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</si>
  <si>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</si>
  <si>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</si>
  <si>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</si>
  <si>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</si>
  <si>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</si>
  <si>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</si>
  <si>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</si>
  <si>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</si>
  <si>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</si>
  <si>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</si>
  <si>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</si>
  <si>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</si>
  <si>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</si>
  <si>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</si>
  <si>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</si>
  <si>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</si>
  <si>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</si>
  <si>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</si>
  <si>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</si>
  <si>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</si>
  <si>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</si>
  <si>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</si>
  <si>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</si>
  <si>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</si>
  <si>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</si>
  <si>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</si>
  <si>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</si>
  <si>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</si>
  <si>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</si>
  <si>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</si>
  <si>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</si>
  <si>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</si>
  <si>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</si>
  <si>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</si>
  <si>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</si>
  <si>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</si>
  <si>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</si>
  <si>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</si>
  <si>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</si>
  <si>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</si>
  <si>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</si>
  <si>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</si>
  <si>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</si>
  <si>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</si>
  <si>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</si>
  <si>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</si>
  <si>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</si>
  <si>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</si>
  <si>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</si>
  <si>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</si>
  <si>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</si>
  <si>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</si>
  <si>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</si>
  <si>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</si>
  <si>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</si>
  <si>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</si>
  <si>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</si>
  <si>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</si>
  <si>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</si>
  <si>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</si>
  <si>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</si>
  <si>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</si>
  <si>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</si>
  <si>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</si>
  <si>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</si>
  <si>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</si>
  <si>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</si>
  <si>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</si>
  <si>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</si>
  <si>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</si>
  <si>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</si>
  <si>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</si>
  <si>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</si>
  <si>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</si>
  <si>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</si>
  <si>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</si>
  <si>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</si>
  <si>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</si>
  <si>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</si>
  <si>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</si>
  <si>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</si>
  <si>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</si>
  <si>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</si>
  <si>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</si>
  <si>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</si>
  <si>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</si>
  <si>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</si>
  <si>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</si>
  <si>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</si>
  <si>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</si>
  <si>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</si>
  <si>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</si>
  <si>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</si>
  <si>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</si>
  <si>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</si>
  <si>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</si>
  <si>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</si>
  <si>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</si>
  <si>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</si>
  <si>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</si>
  <si>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</si>
  <si>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</si>
  <si>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</si>
  <si>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</si>
  <si>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</si>
  <si>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</si>
  <si>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</si>
  <si>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</si>
  <si>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</si>
  <si>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</si>
  <si>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</si>
  <si>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</si>
  <si>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</si>
  <si>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</si>
  <si>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</si>
  <si>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</si>
  <si>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</si>
  <si>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</si>
  <si>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</si>
  <si>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</si>
  <si>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</si>
  <si>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</si>
  <si>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</si>
  <si>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</si>
  <si>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</si>
  <si>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</si>
  <si>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</si>
  <si>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</si>
  <si>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</si>
  <si>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</si>
  <si>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</si>
  <si>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</si>
  <si>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</si>
  <si>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</si>
  <si>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</si>
  <si>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</si>
  <si>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</si>
  <si>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</si>
  <si>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</si>
  <si>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</si>
  <si>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</si>
  <si>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</si>
  <si>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</si>
  <si>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</si>
  <si>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</si>
  <si>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</si>
  <si>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</si>
  <si>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</si>
  <si>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</si>
  <si>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</si>
  <si>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</si>
  <si>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</si>
  <si>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</si>
  <si>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</si>
  <si>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</si>
  <si>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</si>
  <si>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</si>
  <si>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</si>
  <si>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</si>
  <si>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</si>
  <si>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</si>
  <si>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</si>
  <si>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</si>
  <si>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</si>
  <si>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</si>
  <si>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</si>
  <si>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</si>
  <si>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</si>
  <si>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</si>
  <si>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</si>
  <si>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</si>
  <si>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</si>
  <si>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</si>
  <si>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</si>
  <si>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</si>
  <si>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</si>
  <si>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</si>
  <si>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</si>
  <si>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</si>
  <si>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</si>
  <si>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</si>
  <si>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</si>
  <si>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</si>
  <si>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</si>
  <si>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</si>
  <si>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</si>
  <si>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</si>
  <si>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</si>
  <si>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</si>
  <si>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</si>
  <si>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</si>
  <si>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</si>
  <si>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</si>
  <si>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</si>
  <si>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</si>
  <si>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</si>
  <si>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</si>
  <si>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</si>
  <si>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</si>
  <si>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</si>
  <si>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</si>
  <si>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</si>
  <si>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</si>
  <si>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</si>
  <si>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</si>
  <si>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</si>
  <si>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</si>
  <si>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</si>
  <si>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</si>
  <si>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</si>
  <si>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</si>
  <si>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</si>
  <si>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</si>
  <si>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</si>
  <si>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</si>
  <si>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</si>
  <si>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</si>
  <si>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</si>
  <si>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</si>
  <si>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</si>
  <si>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</si>
  <si>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</si>
  <si>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</si>
  <si>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</si>
  <si>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</si>
  <si>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</si>
  <si>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</si>
  <si>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</si>
  <si>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</si>
  <si>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</si>
  <si>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</si>
  <si>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</si>
  <si>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</si>
  <si>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</si>
  <si>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</si>
  <si>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</si>
  <si>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</si>
  <si>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</si>
  <si>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</si>
  <si>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</si>
  <si>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</si>
  <si>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</si>
  <si>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</si>
  <si>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</si>
  <si>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</si>
  <si>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</si>
  <si>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</si>
  <si>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</si>
  <si>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</si>
  <si>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</si>
  <si>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</si>
  <si>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</si>
  <si>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</si>
  <si>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</si>
  <si>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</si>
  <si>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</si>
  <si>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</si>
  <si>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</si>
  <si>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</si>
  <si>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</si>
  <si>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</si>
  <si>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</si>
  <si>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</si>
  <si>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</si>
  <si>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</si>
  <si>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</si>
  <si>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</si>
  <si>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</si>
  <si>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</si>
  <si>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</si>
  <si>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</si>
  <si>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</si>
  <si>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</si>
  <si>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</si>
  <si>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</si>
  <si>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</si>
  <si>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</si>
  <si>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</si>
  <si>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</si>
  <si>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</si>
  <si>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</si>
  <si>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</si>
  <si>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</si>
  <si>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</si>
  <si>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</si>
  <si>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</si>
  <si>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</si>
  <si>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</si>
  <si>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</si>
  <si>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</si>
  <si>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</si>
  <si>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</si>
  <si>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</si>
  <si>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</si>
  <si>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</si>
  <si>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</si>
  <si>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</si>
  <si>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</si>
  <si>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</si>
  <si>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</si>
  <si>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</si>
  <si>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</si>
  <si>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</si>
  <si>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</si>
  <si>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</si>
  <si>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</si>
  <si>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</si>
  <si>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</si>
  <si>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</si>
  <si>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</si>
  <si>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</si>
  <si>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</si>
  <si>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</si>
  <si>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</si>
  <si>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</si>
  <si>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</si>
  <si>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</si>
  <si>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</si>
  <si>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</si>
  <si>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</si>
  <si>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</si>
  <si>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</si>
  <si>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</si>
  <si>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</si>
  <si>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</si>
  <si>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</si>
  <si>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</si>
  <si>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</si>
  <si>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</si>
  <si>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</si>
  <si>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</si>
  <si>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</si>
  <si>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</si>
  <si>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</si>
  <si>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</si>
  <si>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</si>
  <si>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</si>
  <si>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</si>
  <si>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</si>
  <si>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</si>
  <si>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</si>
  <si>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</si>
  <si>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</si>
  <si>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</si>
  <si>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</si>
  <si>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</si>
  <si>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</si>
  <si>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</si>
  <si>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</si>
  <si>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</si>
  <si>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</si>
  <si>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</si>
  <si>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</si>
  <si>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</si>
  <si>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</si>
  <si>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</si>
  <si>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</si>
  <si>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</si>
  <si>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</si>
  <si>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</si>
  <si>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</si>
  <si>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</si>
  <si>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</si>
  <si>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</si>
  <si>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</si>
  <si>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</si>
  <si>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</si>
  <si>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</si>
  <si>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</si>
  <si>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</si>
  <si>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</si>
  <si>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</si>
  <si>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</si>
  <si>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</si>
  <si>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</si>
  <si>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</si>
  <si>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</si>
  <si>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</si>
  <si>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</si>
  <si>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</si>
  <si>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</si>
  <si>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</si>
  <si>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</si>
  <si>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</si>
  <si>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</si>
  <si>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</si>
  <si>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</si>
  <si>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</si>
  <si>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</si>
  <si>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</si>
  <si>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</si>
  <si>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</si>
  <si>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</si>
  <si>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</si>
  <si>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</si>
  <si>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</si>
  <si>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</si>
  <si>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</si>
  <si>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</si>
  <si>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</si>
  <si>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</si>
  <si>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</si>
  <si>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</si>
  <si>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</si>
  <si>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</si>
  <si>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</si>
  <si>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</si>
  <si>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</si>
  <si>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</si>
  <si>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</si>
  <si>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</si>
  <si>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</si>
  <si>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</si>
  <si>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</si>
  <si>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</si>
  <si>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</si>
  <si>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</si>
  <si>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</si>
  <si>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</si>
  <si>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</si>
  <si>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</si>
  <si>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</si>
  <si>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</si>
  <si>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</si>
  <si>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</si>
  <si>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</si>
  <si>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</si>
  <si>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</si>
  <si>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</si>
  <si>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</si>
  <si>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</si>
  <si>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</si>
  <si>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</si>
  <si>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</si>
  <si>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</si>
  <si>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</si>
  <si>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</si>
  <si>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</si>
  <si>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</si>
  <si>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</si>
  <si>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</si>
  <si>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</si>
  <si>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</si>
  <si>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</si>
  <si>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</si>
  <si>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</si>
  <si>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</si>
  <si>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</si>
  <si>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</si>
  <si>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</si>
  <si>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</si>
  <si>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</si>
  <si>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</si>
  <si>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</si>
  <si>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</si>
  <si>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</si>
  <si>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</si>
  <si>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</si>
  <si>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</si>
  <si>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</si>
  <si>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</si>
  <si>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</si>
  <si>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</si>
  <si>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</si>
  <si>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</si>
  <si>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</si>
  <si>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</si>
  <si>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</si>
  <si>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</si>
  <si>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</si>
  <si>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</si>
  <si>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</si>
  <si>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</si>
  <si>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</si>
  <si>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</si>
  <si>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</si>
  <si>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</si>
  <si>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</si>
  <si>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</si>
  <si>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</si>
  <si>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</si>
  <si>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</si>
  <si>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</si>
  <si>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</si>
  <si>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</si>
  <si>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</si>
  <si>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</si>
  <si>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</si>
  <si>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</si>
  <si>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</si>
  <si>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</si>
  <si>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</si>
  <si>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</si>
  <si>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</si>
  <si>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</si>
  <si>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</si>
  <si>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</si>
  <si>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</si>
  <si>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</si>
  <si>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</si>
  <si>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</si>
  <si>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</si>
  <si>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</si>
  <si>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</si>
  <si>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</si>
  <si>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</si>
  <si>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</si>
  <si>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</si>
  <si>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</si>
  <si>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</si>
  <si>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</si>
  <si>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</si>
  <si>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</si>
  <si>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</si>
  <si>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</si>
  <si>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</si>
  <si>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</si>
  <si>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</si>
  <si>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</si>
  <si>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</si>
  <si>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</si>
  <si>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</si>
  <si>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</si>
  <si>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</si>
  <si>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</si>
  <si>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</si>
  <si>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</si>
  <si>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</si>
  <si>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</si>
  <si>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</si>
  <si>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</si>
  <si>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</si>
  <si>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</si>
  <si>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</si>
  <si>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</si>
  <si>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</si>
  <si>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</si>
  <si>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</si>
  <si>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</si>
  <si>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</si>
  <si>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</si>
  <si>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</si>
  <si>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</si>
  <si>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</si>
  <si>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</si>
  <si>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</si>
  <si>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</si>
  <si>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</si>
  <si>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</si>
  <si>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</si>
  <si>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</si>
  <si>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</si>
  <si>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</si>
  <si>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</si>
  <si>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</si>
  <si>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</si>
  <si>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</si>
  <si>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</si>
  <si>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</si>
  <si>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</si>
  <si>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</si>
  <si>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</si>
  <si>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</si>
  <si>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</si>
  <si>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</si>
  <si>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</si>
  <si>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</si>
  <si>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</si>
  <si>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</si>
  <si>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</si>
  <si>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</si>
  <si>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</si>
  <si>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</si>
  <si>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</si>
  <si>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</si>
  <si>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</si>
  <si>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</si>
  <si>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</si>
  <si>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</si>
  <si>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</si>
  <si>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</si>
  <si>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</si>
  <si>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</si>
  <si>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</si>
  <si>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</si>
  <si>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</si>
  <si>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</si>
  <si>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</si>
  <si>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</si>
  <si>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</si>
  <si>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</si>
  <si>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</si>
  <si>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</si>
  <si>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</si>
  <si>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</si>
  <si>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</si>
  <si>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</si>
  <si>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</si>
  <si>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</si>
  <si>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</si>
  <si>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</si>
  <si>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</si>
  <si>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</si>
  <si>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</si>
  <si>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</si>
  <si>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</si>
  <si>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</si>
  <si>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</si>
  <si>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</si>
  <si>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</si>
  <si>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</si>
  <si>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</si>
  <si>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</si>
  <si>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</si>
  <si>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</si>
  <si>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</si>
  <si>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</si>
  <si>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</si>
  <si>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</si>
  <si>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</si>
  <si>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</si>
  <si>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</si>
  <si>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</si>
  <si>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</si>
  <si>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</si>
  <si>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</si>
  <si>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</si>
  <si>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</si>
  <si>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</si>
  <si>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</si>
  <si>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</si>
  <si>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</si>
  <si>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</si>
  <si>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</si>
  <si>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</si>
  <si>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</si>
  <si>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</si>
  <si>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</si>
  <si>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</si>
  <si>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</si>
  <si>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</si>
  <si>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</si>
  <si>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</si>
  <si>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</si>
  <si>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</si>
  <si>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</si>
  <si>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</si>
  <si>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</si>
  <si>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</si>
  <si>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</si>
  <si>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</si>
  <si>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</si>
  <si>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</si>
  <si>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</si>
  <si>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</si>
  <si>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</si>
  <si>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</si>
  <si>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</si>
  <si>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</si>
  <si>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</si>
  <si>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</si>
  <si>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</si>
  <si>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</si>
  <si>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</si>
  <si>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</si>
  <si>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</si>
  <si>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</si>
  <si>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</si>
  <si>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</si>
  <si>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</si>
  <si>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</si>
  <si>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</si>
  <si>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</si>
  <si>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</si>
  <si>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</si>
  <si>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</si>
  <si>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</si>
  <si>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</si>
  <si>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</si>
  <si>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</si>
  <si>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</si>
  <si>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</si>
  <si>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</si>
  <si>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</si>
  <si>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</si>
  <si>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</si>
  <si>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</si>
  <si>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</si>
  <si>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</si>
  <si>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</si>
  <si>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</si>
  <si>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</si>
  <si>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</si>
  <si>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</si>
  <si>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</si>
  <si>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</si>
  <si>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</si>
  <si>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</si>
  <si>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</si>
  <si>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</si>
  <si>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</si>
  <si>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</si>
  <si>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</si>
  <si>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</si>
  <si>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</si>
  <si>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</si>
  <si>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</si>
  <si>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</si>
  <si>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</si>
  <si>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</si>
  <si>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</si>
  <si>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</si>
  <si>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</si>
  <si>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</si>
  <si>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</si>
  <si>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</si>
  <si>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</si>
  <si>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</si>
  <si>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</si>
  <si>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</si>
  <si>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</si>
  <si>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</si>
  <si>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</si>
  <si>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</si>
  <si>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</si>
  <si>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</si>
  <si>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</si>
  <si>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</si>
  <si>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</si>
  <si>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</si>
  <si>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</si>
  <si>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</si>
  <si>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</si>
  <si>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</si>
  <si>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</si>
  <si>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</si>
  <si>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</si>
  <si>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</si>
  <si>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</si>
  <si>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</si>
  <si>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</si>
  <si>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</si>
  <si>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</si>
  <si>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</si>
  <si>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</si>
  <si>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</si>
  <si>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</si>
  <si>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</si>
  <si>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</si>
  <si>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</si>
  <si>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</si>
  <si>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</si>
  <si>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</si>
  <si>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</si>
  <si>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</si>
  <si>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</si>
  <si>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</si>
  <si>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</si>
  <si>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</si>
  <si>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</si>
  <si>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</si>
  <si>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</si>
  <si>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</si>
  <si>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</si>
  <si>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</si>
  <si>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</si>
  <si>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</si>
  <si>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</si>
  <si>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</si>
  <si>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</si>
  <si>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</si>
  <si>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</si>
  <si>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</si>
  <si>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</si>
  <si>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</si>
  <si>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</si>
  <si>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</si>
  <si>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</si>
  <si>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</si>
  <si>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</si>
  <si>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</si>
  <si>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</si>
  <si>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</si>
  <si>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</si>
  <si>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</si>
  <si>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</si>
  <si>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</si>
  <si>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</si>
  <si>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</si>
  <si>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</si>
  <si>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</si>
  <si>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</si>
  <si>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</si>
  <si>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</si>
  <si>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</si>
  <si>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</si>
  <si>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</si>
  <si>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</si>
  <si>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</si>
  <si>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</si>
  <si>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</si>
  <si>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</si>
  <si>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</si>
  <si>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</si>
  <si>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</si>
  <si>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</si>
  <si>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</si>
  <si>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</si>
  <si>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</si>
  <si>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</si>
  <si>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</si>
  <si>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</si>
  <si>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</si>
  <si>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</si>
  <si>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</si>
  <si>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</si>
  <si>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</si>
  <si>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</si>
  <si>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</si>
  <si>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</si>
  <si>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</si>
  <si>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</si>
  <si>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</si>
  <si>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</si>
  <si>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</si>
  <si>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</si>
  <si>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</si>
  <si>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</si>
  <si>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</si>
  <si>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</si>
  <si>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</si>
  <si>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</si>
  <si>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</si>
  <si>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</si>
  <si>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</si>
  <si>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</si>
  <si>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</si>
  <si>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</si>
  <si>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</si>
  <si>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</si>
  <si>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</si>
  <si>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</si>
  <si>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</si>
  <si>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</si>
  <si>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</si>
  <si>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</si>
  <si>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</si>
  <si>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</si>
  <si>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</si>
  <si>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</si>
  <si>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</si>
  <si>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</si>
  <si>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</si>
  <si>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</si>
  <si>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</si>
  <si>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</si>
  <si>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</si>
  <si>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</si>
  <si>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</si>
  <si>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</si>
  <si>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</si>
  <si>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</si>
  <si>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</si>
  <si>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</si>
  <si>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</si>
  <si>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</si>
  <si>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</si>
  <si>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</si>
  <si>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</si>
  <si>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</si>
  <si>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</si>
  <si>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</si>
  <si>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</si>
  <si>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</si>
  <si>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</si>
  <si>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</si>
  <si>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</si>
  <si>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</si>
  <si>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</si>
  <si>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</si>
  <si>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</si>
  <si>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</si>
  <si>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</si>
  <si>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</si>
  <si>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</si>
  <si>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</si>
  <si>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</si>
  <si>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</si>
  <si>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</si>
  <si>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</si>
  <si>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</si>
  <si>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</si>
  <si>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</si>
  <si>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</si>
  <si>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</si>
  <si>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</si>
  <si>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</si>
  <si>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</si>
  <si>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</si>
  <si>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</si>
  <si>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</si>
  <si>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</si>
  <si>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</si>
  <si>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</si>
  <si>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</si>
  <si>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</si>
  <si>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</si>
  <si>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</si>
  <si>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</si>
  <si>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</si>
  <si>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</si>
  <si>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</si>
  <si>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</si>
  <si>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</si>
  <si>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</si>
  <si>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</si>
  <si>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</si>
  <si>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</si>
  <si>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</si>
  <si>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</si>
  <si>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</si>
  <si>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</si>
  <si>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</si>
  <si>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</si>
  <si>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</si>
  <si>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</si>
  <si>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</si>
  <si>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</si>
  <si>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</si>
  <si>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</si>
  <si>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</si>
  <si>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</si>
  <si>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</si>
  <si>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</si>
  <si>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</si>
  <si>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</si>
  <si>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</si>
  <si>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</si>
  <si>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</si>
  <si>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</si>
  <si>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</si>
  <si>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</si>
  <si>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</si>
  <si>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</si>
  <si>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</si>
  <si>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</si>
  <si>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</si>
  <si>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</si>
  <si>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</si>
  <si>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</si>
  <si>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</si>
  <si>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</si>
  <si>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</si>
  <si>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</si>
  <si>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</si>
  <si>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</si>
  <si>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</si>
  <si>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</si>
  <si>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</si>
  <si>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</si>
  <si>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</si>
  <si>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</si>
  <si>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</si>
  <si>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</si>
  <si>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</si>
  <si>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</si>
  <si>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</si>
  <si>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</si>
  <si>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</si>
  <si>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</si>
  <si>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</si>
  <si>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</si>
  <si>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</si>
  <si>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</si>
  <si>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</si>
  <si>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</si>
  <si>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</si>
  <si>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</si>
  <si>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</si>
  <si>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</si>
  <si>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</si>
  <si>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</si>
  <si>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</si>
  <si>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</si>
  <si>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</si>
  <si>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</si>
  <si>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</si>
  <si>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</si>
  <si>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</si>
  <si>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</si>
  <si>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</si>
  <si>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</si>
  <si>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</si>
  <si>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</si>
  <si>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</si>
  <si>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</si>
  <si>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</si>
  <si>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</si>
  <si>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</si>
  <si>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</si>
  <si>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</si>
  <si>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</si>
  <si>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</si>
  <si>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</si>
  <si>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</si>
  <si>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</si>
  <si>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</si>
  <si>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</si>
  <si>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</si>
  <si>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</si>
  <si>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</si>
  <si>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</si>
  <si>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</si>
  <si>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</si>
  <si>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</si>
  <si>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</si>
  <si>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</si>
  <si>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</si>
  <si>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</si>
  <si>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</si>
  <si>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</si>
  <si>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</si>
  <si>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</si>
  <si>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</si>
  <si>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</si>
  <si>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</si>
  <si>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</si>
  <si>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</si>
  <si>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</si>
  <si>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</si>
  <si>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</si>
  <si>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</si>
  <si>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</si>
  <si>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</si>
  <si>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</si>
  <si>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</si>
  <si>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</si>
  <si>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</si>
  <si>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</si>
  <si>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</si>
  <si>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</si>
  <si>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</si>
  <si>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</si>
  <si>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</si>
  <si>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</si>
  <si>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</si>
  <si>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</si>
  <si>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</si>
  <si>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</si>
  <si>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</si>
  <si>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</si>
  <si>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</si>
  <si>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</si>
  <si>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</si>
  <si>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</si>
  <si>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</si>
  <si>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</si>
  <si>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</si>
  <si>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</si>
  <si>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</si>
  <si>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</si>
  <si>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</si>
  <si>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</si>
  <si>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</si>
  <si>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</si>
  <si>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</si>
  <si>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</si>
  <si>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</si>
  <si>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</si>
  <si>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</si>
  <si>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</si>
  <si>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</si>
  <si>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</si>
  <si>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</si>
  <si>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</si>
  <si>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</si>
  <si>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</si>
  <si>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</si>
  <si>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</si>
  <si>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</si>
  <si>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</si>
  <si>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</si>
  <si>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</si>
  <si>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</si>
  <si>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</si>
  <si>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</si>
  <si>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</si>
  <si>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</si>
  <si>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</si>
  <si>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</si>
  <si>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</si>
  <si>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</si>
  <si>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</si>
  <si>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</si>
  <si>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</si>
  <si>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</si>
  <si>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</si>
  <si>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</si>
  <si>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</si>
  <si>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</si>
  <si>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</si>
  <si>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</si>
  <si>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</si>
  <si>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</si>
  <si>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</si>
  <si>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</si>
  <si>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</si>
  <si>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</si>
  <si>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</si>
  <si>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</si>
  <si>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</si>
  <si>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</si>
  <si>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</si>
  <si>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</si>
  <si>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</si>
  <si>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</si>
  <si>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</si>
  <si>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</si>
  <si>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</si>
  <si>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</si>
  <si>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</si>
  <si>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</si>
  <si>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</si>
  <si>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</si>
  <si>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</si>
  <si>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</si>
  <si>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</si>
  <si>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</si>
  <si>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</si>
  <si>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</si>
  <si>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</si>
  <si>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</si>
  <si>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</si>
  <si>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</si>
  <si>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</si>
  <si>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</si>
  <si>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</si>
  <si>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</si>
  <si>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</si>
  <si>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</si>
  <si>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</si>
  <si>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</si>
  <si>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</si>
  <si>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</si>
  <si>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</si>
  <si>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</si>
  <si>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</si>
  <si>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</si>
  <si>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</si>
  <si>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</si>
  <si>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</si>
  <si>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</si>
  <si>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</si>
  <si>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</si>
  <si>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</si>
  <si>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</si>
  <si>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</si>
  <si>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</si>
  <si>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</si>
  <si>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</si>
  <si>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</si>
  <si>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</si>
  <si>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</si>
  <si>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</si>
  <si>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</si>
  <si>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</si>
  <si>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</si>
  <si>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</si>
  <si>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</si>
  <si>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</si>
  <si>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</si>
  <si>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</si>
  <si>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</si>
  <si>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</si>
  <si>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</si>
  <si>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</si>
  <si>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</si>
  <si>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</si>
  <si>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</si>
  <si>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</si>
  <si>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</si>
  <si>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</si>
  <si>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</si>
  <si>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</si>
  <si>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</si>
  <si>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</si>
  <si>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</si>
  <si>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</si>
  <si>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</si>
  <si>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</si>
  <si>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</si>
  <si>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</si>
  <si>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</si>
  <si>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</si>
  <si>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</si>
  <si>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</si>
  <si>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</si>
  <si>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</si>
  <si>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</si>
  <si>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</si>
  <si>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</si>
  <si>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</si>
  <si>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</si>
  <si>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</si>
  <si>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</si>
  <si>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</si>
  <si>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</si>
  <si>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</si>
  <si>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</si>
  <si>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</si>
  <si>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</si>
  <si>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</si>
  <si>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</si>
  <si>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</si>
  <si>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</si>
  <si>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</si>
  <si>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</si>
  <si>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</si>
  <si>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</si>
  <si>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</si>
  <si>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</si>
  <si>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</si>
  <si>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</si>
  <si>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</si>
  <si>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</si>
  <si>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</si>
  <si>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</si>
  <si>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</si>
  <si>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</si>
  <si>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</si>
  <si>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</si>
  <si>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</si>
  <si>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</si>
  <si>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</si>
  <si>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</si>
  <si>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</si>
  <si>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</si>
  <si>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</si>
  <si>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</si>
  <si>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</si>
  <si>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</si>
  <si>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</si>
  <si>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</si>
  <si>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</si>
  <si>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</si>
  <si>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</si>
  <si>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</si>
  <si>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</si>
  <si>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</si>
  <si>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</si>
  <si>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</si>
  <si>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</si>
  <si>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</si>
  <si>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</si>
  <si>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</si>
  <si>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</si>
  <si>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</si>
  <si>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</si>
  <si>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</si>
  <si>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</si>
  <si>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</si>
  <si>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</si>
  <si>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</si>
  <si>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</si>
  <si>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</si>
  <si>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</si>
  <si>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</si>
  <si>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</si>
  <si>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</si>
  <si>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</si>
  <si>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</si>
  <si>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</si>
  <si>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</si>
  <si>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</si>
  <si>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</si>
  <si>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</si>
  <si>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</si>
  <si>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</si>
  <si>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</si>
  <si>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</si>
  <si>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</si>
  <si>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</si>
  <si>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</si>
  <si>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</si>
  <si>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</si>
  <si>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</si>
  <si>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</si>
  <si>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</si>
  <si>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</si>
  <si>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</si>
  <si>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</si>
  <si>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</si>
  <si>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</si>
  <si>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</si>
  <si>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</si>
  <si>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</si>
  <si>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</si>
  <si>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</si>
  <si>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</si>
  <si>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</si>
  <si>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</si>
  <si>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</si>
  <si>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</si>
  <si>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</si>
  <si>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</si>
  <si>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</si>
  <si>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</si>
  <si>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</si>
  <si>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</si>
  <si>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</si>
  <si>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</si>
  <si>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</si>
  <si>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</si>
  <si>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</si>
  <si>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</si>
  <si>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</si>
  <si>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</si>
  <si>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</si>
  <si>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</si>
  <si>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</si>
  <si>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</si>
  <si>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</si>
  <si>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</si>
  <si>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</si>
  <si>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</si>
  <si>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</si>
  <si>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</si>
  <si>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</si>
  <si>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</si>
  <si>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</si>
  <si>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</si>
  <si>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</si>
  <si>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</si>
  <si>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</si>
  <si>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</si>
  <si>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</si>
  <si>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</si>
  <si>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</si>
  <si>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</si>
  <si>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</si>
  <si>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</si>
  <si>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</si>
  <si>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</si>
  <si>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</si>
  <si>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</si>
  <si>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</si>
  <si>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</si>
  <si>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</si>
  <si>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</si>
  <si>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</si>
  <si>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</si>
  <si>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</si>
  <si>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</si>
  <si>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</si>
  <si>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</si>
  <si>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</si>
  <si>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</si>
  <si>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</si>
  <si>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</si>
  <si>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</si>
  <si>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</si>
  <si>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</si>
  <si>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</si>
  <si>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</si>
  <si>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</si>
  <si>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</si>
  <si>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</si>
  <si>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</si>
  <si>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</si>
  <si>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</si>
  <si>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</si>
  <si>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</si>
  <si>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</si>
  <si>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</si>
  <si>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</si>
  <si>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</si>
  <si>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</si>
  <si>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</si>
  <si>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</si>
  <si>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</si>
  <si>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</si>
  <si>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</si>
  <si>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</si>
  <si>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</si>
  <si>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</si>
  <si>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</si>
  <si>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</si>
  <si>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</si>
  <si>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</si>
  <si>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</si>
  <si>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</si>
  <si>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</si>
  <si>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</si>
  <si>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</si>
  <si>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</si>
  <si>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</si>
  <si>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</si>
  <si>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</si>
  <si>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</si>
  <si>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</si>
  <si>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</si>
  <si>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</si>
  <si>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</si>
  <si>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</si>
  <si>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</si>
  <si>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</si>
  <si>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</si>
  <si>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</si>
  <si>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</si>
  <si>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</si>
  <si>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</si>
  <si>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</si>
  <si>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</si>
  <si>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</si>
  <si>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</si>
  <si>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</si>
  <si>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</si>
  <si>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</si>
  <si>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</si>
  <si>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</si>
  <si>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</si>
  <si>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</si>
  <si>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</si>
  <si>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</si>
  <si>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</si>
  <si>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</si>
  <si>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</si>
  <si>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</si>
  <si>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</si>
  <si>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</si>
  <si>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</si>
  <si>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</si>
  <si>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</si>
  <si>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</si>
  <si>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</si>
  <si>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</si>
  <si>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</si>
  <si>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</si>
  <si>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</si>
  <si>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</si>
  <si>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</si>
  <si>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</si>
  <si>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</si>
  <si>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</si>
  <si>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</si>
  <si>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</si>
  <si>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</si>
  <si>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</si>
  <si>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</si>
  <si>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</si>
  <si>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</si>
  <si>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</si>
  <si>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</si>
  <si>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</si>
  <si>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</si>
  <si>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</si>
  <si>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</si>
  <si>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</si>
  <si>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</si>
  <si>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</si>
  <si>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</si>
  <si>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</si>
  <si>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</si>
  <si>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</si>
  <si>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</si>
  <si>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</si>
  <si>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</si>
  <si>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</si>
  <si>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</si>
  <si>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</si>
  <si>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</si>
  <si>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</si>
  <si>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</si>
  <si>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</si>
  <si>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</si>
  <si>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</si>
  <si>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</si>
  <si>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</si>
  <si>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</si>
  <si>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</si>
  <si>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</si>
  <si>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</si>
  <si>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</si>
  <si>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</si>
  <si>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</si>
  <si>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</si>
  <si>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</si>
  <si>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</si>
  <si>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</si>
  <si>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</si>
  <si>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</si>
  <si>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</si>
  <si>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</si>
  <si>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</si>
  <si>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</si>
  <si>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</si>
  <si>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</si>
  <si>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</si>
  <si>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</si>
  <si>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</si>
  <si>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</si>
  <si>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</si>
  <si>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</si>
  <si>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</si>
  <si>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</si>
  <si>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</si>
  <si>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</si>
  <si>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</si>
  <si>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</si>
  <si>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</si>
  <si>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</si>
  <si>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</si>
  <si>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</si>
  <si>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</si>
  <si>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</si>
  <si>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</si>
  <si>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</si>
  <si>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</si>
  <si>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</si>
  <si>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</si>
  <si>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</si>
  <si>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</si>
  <si>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</si>
  <si>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</si>
  <si>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</si>
  <si>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</si>
  <si>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</si>
  <si>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</si>
  <si>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</si>
  <si>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</si>
  <si>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</si>
  <si>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</si>
  <si>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</si>
  <si>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</si>
  <si>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</si>
  <si>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</si>
  <si>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</si>
  <si>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</si>
  <si>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</si>
  <si>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</si>
  <si>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</si>
  <si>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</si>
  <si>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</si>
  <si>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</si>
  <si>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</si>
  <si>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</si>
  <si>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</si>
  <si>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</si>
  <si>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</si>
  <si>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</si>
  <si>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</si>
  <si>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</si>
  <si>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</si>
  <si>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</si>
  <si>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</si>
  <si>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</si>
  <si>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</si>
  <si>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</si>
  <si>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</si>
  <si>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</si>
  <si>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</si>
  <si>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</si>
  <si>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</si>
  <si>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</si>
  <si>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</si>
  <si>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</si>
  <si>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</si>
  <si>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</si>
  <si>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</si>
  <si>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</si>
  <si>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</si>
  <si>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</si>
  <si>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</si>
  <si>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</si>
  <si>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</si>
  <si>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</si>
  <si>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</si>
  <si>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</si>
  <si>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</si>
  <si>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</si>
  <si>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</si>
  <si>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</si>
  <si>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</si>
  <si>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</si>
  <si>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</si>
  <si>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</si>
  <si>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</si>
  <si>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</si>
  <si>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</si>
  <si>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</si>
  <si>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</si>
  <si>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</si>
  <si>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</si>
  <si>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</si>
  <si>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</si>
  <si>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</si>
  <si>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</si>
  <si>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</si>
  <si>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</si>
  <si>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</si>
  <si>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</si>
  <si>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</si>
  <si>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</si>
  <si>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</si>
  <si>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</si>
  <si>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</si>
  <si>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</si>
  <si>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</si>
  <si>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</si>
  <si>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</si>
  <si>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</si>
  <si>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</si>
  <si>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</si>
  <si>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</si>
  <si>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</si>
  <si>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</si>
  <si>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</si>
  <si>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</si>
  <si>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</si>
  <si>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</si>
  <si>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</si>
  <si>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</si>
  <si>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</si>
  <si>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</si>
  <si>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</si>
  <si>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</si>
  <si>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</si>
  <si>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</si>
  <si>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</si>
  <si>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</si>
  <si>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</si>
  <si>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</si>
  <si>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</si>
  <si>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</si>
  <si>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</si>
  <si>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</si>
  <si>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</si>
  <si>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</si>
  <si>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</si>
  <si>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</si>
  <si>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</si>
  <si>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</si>
  <si>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</si>
  <si>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</si>
  <si>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</si>
  <si>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</si>
  <si>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</si>
  <si>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</si>
  <si>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</si>
  <si>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</si>
  <si>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</si>
  <si>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</si>
  <si>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</si>
  <si>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</si>
  <si>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</si>
  <si>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</si>
  <si>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</si>
  <si>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</si>
  <si>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</si>
  <si>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</si>
  <si>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</si>
  <si>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</si>
  <si>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</si>
  <si>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</si>
  <si>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</si>
  <si>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</si>
  <si>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</si>
  <si>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</si>
  <si>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</si>
  <si>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</si>
  <si>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</si>
  <si>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</si>
  <si>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</si>
  <si>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</si>
  <si>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</si>
  <si>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</si>
  <si>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</si>
  <si>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</si>
  <si>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</si>
  <si>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</si>
  <si>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</si>
  <si>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</si>
  <si>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</si>
  <si>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</si>
  <si>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</si>
  <si>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</si>
  <si>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</si>
  <si>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</si>
  <si>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</si>
  <si>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</si>
  <si>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</si>
  <si>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</si>
  <si>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</si>
  <si>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</si>
  <si>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</si>
  <si>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</si>
  <si>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</si>
  <si>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</si>
  <si>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</si>
  <si>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</si>
  <si>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</si>
  <si>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</si>
  <si>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</si>
  <si>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</si>
  <si>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</si>
  <si>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</si>
  <si>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</si>
  <si>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</si>
  <si>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</si>
  <si>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</si>
  <si>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</si>
  <si>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</si>
  <si>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</si>
  <si>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</si>
  <si>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</si>
  <si>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</si>
  <si>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</si>
  <si>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</si>
  <si>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</si>
  <si>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</si>
  <si>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</si>
  <si>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</si>
  <si>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</si>
  <si>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</si>
  <si>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</si>
  <si>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</si>
  <si>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</si>
  <si>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</si>
  <si>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</si>
  <si>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</si>
  <si>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</si>
  <si>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</si>
  <si>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</si>
  <si>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</si>
  <si>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</si>
  <si>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</si>
  <si>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</si>
  <si>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</si>
  <si>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</si>
  <si>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</si>
  <si>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</si>
  <si>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</si>
  <si>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</si>
  <si>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</si>
  <si>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</si>
  <si>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</si>
  <si>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</si>
  <si>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</si>
  <si>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</si>
  <si>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</si>
  <si>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</si>
  <si>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</si>
  <si>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</si>
  <si>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</si>
  <si>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</si>
  <si>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</si>
  <si>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</si>
  <si>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</si>
  <si>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</si>
  <si>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</si>
  <si>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</si>
  <si>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</si>
  <si>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</si>
  <si>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</si>
  <si>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</si>
  <si>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</si>
  <si>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</si>
  <si>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</si>
  <si>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</si>
  <si>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</si>
  <si>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</si>
  <si>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</si>
  <si>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</si>
  <si>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</si>
  <si>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</si>
  <si>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</si>
  <si>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</si>
  <si>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</si>
  <si>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</si>
  <si>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</si>
  <si>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</si>
  <si>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</si>
  <si>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</si>
  <si>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</si>
  <si>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</si>
  <si>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</si>
  <si>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</si>
  <si>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</si>
  <si>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</si>
  <si>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</si>
  <si>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</si>
  <si>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</si>
  <si>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</si>
  <si>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</si>
  <si>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</si>
  <si>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</si>
  <si>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</si>
  <si>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</si>
  <si>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</si>
  <si>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</si>
  <si>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</si>
  <si>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</si>
  <si>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</si>
  <si>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</si>
  <si>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</si>
  <si>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</si>
  <si>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</si>
  <si>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</si>
  <si>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</si>
  <si>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</si>
  <si>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</si>
  <si>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</si>
  <si>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</si>
  <si>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</si>
  <si>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>gent</t>
  </si>
  <si>
    <t xml:space="preserve"> https://delijn.sharepoint.com/:b:/r/teams/CTM-OTGentStad/Shared%20Documents/General/EAF/CSI(nieuwe%20sharepoint)%202025/8.%20Augustus/EAF%2014082025%205266%20Gent.pdf?csf=1&amp;web=1&amp;e=lRG0mc</t>
  </si>
  <si>
    <t>41007 Sogut Cagri</t>
  </si>
  <si>
    <t>9999 - -</t>
  </si>
  <si>
    <t>34385 Goosens Wesley</t>
  </si>
  <si>
    <t>41348 Van Huffel 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</si>
</sst>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47</c:v>
                </c:pt>
                <c:pt idx="1">
                  <c:v>41</c:v>
                </c:pt>
                <c:pt idx="2">
                  <c:v>37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9</v>
          </cell>
          <cell r="B5" t="str">
            <v>Els Vanhoe</v>
          </cell>
          <cell r="D5">
            <v>17</v>
          </cell>
        </row>
        <row r="6">
          <cell r="A6">
            <v>9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9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146"/>
    </i>
    <i>
      <x v="188"/>
    </i>
    <i>
      <x v="168"/>
    </i>
    <i>
      <x v="43"/>
    </i>
    <i>
      <x v="223"/>
    </i>
    <i>
      <x v="134"/>
    </i>
    <i>
      <x v="37"/>
    </i>
    <i>
      <x v="42"/>
    </i>
    <i>
      <x v="91"/>
    </i>
    <i>
      <x v="209"/>
    </i>
    <i>
      <x v="35"/>
    </i>
    <i>
      <x v="187"/>
    </i>
    <i>
      <x v="3"/>
    </i>
    <i>
      <x v="144"/>
    </i>
    <i>
      <x v="30"/>
    </i>
    <i>
      <x v="218"/>
    </i>
    <i>
      <x v="66"/>
    </i>
    <i>
      <x v="90"/>
    </i>
    <i>
      <x v="119"/>
    </i>
    <i>
      <x v="137"/>
    </i>
    <i>
      <x v="127"/>
    </i>
    <i>
      <x v="181"/>
    </i>
    <i>
      <x v="45"/>
    </i>
    <i>
      <x v="222"/>
    </i>
    <i>
      <x v="47"/>
    </i>
    <i>
      <x v="147"/>
    </i>
    <i>
      <x v="50"/>
    </i>
    <i>
      <x v="186"/>
    </i>
    <i>
      <x v="54"/>
    </i>
    <i>
      <x v="129"/>
    </i>
    <i>
      <x v="15"/>
    </i>
    <i>
      <x v="224"/>
    </i>
    <i>
      <x v="17"/>
    </i>
    <i>
      <x v="26"/>
    </i>
    <i>
      <x v="77"/>
    </i>
    <i>
      <x v="6"/>
    </i>
    <i>
      <x v="82"/>
    </i>
    <i>
      <x v="183"/>
    </i>
    <i>
      <x v="88"/>
    </i>
    <i>
      <x v="196"/>
    </i>
    <i>
      <x v="95"/>
    </i>
    <i>
      <x v="133"/>
    </i>
    <i>
      <x v="198"/>
    </i>
    <i>
      <x v="175"/>
    </i>
    <i>
      <x v="158"/>
    </i>
    <i>
      <x v="46"/>
    </i>
    <i>
      <x v="33"/>
    </i>
    <i>
      <x v="89"/>
    </i>
    <i>
      <x v="9"/>
    </i>
    <i>
      <x v="23"/>
    </i>
    <i>
      <x v="79"/>
    </i>
    <i>
      <x v="24"/>
    </i>
    <i>
      <x v="81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162"/>
    </i>
    <i>
      <x v="100"/>
    </i>
    <i>
      <x v="170"/>
    </i>
    <i>
      <x v="101"/>
    </i>
    <i>
      <x v="177"/>
    </i>
    <i>
      <x v="103"/>
    </i>
    <i>
      <x v="84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"/>
    </i>
    <i>
      <x v="87"/>
    </i>
    <i>
      <x v="121"/>
    </i>
    <i>
      <x v="160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60"/>
    </i>
    <i>
      <x v="132"/>
    </i>
    <i>
      <x v="31"/>
    </i>
    <i>
      <x v="41"/>
    </i>
    <i>
      <x v="34"/>
    </i>
    <i>
      <x v="67"/>
    </i>
    <i>
      <x v="192"/>
    </i>
    <i>
      <x v="68"/>
    </i>
    <i>
      <x v="194"/>
    </i>
    <i>
      <x v="14"/>
    </i>
    <i>
      <x v="86"/>
    </i>
    <i>
      <x v="74"/>
    </i>
    <i>
      <x v="199"/>
    </i>
    <i>
      <x v="142"/>
    </i>
    <i>
      <x v="201"/>
    </i>
    <i>
      <x v="49"/>
    </i>
    <i>
      <x v="203"/>
    </i>
    <i>
      <x v="29"/>
    </i>
    <i>
      <x v="207"/>
    </i>
    <i>
      <x v="78"/>
    </i>
    <i>
      <x v="211"/>
    </i>
    <i>
      <x v="148"/>
    </i>
    <i>
      <x v="213"/>
    </i>
    <i>
      <x v="151"/>
    </i>
    <i>
      <x v="216"/>
    </i>
    <i>
      <x v="155"/>
    </i>
    <i>
      <x v="157"/>
    </i>
    <i>
      <x v="12"/>
    </i>
    <i>
      <x v="5"/>
    </i>
    <i>
      <x v="228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8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6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13"/>
    </i>
    <i>
      <x v="481"/>
    </i>
    <i>
      <x v="435"/>
    </i>
    <i>
      <x v="112"/>
    </i>
    <i>
      <x v="498"/>
    </i>
    <i>
      <x v="148"/>
    </i>
    <i>
      <x v="428"/>
    </i>
    <i>
      <x v="156"/>
    </i>
    <i>
      <x v="442"/>
    </i>
    <i>
      <x v="157"/>
    </i>
    <i>
      <x v="490"/>
    </i>
    <i>
      <x v="202"/>
    </i>
    <i>
      <x v="506"/>
    </i>
    <i>
      <x v="232"/>
    </i>
    <i>
      <x v="520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8"/>
    </i>
    <i>
      <x v="380"/>
    </i>
    <i>
      <x v="514"/>
    </i>
    <i>
      <x v="397"/>
    </i>
    <i>
      <x v="531"/>
    </i>
    <i>
      <x v="407"/>
    </i>
    <i>
      <x v="374"/>
    </i>
    <i>
      <x v="527"/>
    </i>
    <i>
      <x v="484"/>
    </i>
    <i>
      <x v="449"/>
    </i>
    <i>
      <x v="120"/>
    </i>
    <i>
      <x v="236"/>
    </i>
    <i>
      <x v="254"/>
    </i>
    <i>
      <x v="170"/>
    </i>
    <i>
      <x v="255"/>
    </i>
    <i>
      <x v="469"/>
    </i>
    <i>
      <x v="256"/>
    </i>
    <i>
      <x v="499"/>
    </i>
    <i>
      <x v="260"/>
    </i>
    <i>
      <x v="517"/>
    </i>
    <i>
      <x v="262"/>
    </i>
    <i>
      <x v="414"/>
    </i>
    <i>
      <x v="264"/>
    </i>
    <i>
      <x v="182"/>
    </i>
    <i>
      <x v="266"/>
    </i>
    <i>
      <x v="460"/>
    </i>
    <i>
      <x v="267"/>
    </i>
    <i>
      <x v="37"/>
    </i>
    <i>
      <x v="268"/>
    </i>
    <i>
      <x v="219"/>
    </i>
    <i>
      <x v="270"/>
    </i>
    <i>
      <x v="55"/>
    </i>
    <i>
      <x v="277"/>
    </i>
    <i>
      <x v="237"/>
    </i>
    <i>
      <x v="17"/>
    </i>
    <i>
      <x v="523"/>
    </i>
    <i>
      <x v="282"/>
    </i>
    <i>
      <x v="534"/>
    </i>
    <i>
      <x v="283"/>
    </i>
    <i>
      <x v="417"/>
    </i>
    <i>
      <x v="288"/>
    </i>
    <i>
      <x v="180"/>
    </i>
    <i>
      <x v="290"/>
    </i>
    <i>
      <x v="444"/>
    </i>
    <i>
      <x v="292"/>
    </i>
    <i>
      <x v="452"/>
    </i>
    <i>
      <x v="303"/>
    </i>
    <i>
      <x v="465"/>
    </i>
    <i>
      <x v="305"/>
    </i>
    <i>
      <x v="472"/>
    </i>
    <i>
      <x v="307"/>
    </i>
    <i>
      <x v="118"/>
    </i>
    <i>
      <x v="308"/>
    </i>
    <i>
      <x v="489"/>
    </i>
    <i>
      <x v="131"/>
    </i>
    <i>
      <x v="41"/>
    </i>
    <i>
      <x v="314"/>
    </i>
    <i>
      <x v="502"/>
    </i>
    <i>
      <x v="317"/>
    </i>
    <i>
      <x v="119"/>
    </i>
    <i>
      <x v="323"/>
    </i>
    <i>
      <x v="65"/>
    </i>
    <i>
      <x v="134"/>
    </i>
    <i>
      <x v="515"/>
    </i>
    <i>
      <x v="330"/>
    </i>
    <i>
      <x v="239"/>
    </i>
    <i>
      <x v="333"/>
    </i>
    <i>
      <x v="525"/>
    </i>
    <i>
      <x v="338"/>
    </i>
    <i>
      <x v="240"/>
    </i>
    <i>
      <x v="138"/>
    </i>
    <i>
      <x v="243"/>
    </i>
    <i>
      <x v="83"/>
    </i>
    <i>
      <x v="415"/>
    </i>
    <i>
      <x v="344"/>
    </i>
    <i>
      <x v="427"/>
    </i>
    <i>
      <x v="150"/>
    </i>
    <i>
      <x v="173"/>
    </i>
    <i>
      <x v="350"/>
    </i>
    <i>
      <x v="438"/>
    </i>
    <i>
      <x v="19"/>
    </i>
    <i>
      <x v="184"/>
    </i>
    <i>
      <x v="352"/>
    </i>
    <i>
      <x v="447"/>
    </i>
    <i>
      <x v="353"/>
    </i>
    <i>
      <x v="451"/>
    </i>
    <i>
      <x v="11"/>
    </i>
    <i>
      <x v="459"/>
    </i>
    <i>
      <x v="356"/>
    </i>
    <i>
      <x v="462"/>
    </i>
    <i>
      <x v="357"/>
    </i>
    <i>
      <x v="467"/>
    </i>
    <i>
      <x v="559"/>
    </i>
    <i>
      <x v="471"/>
    </i>
    <i>
      <x v="565"/>
    </i>
    <i>
      <x v="26"/>
    </i>
    <i>
      <x v="10"/>
    </i>
    <i>
      <x v="192"/>
    </i>
    <i>
      <x v="363"/>
    </i>
    <i>
      <x v="207"/>
    </i>
    <i>
      <x v="364"/>
    </i>
    <i>
      <x v="488"/>
    </i>
    <i>
      <x v="373"/>
    </i>
    <i>
      <x v="218"/>
    </i>
    <i>
      <x v="553"/>
    </i>
    <i>
      <x v="496"/>
    </i>
    <i>
      <x v="74"/>
    </i>
    <i>
      <x v="224"/>
    </i>
    <i>
      <x v="376"/>
    </i>
    <i>
      <x v="225"/>
    </i>
    <i>
      <x v="81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413"/>
    </i>
    <i>
      <x v="375"/>
    </i>
    <i>
      <x v="567"/>
    </i>
    <i>
      <x v="359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1" totalsRowShown="0" headerRowDxfId="10">
  <autoFilter ref="A1:Y821" xr:uid="{2FDE3AF6-1CE1-4F38-BD72-1F03CD30F4FC}"/>
  <sortState xmlns:xlrd2="http://schemas.microsoft.com/office/spreadsheetml/2017/richdata2" ref="A2:Y821">
    <sortCondition ref="T1:T821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72" zoomScale="90" zoomScaleNormal="90" workbookViewId="0">
      <selection activeCell="C13" sqref="C13:D197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 s="35">
        <v>6</v>
      </c>
      <c r="F13" s="2" t="s">
        <v>19</v>
      </c>
      <c r="G13" s="35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 s="35">
        <v>5</v>
      </c>
      <c r="F14" s="2" t="s">
        <v>18</v>
      </c>
      <c r="G14" s="35">
        <v>12</v>
      </c>
      <c r="I14" s="2" t="s">
        <v>2914</v>
      </c>
      <c r="J14" s="35">
        <v>29</v>
      </c>
      <c r="K14" s="35">
        <v>12</v>
      </c>
    </row>
    <row r="15" spans="3:19" x14ac:dyDescent="0.25">
      <c r="C15" s="2" t="s">
        <v>3297</v>
      </c>
      <c r="D15" s="35">
        <v>4</v>
      </c>
      <c r="F15" s="2" t="s">
        <v>29</v>
      </c>
      <c r="G15" s="35">
        <v>9</v>
      </c>
      <c r="I15" s="2" t="s">
        <v>2915</v>
      </c>
      <c r="J15" s="35">
        <v>37</v>
      </c>
      <c r="K15" s="35">
        <v>8</v>
      </c>
    </row>
    <row r="16" spans="3:19" x14ac:dyDescent="0.25">
      <c r="C16" s="2" t="s">
        <v>3296</v>
      </c>
      <c r="D16" s="35">
        <v>4</v>
      </c>
      <c r="F16" s="2" t="s">
        <v>21</v>
      </c>
      <c r="G16" s="35">
        <v>9</v>
      </c>
      <c r="I16" s="2" t="s">
        <v>2916</v>
      </c>
      <c r="J16" s="35">
        <v>31</v>
      </c>
      <c r="K16" s="35">
        <v>4</v>
      </c>
    </row>
    <row r="17" spans="2:11" x14ac:dyDescent="0.25">
      <c r="C17" s="2" t="s">
        <v>3298</v>
      </c>
      <c r="D17" s="35">
        <v>3</v>
      </c>
      <c r="F17" s="2" t="s">
        <v>28</v>
      </c>
      <c r="G17" s="35">
        <v>7</v>
      </c>
      <c r="I17" s="2" t="s">
        <v>63</v>
      </c>
      <c r="J17" s="35">
        <v>27</v>
      </c>
      <c r="K17" s="35">
        <v>12</v>
      </c>
    </row>
    <row r="18" spans="2:11" x14ac:dyDescent="0.25">
      <c r="C18" s="2" t="s">
        <v>3301</v>
      </c>
      <c r="D18" s="35">
        <v>3</v>
      </c>
      <c r="F18" s="2" t="s">
        <v>26</v>
      </c>
      <c r="G18" s="35">
        <v>6</v>
      </c>
      <c r="I18" s="2" t="s">
        <v>65</v>
      </c>
      <c r="J18" s="35">
        <v>19</v>
      </c>
      <c r="K18" s="35">
        <v>7</v>
      </c>
    </row>
    <row r="19" spans="2:11" x14ac:dyDescent="0.25">
      <c r="C19" s="2" t="s">
        <v>3300</v>
      </c>
      <c r="D19" s="35">
        <v>3</v>
      </c>
      <c r="F19" s="2" t="s">
        <v>30</v>
      </c>
      <c r="G19" s="35">
        <v>6</v>
      </c>
      <c r="I19" s="2" t="s">
        <v>67</v>
      </c>
      <c r="J19" s="35">
        <v>26</v>
      </c>
      <c r="K19" s="35">
        <v>7</v>
      </c>
    </row>
    <row r="20" spans="2:11" x14ac:dyDescent="0.25">
      <c r="C20" s="2" t="s">
        <v>9</v>
      </c>
      <c r="D20" s="35">
        <v>3</v>
      </c>
      <c r="F20" s="2" t="s">
        <v>24</v>
      </c>
      <c r="G20" s="35">
        <v>6</v>
      </c>
      <c r="I20" s="2" t="s">
        <v>69</v>
      </c>
      <c r="J20" s="35">
        <v>29</v>
      </c>
      <c r="K20" s="35">
        <v>8</v>
      </c>
    </row>
    <row r="21" spans="2:11" x14ac:dyDescent="0.25">
      <c r="C21" s="2" t="s">
        <v>3299</v>
      </c>
      <c r="D21" s="35">
        <v>3</v>
      </c>
      <c r="F21" s="2" t="s">
        <v>41</v>
      </c>
      <c r="G21" s="35">
        <v>6</v>
      </c>
      <c r="I21" s="2" t="s">
        <v>71</v>
      </c>
      <c r="J21" s="35"/>
      <c r="K21" s="35"/>
    </row>
    <row r="22" spans="2:11" x14ac:dyDescent="0.25">
      <c r="C22" s="2" t="s">
        <v>3302</v>
      </c>
      <c r="D22" s="35">
        <v>3</v>
      </c>
      <c r="F22" s="2" t="s">
        <v>25</v>
      </c>
      <c r="G22" s="35">
        <v>6</v>
      </c>
      <c r="I22" s="2" t="s">
        <v>73</v>
      </c>
      <c r="J22" s="35"/>
      <c r="K22" s="35"/>
    </row>
    <row r="23" spans="2:11" x14ac:dyDescent="0.25">
      <c r="C23" s="2" t="s">
        <v>3303</v>
      </c>
      <c r="D23" s="35">
        <v>3</v>
      </c>
      <c r="F23" s="2" t="s">
        <v>53</v>
      </c>
      <c r="G23" s="35">
        <v>5</v>
      </c>
      <c r="I23" s="2" t="s">
        <v>75</v>
      </c>
      <c r="J23" s="35"/>
      <c r="K23" s="35"/>
    </row>
    <row r="24" spans="2:11" x14ac:dyDescent="0.25">
      <c r="C24" s="2" t="s">
        <v>3304</v>
      </c>
      <c r="D24" s="35">
        <v>3</v>
      </c>
      <c r="F24" s="2" t="s">
        <v>20</v>
      </c>
      <c r="G24" s="35">
        <v>5</v>
      </c>
      <c r="I24" s="2" t="s">
        <v>77</v>
      </c>
      <c r="J24" s="35"/>
      <c r="K24" s="35"/>
    </row>
    <row r="25" spans="2:11" x14ac:dyDescent="0.25">
      <c r="C25" s="2" t="s">
        <v>3305</v>
      </c>
      <c r="D25" s="35">
        <v>3</v>
      </c>
      <c r="F25" s="2" t="s">
        <v>45</v>
      </c>
      <c r="G25" s="35">
        <v>5</v>
      </c>
      <c r="I25" s="2" t="s">
        <v>79</v>
      </c>
      <c r="J25" s="35"/>
      <c r="K25" s="35"/>
    </row>
    <row r="26" spans="2:11" x14ac:dyDescent="0.25">
      <c r="C26" s="2" t="s">
        <v>3332</v>
      </c>
      <c r="D26" s="35">
        <v>2</v>
      </c>
      <c r="F26" s="2" t="s">
        <v>52</v>
      </c>
      <c r="G26" s="35">
        <v>5</v>
      </c>
    </row>
    <row r="27" spans="2:11" x14ac:dyDescent="0.25">
      <c r="C27" s="2" t="s">
        <v>3310</v>
      </c>
      <c r="D27" s="35">
        <v>2</v>
      </c>
      <c r="F27" s="2" t="s">
        <v>61</v>
      </c>
      <c r="G27" s="35">
        <v>4</v>
      </c>
      <c r="I27" s="1" t="s">
        <v>2923</v>
      </c>
      <c r="J27" t="s">
        <v>17</v>
      </c>
    </row>
    <row r="28" spans="2:11" x14ac:dyDescent="0.25">
      <c r="C28" s="2" t="s">
        <v>3307</v>
      </c>
      <c r="D28" s="35">
        <v>2</v>
      </c>
      <c r="F28" s="2" t="s">
        <v>97</v>
      </c>
      <c r="G28" s="35">
        <v>3</v>
      </c>
      <c r="I28" s="2" t="s">
        <v>36</v>
      </c>
      <c r="J28" s="35">
        <v>47</v>
      </c>
    </row>
    <row r="29" spans="2:11" x14ac:dyDescent="0.25">
      <c r="C29" s="2" t="s">
        <v>3309</v>
      </c>
      <c r="D29" s="35">
        <v>2</v>
      </c>
      <c r="F29" s="2" t="s">
        <v>140</v>
      </c>
      <c r="G29" s="35">
        <v>3</v>
      </c>
      <c r="I29" s="2" t="s">
        <v>38</v>
      </c>
      <c r="J29" s="35">
        <v>41</v>
      </c>
    </row>
    <row r="30" spans="2:11" x14ac:dyDescent="0.25">
      <c r="C30" s="2" t="s">
        <v>3306</v>
      </c>
      <c r="D30" s="35">
        <v>2</v>
      </c>
      <c r="F30" s="2" t="s">
        <v>88</v>
      </c>
      <c r="G30" s="35">
        <v>3</v>
      </c>
      <c r="I30" s="2" t="s">
        <v>42</v>
      </c>
      <c r="J30" s="35">
        <v>37</v>
      </c>
    </row>
    <row r="31" spans="2:11" x14ac:dyDescent="0.25">
      <c r="B31" s="34">
        <f>AVERAGE(D13:D275)</f>
        <v>2.7204301075268815</v>
      </c>
      <c r="C31" s="2" t="s">
        <v>3311</v>
      </c>
      <c r="D31" s="35">
        <v>2</v>
      </c>
      <c r="F31" s="2" t="s">
        <v>103</v>
      </c>
      <c r="G31" s="35">
        <v>3</v>
      </c>
      <c r="I31" s="2" t="s">
        <v>40</v>
      </c>
      <c r="J31" s="35">
        <v>31</v>
      </c>
    </row>
    <row r="32" spans="2:11" x14ac:dyDescent="0.25">
      <c r="C32" s="2" t="s">
        <v>3314</v>
      </c>
      <c r="D32" s="35">
        <v>2</v>
      </c>
      <c r="F32" s="2" t="s">
        <v>70</v>
      </c>
      <c r="G32" s="35">
        <v>3</v>
      </c>
      <c r="I32" s="2" t="s">
        <v>46</v>
      </c>
      <c r="J32" s="35">
        <v>26</v>
      </c>
    </row>
    <row r="33" spans="3:15" x14ac:dyDescent="0.25">
      <c r="C33" s="2" t="s">
        <v>3313</v>
      </c>
      <c r="D33" s="35">
        <v>2</v>
      </c>
      <c r="F33" s="2" t="s">
        <v>93</v>
      </c>
      <c r="G33" s="35">
        <v>3</v>
      </c>
      <c r="I33" s="2" t="s">
        <v>50</v>
      </c>
      <c r="J33" s="35">
        <v>25</v>
      </c>
    </row>
    <row r="34" spans="3:15" x14ac:dyDescent="0.25">
      <c r="C34" s="2" t="s">
        <v>3316</v>
      </c>
      <c r="D34" s="35">
        <v>2</v>
      </c>
      <c r="F34" s="2" t="s">
        <v>43</v>
      </c>
      <c r="G34" s="35">
        <v>3</v>
      </c>
      <c r="I34" s="2" t="s">
        <v>44</v>
      </c>
      <c r="J34" s="35">
        <v>23</v>
      </c>
    </row>
    <row r="35" spans="3:15" x14ac:dyDescent="0.25">
      <c r="C35" s="2" t="s">
        <v>3315</v>
      </c>
      <c r="D35" s="35">
        <v>2</v>
      </c>
      <c r="F35" s="2" t="s">
        <v>27</v>
      </c>
      <c r="G35" s="35">
        <v>3</v>
      </c>
      <c r="I35" s="2" t="s">
        <v>48</v>
      </c>
      <c r="J35" s="35">
        <v>22</v>
      </c>
    </row>
    <row r="36" spans="3:15" x14ac:dyDescent="0.25">
      <c r="C36" s="2" t="s">
        <v>3317</v>
      </c>
      <c r="D36" s="35">
        <v>2</v>
      </c>
      <c r="F36" s="2" t="s">
        <v>34</v>
      </c>
      <c r="G36" s="35">
        <v>3</v>
      </c>
      <c r="I36" s="2" t="s">
        <v>810</v>
      </c>
      <c r="J36" s="35">
        <v>4</v>
      </c>
    </row>
    <row r="37" spans="3:15" x14ac:dyDescent="0.25">
      <c r="C37" s="2" t="s">
        <v>3</v>
      </c>
      <c r="D37" s="35">
        <v>2</v>
      </c>
      <c r="F37" s="2" t="s">
        <v>89</v>
      </c>
      <c r="G37" s="35">
        <v>2</v>
      </c>
      <c r="I37" s="2" t="s">
        <v>2926</v>
      </c>
      <c r="J37" s="35">
        <v>3</v>
      </c>
    </row>
    <row r="38" spans="3:15" x14ac:dyDescent="0.25">
      <c r="C38" s="2" t="s">
        <v>3335</v>
      </c>
      <c r="D38" s="35">
        <v>2</v>
      </c>
      <c r="F38" s="2" t="s">
        <v>130</v>
      </c>
      <c r="G38" s="35">
        <v>2</v>
      </c>
      <c r="I38" s="2" t="s">
        <v>16</v>
      </c>
      <c r="J38" s="35">
        <v>259</v>
      </c>
    </row>
    <row r="39" spans="3:15" x14ac:dyDescent="0.25">
      <c r="C39" s="2" t="s">
        <v>3318</v>
      </c>
      <c r="D39" s="35">
        <v>2</v>
      </c>
      <c r="F39" s="2" t="s">
        <v>68</v>
      </c>
      <c r="G39" s="35">
        <v>2</v>
      </c>
      <c r="I39"/>
      <c r="J39"/>
    </row>
    <row r="40" spans="3:15" x14ac:dyDescent="0.25">
      <c r="C40" s="2" t="s">
        <v>3334</v>
      </c>
      <c r="D40" s="35">
        <v>2</v>
      </c>
      <c r="F40" s="2" t="s">
        <v>96</v>
      </c>
      <c r="G40" s="35">
        <v>2</v>
      </c>
    </row>
    <row r="41" spans="3:15" x14ac:dyDescent="0.25">
      <c r="C41" s="2" t="s">
        <v>3320</v>
      </c>
      <c r="D41" s="35">
        <v>2</v>
      </c>
      <c r="F41" s="2" t="s">
        <v>87</v>
      </c>
      <c r="G41" s="35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 s="2" t="s">
        <v>3323</v>
      </c>
      <c r="D42" s="35">
        <v>2</v>
      </c>
      <c r="F42" s="2" t="s">
        <v>105</v>
      </c>
      <c r="G42" s="35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 s="35">
        <v>2</v>
      </c>
      <c r="F43" s="2" t="s">
        <v>222</v>
      </c>
      <c r="G43" s="35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3325</v>
      </c>
      <c r="D44" s="35">
        <v>2</v>
      </c>
      <c r="F44" s="2" t="s">
        <v>64</v>
      </c>
      <c r="G44" s="35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3322</v>
      </c>
      <c r="D45" s="35">
        <v>2</v>
      </c>
      <c r="F45" s="2" t="s">
        <v>138</v>
      </c>
      <c r="G45" s="35">
        <v>2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3327</v>
      </c>
      <c r="D46" s="35">
        <v>2</v>
      </c>
      <c r="F46" s="2" t="s">
        <v>114</v>
      </c>
      <c r="G46" s="35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3324</v>
      </c>
      <c r="D47" s="35">
        <v>2</v>
      </c>
      <c r="F47" s="2" t="s">
        <v>2896</v>
      </c>
      <c r="G47" s="35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3329</v>
      </c>
      <c r="D48" s="35">
        <v>2</v>
      </c>
      <c r="F48" s="2" t="s">
        <v>62</v>
      </c>
      <c r="G48" s="35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3326</v>
      </c>
      <c r="D49" s="35">
        <v>2</v>
      </c>
      <c r="F49" s="2" t="s">
        <v>3293</v>
      </c>
      <c r="G49" s="35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3331</v>
      </c>
      <c r="D50" s="35">
        <v>2</v>
      </c>
      <c r="F50" s="2" t="s">
        <v>142</v>
      </c>
      <c r="G50" s="35">
        <v>2</v>
      </c>
      <c r="I50" s="14">
        <f>SUM(I42:I49)</f>
        <v>64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3328</v>
      </c>
      <c r="D51" s="35">
        <v>2</v>
      </c>
      <c r="F51" s="2" t="s">
        <v>116</v>
      </c>
      <c r="G51" s="35">
        <v>2</v>
      </c>
    </row>
    <row r="52" spans="3:15" x14ac:dyDescent="0.25">
      <c r="C52" s="2" t="s">
        <v>3333</v>
      </c>
      <c r="D52" s="35">
        <v>2</v>
      </c>
      <c r="F52" s="2" t="s">
        <v>51</v>
      </c>
      <c r="G52" s="35">
        <v>2</v>
      </c>
    </row>
    <row r="53" spans="3:15" x14ac:dyDescent="0.25">
      <c r="C53" s="2" t="s">
        <v>3330</v>
      </c>
      <c r="D53" s="35">
        <v>2</v>
      </c>
      <c r="F53" s="2" t="s">
        <v>178</v>
      </c>
      <c r="G53" s="35">
        <v>2</v>
      </c>
    </row>
    <row r="54" spans="3:15" x14ac:dyDescent="0.25">
      <c r="C54" s="2" t="s">
        <v>3312</v>
      </c>
      <c r="D54" s="35">
        <v>2</v>
      </c>
      <c r="F54" s="2" t="s">
        <v>157</v>
      </c>
      <c r="G54" s="35">
        <v>2</v>
      </c>
    </row>
    <row r="55" spans="3:15" x14ac:dyDescent="0.25">
      <c r="C55" s="2" t="s">
        <v>3321</v>
      </c>
      <c r="D55" s="35">
        <v>2</v>
      </c>
      <c r="F55" s="2" t="s">
        <v>108</v>
      </c>
      <c r="G55" s="35">
        <v>2</v>
      </c>
    </row>
    <row r="56" spans="3:15" x14ac:dyDescent="0.25">
      <c r="C56" s="2" t="s">
        <v>3337</v>
      </c>
      <c r="D56" s="35">
        <v>2</v>
      </c>
      <c r="F56" s="2" t="s">
        <v>39</v>
      </c>
      <c r="G56" s="35">
        <v>2</v>
      </c>
    </row>
    <row r="57" spans="3:15" x14ac:dyDescent="0.25">
      <c r="C57" s="2" t="s">
        <v>3308</v>
      </c>
      <c r="D57" s="35">
        <v>2</v>
      </c>
      <c r="F57" s="2" t="s">
        <v>22</v>
      </c>
      <c r="G57" s="35">
        <v>2</v>
      </c>
    </row>
    <row r="58" spans="3:15" x14ac:dyDescent="0.25">
      <c r="C58" s="2" t="s">
        <v>13</v>
      </c>
      <c r="D58" s="35">
        <v>2</v>
      </c>
      <c r="F58" s="2" t="s">
        <v>95</v>
      </c>
      <c r="G58" s="35">
        <v>2</v>
      </c>
    </row>
    <row r="59" spans="3:15" x14ac:dyDescent="0.25">
      <c r="C59" s="2" t="s">
        <v>10</v>
      </c>
      <c r="D59" s="35">
        <v>2</v>
      </c>
      <c r="F59" s="2" t="s">
        <v>111</v>
      </c>
      <c r="G59" s="35">
        <v>2</v>
      </c>
    </row>
    <row r="60" spans="3:15" x14ac:dyDescent="0.25">
      <c r="C60" s="2" t="s">
        <v>3336</v>
      </c>
      <c r="D60" s="35">
        <v>2</v>
      </c>
      <c r="F60" s="2" t="s">
        <v>47</v>
      </c>
      <c r="G60" s="35">
        <v>1</v>
      </c>
    </row>
    <row r="61" spans="3:15" x14ac:dyDescent="0.25">
      <c r="C61" s="2" t="s">
        <v>3423</v>
      </c>
      <c r="D61" s="35">
        <v>1</v>
      </c>
      <c r="F61" s="2" t="s">
        <v>181</v>
      </c>
      <c r="G61" s="35">
        <v>1</v>
      </c>
    </row>
    <row r="62" spans="3:15" x14ac:dyDescent="0.25">
      <c r="C62" s="2" t="s">
        <v>3380</v>
      </c>
      <c r="D62" s="35">
        <v>1</v>
      </c>
      <c r="F62" s="2" t="s">
        <v>124</v>
      </c>
      <c r="G62" s="35">
        <v>1</v>
      </c>
    </row>
    <row r="63" spans="3:15" x14ac:dyDescent="0.25">
      <c r="C63" s="2" t="s">
        <v>12</v>
      </c>
      <c r="D63" s="35">
        <v>1</v>
      </c>
      <c r="F63" s="2" t="s">
        <v>162</v>
      </c>
      <c r="G63" s="35">
        <v>1</v>
      </c>
    </row>
    <row r="64" spans="3:15" x14ac:dyDescent="0.25">
      <c r="C64" s="2" t="s">
        <v>3389</v>
      </c>
      <c r="D64" s="35">
        <v>1</v>
      </c>
      <c r="F64" s="2" t="s">
        <v>2911</v>
      </c>
      <c r="G64" s="35">
        <v>1</v>
      </c>
    </row>
    <row r="65" spans="3:7" x14ac:dyDescent="0.25">
      <c r="C65" s="2" t="s">
        <v>3382</v>
      </c>
      <c r="D65" s="35">
        <v>1</v>
      </c>
      <c r="F65" s="2" t="s">
        <v>156</v>
      </c>
      <c r="G65" s="35">
        <v>1</v>
      </c>
    </row>
    <row r="66" spans="3:7" x14ac:dyDescent="0.25">
      <c r="C66" s="2" t="s">
        <v>3341</v>
      </c>
      <c r="D66" s="35">
        <v>1</v>
      </c>
      <c r="F66" s="2" t="s">
        <v>2899</v>
      </c>
      <c r="G66" s="35">
        <v>1</v>
      </c>
    </row>
    <row r="67" spans="3:7" x14ac:dyDescent="0.25">
      <c r="C67" s="2" t="s">
        <v>3428</v>
      </c>
      <c r="D67" s="35">
        <v>1</v>
      </c>
      <c r="F67" s="2" t="s">
        <v>35</v>
      </c>
      <c r="G67" s="35">
        <v>1</v>
      </c>
    </row>
    <row r="68" spans="3:7" x14ac:dyDescent="0.25">
      <c r="C68" s="2" t="s">
        <v>3343</v>
      </c>
      <c r="D68" s="35">
        <v>1</v>
      </c>
      <c r="F68" s="2" t="s">
        <v>91</v>
      </c>
      <c r="G68" s="35">
        <v>1</v>
      </c>
    </row>
    <row r="69" spans="3:7" x14ac:dyDescent="0.25">
      <c r="C69" s="2" t="s">
        <v>3376</v>
      </c>
      <c r="D69" s="35">
        <v>1</v>
      </c>
      <c r="F69" s="2" t="s">
        <v>170</v>
      </c>
      <c r="G69" s="35">
        <v>1</v>
      </c>
    </row>
    <row r="70" spans="3:7" x14ac:dyDescent="0.25">
      <c r="C70" s="2" t="s">
        <v>3345</v>
      </c>
      <c r="D70" s="35">
        <v>1</v>
      </c>
      <c r="F70" s="2" t="s">
        <v>155</v>
      </c>
      <c r="G70" s="35">
        <v>1</v>
      </c>
    </row>
    <row r="71" spans="3:7" x14ac:dyDescent="0.25">
      <c r="C71" s="2" t="s">
        <v>3384</v>
      </c>
      <c r="D71" s="35">
        <v>1</v>
      </c>
      <c r="F71" s="2" t="s">
        <v>246</v>
      </c>
      <c r="G71" s="35">
        <v>1</v>
      </c>
    </row>
    <row r="72" spans="3:7" x14ac:dyDescent="0.25">
      <c r="C72" s="2" t="s">
        <v>3347</v>
      </c>
      <c r="D72" s="35">
        <v>1</v>
      </c>
      <c r="F72" s="2" t="s">
        <v>182</v>
      </c>
      <c r="G72" s="35">
        <v>1</v>
      </c>
    </row>
    <row r="73" spans="3:7" x14ac:dyDescent="0.25">
      <c r="C73" s="2" t="s">
        <v>3415</v>
      </c>
      <c r="D73" s="35">
        <v>1</v>
      </c>
      <c r="F73" s="2" t="s">
        <v>86</v>
      </c>
      <c r="G73" s="35">
        <v>1</v>
      </c>
    </row>
    <row r="74" spans="3:7" x14ac:dyDescent="0.25">
      <c r="C74" s="2" t="s">
        <v>3349</v>
      </c>
      <c r="D74" s="35">
        <v>1</v>
      </c>
      <c r="F74" s="2" t="s">
        <v>228</v>
      </c>
      <c r="G74" s="35">
        <v>1</v>
      </c>
    </row>
    <row r="75" spans="3:7" x14ac:dyDescent="0.25">
      <c r="C75" s="2" t="s">
        <v>3368</v>
      </c>
      <c r="D75" s="35">
        <v>1</v>
      </c>
      <c r="F75" s="2" t="s">
        <v>60</v>
      </c>
      <c r="G75" s="35">
        <v>1</v>
      </c>
    </row>
    <row r="76" spans="3:7" x14ac:dyDescent="0.25">
      <c r="C76" s="2" t="s">
        <v>3351</v>
      </c>
      <c r="D76" s="35">
        <v>1</v>
      </c>
      <c r="F76" s="2" t="s">
        <v>199</v>
      </c>
      <c r="G76" s="35">
        <v>1</v>
      </c>
    </row>
    <row r="77" spans="3:7" x14ac:dyDescent="0.25">
      <c r="C77" s="2" t="s">
        <v>3395</v>
      </c>
      <c r="D77" s="35">
        <v>1</v>
      </c>
      <c r="F77" s="2" t="s">
        <v>143</v>
      </c>
      <c r="G77" s="35">
        <v>1</v>
      </c>
    </row>
    <row r="78" spans="3:7" x14ac:dyDescent="0.25">
      <c r="C78" s="2" t="s">
        <v>3353</v>
      </c>
      <c r="D78" s="35">
        <v>1</v>
      </c>
      <c r="F78" s="2" t="s">
        <v>94</v>
      </c>
      <c r="G78" s="35">
        <v>1</v>
      </c>
    </row>
    <row r="79" spans="3:7" x14ac:dyDescent="0.25">
      <c r="C79" s="2" t="s">
        <v>3374</v>
      </c>
      <c r="D79" s="35">
        <v>1</v>
      </c>
      <c r="F79" s="2" t="s">
        <v>187</v>
      </c>
      <c r="G79" s="35">
        <v>1</v>
      </c>
    </row>
    <row r="80" spans="3:7" x14ac:dyDescent="0.25">
      <c r="C80" s="2" t="s">
        <v>3355</v>
      </c>
      <c r="D80" s="35">
        <v>1</v>
      </c>
      <c r="F80" s="2" t="s">
        <v>158</v>
      </c>
      <c r="G80" s="35">
        <v>1</v>
      </c>
    </row>
    <row r="81" spans="3:7" x14ac:dyDescent="0.25">
      <c r="C81" s="2" t="s">
        <v>3378</v>
      </c>
      <c r="D81" s="35">
        <v>1</v>
      </c>
      <c r="F81" s="2" t="s">
        <v>76</v>
      </c>
      <c r="G81" s="35">
        <v>1</v>
      </c>
    </row>
    <row r="82" spans="3:7" x14ac:dyDescent="0.25">
      <c r="C82" s="2" t="s">
        <v>5</v>
      </c>
      <c r="D82" s="35">
        <v>1</v>
      </c>
      <c r="F82" s="2" t="s">
        <v>55</v>
      </c>
      <c r="G82" s="35">
        <v>1</v>
      </c>
    </row>
    <row r="83" spans="3:7" x14ac:dyDescent="0.25">
      <c r="C83" s="2" t="s">
        <v>3422</v>
      </c>
      <c r="D83" s="35">
        <v>1</v>
      </c>
      <c r="F83" s="2" t="s">
        <v>173</v>
      </c>
      <c r="G83" s="35">
        <v>1</v>
      </c>
    </row>
    <row r="84" spans="3:7" x14ac:dyDescent="0.25">
      <c r="C84" s="2" t="s">
        <v>3358</v>
      </c>
      <c r="D84" s="35">
        <v>1</v>
      </c>
      <c r="F84" s="2" t="s">
        <v>150</v>
      </c>
      <c r="G84" s="35">
        <v>1</v>
      </c>
    </row>
    <row r="85" spans="3:7" x14ac:dyDescent="0.25">
      <c r="C85" s="2" t="s">
        <v>3386</v>
      </c>
      <c r="D85" s="35">
        <v>1</v>
      </c>
      <c r="F85" s="2" t="s">
        <v>151</v>
      </c>
      <c r="G85" s="35">
        <v>1</v>
      </c>
    </row>
    <row r="86" spans="3:7" x14ac:dyDescent="0.25">
      <c r="C86" s="2" t="s">
        <v>3360</v>
      </c>
      <c r="D86" s="35">
        <v>1</v>
      </c>
      <c r="F86" s="2" t="s">
        <v>2907</v>
      </c>
      <c r="G86" s="35">
        <v>1</v>
      </c>
    </row>
    <row r="87" spans="3:7" x14ac:dyDescent="0.25">
      <c r="C87" s="2" t="s">
        <v>3431</v>
      </c>
      <c r="D87" s="35">
        <v>1</v>
      </c>
      <c r="F87" s="2" t="s">
        <v>31</v>
      </c>
      <c r="G87" s="35">
        <v>1</v>
      </c>
    </row>
    <row r="88" spans="3:7" x14ac:dyDescent="0.25">
      <c r="C88" s="2" t="s">
        <v>0</v>
      </c>
      <c r="D88" s="35">
        <v>1</v>
      </c>
      <c r="F88" s="2" t="s">
        <v>122</v>
      </c>
      <c r="G88" s="35">
        <v>1</v>
      </c>
    </row>
    <row r="89" spans="3:7" x14ac:dyDescent="0.25">
      <c r="C89" s="2" t="s">
        <v>3419</v>
      </c>
      <c r="D89" s="35">
        <v>1</v>
      </c>
      <c r="F89" s="2" t="s">
        <v>189</v>
      </c>
      <c r="G89" s="35">
        <v>1</v>
      </c>
    </row>
    <row r="90" spans="3:7" x14ac:dyDescent="0.25">
      <c r="C90" s="2" t="s">
        <v>3363</v>
      </c>
      <c r="D90" s="35">
        <v>1</v>
      </c>
      <c r="F90" s="2" t="s">
        <v>218</v>
      </c>
      <c r="G90" s="35">
        <v>1</v>
      </c>
    </row>
    <row r="91" spans="3:7" x14ac:dyDescent="0.25">
      <c r="C91" s="2" t="s">
        <v>3447</v>
      </c>
      <c r="D91" s="35">
        <v>1</v>
      </c>
      <c r="F91" s="2" t="s">
        <v>112</v>
      </c>
      <c r="G91" s="35">
        <v>1</v>
      </c>
    </row>
    <row r="92" spans="3:7" x14ac:dyDescent="0.25">
      <c r="C92" s="2" t="s">
        <v>3365</v>
      </c>
      <c r="D92" s="35">
        <v>1</v>
      </c>
      <c r="F92" s="2" t="s">
        <v>92</v>
      </c>
      <c r="G92" s="35">
        <v>1</v>
      </c>
    </row>
    <row r="93" spans="3:7" x14ac:dyDescent="0.25">
      <c r="C93" s="2" t="s">
        <v>3344</v>
      </c>
      <c r="D93" s="35">
        <v>1</v>
      </c>
      <c r="F93" s="2" t="s">
        <v>160</v>
      </c>
      <c r="G93" s="35">
        <v>1</v>
      </c>
    </row>
    <row r="94" spans="3:7" x14ac:dyDescent="0.25">
      <c r="C94" s="2" t="s">
        <v>3367</v>
      </c>
      <c r="D94" s="35">
        <v>1</v>
      </c>
      <c r="F94" s="2" t="s">
        <v>2906</v>
      </c>
      <c r="G94" s="35">
        <v>1</v>
      </c>
    </row>
    <row r="95" spans="3:7" x14ac:dyDescent="0.25">
      <c r="C95" s="2" t="s">
        <v>3350</v>
      </c>
      <c r="D95" s="35">
        <v>1</v>
      </c>
      <c r="F95" s="2" t="s">
        <v>245</v>
      </c>
      <c r="G95" s="35">
        <v>1</v>
      </c>
    </row>
    <row r="96" spans="3:7" x14ac:dyDescent="0.25">
      <c r="C96" s="2" t="s">
        <v>3369</v>
      </c>
      <c r="D96" s="35">
        <v>1</v>
      </c>
      <c r="F96" s="2" t="s">
        <v>243</v>
      </c>
      <c r="G96" s="35">
        <v>1</v>
      </c>
    </row>
    <row r="97" spans="3:7" x14ac:dyDescent="0.25">
      <c r="C97" s="2" t="s">
        <v>3340</v>
      </c>
      <c r="D97" s="35">
        <v>1</v>
      </c>
      <c r="F97" s="2" t="s">
        <v>2905</v>
      </c>
      <c r="G97" s="35">
        <v>1</v>
      </c>
    </row>
    <row r="98" spans="3:7" x14ac:dyDescent="0.25">
      <c r="C98" s="2" t="s">
        <v>3371</v>
      </c>
      <c r="D98" s="35">
        <v>1</v>
      </c>
      <c r="F98" s="2" t="s">
        <v>233</v>
      </c>
      <c r="G98" s="35">
        <v>1</v>
      </c>
    </row>
    <row r="99" spans="3:7" x14ac:dyDescent="0.25">
      <c r="C99" s="2" t="s">
        <v>3356</v>
      </c>
      <c r="D99" s="35">
        <v>1</v>
      </c>
      <c r="F99" s="2" t="s">
        <v>148</v>
      </c>
      <c r="G99" s="35">
        <v>1</v>
      </c>
    </row>
    <row r="100" spans="3:7" x14ac:dyDescent="0.25">
      <c r="C100" s="2" t="s">
        <v>6</v>
      </c>
      <c r="D100" s="35">
        <v>1</v>
      </c>
      <c r="F100" s="2" t="s">
        <v>209</v>
      </c>
      <c r="G100" s="35">
        <v>1</v>
      </c>
    </row>
    <row r="101" spans="3:7" x14ac:dyDescent="0.25">
      <c r="C101" s="2" t="s">
        <v>3346</v>
      </c>
      <c r="D101" s="35">
        <v>1</v>
      </c>
      <c r="F101" s="2" t="s">
        <v>74</v>
      </c>
      <c r="G101" s="35">
        <v>1</v>
      </c>
    </row>
    <row r="102" spans="3:7" x14ac:dyDescent="0.25">
      <c r="C102" s="2" t="s">
        <v>3373</v>
      </c>
      <c r="D102" s="35">
        <v>1</v>
      </c>
      <c r="F102" s="2" t="s">
        <v>215</v>
      </c>
      <c r="G102" s="35">
        <v>1</v>
      </c>
    </row>
    <row r="103" spans="3:7" x14ac:dyDescent="0.25">
      <c r="C103" s="2" t="s">
        <v>3357</v>
      </c>
      <c r="D103" s="35">
        <v>1</v>
      </c>
      <c r="F103" s="2" t="s">
        <v>132</v>
      </c>
      <c r="G103" s="35">
        <v>1</v>
      </c>
    </row>
    <row r="104" spans="3:7" x14ac:dyDescent="0.25">
      <c r="C104" s="2" t="s">
        <v>3375</v>
      </c>
      <c r="D104" s="35">
        <v>1</v>
      </c>
      <c r="F104" s="2" t="s">
        <v>179</v>
      </c>
      <c r="G104" s="35">
        <v>1</v>
      </c>
    </row>
    <row r="105" spans="3:7" x14ac:dyDescent="0.25">
      <c r="C105" s="2" t="s">
        <v>3354</v>
      </c>
      <c r="D105" s="35">
        <v>1</v>
      </c>
      <c r="F105" s="2" t="s">
        <v>134</v>
      </c>
      <c r="G105" s="35">
        <v>1</v>
      </c>
    </row>
    <row r="106" spans="3:7" x14ac:dyDescent="0.25">
      <c r="C106" s="2" t="s">
        <v>3377</v>
      </c>
      <c r="D106" s="35">
        <v>1</v>
      </c>
      <c r="F106" s="2" t="s">
        <v>229</v>
      </c>
      <c r="G106" s="35">
        <v>1</v>
      </c>
    </row>
    <row r="107" spans="3:7" x14ac:dyDescent="0.25">
      <c r="C107" s="2" t="s">
        <v>3359</v>
      </c>
      <c r="D107" s="35">
        <v>1</v>
      </c>
      <c r="F107" s="2" t="s">
        <v>2904</v>
      </c>
      <c r="G107" s="35">
        <v>1</v>
      </c>
    </row>
    <row r="108" spans="3:7" x14ac:dyDescent="0.25">
      <c r="C108" s="2" t="s">
        <v>3379</v>
      </c>
      <c r="D108" s="35">
        <v>1</v>
      </c>
      <c r="F108" s="2" t="s">
        <v>154</v>
      </c>
      <c r="G108" s="35">
        <v>1</v>
      </c>
    </row>
    <row r="109" spans="3:7" x14ac:dyDescent="0.25">
      <c r="C109" s="2" t="s">
        <v>3348</v>
      </c>
      <c r="D109" s="35">
        <v>1</v>
      </c>
      <c r="F109" s="2" t="s">
        <v>174</v>
      </c>
      <c r="G109" s="35">
        <v>1</v>
      </c>
    </row>
    <row r="110" spans="3:7" x14ac:dyDescent="0.25">
      <c r="C110" s="2" t="s">
        <v>3381</v>
      </c>
      <c r="D110" s="35">
        <v>1</v>
      </c>
      <c r="F110" s="2" t="s">
        <v>113</v>
      </c>
      <c r="G110" s="35">
        <v>1</v>
      </c>
    </row>
    <row r="111" spans="3:7" x14ac:dyDescent="0.25">
      <c r="C111" s="2" t="s">
        <v>3319</v>
      </c>
      <c r="D111" s="35">
        <v>1</v>
      </c>
      <c r="F111" s="2" t="s">
        <v>81</v>
      </c>
      <c r="G111" s="35">
        <v>1</v>
      </c>
    </row>
    <row r="112" spans="3:7" x14ac:dyDescent="0.25">
      <c r="C112" s="2" t="s">
        <v>3383</v>
      </c>
      <c r="D112" s="35">
        <v>1</v>
      </c>
      <c r="F112" s="2" t="s">
        <v>212</v>
      </c>
      <c r="G112" s="35">
        <v>1</v>
      </c>
    </row>
    <row r="113" spans="3:7" x14ac:dyDescent="0.25">
      <c r="C113" s="2" t="s">
        <v>2</v>
      </c>
      <c r="D113" s="35">
        <v>1</v>
      </c>
      <c r="F113" s="2" t="s">
        <v>37</v>
      </c>
      <c r="G113" s="35">
        <v>1</v>
      </c>
    </row>
    <row r="114" spans="3:7" x14ac:dyDescent="0.25">
      <c r="C114" s="2" t="s">
        <v>3385</v>
      </c>
      <c r="D114" s="35">
        <v>1</v>
      </c>
      <c r="F114" s="2" t="s">
        <v>166</v>
      </c>
      <c r="G114" s="35">
        <v>1</v>
      </c>
    </row>
    <row r="115" spans="3:7" x14ac:dyDescent="0.25">
      <c r="C115" s="2" t="s">
        <v>3362</v>
      </c>
      <c r="D115" s="35">
        <v>1</v>
      </c>
      <c r="F115" s="2" t="s">
        <v>235</v>
      </c>
      <c r="G115" s="35">
        <v>1</v>
      </c>
    </row>
    <row r="116" spans="3:7" x14ac:dyDescent="0.25">
      <c r="C116" s="2" t="s">
        <v>3387</v>
      </c>
      <c r="D116" s="35">
        <v>1</v>
      </c>
      <c r="F116" s="2" t="s">
        <v>106</v>
      </c>
      <c r="G116" s="35">
        <v>1</v>
      </c>
    </row>
    <row r="117" spans="3:7" x14ac:dyDescent="0.25">
      <c r="C117" s="2" t="s">
        <v>3413</v>
      </c>
      <c r="D117" s="35">
        <v>1</v>
      </c>
      <c r="F117" s="2" t="s">
        <v>161</v>
      </c>
      <c r="G117" s="35">
        <v>1</v>
      </c>
    </row>
    <row r="118" spans="3:7" x14ac:dyDescent="0.25">
      <c r="C118" s="2" t="s">
        <v>8</v>
      </c>
      <c r="D118" s="35">
        <v>1</v>
      </c>
      <c r="F118" s="2" t="s">
        <v>186</v>
      </c>
      <c r="G118" s="35">
        <v>1</v>
      </c>
    </row>
    <row r="119" spans="3:7" x14ac:dyDescent="0.25">
      <c r="C119" s="2" t="s">
        <v>3361</v>
      </c>
      <c r="D119" s="35">
        <v>1</v>
      </c>
      <c r="F119" s="2" t="s">
        <v>206</v>
      </c>
      <c r="G119" s="35">
        <v>1</v>
      </c>
    </row>
    <row r="120" spans="3:7" x14ac:dyDescent="0.25">
      <c r="C120" s="2" t="s">
        <v>3390</v>
      </c>
      <c r="D120" s="35">
        <v>1</v>
      </c>
      <c r="F120" s="2" t="s">
        <v>110</v>
      </c>
      <c r="G120" s="35">
        <v>1</v>
      </c>
    </row>
    <row r="121" spans="3:7" x14ac:dyDescent="0.25">
      <c r="C121" s="2" t="s">
        <v>3421</v>
      </c>
      <c r="D121" s="35">
        <v>1</v>
      </c>
      <c r="F121" s="2" t="s">
        <v>2909</v>
      </c>
      <c r="G121" s="35">
        <v>1</v>
      </c>
    </row>
    <row r="122" spans="3:7" x14ac:dyDescent="0.25">
      <c r="C122" s="2" t="s">
        <v>3392</v>
      </c>
      <c r="D122" s="35">
        <v>1</v>
      </c>
      <c r="F122" s="2" t="s">
        <v>128</v>
      </c>
      <c r="G122" s="35">
        <v>1</v>
      </c>
    </row>
    <row r="123" spans="3:7" x14ac:dyDescent="0.25">
      <c r="C123" s="2" t="s">
        <v>3342</v>
      </c>
      <c r="D123" s="35">
        <v>1</v>
      </c>
      <c r="F123" s="2" t="s">
        <v>2897</v>
      </c>
      <c r="G123" s="35">
        <v>1</v>
      </c>
    </row>
    <row r="124" spans="3:7" x14ac:dyDescent="0.25">
      <c r="C124" s="2" t="s">
        <v>3394</v>
      </c>
      <c r="D124" s="35">
        <v>1</v>
      </c>
      <c r="F124" s="2" t="s">
        <v>102</v>
      </c>
      <c r="G124" s="35">
        <v>1</v>
      </c>
    </row>
    <row r="125" spans="3:7" x14ac:dyDescent="0.25">
      <c r="C125" s="2" t="s">
        <v>3388</v>
      </c>
      <c r="D125" s="35">
        <v>1</v>
      </c>
      <c r="F125" s="2" t="s">
        <v>59</v>
      </c>
      <c r="G125" s="35">
        <v>1</v>
      </c>
    </row>
    <row r="126" spans="3:7" x14ac:dyDescent="0.25">
      <c r="C126" s="2" t="s">
        <v>3396</v>
      </c>
      <c r="D126" s="35">
        <v>1</v>
      </c>
      <c r="F126" s="2" t="s">
        <v>234</v>
      </c>
      <c r="G126" s="35">
        <v>1</v>
      </c>
    </row>
    <row r="127" spans="3:7" x14ac:dyDescent="0.25">
      <c r="C127" s="2" t="s">
        <v>11</v>
      </c>
      <c r="D127" s="35">
        <v>1</v>
      </c>
      <c r="F127" s="2" t="s">
        <v>198</v>
      </c>
      <c r="G127" s="35">
        <v>1</v>
      </c>
    </row>
    <row r="128" spans="3:7" x14ac:dyDescent="0.25">
      <c r="C128" s="2" t="s">
        <v>3397</v>
      </c>
      <c r="D128" s="35">
        <v>1</v>
      </c>
      <c r="F128" s="2" t="s">
        <v>2912</v>
      </c>
      <c r="G128" s="35">
        <v>1</v>
      </c>
    </row>
    <row r="129" spans="3:7" x14ac:dyDescent="0.25">
      <c r="C129" s="2" t="s">
        <v>3401</v>
      </c>
      <c r="D129" s="35">
        <v>1</v>
      </c>
      <c r="F129" s="2" t="s">
        <v>2908</v>
      </c>
      <c r="G129" s="35">
        <v>1</v>
      </c>
    </row>
    <row r="130" spans="3:7" x14ac:dyDescent="0.25">
      <c r="C130" s="2" t="s">
        <v>3399</v>
      </c>
      <c r="D130" s="35">
        <v>1</v>
      </c>
      <c r="F130" s="2" t="s">
        <v>197</v>
      </c>
      <c r="G130" s="35">
        <v>1</v>
      </c>
    </row>
    <row r="131" spans="3:7" x14ac:dyDescent="0.25">
      <c r="C131" s="2" t="s">
        <v>3433</v>
      </c>
      <c r="D131" s="35">
        <v>1</v>
      </c>
      <c r="F131" s="2" t="s">
        <v>193</v>
      </c>
      <c r="G131" s="35">
        <v>1</v>
      </c>
    </row>
    <row r="132" spans="3:7" x14ac:dyDescent="0.25">
      <c r="C132" s="2" t="s">
        <v>3400</v>
      </c>
      <c r="D132" s="35">
        <v>1</v>
      </c>
      <c r="F132" s="2" t="s">
        <v>149</v>
      </c>
      <c r="G132" s="35">
        <v>1</v>
      </c>
    </row>
    <row r="133" spans="3:7" x14ac:dyDescent="0.25">
      <c r="C133" s="2" t="s">
        <v>3405</v>
      </c>
      <c r="D133" s="35">
        <v>1</v>
      </c>
      <c r="F133" s="2" t="s">
        <v>139</v>
      </c>
      <c r="G133" s="35">
        <v>1</v>
      </c>
    </row>
    <row r="134" spans="3:7" x14ac:dyDescent="0.25">
      <c r="C134" s="2" t="s">
        <v>3402</v>
      </c>
      <c r="D134" s="35">
        <v>1</v>
      </c>
      <c r="F134" s="2" t="s">
        <v>66</v>
      </c>
      <c r="G134" s="35">
        <v>1</v>
      </c>
    </row>
    <row r="135" spans="3:7" x14ac:dyDescent="0.25">
      <c r="C135" s="2" t="s">
        <v>3370</v>
      </c>
      <c r="D135" s="35">
        <v>1</v>
      </c>
      <c r="F135" s="2" t="s">
        <v>169</v>
      </c>
      <c r="G135" s="35">
        <v>1</v>
      </c>
    </row>
    <row r="136" spans="3:7" x14ac:dyDescent="0.25">
      <c r="C136" s="2" t="s">
        <v>3404</v>
      </c>
      <c r="D136" s="35">
        <v>1</v>
      </c>
      <c r="F136" s="2" t="s">
        <v>201</v>
      </c>
      <c r="G136" s="35">
        <v>1</v>
      </c>
    </row>
    <row r="137" spans="3:7" x14ac:dyDescent="0.25">
      <c r="C137" s="2" t="s">
        <v>3409</v>
      </c>
      <c r="D137" s="35">
        <v>1</v>
      </c>
      <c r="F137" s="2" t="s">
        <v>137</v>
      </c>
      <c r="G137" s="35">
        <v>1</v>
      </c>
    </row>
    <row r="138" spans="3:7" x14ac:dyDescent="0.25">
      <c r="C138" s="2" t="s">
        <v>3406</v>
      </c>
      <c r="D138" s="35">
        <v>1</v>
      </c>
      <c r="F138" s="2" t="s">
        <v>2900</v>
      </c>
      <c r="G138" s="35">
        <v>1</v>
      </c>
    </row>
    <row r="139" spans="3:7" x14ac:dyDescent="0.25">
      <c r="C139" s="2" t="s">
        <v>3411</v>
      </c>
      <c r="D139" s="35">
        <v>1</v>
      </c>
      <c r="F139" s="2" t="s">
        <v>2949</v>
      </c>
      <c r="G139" s="35">
        <v>1</v>
      </c>
    </row>
    <row r="140" spans="3:7" x14ac:dyDescent="0.25">
      <c r="C140" s="2" t="s">
        <v>3408</v>
      </c>
      <c r="D140" s="35">
        <v>1</v>
      </c>
      <c r="F140" s="2" t="s">
        <v>2902</v>
      </c>
      <c r="G140" s="35">
        <v>1</v>
      </c>
    </row>
    <row r="141" spans="3:7" x14ac:dyDescent="0.25">
      <c r="C141" s="2" t="s">
        <v>3412</v>
      </c>
      <c r="D141" s="35">
        <v>1</v>
      </c>
      <c r="F141" s="2" t="s">
        <v>180</v>
      </c>
      <c r="G141" s="35">
        <v>1</v>
      </c>
    </row>
    <row r="142" spans="3:7" x14ac:dyDescent="0.25">
      <c r="C142" s="2" t="s">
        <v>3410</v>
      </c>
      <c r="D142" s="35">
        <v>1</v>
      </c>
      <c r="F142"/>
      <c r="G142"/>
    </row>
    <row r="143" spans="3:7" x14ac:dyDescent="0.25">
      <c r="C143" s="2" t="s">
        <v>3414</v>
      </c>
      <c r="D143" s="35">
        <v>1</v>
      </c>
      <c r="F143"/>
      <c r="G143"/>
    </row>
    <row r="144" spans="3:7" x14ac:dyDescent="0.25">
      <c r="C144" s="2" t="s">
        <v>3445</v>
      </c>
      <c r="D144" s="35">
        <v>1</v>
      </c>
      <c r="F144"/>
      <c r="G144"/>
    </row>
    <row r="145" spans="3:7" x14ac:dyDescent="0.25">
      <c r="C145" s="2" t="s">
        <v>3416</v>
      </c>
      <c r="D145" s="35">
        <v>1</v>
      </c>
      <c r="F145"/>
      <c r="G145"/>
    </row>
    <row r="146" spans="3:7" x14ac:dyDescent="0.25">
      <c r="C146" s="2" t="s">
        <v>15</v>
      </c>
      <c r="D146" s="35">
        <v>1</v>
      </c>
      <c r="F146"/>
      <c r="G146"/>
    </row>
    <row r="147" spans="3:7" x14ac:dyDescent="0.25">
      <c r="C147" s="2" t="s">
        <v>3418</v>
      </c>
      <c r="D147" s="35">
        <v>1</v>
      </c>
      <c r="F147"/>
      <c r="G147"/>
    </row>
    <row r="148" spans="3:7" x14ac:dyDescent="0.25">
      <c r="C148" s="2" t="s">
        <v>3459</v>
      </c>
      <c r="D148" s="35">
        <v>1</v>
      </c>
      <c r="F148"/>
      <c r="G148"/>
    </row>
    <row r="149" spans="3:7" x14ac:dyDescent="0.25">
      <c r="C149" s="2" t="s">
        <v>3420</v>
      </c>
      <c r="D149" s="35">
        <v>1</v>
      </c>
      <c r="F149"/>
      <c r="G149"/>
    </row>
    <row r="150" spans="3:7" x14ac:dyDescent="0.25">
      <c r="C150" s="2" t="s">
        <v>3461</v>
      </c>
      <c r="D150" s="35">
        <v>1</v>
      </c>
      <c r="F150"/>
      <c r="G150"/>
    </row>
    <row r="151" spans="3:7" x14ac:dyDescent="0.25">
      <c r="C151" s="2" t="s">
        <v>3403</v>
      </c>
      <c r="D151" s="35">
        <v>1</v>
      </c>
      <c r="F151"/>
      <c r="G151"/>
    </row>
    <row r="152" spans="3:7" x14ac:dyDescent="0.25">
      <c r="C152" s="2" t="s">
        <v>3462</v>
      </c>
      <c r="D152" s="35">
        <v>1</v>
      </c>
      <c r="F152"/>
      <c r="G152"/>
    </row>
    <row r="153" spans="3:7" x14ac:dyDescent="0.25">
      <c r="C153" s="2" t="s">
        <v>3372</v>
      </c>
      <c r="D153" s="35">
        <v>1</v>
      </c>
      <c r="F153"/>
      <c r="G153"/>
    </row>
    <row r="154" spans="3:7" x14ac:dyDescent="0.25">
      <c r="C154" s="2" t="s">
        <v>3454</v>
      </c>
      <c r="D154" s="35">
        <v>1</v>
      </c>
      <c r="F154"/>
      <c r="G154"/>
    </row>
    <row r="155" spans="3:7" x14ac:dyDescent="0.25">
      <c r="C155" s="2" t="s">
        <v>3426</v>
      </c>
      <c r="D155" s="35">
        <v>1</v>
      </c>
      <c r="F155"/>
      <c r="G155"/>
    </row>
    <row r="156" spans="3:7" x14ac:dyDescent="0.25">
      <c r="C156" s="2" t="s">
        <v>3456</v>
      </c>
      <c r="D156" s="35">
        <v>1</v>
      </c>
      <c r="F156"/>
      <c r="G156"/>
    </row>
    <row r="157" spans="3:7" x14ac:dyDescent="0.25">
      <c r="C157" s="2" t="s">
        <v>3407</v>
      </c>
      <c r="D157" s="35">
        <v>1</v>
      </c>
      <c r="F157"/>
      <c r="G157"/>
    </row>
    <row r="158" spans="3:7" x14ac:dyDescent="0.25">
      <c r="C158" s="2" t="s">
        <v>3457</v>
      </c>
      <c r="D158" s="35">
        <v>1</v>
      </c>
      <c r="F158"/>
      <c r="G158"/>
    </row>
    <row r="159" spans="3:7" x14ac:dyDescent="0.25">
      <c r="C159" s="2" t="s">
        <v>3429</v>
      </c>
      <c r="D159" s="35">
        <v>1</v>
      </c>
      <c r="F159"/>
      <c r="G159"/>
    </row>
    <row r="160" spans="3:7" x14ac:dyDescent="0.25">
      <c r="C160" s="2" t="s">
        <v>3427</v>
      </c>
      <c r="D160" s="35">
        <v>1</v>
      </c>
      <c r="F160"/>
      <c r="G160"/>
    </row>
    <row r="161" spans="3:7" x14ac:dyDescent="0.25">
      <c r="C161" s="2" t="s">
        <v>3339</v>
      </c>
      <c r="D161" s="35">
        <v>1</v>
      </c>
      <c r="F161"/>
      <c r="G161"/>
    </row>
    <row r="162" spans="3:7" x14ac:dyDescent="0.25">
      <c r="C162" s="2" t="s">
        <v>3432</v>
      </c>
      <c r="D162" s="35">
        <v>1</v>
      </c>
      <c r="F162"/>
      <c r="G162"/>
    </row>
    <row r="163" spans="3:7" x14ac:dyDescent="0.25">
      <c r="C163" s="2" t="s">
        <v>3424</v>
      </c>
      <c r="D163" s="35">
        <v>1</v>
      </c>
      <c r="F163"/>
      <c r="G163"/>
    </row>
    <row r="164" spans="3:7" x14ac:dyDescent="0.25">
      <c r="C164" s="2" t="s">
        <v>1</v>
      </c>
      <c r="D164" s="35">
        <v>1</v>
      </c>
      <c r="F164"/>
      <c r="G164"/>
    </row>
    <row r="165" spans="3:7" x14ac:dyDescent="0.25">
      <c r="C165" s="2" t="s">
        <v>3434</v>
      </c>
      <c r="D165" s="35">
        <v>1</v>
      </c>
      <c r="F165"/>
      <c r="G165"/>
    </row>
    <row r="166" spans="3:7" x14ac:dyDescent="0.25">
      <c r="C166" s="2" t="s">
        <v>3435</v>
      </c>
      <c r="D166" s="35">
        <v>1</v>
      </c>
      <c r="F166"/>
      <c r="G166"/>
    </row>
    <row r="167" spans="3:7" x14ac:dyDescent="0.25">
      <c r="C167" s="2" t="s">
        <v>3436</v>
      </c>
      <c r="D167" s="35">
        <v>1</v>
      </c>
      <c r="F167"/>
      <c r="G167"/>
    </row>
    <row r="168" spans="3:7" x14ac:dyDescent="0.25">
      <c r="C168" s="2" t="s">
        <v>3437</v>
      </c>
      <c r="D168" s="35">
        <v>1</v>
      </c>
      <c r="F168"/>
      <c r="G168"/>
    </row>
    <row r="169" spans="3:7" x14ac:dyDescent="0.25">
      <c r="C169" s="2" t="s">
        <v>3438</v>
      </c>
      <c r="D169" s="35">
        <v>1</v>
      </c>
      <c r="F169"/>
      <c r="G169"/>
    </row>
    <row r="170" spans="3:7" x14ac:dyDescent="0.25">
      <c r="C170" s="2" t="s">
        <v>3439</v>
      </c>
      <c r="D170" s="35">
        <v>1</v>
      </c>
      <c r="F170"/>
      <c r="G170"/>
    </row>
    <row r="171" spans="3:7" x14ac:dyDescent="0.25">
      <c r="C171" s="2" t="s">
        <v>3440</v>
      </c>
      <c r="D171" s="35">
        <v>1</v>
      </c>
      <c r="F171"/>
      <c r="G171"/>
    </row>
    <row r="172" spans="3:7" x14ac:dyDescent="0.25">
      <c r="C172" s="2" t="s">
        <v>3441</v>
      </c>
      <c r="D172" s="35">
        <v>1</v>
      </c>
      <c r="F172"/>
      <c r="G172"/>
    </row>
    <row r="173" spans="3:7" x14ac:dyDescent="0.25">
      <c r="C173" s="2" t="s">
        <v>3442</v>
      </c>
      <c r="D173" s="35">
        <v>1</v>
      </c>
      <c r="F173"/>
      <c r="G173"/>
    </row>
    <row r="174" spans="3:7" x14ac:dyDescent="0.25">
      <c r="C174" s="2" t="s">
        <v>3443</v>
      </c>
      <c r="D174" s="35">
        <v>1</v>
      </c>
      <c r="F174"/>
      <c r="G174"/>
    </row>
    <row r="175" spans="3:7" x14ac:dyDescent="0.25">
      <c r="C175" s="2" t="s">
        <v>4</v>
      </c>
      <c r="D175" s="35">
        <v>1</v>
      </c>
      <c r="F175"/>
      <c r="G175"/>
    </row>
    <row r="176" spans="3:7" x14ac:dyDescent="0.25">
      <c r="C176" s="2" t="s">
        <v>3444</v>
      </c>
      <c r="D176" s="35">
        <v>1</v>
      </c>
      <c r="F176"/>
      <c r="G176"/>
    </row>
    <row r="177" spans="3:7" x14ac:dyDescent="0.25">
      <c r="C177" s="2" t="s">
        <v>3446</v>
      </c>
      <c r="D177" s="35">
        <v>1</v>
      </c>
      <c r="F177"/>
      <c r="G177"/>
    </row>
    <row r="178" spans="3:7" x14ac:dyDescent="0.25">
      <c r="C178" s="2" t="s">
        <v>3417</v>
      </c>
      <c r="D178" s="35">
        <v>1</v>
      </c>
      <c r="F178"/>
      <c r="G178"/>
    </row>
    <row r="179" spans="3:7" x14ac:dyDescent="0.25">
      <c r="C179" s="2" t="s">
        <v>3448</v>
      </c>
      <c r="D179" s="35">
        <v>1</v>
      </c>
      <c r="F179"/>
      <c r="G179"/>
    </row>
    <row r="180" spans="3:7" x14ac:dyDescent="0.25">
      <c r="C180" s="2" t="s">
        <v>3391</v>
      </c>
      <c r="D180" s="35">
        <v>1</v>
      </c>
      <c r="F180"/>
      <c r="G180"/>
    </row>
    <row r="181" spans="3:7" x14ac:dyDescent="0.25">
      <c r="C181" s="2" t="s">
        <v>3450</v>
      </c>
      <c r="D181" s="35">
        <v>1</v>
      </c>
      <c r="F181"/>
      <c r="G181"/>
    </row>
    <row r="182" spans="3:7" x14ac:dyDescent="0.25">
      <c r="C182" s="2" t="s">
        <v>3364</v>
      </c>
      <c r="D182" s="35">
        <v>1</v>
      </c>
      <c r="F182"/>
      <c r="G182"/>
    </row>
    <row r="183" spans="3:7" x14ac:dyDescent="0.25">
      <c r="C183" s="2" t="s">
        <v>3451</v>
      </c>
      <c r="D183" s="35">
        <v>1</v>
      </c>
      <c r="F183"/>
      <c r="G183"/>
    </row>
    <row r="184" spans="3:7" x14ac:dyDescent="0.25">
      <c r="C184" s="2" t="s">
        <v>3393</v>
      </c>
      <c r="D184" s="35">
        <v>1</v>
      </c>
      <c r="F184"/>
      <c r="G184"/>
    </row>
    <row r="185" spans="3:7" x14ac:dyDescent="0.25">
      <c r="C185" s="2" t="s">
        <v>3453</v>
      </c>
      <c r="D185" s="35">
        <v>1</v>
      </c>
      <c r="F185"/>
      <c r="G185"/>
    </row>
    <row r="186" spans="3:7" x14ac:dyDescent="0.25">
      <c r="C186" s="2" t="s">
        <v>3338</v>
      </c>
      <c r="D186" s="35">
        <v>1</v>
      </c>
      <c r="F186"/>
      <c r="G186"/>
    </row>
    <row r="187" spans="3:7" x14ac:dyDescent="0.25">
      <c r="C187" s="2" t="s">
        <v>3455</v>
      </c>
      <c r="D187" s="35">
        <v>1</v>
      </c>
      <c r="F187"/>
      <c r="G187"/>
    </row>
    <row r="188" spans="3:7" x14ac:dyDescent="0.25">
      <c r="C188" s="2" t="s">
        <v>3425</v>
      </c>
      <c r="D188" s="35">
        <v>1</v>
      </c>
      <c r="F188"/>
      <c r="G188"/>
    </row>
    <row r="189" spans="3:7" x14ac:dyDescent="0.25">
      <c r="C189" s="2" t="s">
        <v>14</v>
      </c>
      <c r="D189" s="35">
        <v>1</v>
      </c>
      <c r="F189"/>
      <c r="G189"/>
    </row>
    <row r="190" spans="3:7" x14ac:dyDescent="0.25">
      <c r="C190" s="2" t="s">
        <v>3366</v>
      </c>
      <c r="D190" s="35">
        <v>1</v>
      </c>
      <c r="F190"/>
      <c r="G190"/>
    </row>
    <row r="191" spans="3:7" x14ac:dyDescent="0.25">
      <c r="C191" s="2" t="s">
        <v>3449</v>
      </c>
      <c r="D191" s="35">
        <v>1</v>
      </c>
      <c r="F191"/>
      <c r="G191"/>
    </row>
    <row r="192" spans="3:7" x14ac:dyDescent="0.25">
      <c r="C192" s="2" t="s">
        <v>3352</v>
      </c>
      <c r="D192" s="35">
        <v>1</v>
      </c>
      <c r="F192"/>
      <c r="G192"/>
    </row>
    <row r="193" spans="3:7" x14ac:dyDescent="0.25">
      <c r="C193" s="2" t="s">
        <v>3398</v>
      </c>
      <c r="D193" s="35">
        <v>1</v>
      </c>
      <c r="F193"/>
      <c r="G193"/>
    </row>
    <row r="194" spans="3:7" x14ac:dyDescent="0.25">
      <c r="C194" s="2" t="s">
        <v>3430</v>
      </c>
      <c r="D194" s="35">
        <v>1</v>
      </c>
      <c r="F194"/>
      <c r="G194"/>
    </row>
    <row r="195" spans="3:7" x14ac:dyDescent="0.25">
      <c r="C195" s="2" t="s">
        <v>3452</v>
      </c>
      <c r="D195" s="35">
        <v>1</v>
      </c>
      <c r="F195"/>
      <c r="G195"/>
    </row>
    <row r="196" spans="3:7" x14ac:dyDescent="0.25">
      <c r="C196" s="2" t="s">
        <v>3458</v>
      </c>
      <c r="D196" s="35">
        <v>1</v>
      </c>
      <c r="F196"/>
      <c r="G196"/>
    </row>
    <row r="197" spans="3:7" x14ac:dyDescent="0.25">
      <c r="C197" s="2" t="s">
        <v>3460</v>
      </c>
      <c r="D197" s="35">
        <v>1</v>
      </c>
      <c r="F197"/>
      <c r="G197"/>
    </row>
    <row r="198" spans="3:7" x14ac:dyDescent="0.25">
      <c r="C198" s="2" t="s">
        <v>16</v>
      </c>
      <c r="D198" s="35">
        <v>253</v>
      </c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17"/>
  <sheetViews>
    <sheetView workbookViewId="0">
      <selection activeCell="B186" sqref="B2:B18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3463</v>
      </c>
      <c r="C1" t="s">
        <v>3465</v>
      </c>
      <c r="D1" t="s">
        <v>252</v>
      </c>
      <c r="E1" t="s">
        <v>251</v>
      </c>
      <c r="F1" t="s">
        <v>3464</v>
      </c>
    </row>
    <row r="2" spans="1:6" x14ac:dyDescent="0.25">
      <c r="A2" s="2" t="s">
        <v>3294</v>
      </c>
      <c r="B2" s="2" t="str">
        <f t="shared" ref="B2:B65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A4" s="2" t="s">
        <v>3297</v>
      </c>
      <c r="B4" s="2" t="str">
        <f t="shared" si="0"/>
        <v>41032</v>
      </c>
      <c r="C4" s="2" t="str">
        <f t="shared" ref="C4:C19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3332</v>
      </c>
      <c r="B15" s="2" t="str">
        <f t="shared" si="0"/>
        <v>41230</v>
      </c>
      <c r="C15" s="2" t="str">
        <f t="shared" si="1"/>
        <v>De Witte Bart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3310</v>
      </c>
      <c r="B16" s="2" t="str">
        <f t="shared" si="0"/>
        <v>40278</v>
      </c>
      <c r="C16" s="2" t="str">
        <f t="shared" si="1"/>
        <v>Ates Firat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3307</v>
      </c>
      <c r="B17" s="2" t="str">
        <f t="shared" si="0"/>
        <v>39581</v>
      </c>
      <c r="C17" s="2" t="str">
        <f t="shared" si="1"/>
        <v>Vandenhaute Linus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3309</v>
      </c>
      <c r="B18" s="2" t="str">
        <f t="shared" si="0"/>
        <v>21424</v>
      </c>
      <c r="C18" s="2" t="str">
        <f t="shared" si="1"/>
        <v>Verstichel Jethro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3306</v>
      </c>
      <c r="B19" s="2" t="str">
        <f t="shared" si="0"/>
        <v>40744</v>
      </c>
      <c r="C19" s="2" t="str">
        <f t="shared" si="1"/>
        <v>Gözüküçük Ugur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A20" s="2" t="s">
        <v>3311</v>
      </c>
      <c r="B20" s="2" t="str">
        <f t="shared" si="0"/>
        <v>23918</v>
      </c>
      <c r="C20" s="2" t="str">
        <f>MID(A20,SEARCH(" ",A20)+1,99)</f>
        <v>D'Haeyere Bernard</v>
      </c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3314</v>
      </c>
      <c r="B21" s="2" t="str">
        <f t="shared" si="0"/>
        <v>39358</v>
      </c>
      <c r="C21" s="2" t="str">
        <f t="shared" ref="C21:C84" si="2">MID(A21,SEARCH(" ",A21)+1,99)</f>
        <v>Weeks Aracena Jimmy Alexander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3313</v>
      </c>
      <c r="B22" s="2" t="str">
        <f t="shared" si="0"/>
        <v>25487</v>
      </c>
      <c r="C22" s="2" t="str">
        <f t="shared" si="2"/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 t="shared" si="0"/>
        <v>39673</v>
      </c>
      <c r="C23" s="2" t="str">
        <f t="shared" si="2"/>
        <v>Steurbaut Henri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A24" s="2" t="s">
        <v>3315</v>
      </c>
      <c r="B24" s="2" t="str">
        <f t="shared" si="0"/>
        <v>25679</v>
      </c>
      <c r="C24" s="2" t="str">
        <f t="shared" si="2"/>
        <v>Vanrenterghem Serge</v>
      </c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3317</v>
      </c>
      <c r="B25" s="2" t="str">
        <f t="shared" si="0"/>
        <v>40478</v>
      </c>
      <c r="C25" s="2" t="str">
        <f t="shared" si="2"/>
        <v>Hashimi Ali Mir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</v>
      </c>
      <c r="B26" s="2" t="str">
        <f t="shared" si="0"/>
        <v>28737</v>
      </c>
      <c r="C26" s="2" t="str">
        <f t="shared" si="2"/>
        <v>El-Mohamed Mohamed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3335</v>
      </c>
      <c r="B27" s="2" t="str">
        <f t="shared" si="0"/>
        <v>41012</v>
      </c>
      <c r="C27" s="2" t="str">
        <f t="shared" si="2"/>
        <v>Natad Younes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3318</v>
      </c>
      <c r="B28" s="2" t="str">
        <f t="shared" si="0"/>
        <v>30967</v>
      </c>
      <c r="C28" s="2" t="str">
        <f t="shared" si="2"/>
        <v>Taser Fatih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3334</v>
      </c>
      <c r="B29" s="2" t="str">
        <f t="shared" si="0"/>
        <v>41520</v>
      </c>
      <c r="C29" s="2" t="str">
        <f t="shared" si="2"/>
        <v>Smets Avery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A30" s="2" t="s">
        <v>3320</v>
      </c>
      <c r="B30" s="2" t="str">
        <f t="shared" si="0"/>
        <v>31668</v>
      </c>
      <c r="C30" s="2" t="str">
        <f t="shared" si="2"/>
        <v>Weemhof Maurice</v>
      </c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3323</v>
      </c>
      <c r="B31" s="2" t="str">
        <f t="shared" si="0"/>
        <v>39532</v>
      </c>
      <c r="C31" s="2" t="str">
        <f t="shared" si="2"/>
        <v>Sahin Orhan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7</v>
      </c>
      <c r="B32" s="2" t="str">
        <f t="shared" si="0"/>
        <v>35397</v>
      </c>
      <c r="C32" s="2" t="str">
        <f t="shared" si="2"/>
        <v>Minbari Ako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3325</v>
      </c>
      <c r="B33" s="2" t="str">
        <f t="shared" si="0"/>
        <v>39660</v>
      </c>
      <c r="C33" s="2" t="str">
        <f t="shared" si="2"/>
        <v>Lloyd Glenn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3322</v>
      </c>
      <c r="B34" s="2" t="str">
        <f t="shared" si="0"/>
        <v>35645</v>
      </c>
      <c r="C34" s="2" t="str">
        <f t="shared" si="2"/>
        <v>Jalili Yaseeb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3327</v>
      </c>
      <c r="B35" s="2" t="str">
        <f t="shared" si="0"/>
        <v>40266</v>
      </c>
      <c r="C35" s="2" t="str">
        <f t="shared" si="2"/>
        <v>Taibi Yassine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A36" s="2" t="s">
        <v>3324</v>
      </c>
      <c r="B36" s="2" t="str">
        <f t="shared" si="0"/>
        <v>36426</v>
      </c>
      <c r="C36" s="2" t="str">
        <f t="shared" si="2"/>
        <v>Mohamed Yassin Abdulhamid</v>
      </c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3329</v>
      </c>
      <c r="B37" s="2" t="str">
        <f t="shared" si="0"/>
        <v>40362</v>
      </c>
      <c r="C37" s="2" t="str">
        <f t="shared" si="2"/>
        <v>Kuru Cetin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A38" s="2" t="s">
        <v>3326</v>
      </c>
      <c r="B38" s="2" t="str">
        <f t="shared" si="0"/>
        <v>12684</v>
      </c>
      <c r="C38" s="2" t="str">
        <f t="shared" si="2"/>
        <v>Van Den Bossche Martine</v>
      </c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3331</v>
      </c>
      <c r="B39" s="2" t="str">
        <f t="shared" si="0"/>
        <v>40591</v>
      </c>
      <c r="C39" s="2" t="str">
        <f t="shared" si="2"/>
        <v>Hiloui Mahmoud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3328</v>
      </c>
      <c r="B40" s="2" t="str">
        <f t="shared" si="0"/>
        <v>36512</v>
      </c>
      <c r="C40" s="2" t="str">
        <f t="shared" si="2"/>
        <v>Van Herreweghe Branco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3333</v>
      </c>
      <c r="B41" s="2" t="str">
        <f t="shared" si="0"/>
        <v>15412</v>
      </c>
      <c r="C41" s="2" t="str">
        <f t="shared" si="2"/>
        <v>Dhondt Frank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3330</v>
      </c>
      <c r="B42" s="2" t="str">
        <f t="shared" si="0"/>
        <v>36626</v>
      </c>
      <c r="C42" s="2" t="str">
        <f t="shared" si="2"/>
        <v>Kartal Kadir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3312</v>
      </c>
      <c r="B43" s="2" t="str">
        <f t="shared" si="0"/>
        <v>41064</v>
      </c>
      <c r="C43" s="2" t="str">
        <f t="shared" si="2"/>
        <v>Ardic Atilla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3321</v>
      </c>
      <c r="B44" s="2" t="str">
        <f t="shared" si="0"/>
        <v>37662</v>
      </c>
      <c r="C44" s="2" t="str">
        <f t="shared" si="2"/>
        <v>Van den Meerssche Steven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3337</v>
      </c>
      <c r="B45" s="2" t="str">
        <f t="shared" si="0"/>
        <v>41246</v>
      </c>
      <c r="C45" s="2" t="str">
        <f t="shared" si="2"/>
        <v>Van Holsbeeck Yana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3308</v>
      </c>
      <c r="B46" s="2" t="str">
        <f t="shared" si="0"/>
        <v>38475</v>
      </c>
      <c r="C46" s="2" t="str">
        <f t="shared" si="2"/>
        <v>Verschraegen Katleen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A47" s="2" t="s">
        <v>13</v>
      </c>
      <c r="B47" s="2" t="str">
        <f t="shared" si="0"/>
        <v>4419</v>
      </c>
      <c r="C47" s="2" t="str">
        <f t="shared" si="2"/>
        <v>Maelbrancke Eddy</v>
      </c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A48" s="2" t="s">
        <v>10</v>
      </c>
      <c r="B48" s="2" t="str">
        <f t="shared" si="0"/>
        <v>38648</v>
      </c>
      <c r="C48" s="2" t="str">
        <f t="shared" si="2"/>
        <v>Uckuyulu Muhammet Emin</v>
      </c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3336</v>
      </c>
      <c r="B49" s="2" t="str">
        <f t="shared" si="0"/>
        <v>37496</v>
      </c>
      <c r="C49" s="2" t="str">
        <f t="shared" si="2"/>
        <v>Oosterlinck Willy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3423</v>
      </c>
      <c r="B50" s="2" t="str">
        <f t="shared" si="0"/>
        <v>41721</v>
      </c>
      <c r="C50" s="2" t="str">
        <f t="shared" si="2"/>
        <v>Nolf Philippe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3380</v>
      </c>
      <c r="B51" s="2" t="str">
        <f t="shared" si="0"/>
        <v>40393</v>
      </c>
      <c r="C51" s="2" t="str">
        <f t="shared" si="2"/>
        <v>Salimova Eydzhan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12</v>
      </c>
      <c r="B52" s="2" t="str">
        <f t="shared" si="0"/>
        <v>39829</v>
      </c>
      <c r="C52" s="2" t="str">
        <f t="shared" si="2"/>
        <v>Demirkaya Serkan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3389</v>
      </c>
      <c r="B53" s="2" t="str">
        <f t="shared" si="0"/>
        <v>21582</v>
      </c>
      <c r="C53" s="2" t="str">
        <f t="shared" si="2"/>
        <v>De Grom Patrick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A54" s="2" t="s">
        <v>3382</v>
      </c>
      <c r="B54" s="2" t="str">
        <f t="shared" si="0"/>
        <v>31118</v>
      </c>
      <c r="C54" s="2" t="str">
        <f t="shared" si="2"/>
        <v>De Sutter Michiel</v>
      </c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A55" s="2" t="s">
        <v>3341</v>
      </c>
      <c r="B55" s="2" t="str">
        <f t="shared" si="0"/>
        <v>31776</v>
      </c>
      <c r="C55" s="2" t="str">
        <f t="shared" si="2"/>
        <v>Famelaer Steve</v>
      </c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A56" s="2" t="s">
        <v>3428</v>
      </c>
      <c r="B56" s="2" t="str">
        <f t="shared" si="0"/>
        <v>26199</v>
      </c>
      <c r="C56" s="2" t="str">
        <f t="shared" si="2"/>
        <v>Wauters Franky</v>
      </c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3343</v>
      </c>
      <c r="B57" s="2" t="str">
        <f t="shared" si="0"/>
        <v>32002</v>
      </c>
      <c r="C57" s="2" t="str">
        <f t="shared" si="2"/>
        <v>Hasni Helmi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3376</v>
      </c>
      <c r="B58" s="2" t="str">
        <f t="shared" si="0"/>
        <v>40055</v>
      </c>
      <c r="C58" s="2" t="str">
        <f t="shared" si="2"/>
        <v>Afara Ammar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3345</v>
      </c>
      <c r="B59" s="2" t="str">
        <f t="shared" si="0"/>
        <v>32091</v>
      </c>
      <c r="C59" s="2" t="str">
        <f t="shared" si="2"/>
        <v>Köroglu Ercan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3384</v>
      </c>
      <c r="B60" s="2" t="str">
        <f t="shared" si="0"/>
        <v>40745</v>
      </c>
      <c r="C60" s="2" t="str">
        <f t="shared" si="2"/>
        <v>Ivanov Ivan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3347</v>
      </c>
      <c r="B61" s="2" t="str">
        <f t="shared" si="0"/>
        <v>32245</v>
      </c>
      <c r="C61" s="2" t="str">
        <f t="shared" si="2"/>
        <v>Verlinden Bianca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3415</v>
      </c>
      <c r="B62" s="2" t="str">
        <f t="shared" si="0"/>
        <v>41384</v>
      </c>
      <c r="C62" s="2" t="str">
        <f t="shared" si="2"/>
        <v>Hillaert Thimo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A63" s="2" t="s">
        <v>3349</v>
      </c>
      <c r="B63" s="2" t="str">
        <f t="shared" si="0"/>
        <v>32387</v>
      </c>
      <c r="C63" s="2" t="str">
        <f t="shared" si="2"/>
        <v>Meersman Herman</v>
      </c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3368</v>
      </c>
      <c r="B64" s="2" t="str">
        <f t="shared" si="0"/>
        <v>38931</v>
      </c>
      <c r="C64" s="2" t="str">
        <f t="shared" si="2"/>
        <v>Sancak Eyuphan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3351</v>
      </c>
      <c r="B65" s="2" t="str">
        <f t="shared" si="0"/>
        <v>32528</v>
      </c>
      <c r="C65" s="2" t="str">
        <f t="shared" si="2"/>
        <v>Benjilali Abdelhak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3395</v>
      </c>
      <c r="B66" s="2" t="str">
        <f t="shared" ref="B66:B129" si="3">LEFT(A66,SEARCH(" ",A66)-1)</f>
        <v>26847</v>
      </c>
      <c r="C66" s="2" t="str">
        <f t="shared" si="2"/>
        <v>De Meester David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3353</v>
      </c>
      <c r="B67" s="2" t="str">
        <f t="shared" si="3"/>
        <v>32611</v>
      </c>
      <c r="C67" s="2" t="str">
        <f t="shared" si="2"/>
        <v>Özer Özgur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3374</v>
      </c>
      <c r="B68" s="2" t="str">
        <f t="shared" si="3"/>
        <v>39929</v>
      </c>
      <c r="C68" s="2" t="str">
        <f t="shared" si="2"/>
        <v>Staneva Mariyana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3355</v>
      </c>
      <c r="B69" s="2" t="str">
        <f t="shared" si="3"/>
        <v>32620</v>
      </c>
      <c r="C69" s="2" t="str">
        <f t="shared" si="2"/>
        <v>Saey Elias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3378</v>
      </c>
      <c r="B70" s="2" t="str">
        <f t="shared" si="3"/>
        <v>15088</v>
      </c>
      <c r="C70" s="2" t="str">
        <f t="shared" si="2"/>
        <v>Laute Dirk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5</v>
      </c>
      <c r="B71" s="2" t="str">
        <f t="shared" si="3"/>
        <v>32951</v>
      </c>
      <c r="C71" s="2" t="str">
        <f t="shared" si="2"/>
        <v>De Bruyne Sonia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A72" s="2" t="s">
        <v>3422</v>
      </c>
      <c r="B72" s="2" t="str">
        <f t="shared" si="3"/>
        <v>29746</v>
      </c>
      <c r="C72" s="2" t="str">
        <f t="shared" si="2"/>
        <v>Huyse Annicke</v>
      </c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3358</v>
      </c>
      <c r="B73" s="2" t="str">
        <f t="shared" si="3"/>
        <v>33085</v>
      </c>
      <c r="C73" s="2" t="str">
        <f t="shared" si="2"/>
        <v>Van Hoe Ivo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3386</v>
      </c>
      <c r="B74" s="2" t="str">
        <f t="shared" si="3"/>
        <v>16545</v>
      </c>
      <c r="C74" s="2" t="str">
        <f t="shared" si="2"/>
        <v>Toch Erwin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3360</v>
      </c>
      <c r="B75" s="2" t="str">
        <f t="shared" si="3"/>
        <v>33640</v>
      </c>
      <c r="C75" s="2" t="str">
        <f t="shared" si="2"/>
        <v>Verschraegen Patrick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A76" s="2" t="s">
        <v>3431</v>
      </c>
      <c r="B76" s="2" t="str">
        <f t="shared" si="3"/>
        <v>31150</v>
      </c>
      <c r="C76" s="2" t="str">
        <f t="shared" si="2"/>
        <v>Oueslati Mohamed Ali</v>
      </c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0</v>
      </c>
      <c r="B77" s="2" t="str">
        <f t="shared" si="3"/>
        <v>12514</v>
      </c>
      <c r="C77" s="2" t="str">
        <f t="shared" si="2"/>
        <v>De Smet Kenneth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A78" s="2" t="s">
        <v>3419</v>
      </c>
      <c r="B78" s="2" t="str">
        <f t="shared" si="3"/>
        <v>41619</v>
      </c>
      <c r="C78" s="2" t="str">
        <f t="shared" si="2"/>
        <v>Bachiri Ousama</v>
      </c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3363</v>
      </c>
      <c r="B79" s="2" t="str">
        <f t="shared" si="3"/>
        <v>33986</v>
      </c>
      <c r="C79" s="2" t="str">
        <f t="shared" si="2"/>
        <v>Göktas Muharrem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3447</v>
      </c>
      <c r="B80" s="2" t="str">
        <f t="shared" si="3"/>
        <v>4720</v>
      </c>
      <c r="C80" s="2" t="str">
        <f t="shared" si="2"/>
        <v>De Roo Jo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3365</v>
      </c>
      <c r="B81" s="2" t="str">
        <f t="shared" si="3"/>
        <v>34019</v>
      </c>
      <c r="C81" s="2" t="str">
        <f t="shared" si="2"/>
        <v>Hoste Tom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3344</v>
      </c>
      <c r="B82" s="2" t="str">
        <f t="shared" si="3"/>
        <v>39014</v>
      </c>
      <c r="C82" s="2" t="str">
        <f t="shared" si="2"/>
        <v>Genbrugge Kyllian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3367</v>
      </c>
      <c r="B83" s="2" t="str">
        <f t="shared" si="3"/>
        <v>34325</v>
      </c>
      <c r="C83" s="2" t="str">
        <f t="shared" si="2"/>
        <v>Eid Mathyn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3350</v>
      </c>
      <c r="B84" s="2" t="str">
        <f t="shared" si="3"/>
        <v>26695</v>
      </c>
      <c r="C84" s="2" t="str">
        <f t="shared" si="2"/>
        <v>Lippens Miguel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3369</v>
      </c>
      <c r="B85" s="2" t="str">
        <f t="shared" si="3"/>
        <v>34351</v>
      </c>
      <c r="C85" s="2" t="str">
        <f t="shared" ref="C85:C148" si="4">MID(A85,SEARCH(" ",A85)+1,99)</f>
        <v>Callant Dieter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3340</v>
      </c>
      <c r="B86" s="2" t="str">
        <f t="shared" si="3"/>
        <v>39712</v>
      </c>
      <c r="C86" s="2" t="str">
        <f t="shared" si="4"/>
        <v>Repaj Ramazan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3371</v>
      </c>
      <c r="B87" s="2" t="str">
        <f t="shared" si="3"/>
        <v>34445</v>
      </c>
      <c r="C87" s="2" t="str">
        <f t="shared" si="4"/>
        <v>Wulleput Illya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3356</v>
      </c>
      <c r="B88" s="2" t="str">
        <f t="shared" si="3"/>
        <v>39856</v>
      </c>
      <c r="C88" s="2" t="str">
        <f t="shared" si="4"/>
        <v>Curukcu Bayram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6</v>
      </c>
      <c r="B89" s="2" t="str">
        <f t="shared" si="3"/>
        <v>35216</v>
      </c>
      <c r="C89" s="2" t="str">
        <f t="shared" si="4"/>
        <v>Coban Mehmet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3346</v>
      </c>
      <c r="B90" s="2" t="str">
        <f t="shared" si="3"/>
        <v>40005</v>
      </c>
      <c r="C90" s="2" t="str">
        <f t="shared" si="4"/>
        <v>Bernaerts Philip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A91" s="2" t="s">
        <v>3373</v>
      </c>
      <c r="B91" s="2" t="str">
        <f t="shared" si="3"/>
        <v>35246</v>
      </c>
      <c r="C91" s="2" t="str">
        <f t="shared" si="4"/>
        <v>De Meyer Karel</v>
      </c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3357</v>
      </c>
      <c r="B92" s="2" t="str">
        <f t="shared" si="3"/>
        <v>40134</v>
      </c>
      <c r="C92" s="2" t="str">
        <f t="shared" si="4"/>
        <v>Cardon Sharon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3375</v>
      </c>
      <c r="B93" s="2" t="str">
        <f t="shared" si="3"/>
        <v>35379</v>
      </c>
      <c r="C93" s="2" t="str">
        <f t="shared" si="4"/>
        <v>Engels Sam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3354</v>
      </c>
      <c r="B94" s="2" t="str">
        <f t="shared" si="3"/>
        <v>21509</v>
      </c>
      <c r="C94" s="2" t="str">
        <f t="shared" si="4"/>
        <v>De Craemer Kris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A95" s="2" t="s">
        <v>3377</v>
      </c>
      <c r="B95" s="2" t="str">
        <f t="shared" si="3"/>
        <v>35395</v>
      </c>
      <c r="C95" s="2" t="str">
        <f t="shared" si="4"/>
        <v>Limbourg Heidi</v>
      </c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3359</v>
      </c>
      <c r="B96" s="2" t="str">
        <f t="shared" si="3"/>
        <v>40444</v>
      </c>
      <c r="C96" s="2" t="str">
        <f t="shared" si="4"/>
        <v>Van Damme Glenn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3379</v>
      </c>
      <c r="B97" s="2" t="str">
        <f t="shared" si="3"/>
        <v>22240</v>
      </c>
      <c r="C97" s="2" t="str">
        <f t="shared" si="4"/>
        <v>Delahaye Karina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3348</v>
      </c>
      <c r="B98" s="2" t="str">
        <f t="shared" si="3"/>
        <v>15282</v>
      </c>
      <c r="C98" s="2" t="str">
        <f t="shared" si="4"/>
        <v>Marinx Kristoff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3381</v>
      </c>
      <c r="B99" s="2" t="str">
        <f t="shared" si="3"/>
        <v>35450</v>
      </c>
      <c r="C99" s="2" t="str">
        <f t="shared" si="4"/>
        <v>Roos Hugo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A100" s="2" t="s">
        <v>3319</v>
      </c>
      <c r="B100" s="2" t="str">
        <f t="shared" si="3"/>
        <v>40859</v>
      </c>
      <c r="C100" s="2" t="str">
        <f t="shared" si="4"/>
        <v>Yagoub Abdelali</v>
      </c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3383</v>
      </c>
      <c r="B101" s="2" t="str">
        <f t="shared" si="3"/>
        <v>35491</v>
      </c>
      <c r="C101" s="2" t="str">
        <f t="shared" si="4"/>
        <v>Toubadie Zakaria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A102" s="2" t="s">
        <v>2</v>
      </c>
      <c r="B102" s="2" t="str">
        <f t="shared" si="3"/>
        <v>21581</v>
      </c>
      <c r="C102" s="2" t="str">
        <f t="shared" si="4"/>
        <v>Vanderstraeten Franky</v>
      </c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3385</v>
      </c>
      <c r="B103" s="2" t="str">
        <f t="shared" si="3"/>
        <v>35619</v>
      </c>
      <c r="C103" s="2" t="str">
        <f t="shared" si="4"/>
        <v>El Mezroui Zouheir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3362</v>
      </c>
      <c r="B104" s="2" t="str">
        <f t="shared" si="3"/>
        <v>17566</v>
      </c>
      <c r="C104" s="2" t="str">
        <f t="shared" si="4"/>
        <v>Praet Reginald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3387</v>
      </c>
      <c r="B105" s="2" t="str">
        <f t="shared" si="3"/>
        <v>22416</v>
      </c>
      <c r="C105" s="2" t="str">
        <f t="shared" si="4"/>
        <v>Bicici Abdul Kadir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3413</v>
      </c>
      <c r="B106" s="2" t="str">
        <f t="shared" si="3"/>
        <v>41296</v>
      </c>
      <c r="C106" s="2" t="str">
        <f t="shared" si="4"/>
        <v>Abulehia Oday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8</v>
      </c>
      <c r="B107" s="2" t="str">
        <f t="shared" si="3"/>
        <v>36154</v>
      </c>
      <c r="C107" s="2" t="str">
        <f t="shared" si="4"/>
        <v>De Clercq Sven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3361</v>
      </c>
      <c r="B108" s="2" t="str">
        <f t="shared" si="3"/>
        <v>31231</v>
      </c>
      <c r="C108" s="2" t="str">
        <f t="shared" si="4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A109" s="2" t="s">
        <v>3390</v>
      </c>
      <c r="B109" s="2" t="str">
        <f t="shared" si="3"/>
        <v>36289</v>
      </c>
      <c r="C109" s="2" t="str">
        <f t="shared" si="4"/>
        <v>Van Rentergem Steve</v>
      </c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3421</v>
      </c>
      <c r="B110" s="2" t="str">
        <f t="shared" si="3"/>
        <v>41690</v>
      </c>
      <c r="C110" s="2" t="str">
        <f t="shared" si="4"/>
        <v>Van de Winckel Kelly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3392</v>
      </c>
      <c r="B111" s="2" t="str">
        <f t="shared" si="3"/>
        <v>36358</v>
      </c>
      <c r="C111" s="2" t="str">
        <f t="shared" si="4"/>
        <v>De Nys Elise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3"/>
        <v>31360</v>
      </c>
      <c r="C112" s="2" t="str">
        <f t="shared" si="4"/>
        <v>Simsek Fatih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3394</v>
      </c>
      <c r="B113" s="2" t="str">
        <f t="shared" si="3"/>
        <v>22877</v>
      </c>
      <c r="C113" s="2" t="str">
        <f t="shared" si="4"/>
        <v>Goossens Gunther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3388</v>
      </c>
      <c r="B114" s="2" t="str">
        <f t="shared" si="3"/>
        <v>31490</v>
      </c>
      <c r="C114" s="2" t="str">
        <f t="shared" si="4"/>
        <v>De Weirdt Steph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3396</v>
      </c>
      <c r="B115" s="2" t="str">
        <f t="shared" si="3"/>
        <v>19520</v>
      </c>
      <c r="C115" s="2" t="str">
        <f t="shared" si="4"/>
        <v>Van Steenbergen Kris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A116" s="2" t="s">
        <v>11</v>
      </c>
      <c r="B116" s="2" t="str">
        <f t="shared" si="3"/>
        <v>38938</v>
      </c>
      <c r="C116" s="2" t="str">
        <f t="shared" si="4"/>
        <v>Sedighi Hamid</v>
      </c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3397</v>
      </c>
      <c r="B117" s="2" t="str">
        <f t="shared" si="3"/>
        <v>36438</v>
      </c>
      <c r="C117" s="2" t="str">
        <f t="shared" si="4"/>
        <v>Agil Birol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A118" s="2" t="s">
        <v>3401</v>
      </c>
      <c r="B118" s="2" t="str">
        <f t="shared" si="3"/>
        <v>39267</v>
      </c>
      <c r="C118" s="2" t="str">
        <f t="shared" si="4"/>
        <v>Van Holsbeeck Jens</v>
      </c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3399</v>
      </c>
      <c r="B119" s="2" t="str">
        <f t="shared" si="3"/>
        <v>24155</v>
      </c>
      <c r="C119" s="2" t="str">
        <f t="shared" si="4"/>
        <v>Luttens Koen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3433</v>
      </c>
      <c r="B120" s="2" t="str">
        <f t="shared" si="3"/>
        <v>26331</v>
      </c>
      <c r="C120" s="2" t="str">
        <f t="shared" si="4"/>
        <v>Van Semmertier Pascal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3400</v>
      </c>
      <c r="B121" s="2" t="str">
        <f t="shared" si="3"/>
        <v>36559</v>
      </c>
      <c r="C121" s="2" t="str">
        <f t="shared" si="4"/>
        <v>De Staercke Sandra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3405</v>
      </c>
      <c r="B122" s="2" t="str">
        <f t="shared" si="3"/>
        <v>39651</v>
      </c>
      <c r="C122" s="2" t="str">
        <f t="shared" si="4"/>
        <v>Kallenbach Sunny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3402</v>
      </c>
      <c r="B123" s="2" t="str">
        <f t="shared" si="3"/>
        <v>12819</v>
      </c>
      <c r="C123" s="2" t="str">
        <f t="shared" si="4"/>
        <v>Van Eenaeme David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3370</v>
      </c>
      <c r="B124" s="2" t="str">
        <f t="shared" si="3"/>
        <v>26960</v>
      </c>
      <c r="C124" s="2" t="str">
        <f t="shared" si="4"/>
        <v>Toubadie Mossa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A125" s="2" t="s">
        <v>3404</v>
      </c>
      <c r="B125" s="2" t="str">
        <f t="shared" si="3"/>
        <v>36577</v>
      </c>
      <c r="C125" s="2" t="str">
        <f t="shared" si="4"/>
        <v>De Smet Martine</v>
      </c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3409</v>
      </c>
      <c r="B126" s="2" t="str">
        <f t="shared" si="3"/>
        <v>39779</v>
      </c>
      <c r="C126" s="2" t="str">
        <f t="shared" si="4"/>
        <v>Avci Muhammet Abdullah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3406</v>
      </c>
      <c r="B127" s="2" t="str">
        <f t="shared" si="3"/>
        <v>36624</v>
      </c>
      <c r="C127" s="2" t="str">
        <f t="shared" si="4"/>
        <v>De Meulenaere Kurt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3411</v>
      </c>
      <c r="B128" s="2" t="str">
        <f t="shared" si="3"/>
        <v>39850</v>
      </c>
      <c r="C128" s="2" t="str">
        <f t="shared" si="4"/>
        <v>Helleputte William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3408</v>
      </c>
      <c r="B129" s="2" t="str">
        <f t="shared" si="3"/>
        <v>11236</v>
      </c>
      <c r="C129" s="2" t="str">
        <f t="shared" si="4"/>
        <v>Baert Freddy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3412</v>
      </c>
      <c r="B130" s="2" t="str">
        <f t="shared" ref="B130:B185" si="5">LEFT(A130,SEARCH(" ",A130)-1)</f>
        <v>39927</v>
      </c>
      <c r="C130" s="2" t="str">
        <f t="shared" si="4"/>
        <v>De Wilde Jordy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3410</v>
      </c>
      <c r="B131" s="2" t="str">
        <f t="shared" si="5"/>
        <v>36627</v>
      </c>
      <c r="C131" s="2" t="str">
        <f t="shared" si="4"/>
        <v>Dobbelaere David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3414</v>
      </c>
      <c r="B132" s="2" t="str">
        <f t="shared" si="5"/>
        <v>39972</v>
      </c>
      <c r="C132" s="2" t="str">
        <f t="shared" si="4"/>
        <v>Repaj Ramazav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3445</v>
      </c>
      <c r="B133" s="2" t="str">
        <f t="shared" si="5"/>
        <v>36635</v>
      </c>
      <c r="C133" s="2" t="str">
        <f t="shared" si="4"/>
        <v>Fadel Husam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3416</v>
      </c>
      <c r="B134" s="2" t="str">
        <f t="shared" si="5"/>
        <v>40036</v>
      </c>
      <c r="C134" s="2" t="str">
        <f t="shared" si="4"/>
        <v>Karakaya Oguz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15</v>
      </c>
      <c r="B135" s="2" t="str">
        <f t="shared" si="5"/>
        <v>8394</v>
      </c>
      <c r="C135" s="2" t="str">
        <f t="shared" si="4"/>
        <v>Smet Antoon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3418</v>
      </c>
      <c r="B136" s="2" t="str">
        <f t="shared" si="5"/>
        <v>40110</v>
      </c>
      <c r="C136" s="2" t="str">
        <f t="shared" si="4"/>
        <v>Vanlerberghe Sandra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3459</v>
      </c>
      <c r="B137" s="2" t="str">
        <f t="shared" si="5"/>
        <v>9158</v>
      </c>
      <c r="C137" s="2" t="str">
        <f t="shared" si="4"/>
        <v>De Weirdt Ronny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3420</v>
      </c>
      <c r="B138" s="2" t="str">
        <f t="shared" si="5"/>
        <v>13398</v>
      </c>
      <c r="C138" s="2" t="str">
        <f t="shared" si="4"/>
        <v>Kirdas Ramazan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3461</v>
      </c>
      <c r="B139" s="2" t="str">
        <f t="shared" si="5"/>
        <v>11213</v>
      </c>
      <c r="C139" s="2" t="str">
        <f t="shared" si="4"/>
        <v>De Plus Gunter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3403</v>
      </c>
      <c r="B140" s="2" t="str">
        <f t="shared" si="5"/>
        <v>27672</v>
      </c>
      <c r="C140" s="2" t="str">
        <f t="shared" si="4"/>
        <v>Criel Veronique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3462</v>
      </c>
      <c r="B141" s="2" t="str">
        <f t="shared" si="5"/>
        <v>37179</v>
      </c>
      <c r="C141" s="2" t="str">
        <f t="shared" si="4"/>
        <v>Bashir Muhammad Salman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3372</v>
      </c>
      <c r="B142" s="2" t="str">
        <f t="shared" si="5"/>
        <v>28910</v>
      </c>
      <c r="C142" s="2" t="str">
        <f t="shared" si="4"/>
        <v>Gassa Osmane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3454</v>
      </c>
      <c r="B143" s="2" t="str">
        <f t="shared" si="5"/>
        <v>37208</v>
      </c>
      <c r="C143" s="2" t="str">
        <f t="shared" si="4"/>
        <v>Catar Gökhan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3426</v>
      </c>
      <c r="B144" s="2" t="str">
        <f t="shared" si="5"/>
        <v>40443</v>
      </c>
      <c r="C144" s="2" t="str">
        <f t="shared" si="4"/>
        <v>Fakash Mahmoud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3456</v>
      </c>
      <c r="B145" s="2" t="str">
        <f t="shared" si="5"/>
        <v>37439</v>
      </c>
      <c r="C145" s="2" t="str">
        <f t="shared" si="4"/>
        <v>Demirkazik Mustafa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3407</v>
      </c>
      <c r="B146" s="2" t="str">
        <f t="shared" si="5"/>
        <v>29674</v>
      </c>
      <c r="C146" s="2" t="str">
        <f t="shared" si="4"/>
        <v>Martens Geoffrey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A147" s="2" t="s">
        <v>3457</v>
      </c>
      <c r="B147" s="2" t="str">
        <f t="shared" si="5"/>
        <v>7746</v>
      </c>
      <c r="C147" s="2" t="str">
        <f t="shared" si="4"/>
        <v>Aelterman Didier</v>
      </c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3429</v>
      </c>
      <c r="B148" s="2" t="str">
        <f t="shared" si="5"/>
        <v>40645</v>
      </c>
      <c r="C148" s="2" t="str">
        <f t="shared" si="4"/>
        <v>Bytebier Jason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3427</v>
      </c>
      <c r="B149" s="2" t="str">
        <f t="shared" si="5"/>
        <v>18987</v>
      </c>
      <c r="C149" s="2" t="str">
        <f t="shared" ref="C149:C186" si="6">MID(A149,SEARCH(" ",A149)+1,99)</f>
        <v>De Geyter Dolly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3339</v>
      </c>
      <c r="B150" s="2" t="str">
        <f t="shared" si="5"/>
        <v>30121</v>
      </c>
      <c r="C150" s="2" t="str">
        <f t="shared" si="6"/>
        <v>Simons Andreas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3432</v>
      </c>
      <c r="B151" s="2" t="str">
        <f t="shared" si="5"/>
        <v>37542</v>
      </c>
      <c r="C151" s="2" t="str">
        <f t="shared" si="6"/>
        <v>De Tandt Hans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3424</v>
      </c>
      <c r="B152" s="2" t="str">
        <f t="shared" si="5"/>
        <v>30271</v>
      </c>
      <c r="C152" s="2" t="str">
        <f t="shared" si="6"/>
        <v>Bracke Jeroen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A153" s="2" t="s">
        <v>1</v>
      </c>
      <c r="B153" s="2" t="str">
        <f t="shared" si="5"/>
        <v>19249</v>
      </c>
      <c r="C153" s="2" t="str">
        <f t="shared" si="6"/>
        <v>Odaci Kadir</v>
      </c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A154" s="2" t="s">
        <v>3434</v>
      </c>
      <c r="B154" s="2" t="str">
        <f t="shared" si="5"/>
        <v>40938</v>
      </c>
      <c r="C154" s="2" t="str">
        <f t="shared" si="6"/>
        <v>Hasnaoui Nejmeddine</v>
      </c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A155" s="2" t="s">
        <v>3435</v>
      </c>
      <c r="B155" s="2" t="str">
        <f t="shared" si="5"/>
        <v>37744</v>
      </c>
      <c r="C155" s="2" t="str">
        <f t="shared" si="6"/>
        <v>De Lange Frank</v>
      </c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3436</v>
      </c>
      <c r="B156" s="2" t="str">
        <f t="shared" si="5"/>
        <v>40969</v>
      </c>
      <c r="C156" s="2" t="str">
        <f t="shared" si="6"/>
        <v>Kerman Melisa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3437</v>
      </c>
      <c r="B157" s="2" t="str">
        <f t="shared" si="5"/>
        <v>37809</v>
      </c>
      <c r="C157" s="2" t="str">
        <f t="shared" si="6"/>
        <v>Sturtewagen Kenny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3438</v>
      </c>
      <c r="B158" s="2" t="str">
        <f t="shared" si="5"/>
        <v>16897</v>
      </c>
      <c r="C158" s="2" t="str">
        <f t="shared" si="6"/>
        <v>VandenDaele Andy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3439</v>
      </c>
      <c r="B159" s="2" t="str">
        <f t="shared" si="5"/>
        <v>37908</v>
      </c>
      <c r="C159" s="2" t="str">
        <f t="shared" si="6"/>
        <v>Vandenberghe Michael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3440</v>
      </c>
      <c r="B160" s="2" t="str">
        <f t="shared" si="5"/>
        <v>41091</v>
      </c>
      <c r="C160" s="2" t="str">
        <f t="shared" si="6"/>
        <v>Yavas Talha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3441</v>
      </c>
      <c r="B161" s="2" t="str">
        <f t="shared" si="5"/>
        <v>37936</v>
      </c>
      <c r="C161" s="2" t="str">
        <f t="shared" si="6"/>
        <v>Detaeye Alexander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3442</v>
      </c>
      <c r="B162" s="2" t="str">
        <f t="shared" si="5"/>
        <v>17951</v>
      </c>
      <c r="C162" s="2" t="str">
        <f t="shared" si="6"/>
        <v>Lega Claude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5"/>
        <v>37950</v>
      </c>
      <c r="C163" s="2" t="str">
        <f t="shared" si="6"/>
        <v>De Naegel Bruno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4</v>
      </c>
      <c r="B164" s="2" t="str">
        <f t="shared" si="5"/>
        <v>31165</v>
      </c>
      <c r="C164" s="2" t="str">
        <f t="shared" si="6"/>
        <v>Govaerts Sandro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3444</v>
      </c>
      <c r="B165" s="2" t="str">
        <f t="shared" si="5"/>
        <v>38035</v>
      </c>
      <c r="C165" s="2" t="str">
        <f t="shared" si="6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A166" s="2" t="s">
        <v>3446</v>
      </c>
      <c r="B166" s="2" t="str">
        <f t="shared" si="5"/>
        <v>41383</v>
      </c>
      <c r="C166" s="2" t="str">
        <f t="shared" si="6"/>
        <v>De Pauw Tony</v>
      </c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3417</v>
      </c>
      <c r="B167" s="2" t="str">
        <f t="shared" si="5"/>
        <v>25733</v>
      </c>
      <c r="C167" s="2" t="str">
        <f t="shared" si="6"/>
        <v>Simsek Abdullah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3448</v>
      </c>
      <c r="B168" s="2" t="str">
        <f t="shared" si="5"/>
        <v>41482</v>
      </c>
      <c r="C168" s="2" t="str">
        <f t="shared" si="6"/>
        <v>Özdemir Osman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A169" s="2" t="s">
        <v>3391</v>
      </c>
      <c r="B169" s="2" t="str">
        <f t="shared" si="5"/>
        <v>38481</v>
      </c>
      <c r="C169" s="2" t="str">
        <f t="shared" si="6"/>
        <v>Sari Devrim</v>
      </c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3450</v>
      </c>
      <c r="B170" s="2" t="str">
        <f t="shared" si="5"/>
        <v>41588</v>
      </c>
      <c r="C170" s="2" t="str">
        <f t="shared" si="6"/>
        <v>Naessens Yves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3364</v>
      </c>
      <c r="B171" s="2" t="str">
        <f t="shared" si="5"/>
        <v>38580</v>
      </c>
      <c r="C171" s="2" t="str">
        <f t="shared" si="6"/>
        <v>Smajla Samet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A172" s="2" t="s">
        <v>3451</v>
      </c>
      <c r="B172" s="2" t="str">
        <f t="shared" si="5"/>
        <v>41671</v>
      </c>
      <c r="C172" s="2" t="str">
        <f t="shared" si="6"/>
        <v>Hasan Salem</v>
      </c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3393</v>
      </c>
      <c r="B173" s="2" t="str">
        <f t="shared" si="5"/>
        <v>38633</v>
      </c>
      <c r="C173" s="2" t="str">
        <f t="shared" si="6"/>
        <v>Stomphorst Mattanja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3453</v>
      </c>
      <c r="B174" s="2" t="str">
        <f t="shared" si="5"/>
        <v>41710</v>
      </c>
      <c r="C174" s="2" t="str">
        <f t="shared" si="6"/>
        <v>Ghani Fazal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3338</v>
      </c>
      <c r="B175" s="2" t="str">
        <f t="shared" si="5"/>
        <v>38634</v>
      </c>
      <c r="C175" s="2" t="str">
        <f t="shared" si="6"/>
        <v>Asskale Zouhir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3455</v>
      </c>
      <c r="B176" s="2" t="str">
        <f t="shared" si="5"/>
        <v>41859</v>
      </c>
      <c r="C176" s="2" t="str">
        <f t="shared" si="6"/>
        <v>Palit Ramazan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3425</v>
      </c>
      <c r="B177" s="2" t="str">
        <f t="shared" si="5"/>
        <v>26137</v>
      </c>
      <c r="C177" s="2" t="str">
        <f t="shared" si="6"/>
        <v>Hublau Roland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14</v>
      </c>
      <c r="B178" s="2" t="str">
        <f t="shared" si="5"/>
        <v>4608</v>
      </c>
      <c r="C178" s="2" t="str">
        <f t="shared" si="6"/>
        <v>Steenbrugge Johan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3366</v>
      </c>
      <c r="B179" s="2" t="str">
        <f t="shared" si="5"/>
        <v>38731</v>
      </c>
      <c r="C179" s="2" t="str">
        <f t="shared" si="6"/>
        <v>Ben Sidhom Samir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3449</v>
      </c>
      <c r="B180" s="2" t="str">
        <f t="shared" si="5"/>
        <v>6229</v>
      </c>
      <c r="C180" s="2" t="str">
        <f t="shared" si="6"/>
        <v>De Meyer Antoon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3352</v>
      </c>
      <c r="B181" s="2" t="str">
        <f t="shared" si="5"/>
        <v>38807</v>
      </c>
      <c r="C181" s="2" t="str">
        <f t="shared" si="6"/>
        <v>Dossche Caroline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A182" s="2" t="s">
        <v>3398</v>
      </c>
      <c r="B182" s="2" t="str">
        <f t="shared" si="5"/>
        <v>38808</v>
      </c>
      <c r="C182" s="2" t="str">
        <f t="shared" si="6"/>
        <v>Wasen Jens</v>
      </c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3430</v>
      </c>
      <c r="B183" s="2" t="str">
        <f t="shared" si="5"/>
        <v>37509</v>
      </c>
      <c r="C183" s="2" t="str">
        <f t="shared" si="6"/>
        <v>Abdulkader Sabah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A184" s="2" t="s">
        <v>3452</v>
      </c>
      <c r="B184" s="2" t="str">
        <f t="shared" si="5"/>
        <v>9824</v>
      </c>
      <c r="C184" s="2" t="str">
        <f t="shared" si="6"/>
        <v>De Meulenaere Eric</v>
      </c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3458</v>
      </c>
      <c r="B185" s="2" t="str">
        <f t="shared" si="5"/>
        <v>36820</v>
      </c>
      <c r="C185" s="2" t="str">
        <f t="shared" si="6"/>
        <v>Haché Philip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3460</v>
      </c>
      <c r="B186" s="2" t="str">
        <f>LEFT(A186,SEARCH(" ",A186)-1)</f>
        <v>37132</v>
      </c>
      <c r="C186" s="2" t="str">
        <f t="shared" si="6"/>
        <v>Dacic Esmir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C187" s="2"/>
      <c r="D187" s="2"/>
      <c r="E187" s="2"/>
    </row>
    <row r="188" spans="1:6" x14ac:dyDescent="0.25">
      <c r="C188" s="2"/>
      <c r="D188" s="2"/>
      <c r="E188" s="2"/>
    </row>
    <row r="189" spans="1:6" x14ac:dyDescent="0.25">
      <c r="C189" s="2"/>
      <c r="D189" s="2"/>
      <c r="E189" s="2"/>
    </row>
    <row r="190" spans="1:6" x14ac:dyDescent="0.25">
      <c r="C190" s="2"/>
      <c r="D190" s="2"/>
      <c r="E190" s="2"/>
    </row>
    <row r="191" spans="1:6" x14ac:dyDescent="0.25">
      <c r="C191" s="2"/>
      <c r="D191" s="2"/>
      <c r="E191" s="2"/>
    </row>
    <row r="192" spans="1:6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1"/>
  <sheetViews>
    <sheetView tabSelected="1" topLeftCell="C1" zoomScale="93" zoomScaleNormal="93" workbookViewId="0">
      <pane ySplit="1" topLeftCell="A787" activePane="bottomLeft" state="frozen"/>
      <selection pane="bottomLeft" activeCell="T786" sqref="T78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">
        <v>3471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e">
        <v>#REF!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e">
        <v>#REF!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e">
        <v>#REF!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e">
        <v>#REF!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e">
        <v>#REF!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e">
        <v>#REF!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e">
        <v>#REF!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e">
        <v>#REF!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e">
        <v>#REF!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e">
        <v>#REF!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e">
        <v>#REF!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">
        <v>3471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">
        <v>3471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e">
        <v>#REF!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e">
        <v>#REF!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e">
        <v>#REF!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e">
        <v>#REF!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e">
        <v>#REF!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e">
        <v>#REF!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e">
        <v>#REF!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e">
        <v>#REF!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e">
        <v>#REF!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">
        <v>3471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">
        <v>3471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e">
        <v>#REF!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">
        <v>3471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e">
        <v>#REF!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e">
        <v>#REF!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e">
        <v>#REF!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e">
        <v>#REF!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e">
        <v>#REF!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e">
        <v>#REF!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e">
        <v>#REF!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e">
        <v>#REF!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e">
        <v>#REF!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e">
        <v>#REF!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e">
        <v>#REF!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e">
        <v>#REF!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e">
        <v>#REF!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e">
        <v>#REF!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e">
        <v>#REF!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e">
        <v>#REF!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e">
        <v>#REF!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e">
        <v>#REF!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e">
        <v>#REF!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e">
        <v>#REF!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e">
        <v>#REF!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e">
        <v>#REF!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e">
        <v>#REF!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e">
        <v>#REF!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e">
        <v>#REF!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e">
        <v>#REF!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e">
        <v>#REF!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e">
        <v>#REF!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e">
        <v>#REF!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e">
        <v>#REF!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">
        <v>3471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e">
        <v>#REF!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e">
        <v>#REF!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e">
        <v>#REF!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e">
        <v>#REF!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e">
        <v>#REF!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e">
        <v>#REF!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e">
        <v>#REF!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e">
        <v>#REF!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e">
        <v>#REF!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e">
        <v>#REF!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e">
        <v>#REF!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e">
        <v>#REF!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e">
        <v>#REF!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e">
        <v>#REF!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e">
        <v>#REF!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e">
        <v>#REF!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">
        <v>3471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e">
        <v>#REF!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e">
        <v>#REF!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e">
        <v>#REF!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e">
        <v>#REF!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e">
        <v>#REF!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e">
        <v>#REF!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e">
        <v>#REF!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e">
        <v>#REF!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e">
        <v>#REF!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e">
        <v>#REF!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e">
        <v>#REF!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e">
        <v>#REF!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e">
        <v>#REF!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e">
        <v>#REF!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e">
        <v>#REF!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e">
        <v>#REF!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e">
        <v>#REF!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e">
        <v>#REF!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e">
        <v>#REF!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e">
        <v>#REF!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">
        <v>3471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e">
        <v>#REF!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e">
        <v>#REF!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e">
        <v>#REF!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e">
        <v>#REF!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e">
        <v>#REF!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">
        <v>3471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e">
        <v>#REF!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e">
        <v>#REF!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e">
        <v>#REF!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e">
        <v>#REF!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e">
        <v>#REF!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e">
        <v>#REF!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e">
        <v>#REF!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e">
        <v>#REF!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e">
        <v>#REF!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e">
        <v>#REF!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e">
        <v>#REF!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e">
        <v>#REF!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e">
        <v>#REF!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e">
        <v>#REF!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e">
        <v>#REF!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e">
        <v>#REF!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e">
        <v>#REF!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e">
        <v>#REF!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e">
        <v>#REF!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e">
        <v>#REF!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e">
        <v>#REF!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">
        <v>3471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e">
        <v>#REF!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e">
        <v>#REF!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e">
        <v>#REF!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e">
        <v>#REF!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e">
        <v>#REF!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e">
        <v>#REF!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e">
        <v>#REF!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e">
        <v>#REF!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">
        <v>3471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e">
        <v>#REF!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e">
        <v>#REF!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e">
        <v>#REF!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e">
        <v>#REF!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e">
        <v>#REF!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e">
        <v>#REF!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">
        <v>3471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e">
        <v>#REF!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e">
        <v>#REF!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">
        <v>3471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e">
        <v>#REF!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">
        <v>3472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e">
        <v>#REF!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">
        <v>3471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e">
        <v>#REF!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">
        <v>3471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e">
        <v>#REF!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e">
        <v>#REF!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e">
        <v>#REF!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e">
        <v>#REF!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e">
        <v>#REF!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e">
        <v>#REF!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e">
        <v>#REF!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e">
        <v>#REF!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e">
        <v>#REF!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e">
        <v>#REF!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e">
        <v>#REF!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e">
        <v>#REF!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e">
        <v>#REF!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e">
        <v>#REF!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e">
        <v>#REF!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e">
        <v>#REF!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">
        <v>3471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e">
        <v>#REF!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e">
        <v>#REF!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e">
        <v>#REF!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e">
        <v>#REF!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e">
        <v>#REF!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e">
        <v>#REF!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">
        <v>3471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">
        <v>3471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e">
        <v>#REF!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e">
        <v>#REF!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e">
        <v>#REF!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">
        <v>3471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e">
        <v>#REF!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e">
        <v>#REF!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e">
        <v>#REF!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e">
        <v>#REF!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e">
        <v>#REF!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e">
        <v>#REF!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e">
        <v>#REF!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e">
        <v>#REF!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e">
        <v>#REF!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e">
        <v>#REF!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e">
        <v>#REF!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e">
        <v>#REF!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e">
        <v>#REF!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e">
        <v>#REF!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">
        <v>3471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e">
        <v>#REF!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e">
        <v>#REF!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e">
        <v>#REF!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e">
        <v>#REF!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">
        <v>3471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e">
        <v>#REF!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e">
        <v>#REF!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e">
        <v>#REF!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e">
        <v>#REF!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e">
        <v>#REF!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e">
        <v>#REF!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e">
        <v>#REF!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e">
        <v>#REF!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e">
        <v>#REF!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e">
        <v>#REF!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e">
        <v>#REF!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e">
        <v>#REF!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e">
        <v>#REF!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e">
        <v>#REF!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e">
        <v>#REF!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e">
        <v>#REF!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">
        <v>3471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e">
        <v>#REF!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">
        <v>3471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">
        <v>3471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e">
        <v>#REF!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e">
        <v>#REF!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">
        <v>3471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e">
        <v>#REF!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e">
        <v>#REF!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e">
        <v>#REF!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">
        <v>3471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e">
        <v>#REF!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e">
        <v>#REF!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e">
        <v>#REF!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e">
        <v>#REF!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e">
        <v>#REF!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e">
        <v>#REF!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e">
        <v>#REF!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">
        <v>3471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e">
        <v>#REF!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">
        <v>3471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e">
        <v>#REF!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e">
        <v>#REF!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e">
        <v>#REF!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e">
        <v>#REF!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">
        <v>3471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e">
        <v>#REF!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">
        <v>3471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e">
        <v>#REF!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e">
        <v>#REF!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e">
        <v>#REF!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e">
        <v>#REF!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e">
        <v>#REF!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e">
        <v>#REF!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e">
        <v>#REF!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e">
        <v>#REF!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e">
        <v>#REF!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e">
        <v>#REF!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e">
        <v>#REF!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e">
        <v>#REF!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e">
        <v>#REF!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e">
        <v>#REF!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e">
        <v>#REF!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">
        <v>3471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e">
        <v>#REF!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">
        <v>3471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e">
        <v>#REF!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e">
        <v>#REF!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e">
        <v>#REF!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e">
        <v>#REF!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e">
        <v>#REF!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e">
        <v>#REF!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e">
        <v>#REF!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">
        <v>3471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e">
        <v>#REF!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">
        <v>3471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e">
        <v>#REF!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e">
        <v>#REF!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e">
        <v>#REF!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e">
        <v>#REF!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e">
        <v>#REF!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e">
        <v>#REF!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e">
        <v>#REF!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">
        <v>3471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">
        <v>3471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">
        <v>3471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e">
        <v>#REF!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e">
        <v>#REF!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e">
        <v>#REF!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e">
        <v>#REF!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e">
        <v>#REF!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e">
        <v>#REF!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e">
        <v>#REF!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e">
        <v>#REF!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e">
        <v>#REF!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e">
        <v>#REF!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e">
        <v>#REF!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e">
        <v>#REF!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e">
        <v>#REF!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e">
        <v>#REF!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e">
        <v>#REF!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">
        <v>3471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e">
        <v>#REF!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e">
        <v>#REF!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e">
        <v>#REF!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e">
        <v>#REF!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e">
        <v>#REF!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e">
        <v>#REF!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e">
        <v>#REF!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e">
        <v>#REF!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e">
        <v>#REF!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e">
        <v>#REF!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e">
        <v>#REF!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e">
        <v>#REF!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e">
        <v>#REF!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e">
        <v>#REF!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e">
        <v>#REF!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">
        <v>3471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">
        <v>3471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e">
        <v>#REF!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e">
        <v>#REF!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e">
        <v>#REF!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e">
        <v>#REF!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e">
        <v>#REF!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e">
        <v>#REF!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e">
        <v>#REF!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e">
        <v>#REF!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">
        <v>3471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e">
        <v>#REF!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e">
        <v>#REF!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">
        <v>3471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e">
        <v>#REF!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e">
        <v>#REF!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e">
        <v>#REF!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e">
        <v>#REF!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e">
        <v>#REF!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e">
        <v>#REF!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">
        <v>3471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e">
        <v>#REF!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">
        <v>3471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e">
        <v>#REF!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e">
        <v>#REF!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e">
        <v>#REF!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e">
        <v>#REF!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e">
        <v>#REF!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e">
        <v>#REF!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e">
        <v>#REF!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e">
        <v>#REF!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e">
        <v>#REF!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e">
        <v>#REF!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">
        <v>3471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e">
        <v>#REF!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e">
        <v>#REF!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e">
        <v>#REF!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e">
        <v>#REF!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e">
        <v>#REF!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e">
        <v>#REF!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e">
        <v>#REF!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e">
        <v>#REF!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">
        <v>3471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e">
        <v>#REF!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e">
        <v>#REF!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e">
        <v>#REF!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e">
        <v>#REF!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e">
        <v>#REF!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e">
        <v>#REF!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e">
        <v>#REF!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e">
        <v>#REF!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e">
        <v>#REF!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e">
        <v>#REF!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e">
        <v>#REF!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e">
        <v>#REF!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e">
        <v>#REF!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e">
        <v>#REF!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">
        <v>3471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e">
        <v>#REF!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e">
        <v>#REF!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">
        <v>3471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e">
        <v>#REF!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e">
        <v>#REF!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e">
        <v>#REF!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e">
        <v>#REF!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e">
        <v>#REF!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e">
        <v>#REF!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e">
        <v>#REF!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e">
        <v>#REF!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">
        <v>3471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e">
        <v>#REF!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e">
        <v>#REF!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e">
        <v>#REF!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e">
        <v>#REF!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e">
        <v>#REF!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e">
        <v>#REF!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e">
        <v>#REF!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e">
        <v>#REF!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e">
        <v>#REF!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e">
        <v>#REF!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e">
        <v>#REF!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e">
        <v>#REF!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e">
        <v>#REF!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e">
        <v>#REF!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e">
        <v>#REF!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">
        <v>3471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e">
        <v>#REF!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e">
        <v>#REF!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e">
        <v>#REF!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e">
        <v>#REF!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e">
        <v>#REF!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e">
        <v>#REF!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e">
        <v>#REF!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e">
        <v>#REF!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">
        <v>3471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e">
        <v>#REF!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e">
        <v>#REF!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e">
        <v>#REF!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e">
        <v>#REF!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e">
        <v>#REF!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e">
        <v>#REF!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e">
        <v>#REF!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e">
        <v>#REF!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e">
        <v>#REF!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e">
        <v>#REF!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e">
        <v>#REF!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e">
        <v>#REF!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e">
        <v>#REF!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e">
        <v>#REF!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e">
        <v>#REF!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e">
        <v>#REF!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e">
        <v>#REF!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e">
        <v>#REF!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e">
        <v>#REF!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e">
        <v>#REF!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e">
        <v>#REF!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e">
        <v>#REF!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">
        <v>3471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e">
        <v>#REF!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e">
        <v>#REF!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e">
        <v>#REF!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e">
        <v>#REF!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e">
        <v>#REF!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e">
        <v>#REF!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e">
        <v>#REF!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e">
        <v>#REF!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e">
        <v>#REF!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e">
        <v>#REF!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e">
        <v>#REF!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e">
        <v>#REF!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e">
        <v>#REF!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e">
        <v>#REF!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e">
        <v>#REF!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e">
        <v>#REF!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e">
        <v>#REF!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">
        <v>3471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e">
        <v>#REF!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e">
        <v>#REF!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e">
        <v>#REF!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e">
        <v>#REF!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e">
        <v>#REF!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e">
        <v>#REF!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e">
        <v>#REF!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e">
        <v>#REF!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e">
        <v>#REF!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e">
        <v>#REF!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e">
        <v>#REF!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e">
        <v>#REF!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e">
        <v>#REF!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e">
        <v>#REF!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">
        <v>3471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e">
        <v>#REF!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e">
        <v>#REF!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e">
        <v>#REF!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">
        <v>3471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e">
        <v>#REF!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e">
        <v>#REF!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e">
        <v>#REF!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e">
        <v>#REF!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e">
        <v>#REF!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e">
        <v>#REF!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e">
        <v>#REF!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e">
        <v>#REF!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e">
        <v>#REF!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e">
        <v>#REF!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e">
        <v>#REF!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e">
        <v>#REF!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e">
        <v>#REF!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e">
        <v>#REF!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e">
        <v>#REF!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e">
        <v>#REF!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e">
        <v>#REF!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e">
        <v>#REF!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e">
        <v>#REF!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e">
        <v>#REF!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e">
        <v>#REF!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e">
        <v>#REF!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e">
        <v>#REF!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e">
        <v>#REF!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e">
        <v>#REF!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e">
        <v>#REF!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e">
        <v>#REF!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e">
        <v>#REF!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e">
        <v>#REF!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e">
        <v>#REF!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e">
        <v>#REF!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e">
        <v>#REF!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e">
        <v>#REF!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e">
        <v>#REF!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e">
        <v>#REF!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e">
        <v>#REF!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e">
        <v>#REF!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e">
        <v>#REF!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e">
        <v>#REF!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e">
        <v>#REF!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">
        <v>3471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">
        <v>3471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e">
        <v>#REF!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e">
        <v>#REF!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e">
        <v>#REF!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e">
        <v>#REF!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">
        <v>3388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e">
        <v>#REF!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e">
        <v>#REF!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e">
        <v>#REF!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e">
        <v>#REF!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e">
        <v>#REF!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e">
        <v>#REF!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e">
        <v>#REF!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e">
        <v>#REF!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e">
        <v>#REF!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e">
        <v>#REF!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e">
        <v>#REF!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e">
        <v>#REF!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e">
        <v>#REF!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e">
        <v>#REF!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e">
        <v>#REF!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e">
        <v>#REF!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e">
        <v>#REF!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">
        <v>3471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e">
        <v>#REF!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e">
        <v>#REF!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e">
        <v>#REF!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e">
        <v>#REF!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e">
        <v>#REF!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e">
        <v>#REF!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e">
        <v>#REF!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e">
        <v>#REF!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e">
        <v>#REF!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e">
        <v>#REF!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e">
        <v>#REF!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e">
        <v>#REF!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e">
        <v>#REF!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e">
        <v>#REF!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e">
        <v>#REF!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e">
        <v>#REF!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e">
        <v>#REF!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e">
        <v>#REF!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e">
        <v>#REF!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e">
        <v>#REF!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e">
        <v>#REF!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e">
        <v>#REF!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e">
        <v>#REF!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e">
        <v>#REF!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e">
        <v>#REF!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e">
        <v>#REF!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e">
        <v>#REF!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">
        <v>3471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e">
        <v>#REF!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e">
        <v>#REF!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e">
        <v>#REF!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e">
        <v>#REF!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e">
        <v>#REF!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e">
        <v>#REF!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e">
        <v>#REF!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e">
        <v>#REF!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e">
        <v>#REF!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e">
        <v>#REF!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e">
        <v>#REF!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e">
        <v>#REF!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e">
        <v>#REF!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e">
        <v>#REF!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e">
        <v>#REF!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e">
        <v>#REF!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e">
        <v>#REF!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e">
        <v>#REF!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e">
        <v>#REF!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e">
        <v>#REF!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e">
        <v>#REF!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e">
        <v>#REF!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e">
        <v>#REF!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e">
        <v>#REF!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e">
        <v>#REF!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e">
        <v>#REF!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">
        <v>3414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e">
        <v>#REF!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e">
        <v>#REF!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e">
        <v>#REF!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">
        <v>3471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e">
        <v>#REF!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e">
        <v>#REF!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e">
        <v>#REF!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e">
        <v>#REF!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e">
        <v>#REF!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e">
        <v>#REF!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e">
        <v>#REF!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e">
        <v>#REF!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e">
        <v>#REF!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s="15" t="e">
        <v>#REF!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e">
        <v>#REF!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e">
        <v>#REF!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e">
        <v>#REF!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e">
        <v>#REF!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e">
        <v>#REF!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e">
        <v>#REF!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e">
        <v>#REF!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e">
        <v>#REF!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e">
        <v>#REF!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e">
        <v>#REF!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e">
        <v>#REF!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e">
        <v>#REF!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e">
        <v>#REF!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e">
        <v>#REF!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e">
        <v>#REF!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e">
        <v>#REF!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e">
        <v>#REF!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e">
        <v>#REF!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s="15" t="e">
        <v>#REF!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e">
        <v>#REF!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e">
        <v>#REF!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e">
        <v>#REF!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e">
        <v>#REF!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e">
        <v>#REF!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e">
        <v>#REF!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e">
        <v>#REF!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e">
        <v>#REF!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e">
        <v>#REF!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e">
        <v>#REF!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e">
        <v>#REF!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e">
        <v>#REF!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e">
        <v>#REF!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e">
        <v>#REF!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e">
        <v>#REF!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e">
        <v>#REF!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e">
        <v>#REF!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e">
        <v>#REF!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e">
        <v>#REF!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e">
        <v>#REF!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e">
        <v>#REF!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e">
        <v>#REF!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e">
        <v>#REF!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e">
        <v>#REF!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e">
        <v>#REF!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e">
        <v>#REF!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e">
        <v>#REF!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e">
        <v>#REF!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e">
        <v>#REF!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e">
        <v>#REF!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e">
        <v>#REF!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e">
        <v>#REF!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e">
        <v>#REF!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e">
        <v>#REF!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e">
        <v>#REF!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e">
        <v>#REF!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e">
        <v>#REF!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e">
        <v>#REF!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e">
        <v>#REF!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e">
        <v>#REF!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e">
        <v>#REF!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e">
        <v>#REF!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e">
        <v>#REF!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e">
        <v>#REF!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e">
        <v>#REF!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e">
        <v>#REF!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">
        <v>3471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e">
        <v>#REF!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e">
        <v>#REF!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e">
        <v>#REF!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e">
        <v>#REF!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e">
        <v>#REF!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e">
        <v>#REF!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e">
        <v>#REF!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e">
        <v>#REF!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e">
        <v>#REF!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e">
        <v>#REF!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e">
        <v>#REF!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e">
        <v>#REF!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e">
        <v>#REF!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e">
        <v>#REF!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e">
        <v>#REF!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e">
        <v>#REF!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e">
        <v>#REF!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e">
        <v>#REF!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e">
        <v>#REF!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e">
        <v>#REF!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e">
        <v>#REF!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3204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e">
        <v>#REF!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e">
        <v>#REF!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e">
        <v>#REF!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e">
        <v>#REF!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e">
        <v>#REF!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e">
        <v>#REF!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e">
        <v>#REF!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e">
        <v>#REF!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e">
        <v>#REF!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e">
        <v>#REF!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e">
        <v>#REF!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e">
        <v>#REF!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e">
        <v>#REF!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e">
        <v>#REF!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e">
        <v>#REF!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e">
        <v>#REF!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e">
        <v>#REF!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e">
        <v>#REF!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e">
        <v>#REF!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e">
        <v>#REF!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e">
        <v>#REF!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e">
        <v>#REF!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e">
        <v>#REF!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e">
        <v>#REF!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e">
        <v>#REF!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e">
        <v>#REF!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e">
        <v>#REF!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e">
        <v>#REF!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e">
        <v>#REF!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e">
        <v>#REF!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e">
        <v>#REF!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e">
        <v>#REF!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e">
        <v>#REF!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e">
        <v>#REF!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e">
        <v>#REF!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e">
        <v>#REF!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e">
        <v>#REF!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e">
        <v>#REF!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e">
        <v>#REF!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e">
        <v>#REF!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e">
        <v>#REF!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e">
        <v>#REF!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e">
        <v>#REF!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e">
        <v>#REF!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e">
        <v>#REF!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e">
        <v>#REF!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e">
        <v>#REF!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e">
        <v>#REF!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e">
        <v>#REF!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45837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e">
        <v>#REF!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e">
        <v>#REF!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e">
        <v>#REF!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e">
        <v>#REF!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e">
        <v>#REF!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e">
        <v>#REF!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e">
        <v>#REF!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e">
        <v>#REF!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e">
        <v>#REF!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e">
        <v>#REF!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e">
        <v>#REF!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e">
        <v>#REF!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">
        <v>3455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e">
        <v>#REF!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e">
        <v>#REF!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e">
        <v>#REF!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e">
        <v>#REF!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e">
        <v>#REF!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e">
        <v>#REF!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e">
        <v>#REF!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e">
        <v>#REF!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e">
        <v>#REF!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e">
        <v>#REF!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e">
        <v>#REF!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e">
        <v>#REF!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e">
        <v>#REF!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e">
        <v>#REF!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e">
        <v>#REF!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e">
        <v>#REF!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e">
        <v>#REF!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e">
        <v>#REF!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e">
        <v>#REF!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e">
        <v>#REF!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e">
        <v>#REF!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e">
        <v>#REF!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e">
        <v>#REF!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e">
        <v>#REF!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">
        <v>3470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e">
        <v>#REF!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e">
        <v>#REF!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e">
        <v>#REF!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e">
        <v>#REF!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e">
        <v>#REF!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e">
        <v>#REF!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e">
        <v>#REF!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e">
        <v>#REF!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s="35" t="e">
        <v>#REF!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36">
        <f>SUM(bron[[#This Row],[Januari]:[December]])</f>
        <v>1</v>
      </c>
      <c r="T784" s="9">
        <v>45883</v>
      </c>
      <c r="U784" s="5" t="s">
        <v>3469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s="35" t="e">
        <v>#REF!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36">
        <f>SUM(bron[[#This Row],[Januari]:[December]])</f>
        <v>1</v>
      </c>
      <c r="T785" s="9">
        <v>45884</v>
      </c>
      <c r="U785" s="24" t="s">
        <v>3466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e">
        <v>#REF!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e">
        <v>#REF!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e">
        <v>#REF!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e">
        <v>#REF!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e">
        <v>#REF!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e">
        <v>#REF!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e">
        <v>#REF!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e">
        <v>#REF!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e">
        <v>#REF!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e">
        <v>#REF!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e">
        <v>#REF!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e">
        <v>#REF!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e">
        <v>#REF!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e">
        <v>#REF!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e">
        <v>#REF!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e">
        <v>#REF!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e">
        <v>#REF!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e">
        <v>#REF!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e">
        <v>#REF!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e">
        <v>#REF!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e">
        <v>#REF!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e">
        <v>#REF!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e">
        <v>#REF!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e">
        <v>#REF!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e">
        <v>#REF!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e">
        <v>#REF!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39660</v>
      </c>
      <c r="B812" t="e">
        <v>#REF!</v>
      </c>
      <c r="C812" t="str">
        <f>VLOOKUP(bron[[#This Row],[personeelsnr]],'data hastus'!$A:$C,2,0)</f>
        <v>Lloyd</v>
      </c>
      <c r="D812" t="str">
        <f>VLOOKUP(bron[[#This Row],[personeelsnr]],'data hastus'!$A:$C,3,0)</f>
        <v>Glenn</v>
      </c>
      <c r="E812" t="str">
        <f>VLOOKUP(bron[[#This Row],[personeelsnr]],'data hastus'!A:K,11,FALSE)</f>
        <v>Bart Van Der Beken</v>
      </c>
      <c r="F812" s="10">
        <v>45842</v>
      </c>
      <c r="G812" s="7"/>
      <c r="H812" s="7"/>
      <c r="I812" s="7"/>
      <c r="M812" s="5">
        <v>1</v>
      </c>
      <c r="S812" s="5">
        <f>SUM(bron[[#This Row],[Januari]:[December]])</f>
        <v>1</v>
      </c>
      <c r="U812" s="8" t="s">
        <v>3285</v>
      </c>
      <c r="V812" s="24">
        <v>1</v>
      </c>
      <c r="W812" s="24"/>
      <c r="X812" t="s">
        <v>57</v>
      </c>
      <c r="Y812" t="s">
        <v>2900</v>
      </c>
    </row>
    <row r="813" spans="1:25" x14ac:dyDescent="0.25">
      <c r="A813">
        <v>4419</v>
      </c>
      <c r="B813" t="e">
        <v>#REF!</v>
      </c>
      <c r="C813" t="str">
        <f>VLOOKUP(bron[[#This Row],[personeelsnr]],'data hastus'!$A:$C,2,0)</f>
        <v>Maelbrancke</v>
      </c>
      <c r="D813" t="str">
        <f>VLOOKUP(bron[[#This Row],[personeelsnr]],'data hastus'!$A:$C,3,0)</f>
        <v>Eddy</v>
      </c>
      <c r="E813" t="str">
        <f>VLOOKUP(bron[[#This Row],[personeelsnr]],'data hastus'!A:K,11,FALSE)</f>
        <v>Lucie Vande Velde</v>
      </c>
      <c r="F813" s="10">
        <v>45841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3287</v>
      </c>
      <c r="V813" s="24">
        <v>1</v>
      </c>
      <c r="W813" s="24"/>
      <c r="X813" t="s">
        <v>57</v>
      </c>
      <c r="Y813" t="s">
        <v>2901</v>
      </c>
    </row>
    <row r="814" spans="1:25" x14ac:dyDescent="0.25">
      <c r="A814">
        <v>41384</v>
      </c>
      <c r="B814" t="e">
        <v>#REF!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3259</v>
      </c>
      <c r="V814" s="24">
        <v>1</v>
      </c>
      <c r="W814" s="24"/>
      <c r="X814" t="s">
        <v>57</v>
      </c>
      <c r="Y814" t="s">
        <v>138</v>
      </c>
    </row>
    <row r="815" spans="1:25" x14ac:dyDescent="0.25">
      <c r="A815">
        <v>42002</v>
      </c>
      <c r="B815" t="e">
        <v>#REF!</v>
      </c>
      <c r="C815" t="str">
        <f>VLOOKUP(bron[[#This Row],[personeelsnr]],'data hastus'!$A:$C,2,0)</f>
        <v>Bogaert</v>
      </c>
      <c r="D815" t="str">
        <f>VLOOKUP(bron[[#This Row],[personeelsnr]],'data hastus'!$A:$C,3,0)</f>
        <v>Kevin</v>
      </c>
      <c r="E815" t="str">
        <f>VLOOKUP(bron[[#This Row],[personeelsnr]],'data hastus'!A:K,11,FALSE)</f>
        <v>Els Vanhoe</v>
      </c>
      <c r="F815" s="10">
        <v>45862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3258</v>
      </c>
      <c r="V815" s="24">
        <v>1</v>
      </c>
      <c r="W815" s="24"/>
      <c r="X815" t="s">
        <v>57</v>
      </c>
      <c r="Y815" t="s">
        <v>29</v>
      </c>
    </row>
    <row r="816" spans="1:25" x14ac:dyDescent="0.25">
      <c r="A816">
        <v>20653</v>
      </c>
      <c r="B816" t="e">
        <v>#REF!</v>
      </c>
      <c r="C816" t="str">
        <f>VLOOKUP(bron[[#This Row],[personeelsnr]],'data hastus'!$A:$C,2,0)</f>
        <v>Mestdag</v>
      </c>
      <c r="D816" t="str">
        <f>VLOOKUP(bron[[#This Row],[personeelsnr]],'data hastus'!$A:$C,3,0)</f>
        <v>Marius</v>
      </c>
      <c r="E816" t="str">
        <f>VLOOKUP(bron[[#This Row],[personeelsnr]],'data hastus'!A:K,11,FALSE)</f>
        <v>Bart Van Der Beken</v>
      </c>
      <c r="F816" s="10">
        <v>45867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3254</v>
      </c>
      <c r="V816" s="24"/>
      <c r="W816" s="24">
        <v>1</v>
      </c>
      <c r="X816" t="s">
        <v>58</v>
      </c>
      <c r="Y816" t="s">
        <v>89</v>
      </c>
    </row>
    <row r="817" spans="1:25" x14ac:dyDescent="0.25">
      <c r="A817">
        <v>10782</v>
      </c>
      <c r="B817" t="e">
        <v>#REF!</v>
      </c>
      <c r="C817" t="str">
        <f>VLOOKUP(bron[[#This Row],[personeelsnr]],'data hastus'!$A:$C,2,0)</f>
        <v>De Kee</v>
      </c>
      <c r="D817" t="str">
        <f>VLOOKUP(bron[[#This Row],[personeelsnr]],'data hastus'!$A:$C,3,0)</f>
        <v>Ina</v>
      </c>
      <c r="E817" t="str">
        <f>VLOOKUP(bron[[#This Row],[personeelsnr]],'data hastus'!A:K,11,FALSE)</f>
        <v>Kenneth De Rick</v>
      </c>
      <c r="F817" s="10">
        <v>45868</v>
      </c>
      <c r="G817" s="7"/>
      <c r="H817" s="7"/>
      <c r="I817" s="7"/>
      <c r="S817" s="5">
        <v>1</v>
      </c>
      <c r="U817" s="8" t="s">
        <v>3253</v>
      </c>
      <c r="V817" s="24"/>
      <c r="W817" s="24">
        <v>1</v>
      </c>
      <c r="X817" t="s">
        <v>58</v>
      </c>
      <c r="Y817" t="s">
        <v>2913</v>
      </c>
    </row>
    <row r="818" spans="1:25" x14ac:dyDescent="0.25">
      <c r="A818">
        <v>18051</v>
      </c>
      <c r="B818" t="e">
        <v>#REF!</v>
      </c>
      <c r="C818" t="str">
        <f>VLOOKUP(bron[[#This Row],[personeelsnr]],'data hastus'!$A:$C,2,0)</f>
        <v>Van Wittenberge</v>
      </c>
      <c r="D818" t="str">
        <f>VLOOKUP(bron[[#This Row],[personeelsnr]],'data hastus'!$A:$C,3,0)</f>
        <v>Filip</v>
      </c>
      <c r="E818" t="str">
        <f>VLOOKUP(bron[[#This Row],[personeelsnr]],'data hastus'!A:K,11,FALSE)</f>
        <v>Christoff Rotty</v>
      </c>
      <c r="F818" s="10">
        <v>45863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3252</v>
      </c>
      <c r="V818" s="24"/>
      <c r="W818" s="24">
        <v>1</v>
      </c>
      <c r="X818" t="s">
        <v>58</v>
      </c>
      <c r="Y818" t="s">
        <v>127</v>
      </c>
    </row>
    <row r="819" spans="1:25" x14ac:dyDescent="0.25">
      <c r="A819">
        <v>39529</v>
      </c>
      <c r="B819" t="e">
        <v>#REF!</v>
      </c>
      <c r="C819" t="str">
        <f>VLOOKUP(bron[[#This Row],[personeelsnr]],'data hastus'!$A:$C,2,0)</f>
        <v>Desmet</v>
      </c>
      <c r="D819" t="str">
        <f>VLOOKUP(bron[[#This Row],[personeelsnr]],'data hastus'!$A:$C,3,0)</f>
        <v>Patricia</v>
      </c>
      <c r="E819" t="str">
        <f>VLOOKUP(bron[[#This Row],[personeelsnr]],'data hastus'!A:K,11,FALSE)</f>
        <v>Christoff Rotty</v>
      </c>
      <c r="F819" s="10">
        <v>45853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3266</v>
      </c>
      <c r="V819" s="24"/>
      <c r="W819" s="24">
        <v>1</v>
      </c>
      <c r="X819" t="s">
        <v>58</v>
      </c>
      <c r="Y819" t="s">
        <v>168</v>
      </c>
    </row>
    <row r="820" spans="1:25" x14ac:dyDescent="0.25">
      <c r="A820">
        <v>36021</v>
      </c>
      <c r="B820" t="e">
        <v>#REF!</v>
      </c>
      <c r="C820" t="str">
        <f>VLOOKUP(bron[[#This Row],[personeelsnr]],'data hastus'!$A:$C,2,0)</f>
        <v>Boelaert</v>
      </c>
      <c r="D820" t="str">
        <f>VLOOKUP(bron[[#This Row],[personeelsnr]],'data hastus'!$A:$C,3,0)</f>
        <v>Frederik</v>
      </c>
      <c r="E820" t="str">
        <f>VLOOKUP(bron[[#This Row],[personeelsnr]],'data hastus'!A:K,11,FALSE)</f>
        <v>Lucie Vande Velde</v>
      </c>
      <c r="F820" s="10">
        <v>45874</v>
      </c>
      <c r="G820" s="7"/>
      <c r="H820" s="7"/>
      <c r="I820" s="7"/>
      <c r="N820" s="5">
        <v>1</v>
      </c>
      <c r="S820" s="5">
        <f>SUM(bron[[#This Row],[Januari]:[December]])</f>
        <v>1</v>
      </c>
      <c r="U820" s="24" t="s">
        <v>2941</v>
      </c>
      <c r="V820" s="24">
        <v>1</v>
      </c>
      <c r="W820" s="24"/>
      <c r="X820" t="s">
        <v>57</v>
      </c>
      <c r="Y820" t="s">
        <v>222</v>
      </c>
    </row>
    <row r="821" spans="1:25" x14ac:dyDescent="0.25">
      <c r="A821">
        <v>41348</v>
      </c>
      <c r="B821" t="s">
        <v>3473</v>
      </c>
      <c r="C821" t="s">
        <v>1033</v>
      </c>
      <c r="D821" t="s">
        <v>1034</v>
      </c>
      <c r="E821" t="s">
        <v>40</v>
      </c>
      <c r="F821" s="10">
        <v>45883</v>
      </c>
      <c r="G821" s="7"/>
      <c r="H821" s="7"/>
      <c r="I821" s="7"/>
      <c r="N821" s="5">
        <v>1</v>
      </c>
      <c r="S821" s="5">
        <v>1</v>
      </c>
      <c r="U821" s="24" t="s">
        <v>3467</v>
      </c>
      <c r="V821" s="24">
        <v>1</v>
      </c>
      <c r="W821" s="24"/>
      <c r="X821" t="s">
        <v>57</v>
      </c>
      <c r="Y821" t="s">
        <v>3468</v>
      </c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21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0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8" r:id="rId726" xr:uid="{C120082C-3A17-4BF4-9FE5-8316049E6832}"/>
    <hyperlink ref="U685" r:id="rId727" xr:uid="{6939651F-8743-40D7-8248-7C59BC326531}"/>
    <hyperlink ref="U684" r:id="rId728" xr:uid="{AE840088-FA86-44F9-8AEA-7685D8FC1882}"/>
    <hyperlink ref="U794" r:id="rId729" xr:uid="{F06FFB0D-5885-4D14-8AC6-016C02308BD6}"/>
    <hyperlink ref="U791" r:id="rId730" xr:uid="{34E44BC6-0C9A-468D-8837-FC115CC6C91C}"/>
    <hyperlink ref="U682" r:id="rId731" xr:uid="{0ED0DD59-3557-4D96-AA95-5DC7A645AE06}"/>
    <hyperlink ref="U680" r:id="rId732" xr:uid="{A2170097-8EAE-46AC-9251-EF553AB1A9D6}"/>
    <hyperlink ref="U679" r:id="rId733" xr:uid="{F8BF4E85-D8D9-47D4-AB8E-C87937357FA9}"/>
    <hyperlink ref="U806" r:id="rId734" xr:uid="{4CE98016-D7E6-4D5E-912E-DED4D44F20AD}"/>
    <hyperlink ref="U720" r:id="rId735" xr:uid="{9321BFD9-F8A8-4656-8410-61658A528AC5}"/>
    <hyperlink ref="U736" r:id="rId736" xr:uid="{A92F0936-5E6B-42FE-85E7-A4B061C5DAD3}"/>
    <hyperlink ref="U737" r:id="rId737" xr:uid="{6049A51A-F4DF-4E73-8440-DE6F40AEBDD9}"/>
    <hyperlink ref="U738" r:id="rId738" xr:uid="{7928FACB-A4C4-47AE-B295-577B8CBBB398}"/>
    <hyperlink ref="U710" r:id="rId739" xr:uid="{941EBDF1-E734-4E5A-AA48-F30D0B24F93C}"/>
    <hyperlink ref="U734" r:id="rId740" xr:uid="{574AA468-D84B-4155-9894-72B740EF0AB1}"/>
    <hyperlink ref="U706" r:id="rId741" xr:uid="{E57FF12C-76E0-4A86-99D4-5E1538E38ACD}"/>
    <hyperlink ref="U714" r:id="rId742" xr:uid="{7E75644F-64CB-4F63-924E-F8365E75C71A}"/>
    <hyperlink ref="U715" r:id="rId743" xr:uid="{973F95B8-C132-4D72-96F7-C5CD97AB7E19}"/>
    <hyperlink ref="U731" r:id="rId744" xr:uid="{4511E0E2-3308-42B9-8AB9-1E3204BB4AB9}"/>
    <hyperlink ref="U735" r:id="rId745" xr:uid="{5805C3DE-57A9-46D6-9F19-1050F00D1E46}"/>
    <hyperlink ref="U721" r:id="rId746" xr:uid="{DAF3293A-AB51-4EAB-94D6-99379936EE9A}"/>
    <hyperlink ref="U707" r:id="rId747" xr:uid="{0D2FAD1A-6FB7-42BC-ACD4-2ED17239737A}"/>
    <hyperlink ref="U727" r:id="rId748" xr:uid="{C97D0CF5-D880-48AA-976A-46B72F6366E2}"/>
    <hyperlink ref="U718" r:id="rId749" xr:uid="{5B139B7F-C169-4457-832F-2CDEE69FD825}"/>
    <hyperlink ref="U728" r:id="rId750" xr:uid="{03CEA0C4-C067-4D36-8EC4-BD674608B5EC}"/>
    <hyperlink ref="U732" r:id="rId751" xr:uid="{7F799986-DE7E-4CB4-9450-D1751467B184}"/>
    <hyperlink ref="U711" r:id="rId752" xr:uid="{2FEEE5DD-8A0F-48EB-80CD-BE2AF1317FD9}"/>
    <hyperlink ref="U729" r:id="rId753" xr:uid="{95504083-0ADC-4023-97B7-A22841E41A0A}"/>
    <hyperlink ref="U704" r:id="rId754" xr:uid="{B3527575-B430-444E-9B0B-A3C05BCAB247}"/>
    <hyperlink ref="U708" r:id="rId755" xr:uid="{6A58F34B-5E83-417C-AE7D-F5176857093F}"/>
    <hyperlink ref="U712" r:id="rId756" xr:uid="{A65CEF8A-32E1-43C3-A6EE-B0328385DBFC}"/>
    <hyperlink ref="U725" r:id="rId757" xr:uid="{2C6873D5-430D-4DDD-932E-93E40910B97B}"/>
    <hyperlink ref="U726" r:id="rId758" xr:uid="{FCD32162-3212-4E63-83FF-A086C4015E85}"/>
    <hyperlink ref="U809" r:id="rId759" xr:uid="{43EDAC8C-154F-4594-876F-3F9377E4C0C1}"/>
    <hyperlink ref="U717" r:id="rId760" xr:uid="{8D3EABC5-7EEB-4300-9EC6-7B98D5F8E029}"/>
    <hyperlink ref="U733" r:id="rId761" xr:uid="{E0BA6773-6967-4D97-A6D9-16414C9EBA75}"/>
    <hyperlink ref="U709" r:id="rId762" xr:uid="{373A757C-29EC-4205-A1DA-27EEA898D2E7}"/>
    <hyperlink ref="U723" r:id="rId763" xr:uid="{E74A0A93-7E76-4BC0-99FA-7A5BB8BD7138}"/>
    <hyperlink ref="U805" r:id="rId764" xr:uid="{F37985B0-E9F1-438A-82A1-42D19BFF8F90}"/>
    <hyperlink ref="U716" r:id="rId765" xr:uid="{DCE67A40-B91D-42D6-B85F-800E2487CF07}"/>
    <hyperlink ref="U719" r:id="rId766" xr:uid="{23CA3DFE-A440-4845-ADDC-E00CDDC2FAB8}"/>
    <hyperlink ref="U730" r:id="rId767" xr:uid="{DC114D74-FDA1-4A5B-99B3-1F704C9F9E88}"/>
    <hyperlink ref="U797" r:id="rId768" xr:uid="{5FB200BE-8F49-4D2F-AF1F-5BDC0C88CA57}"/>
    <hyperlink ref="U713" r:id="rId769" xr:uid="{E9488F98-417D-45F0-AF31-42083D111195}"/>
    <hyperlink ref="U722" r:id="rId770" xr:uid="{F330EFD7-79BD-46D0-80F4-426AC08554CF}"/>
    <hyperlink ref="U724" r:id="rId771" xr:uid="{11491747-2133-49D4-A272-44F6FF53D9C6}"/>
    <hyperlink ref="U769" r:id="rId772" xr:uid="{93FCF700-48E1-4AAB-8495-FC2999DF82EF}"/>
    <hyperlink ref="U767" r:id="rId773" xr:uid="{254E9E40-B563-406B-8450-9FF9E949AC8C}"/>
    <hyperlink ref="U818" r:id="rId774" xr:uid="{8C7050E5-1548-47AD-9816-9F8590927730}"/>
    <hyperlink ref="U817" r:id="rId775" xr:uid="{298E54A3-9DBF-4CA6-8BA6-31974C23228C}"/>
    <hyperlink ref="U816" r:id="rId776" xr:uid="{1562B673-8C26-4B21-ACFD-266C8A1777FD}"/>
    <hyperlink ref="U773" r:id="rId777" xr:uid="{ED1DD83C-6022-4BD4-8146-1AD33BD7F5AA}"/>
    <hyperlink ref="U765" r:id="rId778" xr:uid="{8DEB09DF-90D5-4C0F-84ED-2C9E5F524D87}"/>
    <hyperlink ref="U770" r:id="rId779" xr:uid="{FA5FD159-9EBA-4548-9418-76FA3AEF3C15}"/>
    <hyperlink ref="U815" r:id="rId780" xr:uid="{77FF1940-85B2-4158-80F6-DBA00A0D3F48}"/>
    <hyperlink ref="U814" r:id="rId781" xr:uid="{59EF7A79-E073-4066-A0E3-4FBC18F26DDD}"/>
    <hyperlink ref="U772" r:id="rId782" xr:uid="{754E2135-D332-4D17-85A1-DC7CD58911BE}"/>
    <hyperlink ref="U760" r:id="rId783" xr:uid="{88F06494-6D83-4A92-B776-4B6746B0CDAD}"/>
    <hyperlink ref="U764" r:id="rId784" xr:uid="{DFC68BEC-B39F-4AC2-9D00-AF674412F4D1}"/>
    <hyperlink ref="U771" r:id="rId785" xr:uid="{D39377EB-7E62-4F41-B32C-DD7C8FD9FD9A}"/>
    <hyperlink ref="U768" r:id="rId786" xr:uid="{9929740E-87D0-46BF-BF92-B7A6F0F75EB5}"/>
    <hyperlink ref="U762" r:id="rId787" xr:uid="{E123B967-6F80-47D3-AA99-5D00D58C1C7B}"/>
    <hyperlink ref="U819" r:id="rId788" xr:uid="{BD1736A6-FDDE-4E2B-AEC4-56B7A59A4D9B}"/>
    <hyperlink ref="U763" r:id="rId789" xr:uid="{2C5F8736-DD9A-4211-A2E6-04D793B952E2}"/>
    <hyperlink ref="U761" r:id="rId790" xr:uid="{CAA0EEB7-98AD-4175-978B-3481CD4B09A2}"/>
    <hyperlink ref="U758" r:id="rId791" xr:uid="{B994F345-9D6F-49FE-936F-A1FF870DA159}"/>
    <hyperlink ref="U759" r:id="rId792" xr:uid="{4E7BD72F-64F1-4161-94B3-40F3EAD4DF8D}"/>
    <hyperlink ref="U755" r:id="rId793" xr:uid="{42CE2B8A-4445-4D38-A19B-27E617E5355F}"/>
    <hyperlink ref="U752" r:id="rId794" xr:uid="{77672107-1074-4CC5-B773-C90D586B98DC}"/>
    <hyperlink ref="U753" r:id="rId795" xr:uid="{B8BBF23F-600D-4EA8-8F9E-4C020A484596}"/>
    <hyperlink ref="U756" r:id="rId796" xr:uid="{DF5118FE-DD0A-43D5-A04A-F1BB5EC966CB}"/>
    <hyperlink ref="U757" r:id="rId797" xr:uid="{80154DBC-66DF-4433-A9D0-087580B052BE}"/>
    <hyperlink ref="U754" r:id="rId798" xr:uid="{DA9F6E43-F97B-474A-85EE-108BF5C95D67}"/>
    <hyperlink ref="U749" r:id="rId799" xr:uid="{AD697AE6-4666-4389-B2B4-38726DB31C7C}"/>
    <hyperlink ref="U750" r:id="rId800" xr:uid="{436AFDD6-523C-43FE-9A08-ED579E166D7F}"/>
    <hyperlink ref="U748" r:id="rId801" xr:uid="{D71CB4A7-6A12-475B-B09C-97A19E5BF7E7}"/>
    <hyperlink ref="U751" r:id="rId802" xr:uid="{86BB9DC2-49BD-4EA6-88AF-16451F0EF0F2}"/>
    <hyperlink ref="U739" r:id="rId803" xr:uid="{FF4ED1A0-310A-4193-BF64-B647931B2430}"/>
    <hyperlink ref="U746" r:id="rId804" xr:uid="{5C6636C1-94D3-4505-AC39-65A67FE4CB32}"/>
    <hyperlink ref="U744" r:id="rId805" xr:uid="{BB7CE327-230E-48A5-8741-25B18189C503}"/>
    <hyperlink ref="U745" r:id="rId806" xr:uid="{DD89C437-E14C-48AB-B80E-F8AF986B6A7D}"/>
    <hyperlink ref="U812" r:id="rId807" xr:uid="{5E6E094E-D08D-41A9-9AD4-AB96C0D2D0E5}"/>
    <hyperlink ref="U747" r:id="rId808" xr:uid="{738BBA94-39E1-4EAD-85E3-D6FD30B5D2A2}"/>
    <hyperlink ref="U813" r:id="rId809" xr:uid="{366A0727-3127-49A7-8A3D-1CF9FEDBA2C5}"/>
    <hyperlink ref="U742" r:id="rId810" xr:uid="{36071FA3-ED9D-4C49-BBE1-80EA68977EF9}"/>
    <hyperlink ref="U743" r:id="rId811" xr:uid="{6E08855B-C243-4269-AE79-8EAC47FB9816}"/>
    <hyperlink ref="U741" r:id="rId812" xr:uid="{3F757C3A-AABB-46B0-A376-7F8782AED0B7}"/>
    <hyperlink ref="U776" r:id="rId813" xr:uid="{E6EBA1DA-3AD1-419D-8F5E-43BB39D94529}"/>
    <hyperlink ref="U740" r:id="rId814" xr:uid="{713D8C42-321D-4476-9086-F7A96074829F}"/>
    <hyperlink ref="U785" r:id="rId815" xr:uid="{C7E0C9F1-1B82-42AF-BD02-CB6701562797}"/>
    <hyperlink ref="U821" r:id="rId816" xr:uid="{349B90B7-AFFD-4A4F-BBC3-9B3B0444F1B2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2025-08-20T07:35:34Z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