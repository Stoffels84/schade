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67" documentId="13_ncr:1_{10FCACA5-8197-478D-90D3-5F83063FB753}" xr6:coauthVersionLast="47" xr6:coauthVersionMax="47" xr10:uidLastSave="{8505152D-129F-491E-B142-1BAE7082CECA}"/>
  <bookViews>
    <workbookView xWindow="-108" yWindow="-108" windowWidth="30444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33" i="1" l="1"/>
  <c r="D933" i="1"/>
  <c r="E933" i="1"/>
  <c r="S933" i="1"/>
  <c r="C932" i="1"/>
  <c r="D932" i="1"/>
  <c r="E932" i="1"/>
  <c r="S932" i="1"/>
  <c r="C931" i="1"/>
  <c r="D931" i="1"/>
  <c r="E931" i="1"/>
  <c r="S931" i="1"/>
  <c r="C930" i="1"/>
  <c r="D930" i="1"/>
  <c r="E930" i="1"/>
  <c r="S930" i="1"/>
  <c r="C929" i="1"/>
  <c r="D929" i="1"/>
  <c r="E929" i="1"/>
  <c r="S929" i="1"/>
  <c r="C928" i="1"/>
  <c r="D928" i="1"/>
  <c r="E928" i="1"/>
  <c r="S928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D919" i="1"/>
  <c r="E919" i="1"/>
  <c r="S919" i="1"/>
  <c r="C918" i="1"/>
  <c r="D918" i="1"/>
  <c r="E918" i="1"/>
  <c r="S918" i="1"/>
  <c r="C917" i="1"/>
  <c r="D917" i="1"/>
  <c r="E917" i="1"/>
  <c r="S917" i="1"/>
  <c r="C908" i="1"/>
  <c r="D908" i="1"/>
  <c r="E908" i="1"/>
  <c r="S908" i="1"/>
  <c r="C916" i="1"/>
  <c r="D916" i="1"/>
  <c r="E916" i="1"/>
  <c r="S916" i="1"/>
  <c r="C915" i="1"/>
  <c r="D915" i="1"/>
  <c r="E915" i="1"/>
  <c r="S915" i="1"/>
  <c r="C912" i="1"/>
  <c r="D912" i="1"/>
  <c r="E912" i="1"/>
  <c r="S912" i="1"/>
  <c r="C913" i="1"/>
  <c r="D913" i="1"/>
  <c r="E913" i="1"/>
  <c r="S913" i="1"/>
  <c r="C902" i="1"/>
  <c r="D902" i="1"/>
  <c r="E902" i="1"/>
  <c r="S902" i="1"/>
  <c r="C914" i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14" i="1" l="1"/>
  <c r="B902" i="1"/>
  <c r="B912" i="1"/>
  <c r="B908" i="1"/>
  <c r="B917" i="1"/>
  <c r="B918" i="1"/>
  <c r="B919" i="1"/>
  <c r="B927" i="1"/>
  <c r="B926" i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<sst xmlns="http://schemas.openxmlformats.org/spreadsheetml/2006/main" count="8722" uniqueCount="3744">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</sst>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0" borderId="0" xfId="0" applyNumberFormat="1"/>
    <xf numFmtId="0" fontId="0" fillId="8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8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79">
      <pivotArea dataOnly="0" labelOnly="1" fieldPosition="0">
        <references count="1">
          <reference field="1" count="1">
            <x v="511"/>
          </reference>
        </references>
      </pivotArea>
    </format>
    <format dxfId="78">
      <pivotArea dataOnly="0" labelOnly="1" fieldPosition="0">
        <references count="1">
          <reference field="1" count="1">
            <x v="473"/>
          </reference>
        </references>
      </pivotArea>
    </format>
    <format dxfId="77">
      <pivotArea dataOnly="0" labelOnly="1" fieldPosition="0">
        <references count="1">
          <reference field="1" count="1">
            <x v="497"/>
          </reference>
        </references>
      </pivotArea>
    </format>
    <format dxfId="76">
      <pivotArea dataOnly="0" labelOnly="1" fieldPosition="0">
        <references count="1">
          <reference field="1" count="1">
            <x v="512"/>
          </reference>
        </references>
      </pivotArea>
    </format>
    <format dxfId="75">
      <pivotArea dataOnly="0" labelOnly="1" fieldPosition="0">
        <references count="1">
          <reference field="1" count="1">
            <x v="504"/>
          </reference>
        </references>
      </pivotArea>
    </format>
    <format dxfId="74">
      <pivotArea dataOnly="0" labelOnly="1" fieldPosition="0">
        <references count="1">
          <reference field="1" count="1">
            <x v="90"/>
          </reference>
        </references>
      </pivotArea>
    </format>
    <format dxfId="73">
      <pivotArea dataOnly="0" labelOnly="1" fieldPosition="0">
        <references count="1">
          <reference field="1" count="1">
            <x v="280"/>
          </reference>
        </references>
      </pivotArea>
    </format>
    <format dxfId="72">
      <pivotArea dataOnly="0" labelOnly="1" fieldPosition="0">
        <references count="1">
          <reference field="1" count="1">
            <x v="514"/>
          </reference>
        </references>
      </pivotArea>
    </format>
    <format dxfId="71">
      <pivotArea dataOnly="0" labelOnly="1" fieldPosition="0">
        <references count="1">
          <reference field="1" count="1">
            <x v="478"/>
          </reference>
        </references>
      </pivotArea>
    </format>
    <format dxfId="70">
      <pivotArea dataOnly="0" labelOnly="1" fieldPosition="0">
        <references count="1">
          <reference field="1" count="1">
            <x v="510"/>
          </reference>
        </references>
      </pivotArea>
    </format>
    <format dxfId="69">
      <pivotArea dataOnly="0" labelOnly="1" fieldPosition="0">
        <references count="1">
          <reference field="1" count="1">
            <x v="481"/>
          </reference>
        </references>
      </pivotArea>
    </format>
    <format dxfId="68">
      <pivotArea dataOnly="0" labelOnly="1" fieldPosition="0">
        <references count="1">
          <reference field="1" count="1">
            <x v="435"/>
          </reference>
        </references>
      </pivotArea>
    </format>
    <format dxfId="67">
      <pivotArea dataOnly="0" labelOnly="1" fieldPosition="0">
        <references count="1">
          <reference field="1" count="1">
            <x v="112"/>
          </reference>
        </references>
      </pivotArea>
    </format>
    <format dxfId="66">
      <pivotArea dataOnly="0" labelOnly="1" fieldPosition="0">
        <references count="1">
          <reference field="1" count="1">
            <x v="157"/>
          </reference>
        </references>
      </pivotArea>
    </format>
    <format dxfId="65">
      <pivotArea dataOnly="0" labelOnly="1" fieldPosition="0">
        <references count="1">
          <reference field="1" count="1">
            <x v="490"/>
          </reference>
        </references>
      </pivotArea>
    </format>
    <format dxfId="64">
      <pivotArea dataOnly="0" labelOnly="1" fieldPosition="0">
        <references count="1">
          <reference field="1" count="1">
            <x v="506"/>
          </reference>
        </references>
      </pivotArea>
    </format>
    <format dxfId="63">
      <pivotArea dataOnly="0" labelOnly="1" fieldPosition="0">
        <references count="1">
          <reference field="1" count="1">
            <x v="520"/>
          </reference>
        </references>
      </pivotArea>
    </format>
    <format dxfId="62">
      <pivotArea dataOnly="0" labelOnly="1" fieldPosition="0">
        <references count="1">
          <reference field="1" count="1">
            <x v="250"/>
          </reference>
        </references>
      </pivotArea>
    </format>
    <format dxfId="61">
      <pivotArea dataOnly="0" labelOnly="1" fieldPosition="0">
        <references count="1">
          <reference field="1" count="1">
            <x v="432"/>
          </reference>
        </references>
      </pivotArea>
    </format>
    <format dxfId="60">
      <pivotArea dataOnly="0" labelOnly="1" fieldPosition="0">
        <references count="1">
          <reference field="1" count="1">
            <x v="440"/>
          </reference>
        </references>
      </pivotArea>
    </format>
    <format dxfId="59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58">
      <pivotArea dataOnly="0" labelOnly="1" fieldPosition="0">
        <references count="1">
          <reference field="1" count="1">
            <x v="348"/>
          </reference>
        </references>
      </pivotArea>
    </format>
    <format dxfId="57">
      <pivotArea dataOnly="0" labelOnly="1" fieldPosition="0">
        <references count="1">
          <reference field="1" count="1">
            <x v="355"/>
          </reference>
        </references>
      </pivotArea>
    </format>
    <format dxfId="56">
      <pivotArea dataOnly="0" labelOnly="1" fieldPosition="0">
        <references count="1">
          <reference field="1" count="1">
            <x v="498"/>
          </reference>
        </references>
      </pivotArea>
    </format>
    <format dxfId="55">
      <pivotArea dataOnly="0" labelOnly="1" fieldPosition="0">
        <references count="1">
          <reference field="1" count="1">
            <x v="508"/>
          </reference>
        </references>
      </pivotArea>
    </format>
    <format dxfId="54">
      <pivotArea dataOnly="0" labelOnly="1" fieldPosition="0">
        <references count="1">
          <reference field="1" count="1">
            <x v="397"/>
          </reference>
        </references>
      </pivotArea>
    </format>
    <format dxfId="53">
      <pivotArea dataOnly="0" labelOnly="1" fieldPosition="0">
        <references count="1">
          <reference field="1" count="1">
            <x v="513"/>
          </reference>
        </references>
      </pivotArea>
    </format>
    <format dxfId="52">
      <pivotArea dataOnly="0" labelOnly="1" fieldPosition="0">
        <references count="1">
          <reference field="1" count="1">
            <x v="412"/>
          </reference>
        </references>
      </pivotArea>
    </format>
    <format dxfId="51">
      <pivotArea dataOnly="0" labelOnly="1" fieldPosition="0">
        <references count="1">
          <reference field="1" count="1">
            <x v="507"/>
          </reference>
        </references>
      </pivotArea>
    </format>
    <format dxfId="50">
      <pivotArea dataOnly="0" labelOnly="1" fieldPosition="0">
        <references count="1">
          <reference field="1" count="1">
            <x v="507"/>
          </reference>
        </references>
      </pivotArea>
    </format>
    <format dxfId="49">
      <pivotArea dataOnly="0" labelOnly="1" fieldPosition="0">
        <references count="1">
          <reference field="1" count="1">
            <x v="342"/>
          </reference>
        </references>
      </pivotArea>
    </format>
    <format dxfId="48">
      <pivotArea dataOnly="0" labelOnly="1" fieldPosition="0">
        <references count="1">
          <reference field="1" count="1">
            <x v="501"/>
          </reference>
        </references>
      </pivotArea>
    </format>
    <format dxfId="47">
      <pivotArea dataOnly="0" labelOnly="1" fieldPosition="0">
        <references count="1">
          <reference field="1" count="1">
            <x v="351"/>
          </reference>
        </references>
      </pivotArea>
    </format>
    <format dxfId="46">
      <pivotArea dataOnly="0" labelOnly="1" fieldPosition="0">
        <references count="1">
          <reference field="1" count="1">
            <x v="156"/>
          </reference>
        </references>
      </pivotArea>
    </format>
    <format dxfId="45">
      <pivotArea dataOnly="0" labelOnly="1" fieldPosition="0">
        <references count="1">
          <reference field="1" count="1">
            <x v="358"/>
          </reference>
        </references>
      </pivotArea>
    </format>
    <format dxfId="44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43">
      <pivotArea dataOnly="0" labelOnly="1" fieldPosition="0">
        <references count="1">
          <reference field="1" count="1">
            <x v="438"/>
          </reference>
        </references>
      </pivotArea>
    </format>
    <format dxfId="42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41">
      <pivotArea dataOnly="0" labelOnly="1" fieldPosition="0">
        <references count="1">
          <reference field="1" count="1">
            <x v="309"/>
          </reference>
        </references>
      </pivotArea>
    </format>
    <format dxfId="4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39">
      <pivotArea dataOnly="0" labelOnly="1" fieldPosition="0">
        <references count="1">
          <reference field="1" count="1">
            <x v="374"/>
          </reference>
        </references>
      </pivotArea>
    </format>
    <format dxfId="38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37">
      <pivotArea dataOnly="0" labelOnly="1" fieldPosition="0">
        <references count="1">
          <reference field="1" count="1">
            <x v="407"/>
          </reference>
        </references>
      </pivotArea>
    </format>
    <format dxfId="36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4"/>
    <tableColumn id="5" xr3:uid="{DF37AD45-FC5C-478A-989D-9143E744CEEA}" name="voornaam" dataDxfId="33">
      <calculatedColumnFormula>VLOOKUP(Tabel2[[#This Row],[nr]],'data hastus'!A:C,3,FALSE)</calculatedColumnFormula>
    </tableColumn>
    <tableColumn id="6" xr3:uid="{4098FAFB-9B09-4A81-8B22-18CC90B5F979}" name="achternaam" dataDxfId="32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33" totalsRowShown="0" headerRowDxfId="28">
  <autoFilter ref="A1:AA93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2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6"/>
    <tableColumn id="11" xr3:uid="{97ECF1D5-48DC-4487-B3C2-17232CC8E19E}" name="Januari" dataDxfId="25"/>
    <tableColumn id="12" xr3:uid="{7B2FF520-A575-45C0-BB5A-19B87DDB4EA0}" name="Februari" dataDxfId="24"/>
    <tableColumn id="13" xr3:uid="{4E6C30D1-FB72-4AB2-900F-14A3D53F34DE}" name="Maart" dataDxfId="2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2">
      <calculatedColumnFormula>SUM(bron[[#This Row],[Januari]:[December]])</calculatedColumnFormula>
    </tableColumn>
    <tableColumn id="10" xr3:uid="{8D9646BD-38B6-4F4D-9859-B3933369346B}" name="Datum" dataDxfId="2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35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33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D933" sqref="D933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3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3">
      <c r="A927">
        <v>39858</v>
      </c>
      <c r="B927" t="str">
        <f>_xlfn.CONCAT(bron[[#This Row],[personeelsnr]]," ",bron[[#This Row],[achternaam]]," ",bron[[#This Row],[voornaam]])</f>
        <v>39858 Jacobs Elos</v>
      </c>
      <c r="C927" t="str">
        <f>VLOOKUP(bron[[#This Row],[personeelsnr]],'data hastus'!$A:$C,2,0)</f>
        <v>Jacobs</v>
      </c>
      <c r="D927" t="str">
        <f>VLOOKUP(bron[[#This Row],[personeelsnr]],'data hastus'!$A:$C,3,0)</f>
        <v>Elos</v>
      </c>
      <c r="E927" s="2" t="str">
        <f>VLOOKUP(bron[[#This Row],[personeelsnr]],'data hastus'!A:K,11,FALSE)</f>
        <v>Els Dewulf</v>
      </c>
      <c r="F927" s="10"/>
      <c r="G927" s="39"/>
      <c r="H927" s="39"/>
      <c r="I927" s="39"/>
      <c r="S927" s="36">
        <f>SUM(bron[[#This Row],[Januari]:[December]])</f>
        <v>0</v>
      </c>
      <c r="T927" s="41">
        <v>45961</v>
      </c>
      <c r="U927" s="5" t="s">
        <v>3743</v>
      </c>
      <c r="V927" s="37"/>
      <c r="W927" s="37"/>
      <c r="X927" t="s">
        <v>3511</v>
      </c>
      <c r="Y927" t="s">
        <v>663</v>
      </c>
      <c r="Z927" s="2">
        <v>5229</v>
      </c>
      <c r="AA927" s="43" t="s">
        <v>3558</v>
      </c>
    </row>
    <row r="928" spans="1:27" x14ac:dyDescent="0.3">
      <c r="B928" s="45"/>
      <c r="C928" t="e">
        <f>VLOOKUP(bron[[#This Row],[personeelsnr]],'data hastus'!$A:$C,2,0)</f>
        <v>#N/A</v>
      </c>
      <c r="D928" t="e">
        <f>VLOOKUP(bron[[#This Row],[personeelsnr]],'data hastus'!$A:$C,3,0)</f>
        <v>#N/A</v>
      </c>
      <c r="E928" s="2" t="e">
        <f>VLOOKUP(bron[[#This Row],[personeelsnr]],'data hastus'!A:K,11,FALSE)</f>
        <v>#N/A</v>
      </c>
      <c r="F928" s="10"/>
      <c r="G928" s="39"/>
      <c r="H928" s="39"/>
      <c r="I928" s="39"/>
      <c r="S928" s="46">
        <f>SUM(bron[[#This Row],[Januari]:[December]])</f>
        <v>0</v>
      </c>
      <c r="V928" s="37"/>
      <c r="W928" s="37"/>
    </row>
    <row r="929" spans="2:23" x14ac:dyDescent="0.3">
      <c r="B929" s="45"/>
      <c r="C929" t="e">
        <f>VLOOKUP(bron[[#This Row],[personeelsnr]],'data hastus'!$A:$C,2,0)</f>
        <v>#N/A</v>
      </c>
      <c r="D929" t="e">
        <f>VLOOKUP(bron[[#This Row],[personeelsnr]],'data hastus'!$A:$C,3,0)</f>
        <v>#N/A</v>
      </c>
      <c r="E929" s="2" t="e">
        <f>VLOOKUP(bron[[#This Row],[personeelsnr]],'data hastus'!A:K,11,FALSE)</f>
        <v>#N/A</v>
      </c>
      <c r="F929" s="10"/>
      <c r="G929" s="39"/>
      <c r="H929" s="39"/>
      <c r="I929" s="39"/>
      <c r="S929" s="46">
        <f>SUM(bron[[#This Row],[Januari]:[December]])</f>
        <v>0</v>
      </c>
      <c r="V929" s="37"/>
      <c r="W929" s="37"/>
    </row>
    <row r="930" spans="2:23" x14ac:dyDescent="0.3">
      <c r="B930" s="45"/>
      <c r="C930" t="e">
        <f>VLOOKUP(bron[[#This Row],[personeelsnr]],'data hastus'!$A:$C,2,0)</f>
        <v>#N/A</v>
      </c>
      <c r="D930" t="e">
        <f>VLOOKUP(bron[[#This Row],[personeelsnr]],'data hastus'!$A:$C,3,0)</f>
        <v>#N/A</v>
      </c>
      <c r="E930" s="2" t="e">
        <f>VLOOKUP(bron[[#This Row],[personeelsnr]],'data hastus'!A:K,11,FALSE)</f>
        <v>#N/A</v>
      </c>
      <c r="F930" s="10"/>
      <c r="G930" s="39"/>
      <c r="H930" s="39"/>
      <c r="I930" s="39"/>
      <c r="S930" s="46">
        <f>SUM(bron[[#This Row],[Januari]:[December]])</f>
        <v>0</v>
      </c>
      <c r="V930" s="37"/>
      <c r="W930" s="37"/>
    </row>
    <row r="931" spans="2:23" x14ac:dyDescent="0.3">
      <c r="B931" s="45"/>
      <c r="C931" t="e">
        <f>VLOOKUP(bron[[#This Row],[personeelsnr]],'data hastus'!$A:$C,2,0)</f>
        <v>#N/A</v>
      </c>
      <c r="D931" t="e">
        <f>VLOOKUP(bron[[#This Row],[personeelsnr]],'data hastus'!$A:$C,3,0)</f>
        <v>#N/A</v>
      </c>
      <c r="E931" s="2" t="e">
        <f>VLOOKUP(bron[[#This Row],[personeelsnr]],'data hastus'!A:K,11,FALSE)</f>
        <v>#N/A</v>
      </c>
      <c r="F931" s="10"/>
      <c r="G931" s="39"/>
      <c r="H931" s="39"/>
      <c r="I931" s="39"/>
      <c r="S931" s="46">
        <f>SUM(bron[[#This Row],[Januari]:[December]])</f>
        <v>0</v>
      </c>
      <c r="V931" s="37"/>
      <c r="W931" s="37"/>
    </row>
    <row r="932" spans="2:23" x14ac:dyDescent="0.3">
      <c r="B932" s="45"/>
      <c r="C932" t="e">
        <f>VLOOKUP(bron[[#This Row],[personeelsnr]],'data hastus'!$A:$C,2,0)</f>
        <v>#N/A</v>
      </c>
      <c r="D932" t="e">
        <f>VLOOKUP(bron[[#This Row],[personeelsnr]],'data hastus'!$A:$C,3,0)</f>
        <v>#N/A</v>
      </c>
      <c r="E932" s="2" t="e">
        <f>VLOOKUP(bron[[#This Row],[personeelsnr]],'data hastus'!A:K,11,FALSE)</f>
        <v>#N/A</v>
      </c>
      <c r="F932" s="10"/>
      <c r="G932" s="39"/>
      <c r="H932" s="39"/>
      <c r="I932" s="39"/>
      <c r="S932" s="46">
        <f>SUM(bron[[#This Row],[Januari]:[December]])</f>
        <v>0</v>
      </c>
      <c r="V932" s="37"/>
      <c r="W932" s="37"/>
    </row>
    <row r="933" spans="2:23" x14ac:dyDescent="0.3">
      <c r="B933" s="45"/>
      <c r="C933" t="e">
        <f>VLOOKUP(bron[[#This Row],[personeelsnr]],'data hastus'!$A:$C,2,0)</f>
        <v>#N/A</v>
      </c>
      <c r="D933" t="e">
        <f>VLOOKUP(bron[[#This Row],[personeelsnr]],'data hastus'!$A:$C,3,0)</f>
        <v>#N/A</v>
      </c>
      <c r="E933" s="2" t="e">
        <f>VLOOKUP(bron[[#This Row],[personeelsnr]],'data hastus'!A:K,11,FALSE)</f>
        <v>#N/A</v>
      </c>
      <c r="F933" s="10"/>
      <c r="G933" s="39"/>
      <c r="H933" s="39"/>
      <c r="I933" s="39"/>
      <c r="S933" s="46">
        <f>SUM(bron[[#This Row],[Januari]:[December]])</f>
        <v>0</v>
      </c>
      <c r="V933" s="37"/>
      <c r="W933" s="37"/>
    </row>
  </sheetData>
  <sheetProtection sort="0" autoFilter="0"/>
  <phoneticPr fontId="1" type="noConversion"/>
  <conditionalFormatting sqref="F2:F933">
    <cfRule type="cellIs" dxfId="31" priority="5" operator="equal">
      <formula>0</formula>
    </cfRule>
    <cfRule type="cellIs" dxfId="30" priority="7" operator="between">
      <formula>1</formula>
      <formula>4</formula>
    </cfRule>
    <cfRule type="cellIs" dxfId="29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0" priority="1" operator="equal">
      <formula>0</formula>
    </cfRule>
    <cfRule type="cellIs" dxfId="19" priority="2" operator="between">
      <formula>1</formula>
      <formula>4</formula>
    </cfRule>
    <cfRule type="cellIs" dxfId="18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2025-10-31T19:36:27Z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