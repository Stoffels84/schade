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87" documentId="13_ncr:1_{10FCACA5-8197-478D-90D3-5F83063FB753}" xr6:coauthVersionLast="47" xr6:coauthVersionMax="47" xr10:uidLastSave="{C58791CD-DC94-41BE-BBE4-C8EEBFD949AB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22" r:id="rId12"/>
    <pivotCache cacheId="3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6" l="1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<sst xmlns="http://schemas.openxmlformats.org/spreadsheetml/2006/main" count="13951" uniqueCount="4541">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</sst>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3"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573043981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2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3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6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grandRow="1" outline="0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4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1"/>
    <tableColumn id="5" xr3:uid="{DF37AD45-FC5C-478A-989D-9143E744CEEA}" name="voornaam" dataDxfId="40">
      <calculatedColumnFormula>VLOOKUP(Tabel2[[#This Row],[nr]],'data hastus'!A:C,3,FALSE)</calculatedColumnFormula>
    </tableColumn>
    <tableColumn id="6" xr3:uid="{4098FAFB-9B09-4A81-8B22-18CC90B5F979}" name="achternaam" dataDxfId="3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7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6">
      <calculatedColumnFormula>YEAR(TODAY()) - YEAR(E2) - (IF(DATE(YEAR(TODAY()), MONTH(E2), DAY(E2)) &gt; TODAY(), 1, 0))</calculatedColumnFormula>
    </tableColumn>
    <tableColumn id="5" xr3:uid="{4C697650-E57C-44EB-9139-9D19E4E44782}" name="aantal schades" dataDxfId="1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3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3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2"/>
    <tableColumn id="2" xr3:uid="{B74D5419-AF77-4013-9D4D-A27CB821A194}" name="Voornaam" dataDxfId="11"/>
    <tableColumn id="3" xr3:uid="{8AFF5D53-02DB-4104-8133-50DD6E1299B8}" name="Achternaam" dataDxfId="10"/>
    <tableColumn id="4" xr3:uid="{B76D7E71-E174-470B-9D6C-5440B7A4886F}" name="Personeelsnummer" dataDxfId="9"/>
    <tableColumn id="6" xr3:uid="{944F1A33-FEB0-4FC2-8D2C-B7C202DA92D5}" name="Team Coach" dataDxfId="8"/>
    <tableColumn id="7" xr3:uid="{5B917C88-1EEB-48B9-9CA7-608DFC8F40C2}" name="Datum in dienst" dataDxfId="7"/>
    <tableColumn id="10" xr3:uid="{3501E25E-962A-4C61-8F65-B8F428AE63EB}" name="Dienstjaren" dataDxfId="6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8" priority="5" operator="equal">
      <formula>0</formula>
    </cfRule>
    <cfRule type="cellIs" dxfId="37" priority="7" operator="between">
      <formula>1</formula>
      <formula>4</formula>
    </cfRule>
    <cfRule type="cellIs" dxfId="3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5" priority="1" operator="equal">
      <formula>0</formula>
    </cfRule>
    <cfRule type="cellIs" dxfId="24" priority="2" operator="between">
      <formula>1</formula>
      <formula>4</formula>
    </cfRule>
    <cfRule type="cellIs" dxfId="2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F7" workbookViewId="0">
      <selection activeCell="J16" sqref="J16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topLeftCell="F7" zoomScale="90" zoomScaleNormal="90" workbookViewId="0">
      <selection activeCell="K21" sqref="K2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2.7272727272727271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1.1818181818181819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1.4462540716612378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2025-12-04T10:10:56Z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