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4" documentId="13_ncr:1_{10FCACA5-8197-478D-90D3-5F83063FB753}" xr6:coauthVersionLast="47" xr6:coauthVersionMax="47" xr10:uidLastSave="{7C1A8E3F-17F1-47D7-A3BE-7B55BBCF52D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B938" i="1" s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5" i="1" l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<sst xmlns="http://schemas.openxmlformats.org/spreadsheetml/2006/main" count="8754" uniqueCount="3754">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</sst>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9" activePane="bottomLeft" state="frozen"/>
      <selection activeCell="F1" sqref="F1"/>
      <selection pane="bottomLeft" activeCell="Y936" sqref="Y93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4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44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44">
        <f>SUM(bron[[#This Row],[Januari]:[December]])</f>
        <v>0</v>
      </c>
      <c r="T936" s="41">
        <v>45964</v>
      </c>
      <c r="V936" s="37"/>
      <c r="W936" s="37"/>
      <c r="X936">
        <v>5935</v>
      </c>
    </row>
    <row r="937" spans="1:27" x14ac:dyDescent="0.25">
      <c r="B937" t="e">
        <f>_xlfn.CONCAT(bron[[#This Row],[personeelsnr]]," ",bron[[#This Row],[achternaam]]," ",bron[[#This Row],[voornaam]])</f>
        <v>#N/A</v>
      </c>
      <c r="C937" t="e">
        <f>VLOOKUP(bron[[#This Row],[personeelsnr]],'data hastus'!$A:$C,2,0)</f>
        <v>#N/A</v>
      </c>
      <c r="D937" t="e">
        <f>VLOOKUP(bron[[#This Row],[personeelsnr]],'data hastus'!$A:$C,3,0)</f>
        <v>#N/A</v>
      </c>
      <c r="E937" s="2" t="e">
        <f>VLOOKUP(bron[[#This Row],[personeelsnr]],'data hastus'!A:K,11,FALSE)</f>
        <v>#N/A</v>
      </c>
      <c r="F937" s="10"/>
      <c r="G937" s="39"/>
      <c r="H937" s="39"/>
      <c r="I937" s="39"/>
      <c r="S937" s="44">
        <f>SUM(bron[[#This Row],[Januari]:[December]])</f>
        <v>0</v>
      </c>
      <c r="V937" s="37"/>
      <c r="W937" s="37"/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4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4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4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4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4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4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4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2025-11-03T14:42:52Z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